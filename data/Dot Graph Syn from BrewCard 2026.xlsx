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TamThuy\BrewCard_Batch_Updater\data\"/>
    </mc:Choice>
  </mc:AlternateContent>
  <xr:revisionPtr revIDLastSave="0" documentId="8_{365DB938-21E8-4489-A9DE-D2C6DF4FCC51}" xr6:coauthVersionLast="47" xr6:coauthVersionMax="47" xr10:uidLastSave="{00000000-0000-0000-0000-000000000000}"/>
  <bookViews>
    <workbookView xWindow="-120" yWindow="-120" windowWidth="38640" windowHeight="21120" xr2:uid="{46BAF348-2B9A-4272-987E-7321177400FE}"/>
  </bookViews>
  <sheets>
    <sheet name="Main" sheetId="3" r:id="rId1"/>
    <sheet name="InFo" sheetId="15" r:id="rId2"/>
    <sheet name="Sheet1" sheetId="20" r:id="rId3"/>
    <sheet name="Check Data" sheetId="19" r:id="rId4"/>
    <sheet name="Sheet2" sheetId="18" state="hidden" r:id="rId5"/>
  </sheets>
  <definedNames>
    <definedName name="_xlnm._FilterDatabase" localSheetId="3" hidden="1">'Check Data'!$A$2:$I$115</definedName>
    <definedName name="_xlnm._FilterDatabase" localSheetId="0" hidden="1">Main!$A$4:$BU$4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5" i="15" l="1"/>
  <c r="DB5" i="15"/>
  <c r="DC5" i="15"/>
  <c r="DD5" i="15"/>
  <c r="DE5" i="15"/>
  <c r="DF5" i="15"/>
  <c r="DG5" i="15"/>
  <c r="DH5" i="15"/>
  <c r="DI5" i="15"/>
  <c r="DJ5" i="15"/>
  <c r="Y5" i="15"/>
  <c r="X5" i="15"/>
  <c r="Q5" i="15"/>
  <c r="M5" i="15"/>
  <c r="K5" i="15"/>
  <c r="G5" i="15"/>
  <c r="H5" i="15"/>
  <c r="BV5" i="15"/>
  <c r="BW5" i="15"/>
  <c r="BX5" i="15"/>
  <c r="BY5" i="15"/>
  <c r="BZ5" i="15"/>
  <c r="CA5" i="15"/>
  <c r="CB5" i="15"/>
  <c r="CC5" i="15"/>
  <c r="CD5" i="15"/>
  <c r="CE5" i="15"/>
  <c r="CF5" i="15"/>
  <c r="CG5" i="15"/>
  <c r="CH5" i="15"/>
  <c r="CI5" i="15"/>
  <c r="CJ5" i="15"/>
  <c r="CK5" i="15"/>
  <c r="CL5" i="15"/>
  <c r="CM5" i="15"/>
  <c r="CN5" i="15"/>
  <c r="CO5" i="15"/>
  <c r="CP5" i="15"/>
  <c r="CQ5" i="15"/>
  <c r="CR5" i="15"/>
  <c r="CS5" i="15"/>
  <c r="CT5" i="15"/>
  <c r="CU5" i="15"/>
  <c r="CV5" i="15"/>
  <c r="CW5" i="15"/>
  <c r="CX5" i="15"/>
  <c r="CY5" i="15"/>
  <c r="CZ5" i="15"/>
  <c r="BS5" i="15"/>
  <c r="BT5" i="15"/>
  <c r="BU5" i="15"/>
  <c r="BB5" i="15"/>
  <c r="BC5" i="15"/>
  <c r="BD5" i="15"/>
  <c r="BE5" i="15"/>
  <c r="AF5" i="15"/>
  <c r="A3" i="18" l="1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2" i="18"/>
  <c r="F5" i="15" l="1"/>
  <c r="I5" i="15"/>
  <c r="J5" i="15"/>
  <c r="L5" i="15"/>
  <c r="N5" i="15"/>
  <c r="O5" i="15"/>
  <c r="P5" i="15"/>
  <c r="R5" i="15"/>
  <c r="S5" i="15"/>
  <c r="T5" i="15"/>
  <c r="U5" i="15"/>
  <c r="V5" i="15"/>
  <c r="W5" i="15"/>
  <c r="Z5" i="15"/>
  <c r="AA5" i="15"/>
  <c r="AB5" i="15"/>
  <c r="AC5" i="15"/>
  <c r="AD5" i="15"/>
  <c r="AE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F5" i="15"/>
  <c r="BG5" i="15"/>
  <c r="BH5" i="15"/>
  <c r="BI5" i="15"/>
  <c r="BJ5" i="15"/>
  <c r="BK5" i="15"/>
  <c r="BL5" i="15"/>
  <c r="BM5" i="15"/>
  <c r="BN5" i="15"/>
  <c r="BO5" i="15"/>
  <c r="BP5" i="15"/>
  <c r="BQ5" i="15"/>
  <c r="BR5" i="15"/>
  <c r="D5" i="15"/>
  <c r="E5" i="15"/>
  <c r="B5" i="15"/>
</calcChain>
</file>

<file path=xl/sharedStrings.xml><?xml version="1.0" encoding="utf-8"?>
<sst xmlns="http://schemas.openxmlformats.org/spreadsheetml/2006/main" count="1484" uniqueCount="530">
  <si>
    <t>Malt Ratio</t>
    <phoneticPr fontId="17" type="noConversion"/>
  </si>
  <si>
    <t xml:space="preserve">Mash-In Time </t>
  </si>
  <si>
    <t>Grist/Water 
Ratio</t>
  </si>
  <si>
    <t>Gel Temp</t>
  </si>
  <si>
    <t>Gel Time</t>
  </si>
  <si>
    <t>Highest
Steam Pressue</t>
  </si>
  <si>
    <t>Boiling Time</t>
  </si>
  <si>
    <t>Highest Tempe</t>
  </si>
  <si>
    <t>Cycle Duration</t>
  </si>
  <si>
    <t>Mash-In Time</t>
  </si>
  <si>
    <t xml:space="preserve">Mash-In End Temp </t>
  </si>
  <si>
    <t>Protein Rest Temp</t>
  </si>
  <si>
    <t>Protein Rest Time</t>
  </si>
  <si>
    <t>Pump back Temp</t>
  </si>
  <si>
    <t>Steam Usage Before Conversion</t>
  </si>
  <si>
    <t>Conversion Temp</t>
  </si>
  <si>
    <t>Conversion Time</t>
  </si>
  <si>
    <t>72*C Conversion Time</t>
  </si>
  <si>
    <t>Mash off Temp</t>
  </si>
  <si>
    <t>Mash Tun Cycle Time</t>
  </si>
  <si>
    <t>Vorlauf Duration</t>
  </si>
  <si>
    <t>Turbidity @Start Running</t>
  </si>
  <si>
    <t>First Wort Extract</t>
  </si>
  <si>
    <t>Last Hansel</t>
  </si>
  <si>
    <t>Weak Wort Extract (Last Runnings)</t>
  </si>
  <si>
    <t>Weak Wort  Volume</t>
  </si>
  <si>
    <t xml:space="preserve">Deep Cut </t>
  </si>
  <si>
    <t>First Wort Volume</t>
  </si>
  <si>
    <t>Total Run off Volume</t>
  </si>
  <si>
    <t>Total Run off OG</t>
  </si>
  <si>
    <t>First Wort/ Total Water Volume</t>
  </si>
  <si>
    <t>First Wort/ Total Wort Volume</t>
  </si>
  <si>
    <t>OG GAP</t>
  </si>
  <si>
    <t>Run off Time</t>
  </si>
  <si>
    <t>Lauter Tun Cycle Time</t>
  </si>
  <si>
    <t>Sparge Water Temp</t>
  </si>
  <si>
    <t>Weak Wort Recovery Volume</t>
  </si>
  <si>
    <t>Mash Filter Cycle time</t>
  </si>
  <si>
    <t>Sparge Water Temperature</t>
  </si>
  <si>
    <t>Boiling Before or After KF?</t>
  </si>
  <si>
    <t>Boiling Type</t>
  </si>
  <si>
    <t>SOB Volume</t>
  </si>
  <si>
    <t>Filling Temp@
Before SOB</t>
  </si>
  <si>
    <t>Filling Temp@
SOB-KF</t>
  </si>
  <si>
    <t>Kettle Full Volume</t>
  </si>
  <si>
    <t>Kettle Full Temp</t>
  </si>
  <si>
    <t>Tap to Start of Boil Time</t>
  </si>
  <si>
    <t>Boiling Time Before KF</t>
  </si>
  <si>
    <t>Boiling Time After KF</t>
  </si>
  <si>
    <t>Total Boiling Time</t>
  </si>
  <si>
    <t xml:space="preserve">Over Boiling Time </t>
  </si>
  <si>
    <t>Syrup Dose
Volume</t>
  </si>
  <si>
    <t>External Calandria 
Exit Temp</t>
  </si>
  <si>
    <t>1st Hops Addition - Time Before SOB</t>
  </si>
  <si>
    <t>2n Hops Addition - Time Before EOB</t>
  </si>
  <si>
    <t>Evap % - SOB to KF</t>
  </si>
  <si>
    <t>Evap % - KF to KO</t>
  </si>
  <si>
    <t>Evap % - KF to KO
Deviation</t>
  </si>
  <si>
    <t>Evap % - SOB to KO</t>
  </si>
  <si>
    <t>Total Evap %  - Conventional Boiling</t>
  </si>
  <si>
    <t>Total Evap % - MSB</t>
  </si>
  <si>
    <t xml:space="preserve"> Overfoaming times</t>
  </si>
  <si>
    <t>Highest Temp</t>
  </si>
  <si>
    <t>Highest Pressure</t>
  </si>
  <si>
    <t>Highest Steam  Pressure-Upper Calandria</t>
  </si>
  <si>
    <t>Highest Steam  Pressure-Lower Calandria</t>
  </si>
  <si>
    <t>Steam Used - 
KF-KO</t>
  </si>
  <si>
    <t>Steam Used - SOB-KO</t>
  </si>
  <si>
    <t>KO Extract</t>
  </si>
  <si>
    <t>KO Time</t>
  </si>
  <si>
    <t>Settling Time</t>
  </si>
  <si>
    <t xml:space="preserve"> Settling Overtime</t>
  </si>
  <si>
    <t>Wort Stripper Outlet Temp</t>
  </si>
  <si>
    <t>Wort Zinc</t>
  </si>
  <si>
    <t>Cooling Time</t>
  </si>
  <si>
    <t>Cold Wort Temp</t>
  </si>
  <si>
    <t>Air Injection</t>
    <phoneticPr fontId="17" type="noConversion"/>
  </si>
  <si>
    <t>Wort Aeration Mass Flow Rate</t>
    <phoneticPr fontId="17" type="noConversion"/>
  </si>
  <si>
    <t>Double Mass Flow  Rate Deviation</t>
  </si>
  <si>
    <t>Cold Wort Volume</t>
  </si>
  <si>
    <t>Brewhouse Hot time</t>
  </si>
  <si>
    <t>Brewhouse Hot time
Deviation</t>
  </si>
  <si>
    <t>Total  Brewhouse cycle time</t>
  </si>
  <si>
    <t>Brewhouse cycle time
Deviation</t>
  </si>
  <si>
    <t xml:space="preserve">Hot Severity Index </t>
  </si>
  <si>
    <t>Cold Wort OG -
In Line</t>
  </si>
  <si>
    <t>Cold Wort pH - 
In Line</t>
  </si>
  <si>
    <t>Start of mash in time in rice cooker</t>
  </si>
  <si>
    <t>start of wort draw-off</t>
  </si>
  <si>
    <t xml:space="preserve">Start of Boiling time(SOB)                      </t>
  </si>
  <si>
    <t xml:space="preserve">Wort OG at Kettle full                    </t>
  </si>
  <si>
    <t>Kettle volume at Kettle full</t>
  </si>
  <si>
    <t xml:space="preserve">End of boiling time        </t>
  </si>
  <si>
    <t>wort OG at the end of boiling</t>
  </si>
  <si>
    <t>Kettle volume at the end of boiling</t>
  </si>
  <si>
    <t>End of wort cooling</t>
  </si>
  <si>
    <t>Y</t>
  </si>
  <si>
    <t>Type</t>
  </si>
  <si>
    <t>Batch</t>
  </si>
  <si>
    <t xml:space="preserve">Day in </t>
  </si>
  <si>
    <t>Time in</t>
  </si>
  <si>
    <t>Time out</t>
  </si>
  <si>
    <t>%</t>
  </si>
  <si>
    <t>min</t>
  </si>
  <si>
    <t>°C</t>
  </si>
  <si>
    <t>Bar</t>
  </si>
  <si>
    <t>Kg</t>
  </si>
  <si>
    <t>EBC</t>
  </si>
  <si>
    <t>Plato</t>
  </si>
  <si>
    <t>HL</t>
  </si>
  <si>
    <t>mBar</t>
  </si>
  <si>
    <t>g/HL</t>
  </si>
  <si>
    <t>Kg/Brew</t>
  </si>
  <si>
    <t>Pumpback Temp</t>
  </si>
  <si>
    <t>Total  Brewhouse cyle time</t>
  </si>
  <si>
    <t>Brewhouse cyle time
Deviation</t>
  </si>
  <si>
    <t>C</t>
  </si>
  <si>
    <t>Form Moi</t>
  </si>
  <si>
    <t>H3</t>
  </si>
  <si>
    <t>J3</t>
  </si>
  <si>
    <t>F13</t>
  </si>
  <si>
    <t>G96</t>
  </si>
  <si>
    <t>IF(F19 &gt;= F13 , (F19 - F13) * 24 * 60 , (1 + F19 - F13) * 24 * 60)</t>
  </si>
  <si>
    <t>E20</t>
  </si>
  <si>
    <t>I20</t>
  </si>
  <si>
    <t>I22</t>
  </si>
  <si>
    <t>I33</t>
  </si>
  <si>
    <t>IF(F40 &gt;= F36 , (F40 - F36) * 24 * 60 , (1 + F40 - F36) * 24 * 60)</t>
  </si>
  <si>
    <t>L37</t>
  </si>
  <si>
    <t>E40</t>
  </si>
  <si>
    <t>I40</t>
  </si>
  <si>
    <t>K41</t>
  </si>
  <si>
    <t>K42</t>
  </si>
  <si>
    <t>E43</t>
  </si>
  <si>
    <t>I43</t>
  </si>
  <si>
    <t>E46</t>
  </si>
  <si>
    <t>I50</t>
  </si>
  <si>
    <t>I56</t>
  </si>
  <si>
    <t>E56</t>
  </si>
  <si>
    <t>L54</t>
  </si>
  <si>
    <t>L62</t>
  </si>
  <si>
    <t>L63</t>
  </si>
  <si>
    <t>E60</t>
  </si>
  <si>
    <t>E59</t>
  </si>
  <si>
    <t>E57</t>
  </si>
  <si>
    <t>E58</t>
  </si>
  <si>
    <t>L59</t>
  </si>
  <si>
    <t>E57 / (L8 + L9 + 12) * 100</t>
  </si>
  <si>
    <t>E57 / E58 * 100</t>
  </si>
  <si>
    <t>Sum(I57:I58)</t>
  </si>
  <si>
    <t>I63</t>
  </si>
  <si>
    <t>L55</t>
  </si>
  <si>
    <t>E71</t>
  </si>
  <si>
    <t>L66</t>
  </si>
  <si>
    <t>L67</t>
  </si>
  <si>
    <t>E77</t>
  </si>
  <si>
    <t>I76</t>
  </si>
  <si>
    <t>I71</t>
  </si>
  <si>
    <t>Sum(I77, I79)</t>
  </si>
  <si>
    <t>Sum(I71, I77:I79)</t>
  </si>
  <si>
    <t>I73</t>
  </si>
  <si>
    <t>I74</t>
  </si>
  <si>
    <t>(E77 - E82) / E77 * 100</t>
  </si>
  <si>
    <t>ABS(1- E82 / E77 - 0.08) * 100</t>
  </si>
  <si>
    <t>(E65 - E96 - 10.5) / E65 * 100</t>
  </si>
  <si>
    <t>I75</t>
  </si>
  <si>
    <t>L76</t>
  </si>
  <si>
    <t>Sum(K81, K74)</t>
  </si>
  <si>
    <t>I82</t>
  </si>
  <si>
    <t>I86</t>
  </si>
  <si>
    <t>I86 - 10</t>
  </si>
  <si>
    <t>D81 / E96</t>
  </si>
  <si>
    <t>I96</t>
  </si>
  <si>
    <t>L96</t>
  </si>
  <si>
    <t>E98</t>
  </si>
  <si>
    <t>(E98 * 1000) / E96</t>
  </si>
  <si>
    <t>E96</t>
  </si>
  <si>
    <t>IF(G96 &gt;= F57 , (G96 - F57) * 24 * 60 , (1 + G96 - F57) * 24 * 60)</t>
  </si>
  <si>
    <t>ABS(IF(G96 &gt;= F57 , (G96 - F57) * 24 * 60 - 211, (1 + G96 - F57) * 24 * 60 - 211))</t>
  </si>
  <si>
    <t>I100 * 60</t>
  </si>
  <si>
    <t>ABS(I100 - 5.95) * 60</t>
  </si>
  <si>
    <t>ABS(IF(G96 &gt;= F57 , (G96 - F57) * 24 * 60 - 210.714, (1 + G96 - F57) * 24 * 60 - 210.714)) * 10 + ABS(1- E82 / E77 - 0.08) * 10000</t>
  </si>
  <si>
    <t>L94</t>
  </si>
  <si>
    <t>L95</t>
  </si>
  <si>
    <t>IF(F57 &gt;= F13 , J3 + F57 , J3 + 1 + F57)</t>
  </si>
  <si>
    <t>IF(F71 &gt;= F13, J3 + F71, J3 + 1 + F71)</t>
  </si>
  <si>
    <t>IF(G79 &gt;= F13, J3 + G79, J3 + 1 + G79)</t>
  </si>
  <si>
    <t>E82</t>
  </si>
  <si>
    <t>IF(G96 &gt;= F13, J3 + G96, J3 + 1 + G96)</t>
  </si>
  <si>
    <t>Tuân thủ qui tắc viết IF, SUM, ABS, các phép tính. Viết sai Lỗi chương trình tức khắc</t>
  </si>
  <si>
    <t>Dòng bắt đầu dữ liệu</t>
  </si>
  <si>
    <t>Trong IF, SUM, ABS không được phép lồng các hàm khác</t>
  </si>
  <si>
    <t>Cách Viết IF</t>
  </si>
  <si>
    <t>Cách Viết SUM</t>
  </si>
  <si>
    <t>Cách Viết + - * /</t>
  </si>
  <si>
    <t>Cách Viết ABS</t>
  </si>
  <si>
    <t>IF  [ĐK], True, False</t>
  </si>
  <si>
    <t>Sum Address, Address, …</t>
  </si>
  <si>
    <t>Address Phép Tính Address …</t>
  </si>
  <si>
    <t>ABS (1 - Address * Address  …)</t>
  </si>
  <si>
    <t>( Có 1 khoảng trắng ở giữa )</t>
  </si>
  <si>
    <t>IF F71 &gt;= F13, F71 + J3, F71 + 1 + J3</t>
  </si>
  <si>
    <t>Sum I77, I79</t>
  </si>
  <si>
    <t>L15 / E9</t>
  </si>
  <si>
    <t>ABS (8 - BU6)</t>
  </si>
  <si>
    <t>If F36 * 1 + 1 - 1 &gt;= F13, F36 + J3, F36 + 1 + J3</t>
  </si>
  <si>
    <t>Sum I71, I77:I79</t>
  </si>
  <si>
    <t>L9 / (L15+E9)</t>
  </si>
  <si>
    <t>ABS (L103 - K103)</t>
  </si>
  <si>
    <t>If F36 * 1 + 1 - 1 &gt;= F13 + 3 + I4, F36 + J3, F36 + 1 + J3</t>
  </si>
  <si>
    <t>Sum I71, I77:I79, - 75, * 2</t>
  </si>
  <si>
    <t>E57 / (L8+L9+12)</t>
  </si>
  <si>
    <t>If F36 * 1 &gt;= F13 * 1, F36 + J3, F36 + 1 + J3</t>
  </si>
  <si>
    <t>(L15 * M13) / (I6 + J7)</t>
  </si>
  <si>
    <t>Không được phép có phép so sánh, SUM, IF</t>
  </si>
  <si>
    <t>if F3=0,4,3,4</t>
  </si>
  <si>
    <t>L15 + M13 / (I6 + J7)</t>
  </si>
  <si>
    <t>Chấp nhận phép tính + - * /</t>
  </si>
  <si>
    <t>Không được phép có phép so sánh, ABS, IF</t>
  </si>
  <si>
    <t>1 + (L15 / E9)</t>
  </si>
  <si>
    <t>Không được phép có phép so sánh, SUM, ABS, IF …</t>
  </si>
  <si>
    <t>Index</t>
  </si>
  <si>
    <t>Header</t>
  </si>
  <si>
    <t>Formula</t>
  </si>
  <si>
    <t xml:space="preserve"> - Batch</t>
  </si>
  <si>
    <t xml:space="preserve"> - Day in </t>
  </si>
  <si>
    <t xml:space="preserve"> - Time in</t>
  </si>
  <si>
    <t xml:space="preserve"> - Time out</t>
  </si>
  <si>
    <t>Malt Ratio - %</t>
  </si>
  <si>
    <t>Mash-In Time  - min</t>
  </si>
  <si>
    <t xml:space="preserve">Grist/Water 
Ratio - </t>
  </si>
  <si>
    <t>Gel Temp - °C</t>
  </si>
  <si>
    <t>Gel Time - min</t>
  </si>
  <si>
    <t>Highest
Steam Pressue - Bar</t>
  </si>
  <si>
    <t>Boiling Time - min</t>
  </si>
  <si>
    <t>Highest Tempe - °C</t>
  </si>
  <si>
    <t>Cycle Duration - min</t>
  </si>
  <si>
    <t>Mash-In Time - min</t>
  </si>
  <si>
    <t>Mash-In End Temp  - °C</t>
  </si>
  <si>
    <t>Protein Rest Temp - °C</t>
  </si>
  <si>
    <t>Protein Rest Time - min</t>
  </si>
  <si>
    <t>Pumpback Temp - °C</t>
  </si>
  <si>
    <t>Steam Usage Before Conversion - Kg</t>
  </si>
  <si>
    <t>Conversion Temp - °C</t>
  </si>
  <si>
    <t>Conversion Time - min</t>
  </si>
  <si>
    <t>72*C Conversion Time - min</t>
  </si>
  <si>
    <t>Mash off Temp - °C</t>
  </si>
  <si>
    <t>Mash Tun Cycle Time - min</t>
  </si>
  <si>
    <t>Vorlauf Duration - min</t>
  </si>
  <si>
    <t>Turbidity @Start Running - EBC</t>
  </si>
  <si>
    <t>First Wort Extract - Plato</t>
  </si>
  <si>
    <t>Last Hansel - Plato</t>
  </si>
  <si>
    <t>Weak Wort Extract (Last Runnings) - Plato</t>
  </si>
  <si>
    <t>Weak Wort  Volume - HL</t>
  </si>
  <si>
    <t xml:space="preserve">Deep Cut  - </t>
  </si>
  <si>
    <t>First Wort Volume - HL</t>
  </si>
  <si>
    <t>Total Run off Volume - HL</t>
  </si>
  <si>
    <t>Total Run off OG - Plato</t>
  </si>
  <si>
    <t>First Wort/ Total Water Volume - %</t>
  </si>
  <si>
    <t>First Wort/ Total Wort Volume - %</t>
  </si>
  <si>
    <t>OG GAP - Plato</t>
  </si>
  <si>
    <t>Run off Time - min</t>
  </si>
  <si>
    <t>Lauter Tun Cycle Time - min</t>
  </si>
  <si>
    <t>Sparge Water Temp - °C</t>
  </si>
  <si>
    <t>Weak Wort Recovery Volume - HL</t>
  </si>
  <si>
    <t>Mash Filter Cycle time - min</t>
  </si>
  <si>
    <t>Sparge Water Temperature - °C</t>
  </si>
  <si>
    <t xml:space="preserve">Boiling Before or After KF? - </t>
  </si>
  <si>
    <t xml:space="preserve">Boiling Type - </t>
  </si>
  <si>
    <t>SOB Volume - HL</t>
  </si>
  <si>
    <t>Filling Temp@
Before SOB - °C</t>
  </si>
  <si>
    <t>Filling Temp@
SOB-KF - °C</t>
  </si>
  <si>
    <t>Kettle Full Volume - HL</t>
  </si>
  <si>
    <t>Kettle Full Temp - °C</t>
  </si>
  <si>
    <t>Tap to Start of Boil Time - min</t>
  </si>
  <si>
    <t>Boiling Time Before KF - min</t>
  </si>
  <si>
    <t>Boiling Time After KF - min</t>
  </si>
  <si>
    <t>Total Boiling Time - min</t>
  </si>
  <si>
    <t>Over Boiling Time  - min</t>
  </si>
  <si>
    <t>Syrup Dose
Volume - HL</t>
  </si>
  <si>
    <t>External Calandria 
Exit Temp - °C</t>
  </si>
  <si>
    <t>1st Hops Addition - Time Before SOB - min</t>
  </si>
  <si>
    <t>2n Hops Addition - Time Before EOB - min</t>
  </si>
  <si>
    <t>Evap % - SOB to KF - %</t>
  </si>
  <si>
    <t>Evap % - KF to KO - %</t>
  </si>
  <si>
    <t>Evap % - KF to KO
Deviation - %</t>
  </si>
  <si>
    <t>Evap % - SOB to KO - %</t>
  </si>
  <si>
    <t>Total Evap %  - Conventional Boiling - %</t>
  </si>
  <si>
    <t>Total Evap % - MSB - %</t>
  </si>
  <si>
    <t xml:space="preserve"> Overfoaming times - </t>
  </si>
  <si>
    <t>Highest Temp - °C</t>
  </si>
  <si>
    <t>Highest Pressure - mBar</t>
  </si>
  <si>
    <t>Highest Steam  Pressure-Upper Calandria - Bar</t>
  </si>
  <si>
    <t>Highest Steam  Pressure-Lower Calandria - Bar</t>
  </si>
  <si>
    <t>Steam Used - 
KF-KO - Kg</t>
  </si>
  <si>
    <t>Steam Used - SOB-KO - Kg</t>
  </si>
  <si>
    <t>KO Extract - Plato</t>
  </si>
  <si>
    <t>KO Time - min</t>
  </si>
  <si>
    <t>Settling Time - min</t>
  </si>
  <si>
    <t xml:space="preserve"> Settling Overtime - min</t>
  </si>
  <si>
    <t>Wort Stripper Outlet Temp - °C</t>
  </si>
  <si>
    <t>Wort Zinc - g/HL</t>
  </si>
  <si>
    <t>Cooling Time - min</t>
  </si>
  <si>
    <t>Cold Wort Temp - °C</t>
  </si>
  <si>
    <t>Air Injection - Kg/Brew</t>
  </si>
  <si>
    <t>Wort Aeration Mass Flow Rate - g/HL</t>
  </si>
  <si>
    <t>Double Mass Flow  Rate Deviation - %</t>
  </si>
  <si>
    <t>Cold Wort Volume - HL</t>
  </si>
  <si>
    <t>Brewhouse Hot time - min</t>
  </si>
  <si>
    <t>Brewhouse Hot time
Deviation - min</t>
  </si>
  <si>
    <t>Total  Brewhouse cyle time - min</t>
  </si>
  <si>
    <t>Brewhouse cyle time
Deviation - min</t>
  </si>
  <si>
    <t xml:space="preserve">Hot Severity Index  - </t>
  </si>
  <si>
    <t>Cold Wort OG -
In Line - Plato</t>
  </si>
  <si>
    <t>Cold Wort pH - 
In Line - Plato</t>
  </si>
  <si>
    <t xml:space="preserve"> - </t>
  </si>
  <si>
    <t xml:space="preserve">Start of mash in time in rice cooker - </t>
  </si>
  <si>
    <t xml:space="preserve">start of wort draw-off - </t>
  </si>
  <si>
    <t xml:space="preserve">Start of Boiling time(SOB)                       - </t>
  </si>
  <si>
    <t xml:space="preserve">Wort OG at Kettle full                     - </t>
  </si>
  <si>
    <t xml:space="preserve">Kettle volume at Kettle full - </t>
  </si>
  <si>
    <t xml:space="preserve">End of boiling time         - </t>
  </si>
  <si>
    <t xml:space="preserve">wort OG at the end of boiling - </t>
  </si>
  <si>
    <t xml:space="preserve">Kettle volume at the end of boiling - </t>
  </si>
  <si>
    <t xml:space="preserve">End of wort cooling - </t>
  </si>
  <si>
    <t>A$3="?",INDEX('18V1'!$?:$?,ROW(?15))</t>
  </si>
  <si>
    <t>teen</t>
  </si>
  <si>
    <t>"Batch"</t>
  </si>
  <si>
    <t>A</t>
  </si>
  <si>
    <t>"Time in"</t>
  </si>
  <si>
    <t>B</t>
  </si>
  <si>
    <t>"Water flow rate"</t>
  </si>
  <si>
    <t>"Malt"</t>
  </si>
  <si>
    <t>D</t>
  </si>
  <si>
    <t>Malt</t>
  </si>
  <si>
    <t>"Rice"</t>
  </si>
  <si>
    <t>E</t>
  </si>
  <si>
    <t>Rice</t>
  </si>
  <si>
    <t>F</t>
  </si>
  <si>
    <t>Water flow rate</t>
  </si>
  <si>
    <t>"Volume rice mashing-in"</t>
  </si>
  <si>
    <t>G</t>
  </si>
  <si>
    <t>Volume rice mashing-in</t>
  </si>
  <si>
    <t>"Time rice mashing-in"</t>
  </si>
  <si>
    <t>H</t>
  </si>
  <si>
    <t>Time rice mashing-in</t>
  </si>
  <si>
    <t>"Volume malt mashing-in"</t>
  </si>
  <si>
    <t>I</t>
  </si>
  <si>
    <t>Volume malt mashing-in</t>
  </si>
  <si>
    <t>"Time malt mashing-in"</t>
  </si>
  <si>
    <t>J</t>
  </si>
  <si>
    <t>Time malt mashing-in</t>
  </si>
  <si>
    <t>"Mashing-in temp"</t>
  </si>
  <si>
    <t>K</t>
  </si>
  <si>
    <t>Mashing-in temp</t>
  </si>
  <si>
    <t>"Steam flow"</t>
  </si>
  <si>
    <t>L</t>
  </si>
  <si>
    <t>Steam flow</t>
  </si>
  <si>
    <t>"Heating to Gel"</t>
  </si>
  <si>
    <t>M</t>
  </si>
  <si>
    <t>Heating to Gel</t>
  </si>
  <si>
    <t>"Gel rest time"</t>
  </si>
  <si>
    <t>N</t>
  </si>
  <si>
    <t>Gel rest time</t>
  </si>
  <si>
    <t>"Gel rest temp"</t>
  </si>
  <si>
    <t xml:space="preserve">O </t>
  </si>
  <si>
    <t>Gel rest temp</t>
  </si>
  <si>
    <t>"Heating up to Boil"</t>
  </si>
  <si>
    <t>P</t>
  </si>
  <si>
    <t>Heating up to Boil</t>
  </si>
  <si>
    <t>"Boiling time"</t>
  </si>
  <si>
    <t>Q</t>
  </si>
  <si>
    <t>Boiling time</t>
  </si>
  <si>
    <t>"Boiling temp"</t>
  </si>
  <si>
    <t>R</t>
  </si>
  <si>
    <t>Boiling temp</t>
  </si>
  <si>
    <t>"Residence time"</t>
  </si>
  <si>
    <t>S</t>
  </si>
  <si>
    <t>Residence time</t>
  </si>
  <si>
    <t>"Pump mash to MT"</t>
  </si>
  <si>
    <t>T</t>
  </si>
  <si>
    <t>Pump mash to MT</t>
  </si>
  <si>
    <t>U</t>
  </si>
  <si>
    <t>"Volume mashing-in"</t>
  </si>
  <si>
    <t>V</t>
  </si>
  <si>
    <t>Volume mashing-in</t>
  </si>
  <si>
    <t>"Time mashing-in"</t>
  </si>
  <si>
    <t>W</t>
  </si>
  <si>
    <t>Time mashing-in</t>
  </si>
  <si>
    <t>X</t>
  </si>
  <si>
    <t>"Holding 45 time"</t>
  </si>
  <si>
    <t>Holding 45 time</t>
  </si>
  <si>
    <t>"Holding 45 temp"</t>
  </si>
  <si>
    <t>Z</t>
  </si>
  <si>
    <t>Holding 45 temp</t>
  </si>
  <si>
    <t>"Receiving Mash from RC"</t>
  </si>
  <si>
    <t>AA</t>
  </si>
  <si>
    <t>Receiving Mash from RC</t>
  </si>
  <si>
    <t>AB</t>
  </si>
  <si>
    <t>"Heating up to 65.5"</t>
  </si>
  <si>
    <t>AC</t>
  </si>
  <si>
    <t>Heating up to 65.5</t>
  </si>
  <si>
    <t>"Holding 65.5 time"</t>
  </si>
  <si>
    <t>AD</t>
  </si>
  <si>
    <t>Holding 65.5 time</t>
  </si>
  <si>
    <t>"Holding 65.5 temp"</t>
  </si>
  <si>
    <t>AE</t>
  </si>
  <si>
    <t>Holding 65.5 temp</t>
  </si>
  <si>
    <t>"Heating up to 75"</t>
  </si>
  <si>
    <t>AF</t>
  </si>
  <si>
    <t>Heating up to 75</t>
  </si>
  <si>
    <t>"Rest at 76 time"</t>
  </si>
  <si>
    <t>AG</t>
  </si>
  <si>
    <t>Rest 75 time</t>
  </si>
  <si>
    <t>"Rest at 76 temp"</t>
  </si>
  <si>
    <t>AH</t>
  </si>
  <si>
    <t>Rest 75 temp</t>
  </si>
  <si>
    <t>AI</t>
  </si>
  <si>
    <t>"Pump mash to LT"</t>
  </si>
  <si>
    <t>AJ</t>
  </si>
  <si>
    <t>Pump mash to LT</t>
  </si>
  <si>
    <t>"Main wort flowrate"</t>
  </si>
  <si>
    <t>AK</t>
  </si>
  <si>
    <t>Main wort flowrate</t>
  </si>
  <si>
    <t>"Circulation"</t>
  </si>
  <si>
    <t>AL</t>
  </si>
  <si>
    <t>Circulation</t>
  </si>
  <si>
    <t>"EBC Cir"</t>
  </si>
  <si>
    <t>AM</t>
  </si>
  <si>
    <t>EBC Cir</t>
  </si>
  <si>
    <t>"Lautering 1st wort"</t>
  </si>
  <si>
    <t>AN</t>
  </si>
  <si>
    <t>Lautering 1st wort</t>
  </si>
  <si>
    <t>"2nd wort flow rate"</t>
  </si>
  <si>
    <t>AO</t>
  </si>
  <si>
    <t>2nd wort flow rate</t>
  </si>
  <si>
    <t>"Lauter and Sparge 2nd wort"</t>
  </si>
  <si>
    <t>AP</t>
  </si>
  <si>
    <t>Lauter and Sparge 2nd wort</t>
  </si>
  <si>
    <t>"Deep cut time"</t>
  </si>
  <si>
    <t>AQ</t>
  </si>
  <si>
    <t>Deep cut time</t>
  </si>
  <si>
    <t>"Weak wort recovery"</t>
  </si>
  <si>
    <t>AR</t>
  </si>
  <si>
    <t>Weak wort recovery</t>
  </si>
  <si>
    <t>AS</t>
  </si>
  <si>
    <t>"Volume filling from LT"</t>
  </si>
  <si>
    <t>AT</t>
  </si>
  <si>
    <t>Volume filling from LT</t>
  </si>
  <si>
    <t>"Temp in"</t>
  </si>
  <si>
    <t>AU</t>
  </si>
  <si>
    <t>Temp in</t>
  </si>
  <si>
    <t>"Temp out"</t>
  </si>
  <si>
    <t>AV</t>
  </si>
  <si>
    <t>Temp out</t>
  </si>
  <si>
    <t>"Pump wort to WK"</t>
  </si>
  <si>
    <t>AW</t>
  </si>
  <si>
    <t>Pump wort to WK</t>
  </si>
  <si>
    <t>"Heating to boiling temp"</t>
  </si>
  <si>
    <t>AX</t>
  </si>
  <si>
    <t>Heating to boiling temp</t>
  </si>
  <si>
    <t>"Steam start to boil 30"</t>
  </si>
  <si>
    <t>AY</t>
  </si>
  <si>
    <t>Start to Boil</t>
  </si>
  <si>
    <t>"Steam kettle full boil 25"</t>
  </si>
  <si>
    <t>AZ</t>
  </si>
  <si>
    <t>Kettle Full Boil 1</t>
  </si>
  <si>
    <t>"Steam kettle full boil 20"</t>
  </si>
  <si>
    <t>BA</t>
  </si>
  <si>
    <t>Kettle Full Boil 2</t>
  </si>
  <si>
    <t>"Casting"</t>
  </si>
  <si>
    <t>BH</t>
  </si>
  <si>
    <t>Casting</t>
  </si>
  <si>
    <t>BI</t>
  </si>
  <si>
    <t>"Whirlpool rest"</t>
  </si>
  <si>
    <t>BJ</t>
  </si>
  <si>
    <t>Whirlpool rest</t>
  </si>
  <si>
    <t>"Cold wort flowrate"</t>
  </si>
  <si>
    <t>BK</t>
  </si>
  <si>
    <t>Cold wort flowrate</t>
  </si>
  <si>
    <t>"Trub removal"</t>
  </si>
  <si>
    <t>BL</t>
  </si>
  <si>
    <t>Trub removal</t>
  </si>
  <si>
    <t>"Wort cooling time"</t>
  </si>
  <si>
    <t>BM</t>
  </si>
  <si>
    <t>Wort cooling time</t>
  </si>
  <si>
    <t>"Total time"</t>
  </si>
  <si>
    <t>BN</t>
  </si>
  <si>
    <t>Total time</t>
  </si>
  <si>
    <t>"OG"</t>
  </si>
  <si>
    <t>BO</t>
  </si>
  <si>
    <t>OG</t>
  </si>
  <si>
    <t>"pH"</t>
  </si>
  <si>
    <t>BP</t>
  </si>
  <si>
    <t>pH</t>
  </si>
  <si>
    <t>"Temp"</t>
  </si>
  <si>
    <t>BQ</t>
  </si>
  <si>
    <t>Temp</t>
  </si>
  <si>
    <t>"Cool wort volume"</t>
  </si>
  <si>
    <t>BR</t>
  </si>
  <si>
    <t>Cool wort volume</t>
  </si>
  <si>
    <t>Rest at 76 time</t>
  </si>
  <si>
    <t>Rest at 76 temp</t>
  </si>
  <si>
    <t>L15 / E10 *100</t>
  </si>
  <si>
    <t>L9 / (L15 + E10) * 100</t>
  </si>
  <si>
    <t>L8 / E9 * 100</t>
  </si>
  <si>
    <t>E78</t>
  </si>
  <si>
    <t>I77</t>
  </si>
  <si>
    <t>Sum(I78, I80)</t>
  </si>
  <si>
    <t>Sum(I71, I78:I80)</t>
  </si>
  <si>
    <t>(E78 - E83) / E78 * 100</t>
  </si>
  <si>
    <t>ABS(1- E83 / E78 - 0.08) * 100</t>
  </si>
  <si>
    <t>(E65 - E97 - 10.5) / E65 * 100</t>
  </si>
  <si>
    <t>L77</t>
  </si>
  <si>
    <t>K85</t>
  </si>
  <si>
    <t>I83</t>
  </si>
  <si>
    <t>I87</t>
  </si>
  <si>
    <t>I87 - 10</t>
  </si>
  <si>
    <t>D82 / E97</t>
  </si>
  <si>
    <t>I97</t>
  </si>
  <si>
    <t>L97</t>
  </si>
  <si>
    <t>E99</t>
  </si>
  <si>
    <t>(E99 * 1000) / E97</t>
  </si>
  <si>
    <t>E97</t>
  </si>
  <si>
    <t>IF(G97 &gt;= F57 , (G97 - F57) * 24 * 60 , (1 + G97 - F57) * 24 * 60)</t>
  </si>
  <si>
    <t>ABS(IF(G97 &gt;= F57 , (G97 - F57) * 24 * 60 - 211, (1 + G97 - F57) * 24 * 60 - 211))</t>
  </si>
  <si>
    <t>I101 * 60</t>
  </si>
  <si>
    <t>ABS(I101 - 5.95) * 60</t>
  </si>
  <si>
    <t>L105</t>
  </si>
  <si>
    <t>G97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</si>
</sst>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"/>
    <numFmt numFmtId="166" formatCode="m/dd/yyyy\ h:mm"/>
    <numFmt numFmtId="167" formatCode="0;[Red]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499984740745262"/>
      <name val="Calibri Light"/>
      <family val="2"/>
      <scheme val="major"/>
    </font>
    <font>
      <b/>
      <sz val="11"/>
      <color theme="5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i/>
      <u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8"/>
      <color theme="8" tint="-0.249977111117893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9" fontId="24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0" fillId="0" borderId="5" xfId="0" applyBorder="1"/>
    <xf numFmtId="0" fontId="7" fillId="0" borderId="0" xfId="0" applyFont="1"/>
    <xf numFmtId="0" fontId="8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3" borderId="0" xfId="0" applyFont="1" applyFill="1" applyAlignment="1">
      <alignment horizontal="center" vertical="center"/>
    </xf>
    <xf numFmtId="0" fontId="20" fillId="0" borderId="0" xfId="0" applyFont="1" applyAlignment="1">
      <alignment horizontal="left" indent="1"/>
    </xf>
    <xf numFmtId="0" fontId="22" fillId="0" borderId="0" xfId="0" applyFont="1"/>
    <xf numFmtId="0" fontId="23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" fontId="6" fillId="5" borderId="1" xfId="0" applyNumberFormat="1" applyFont="1" applyFill="1" applyBorder="1" applyAlignment="1">
      <alignment horizontal="center" vertical="center" wrapText="1"/>
    </xf>
    <xf numFmtId="16" fontId="25" fillId="5" borderId="1" xfId="0" applyNumberFormat="1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2" fontId="25" fillId="5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25" fillId="5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" fontId="25" fillId="4" borderId="1" xfId="0" applyNumberFormat="1" applyFont="1" applyFill="1" applyBorder="1" applyAlignment="1">
      <alignment horizontal="center" vertical="center"/>
    </xf>
    <xf numFmtId="165" fontId="25" fillId="4" borderId="1" xfId="0" applyNumberFormat="1" applyFont="1" applyFill="1" applyBorder="1" applyAlignment="1">
      <alignment horizontal="center" vertical="center"/>
    </xf>
    <xf numFmtId="2" fontId="25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left" wrapText="1" indent="1"/>
    </xf>
    <xf numFmtId="0" fontId="22" fillId="0" borderId="0" xfId="0" applyFont="1" applyAlignment="1">
      <alignment wrapText="1"/>
    </xf>
    <xf numFmtId="0" fontId="19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wrapText="1"/>
    </xf>
    <xf numFmtId="1" fontId="2" fillId="2" borderId="0" xfId="0" applyNumberFormat="1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25" fillId="5" borderId="1" xfId="0" applyNumberFormat="1" applyFont="1" applyFill="1" applyBorder="1" applyAlignment="1">
      <alignment horizontal="center" vertical="center" wrapText="1"/>
    </xf>
    <xf numFmtId="16" fontId="25" fillId="4" borderId="1" xfId="0" applyNumberFormat="1" applyFont="1" applyFill="1" applyBorder="1" applyAlignment="1">
      <alignment horizontal="center" vertical="center" wrapText="1"/>
    </xf>
    <xf numFmtId="1" fontId="25" fillId="4" borderId="1" xfId="0" applyNumberFormat="1" applyFont="1" applyFill="1" applyBorder="1" applyAlignment="1">
      <alignment horizontal="center" vertical="center" wrapText="1"/>
    </xf>
    <xf numFmtId="165" fontId="25" fillId="4" borderId="1" xfId="0" applyNumberFormat="1" applyFont="1" applyFill="1" applyBorder="1" applyAlignment="1">
      <alignment horizontal="center" vertical="center" wrapText="1"/>
    </xf>
    <xf numFmtId="2" fontId="25" fillId="4" borderId="1" xfId="0" applyNumberFormat="1" applyFont="1" applyFill="1" applyBorder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5F245849-D795-4686-B89F-A8B670846F1E}"/>
    <cellStyle name="Percent" xfId="2" builtinId="5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426357</xdr:colOff>
      <xdr:row>0</xdr:row>
      <xdr:rowOff>127000</xdr:rowOff>
    </xdr:from>
    <xdr:to>
      <xdr:col>4</xdr:col>
      <xdr:colOff>653142</xdr:colOff>
      <xdr:row>2</xdr:row>
      <xdr:rowOff>127000</xdr:rowOff>
    </xdr:to>
    <xdr:sp macro="[0]!RoundData" textlink="">
      <xdr:nvSpPr>
        <xdr:cNvPr id="2" name="Rectangle 1">
          <a:extLst>
            <a:ext uri="{FF2B5EF4-FFF2-40B4-BE49-F238E27FC236}">
              <a16:creationId xmlns:a16="http://schemas.microsoft.com/office/drawing/2014/main" id="{0EA5BE0D-DA89-A055-7E4A-E47A3849313C}"/>
            </a:ext>
          </a:extLst>
        </xdr:cNvPr>
        <xdr:cNvSpPr/>
      </xdr:nvSpPr>
      <xdr:spPr>
        <a:xfrm>
          <a:off x="426357" y="127000"/>
          <a:ext cx="3456214" cy="3628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Round up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6E8B-2D98-4EC4-AF27-3EC7271FD87A}">
  <sheetPr codeName="BrewSync"/>
  <dimension ref="A1:DK321"/>
  <sheetViews>
    <sheetView tabSelected="1" zoomScale="96" zoomScaleNormal="96" workbookViewId="0">
      <pane xSplit="2" ySplit="4" topLeftCell="C191" activePane="bottomRight" state="frozen"/>
      <selection pane="topRight" activeCell="C1" sqref="C1"/>
      <selection pane="bottomLeft" activeCell="A5" sqref="A5"/>
      <selection pane="bottomRight" activeCell="V225" sqref="V225"/>
    </sheetView>
  </sheetViews>
  <sheetFormatPr defaultColWidth="8.7109375" defaultRowHeight="15" x14ac:dyDescent="0.25"/>
  <cols>
    <col min="1" max="1" width="10.28515625" style="1" bestFit="1" customWidth="1"/>
    <col min="2" max="2" width="11.140625" style="1" bestFit="1" customWidth="1"/>
    <col min="3" max="3" width="12.140625" style="1" bestFit="1" customWidth="1"/>
    <col min="4" max="4" width="12.5703125" style="2" bestFit="1" customWidth="1"/>
    <col min="5" max="5" width="14" style="2" bestFit="1" customWidth="1"/>
    <col min="6" max="6" width="9.140625" style="61" bestFit="1" customWidth="1"/>
    <col min="7" max="7" width="8.5703125" style="10" customWidth="1"/>
    <col min="8" max="8" width="10.85546875" style="61" customWidth="1"/>
    <col min="9" max="9" width="7.28515625" style="52" customWidth="1"/>
    <col min="10" max="10" width="6.85546875" style="10" customWidth="1"/>
    <col min="11" max="11" width="9.7109375" style="3" customWidth="1"/>
    <col min="12" max="12" width="7.42578125" style="10" customWidth="1"/>
    <col min="13" max="13" width="8" style="3" customWidth="1"/>
    <col min="14" max="14" width="9.140625" style="10" customWidth="1"/>
    <col min="15" max="15" width="8.5703125" style="10" customWidth="1"/>
    <col min="16" max="16" width="8.28515625" style="10" customWidth="1"/>
    <col min="17" max="17" width="11.28515625" style="61" customWidth="1"/>
    <col min="18" max="18" width="7.85546875" style="52" customWidth="1"/>
    <col min="19" max="19" width="7.85546875" style="10" customWidth="1"/>
    <col min="20" max="20" width="6.85546875" style="52" customWidth="1"/>
    <col min="21" max="21" width="11.140625" style="10" customWidth="1"/>
    <col min="22" max="22" width="11.5703125" style="52" customWidth="1"/>
    <col min="23" max="23" width="11.140625" style="10" customWidth="1"/>
    <col min="24" max="24" width="11.7109375" style="10" customWidth="1"/>
    <col min="25" max="25" width="9.28515625" style="3" customWidth="1"/>
    <col min="26" max="26" width="7.5703125" style="52" customWidth="1"/>
    <col min="27" max="27" width="7.28515625" style="10" customWidth="1"/>
    <col min="28" max="28" width="8.7109375" style="10" customWidth="1"/>
    <col min="29" max="29" width="9.42578125" style="52" customWidth="1"/>
    <col min="30" max="30" width="7" style="3" customWidth="1"/>
    <col min="31" max="31" width="7.5703125" style="3" customWidth="1"/>
    <col min="32" max="32" width="11" style="3" customWidth="1"/>
    <col min="33" max="33" width="8.7109375" style="10" customWidth="1"/>
    <col min="34" max="34" width="6.7109375" style="10" customWidth="1"/>
    <col min="35" max="35" width="8.5703125" style="10" customWidth="1"/>
    <col min="36" max="36" width="8.140625" style="10" customWidth="1"/>
    <col min="37" max="37" width="7.5703125" style="3" customWidth="1"/>
    <col min="38" max="38" width="11.7109375" style="61" customWidth="1"/>
    <col min="39" max="39" width="11.28515625" style="61" customWidth="1"/>
    <col min="40" max="40" width="5.85546875" style="3" customWidth="1"/>
    <col min="41" max="41" width="7" style="10" customWidth="1"/>
    <col min="42" max="42" width="8.140625" style="10" customWidth="1"/>
    <col min="43" max="43" width="8.42578125" style="52" customWidth="1"/>
    <col min="44" max="44" width="9.85546875" style="52" customWidth="1"/>
    <col min="45" max="45" width="7.85546875" style="3" customWidth="1"/>
    <col min="46" max="46" width="7.5703125" style="3" customWidth="1"/>
    <col min="47" max="47" width="12.140625" style="3" customWidth="1"/>
    <col min="48" max="48" width="9.5703125" style="10" customWidth="1"/>
    <col min="49" max="49" width="8.85546875" style="10" customWidth="1"/>
    <col min="50" max="50" width="9.28515625" style="10" customWidth="1"/>
    <col min="51" max="51" width="8.140625" style="3" customWidth="1"/>
    <col min="52" max="52" width="12" style="61" customWidth="1"/>
    <col min="53" max="53" width="10.7109375" style="61" customWidth="1"/>
    <col min="54" max="54" width="5.85546875" style="10" customWidth="1"/>
    <col min="55" max="55" width="7.42578125" style="10" customWidth="1"/>
    <col min="56" max="56" width="13" style="52" customWidth="1"/>
    <col min="57" max="57" width="7.28515625" style="1" customWidth="1"/>
    <col min="58" max="58" width="7.7109375" style="1" customWidth="1"/>
    <col min="59" max="59" width="8" style="10" customWidth="1"/>
    <col min="60" max="60" width="9.42578125" style="52" customWidth="1"/>
    <col min="61" max="61" width="8.85546875" style="52" customWidth="1"/>
    <col min="62" max="62" width="8.42578125" style="10" customWidth="1"/>
    <col min="63" max="63" width="7.5703125" style="52" customWidth="1"/>
    <col min="64" max="64" width="8.5703125" style="10" customWidth="1"/>
    <col min="65" max="65" width="8.7109375" style="10" customWidth="1"/>
    <col min="66" max="66" width="7.5703125" style="10" customWidth="1"/>
    <col min="67" max="68" width="8.140625" style="10" customWidth="1"/>
    <col min="69" max="69" width="8" style="10" customWidth="1"/>
    <col min="70" max="70" width="9.7109375" style="52" customWidth="1"/>
    <col min="71" max="71" width="12.5703125" style="10" customWidth="1"/>
    <col min="72" max="72" width="11.85546875" style="10" customWidth="1"/>
    <col min="73" max="73" width="10.5703125" style="61" customWidth="1"/>
    <col min="74" max="74" width="10.140625" style="61" customWidth="1"/>
    <col min="75" max="75" width="9.28515625" style="61" customWidth="1"/>
    <col min="76" max="76" width="8.5703125" style="61" customWidth="1"/>
    <col min="77" max="77" width="13.140625" style="61" customWidth="1"/>
    <col min="78" max="78" width="8.140625" style="61" customWidth="1"/>
    <col min="79" max="79" width="13" style="10" customWidth="1"/>
    <col min="80" max="80" width="8.5703125" style="52" customWidth="1"/>
    <col min="81" max="81" width="9.85546875" style="3" customWidth="1"/>
    <col min="82" max="83" width="14.5703125" style="3" customWidth="1"/>
    <col min="84" max="84" width="8.85546875" style="10" customWidth="1"/>
    <col min="85" max="85" width="9.5703125" style="10" customWidth="1"/>
    <col min="86" max="86" width="7.7109375" style="3" customWidth="1"/>
    <col min="87" max="87" width="6.7109375" style="10" customWidth="1"/>
    <col min="88" max="88" width="8.28515625" style="10" customWidth="1"/>
    <col min="89" max="89" width="9.28515625" style="3" customWidth="1"/>
    <col min="90" max="90" width="9.28515625" style="52" customWidth="1"/>
    <col min="91" max="91" width="6" style="3" customWidth="1"/>
    <col min="92" max="92" width="8.140625" style="10" customWidth="1"/>
    <col min="93" max="93" width="8.28515625" style="52" bestFit="1" customWidth="1"/>
    <col min="94" max="94" width="8.85546875" style="52" customWidth="1"/>
    <col min="95" max="95" width="11.140625" style="3" customWidth="1"/>
    <col min="96" max="96" width="10.28515625" style="3" customWidth="1"/>
    <col min="97" max="97" width="8" style="10" customWidth="1"/>
    <col min="98" max="98" width="11.140625" style="10" customWidth="1"/>
    <col min="99" max="99" width="12.140625" style="59" customWidth="1"/>
    <col min="100" max="100" width="11.28515625" style="10" customWidth="1"/>
    <col min="101" max="101" width="12.28515625" style="10" customWidth="1"/>
    <col min="102" max="102" width="9.140625" style="3" customWidth="1"/>
    <col min="103" max="103" width="9.5703125" style="3" customWidth="1"/>
    <col min="104" max="104" width="10" style="3" customWidth="1"/>
    <col min="105" max="105" width="8.7109375" style="3" hidden="1" customWidth="1"/>
    <col min="106" max="106" width="33.5703125" style="3" hidden="1" customWidth="1"/>
    <col min="107" max="107" width="21" style="24" hidden="1" customWidth="1"/>
    <col min="108" max="108" width="38.140625" style="24" hidden="1" customWidth="1"/>
    <col min="109" max="109" width="33.5703125" style="3" hidden="1" customWidth="1"/>
    <col min="110" max="110" width="25.85546875" style="10" hidden="1" customWidth="1"/>
    <col min="111" max="111" width="23" style="24" hidden="1" customWidth="1"/>
    <col min="112" max="112" width="27.85546875" style="3" hidden="1" customWidth="1"/>
    <col min="113" max="113" width="32.85546875" style="10" hidden="1" customWidth="1"/>
    <col min="114" max="114" width="18.5703125" style="58" hidden="1" customWidth="1"/>
    <col min="115" max="16384" width="8.7109375" style="1"/>
  </cols>
  <sheetData>
    <row r="1" spans="1:115" s="13" customFormat="1" x14ac:dyDescent="0.25">
      <c r="A1" s="23"/>
      <c r="B1" s="23"/>
      <c r="C1" s="23"/>
      <c r="D1" s="23"/>
      <c r="E1" s="23"/>
      <c r="F1" s="23"/>
      <c r="G1" s="6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16"/>
    </row>
    <row r="2" spans="1:115" customFormat="1" ht="60" customHeight="1" x14ac:dyDescent="0.25">
      <c r="A2" s="11"/>
      <c r="B2" s="11"/>
      <c r="C2" s="11"/>
      <c r="D2" s="11"/>
      <c r="E2" s="11"/>
      <c r="F2" s="70" t="s">
        <v>0</v>
      </c>
      <c r="G2" s="71" t="s">
        <v>1</v>
      </c>
      <c r="H2" s="70" t="s">
        <v>2</v>
      </c>
      <c r="I2" s="72" t="s">
        <v>3</v>
      </c>
      <c r="J2" s="70" t="s">
        <v>4</v>
      </c>
      <c r="K2" s="70" t="s">
        <v>5</v>
      </c>
      <c r="L2" s="70" t="s">
        <v>6</v>
      </c>
      <c r="M2" s="70" t="s">
        <v>7</v>
      </c>
      <c r="N2" s="70" t="s">
        <v>8</v>
      </c>
      <c r="O2" s="70" t="s">
        <v>9</v>
      </c>
      <c r="P2" s="70" t="s">
        <v>10</v>
      </c>
      <c r="Q2" s="70" t="s">
        <v>2</v>
      </c>
      <c r="R2" s="70" t="s">
        <v>11</v>
      </c>
      <c r="S2" s="70" t="s">
        <v>12</v>
      </c>
      <c r="T2" s="70" t="s">
        <v>13</v>
      </c>
      <c r="U2" s="70" t="s">
        <v>14</v>
      </c>
      <c r="V2" s="70" t="s">
        <v>15</v>
      </c>
      <c r="W2" s="70" t="s">
        <v>16</v>
      </c>
      <c r="X2" s="70" t="s">
        <v>17</v>
      </c>
      <c r="Y2" s="70" t="s">
        <v>5</v>
      </c>
      <c r="Z2" s="70" t="s">
        <v>18</v>
      </c>
      <c r="AA2" s="70" t="s">
        <v>19</v>
      </c>
      <c r="AB2" s="70" t="s">
        <v>20</v>
      </c>
      <c r="AC2" s="70" t="s">
        <v>21</v>
      </c>
      <c r="AD2" s="70" t="s">
        <v>22</v>
      </c>
      <c r="AE2" s="70" t="s">
        <v>23</v>
      </c>
      <c r="AF2" s="70" t="s">
        <v>24</v>
      </c>
      <c r="AG2" s="70" t="s">
        <v>25</v>
      </c>
      <c r="AH2" s="70" t="s">
        <v>26</v>
      </c>
      <c r="AI2" s="70" t="s">
        <v>27</v>
      </c>
      <c r="AJ2" s="70" t="s">
        <v>28</v>
      </c>
      <c r="AK2" s="70" t="s">
        <v>29</v>
      </c>
      <c r="AL2" s="70" t="s">
        <v>30</v>
      </c>
      <c r="AM2" s="70" t="s">
        <v>31</v>
      </c>
      <c r="AN2" s="70" t="s">
        <v>32</v>
      </c>
      <c r="AO2" s="70" t="s">
        <v>33</v>
      </c>
      <c r="AP2" s="70" t="s">
        <v>34</v>
      </c>
      <c r="AQ2" s="70" t="s">
        <v>35</v>
      </c>
      <c r="AR2" s="70" t="s">
        <v>21</v>
      </c>
      <c r="AS2" s="70" t="s">
        <v>22</v>
      </c>
      <c r="AT2" s="70" t="s">
        <v>23</v>
      </c>
      <c r="AU2" s="70" t="s">
        <v>24</v>
      </c>
      <c r="AV2" s="70" t="s">
        <v>36</v>
      </c>
      <c r="AW2" s="70" t="s">
        <v>27</v>
      </c>
      <c r="AX2" s="70" t="s">
        <v>28</v>
      </c>
      <c r="AY2" s="70" t="s">
        <v>29</v>
      </c>
      <c r="AZ2" s="70" t="s">
        <v>30</v>
      </c>
      <c r="BA2" s="70" t="s">
        <v>31</v>
      </c>
      <c r="BB2" s="70" t="s">
        <v>33</v>
      </c>
      <c r="BC2" s="70" t="s">
        <v>37</v>
      </c>
      <c r="BD2" s="70" t="s">
        <v>38</v>
      </c>
      <c r="BE2" s="70" t="s">
        <v>39</v>
      </c>
      <c r="BF2" s="70" t="s">
        <v>40</v>
      </c>
      <c r="BG2" s="70" t="s">
        <v>41</v>
      </c>
      <c r="BH2" s="70" t="s">
        <v>42</v>
      </c>
      <c r="BI2" s="70" t="s">
        <v>43</v>
      </c>
      <c r="BJ2" s="70" t="s">
        <v>44</v>
      </c>
      <c r="BK2" s="70" t="s">
        <v>45</v>
      </c>
      <c r="BL2" s="70" t="s">
        <v>46</v>
      </c>
      <c r="BM2" s="70" t="s">
        <v>47</v>
      </c>
      <c r="BN2" s="70" t="s">
        <v>48</v>
      </c>
      <c r="BO2" s="70" t="s">
        <v>49</v>
      </c>
      <c r="BP2" s="70" t="s">
        <v>50</v>
      </c>
      <c r="BQ2" s="70" t="s">
        <v>51</v>
      </c>
      <c r="BR2" s="70" t="s">
        <v>52</v>
      </c>
      <c r="BS2" s="70" t="s">
        <v>53</v>
      </c>
      <c r="BT2" s="70" t="s">
        <v>54</v>
      </c>
      <c r="BU2" s="73" t="s">
        <v>55</v>
      </c>
      <c r="BV2" s="73" t="s">
        <v>56</v>
      </c>
      <c r="BW2" s="70" t="s">
        <v>57</v>
      </c>
      <c r="BX2" s="73" t="s">
        <v>58</v>
      </c>
      <c r="BY2" s="70" t="s">
        <v>59</v>
      </c>
      <c r="BZ2" s="70" t="s">
        <v>60</v>
      </c>
      <c r="CA2" s="70" t="s">
        <v>61</v>
      </c>
      <c r="CB2" s="70" t="s">
        <v>62</v>
      </c>
      <c r="CC2" s="70" t="s">
        <v>63</v>
      </c>
      <c r="CD2" s="70" t="s">
        <v>64</v>
      </c>
      <c r="CE2" s="70" t="s">
        <v>65</v>
      </c>
      <c r="CF2" s="70" t="s">
        <v>66</v>
      </c>
      <c r="CG2" s="70" t="s">
        <v>67</v>
      </c>
      <c r="CH2" s="70" t="s">
        <v>68</v>
      </c>
      <c r="CI2" s="70" t="s">
        <v>69</v>
      </c>
      <c r="CJ2" s="70" t="s">
        <v>70</v>
      </c>
      <c r="CK2" s="70" t="s">
        <v>71</v>
      </c>
      <c r="CL2" s="70" t="s">
        <v>72</v>
      </c>
      <c r="CM2" s="70" t="s">
        <v>73</v>
      </c>
      <c r="CN2" s="70" t="s">
        <v>74</v>
      </c>
      <c r="CO2" s="70" t="s">
        <v>75</v>
      </c>
      <c r="CP2" s="70" t="s">
        <v>76</v>
      </c>
      <c r="CQ2" s="73" t="s">
        <v>77</v>
      </c>
      <c r="CR2" s="73" t="s">
        <v>78</v>
      </c>
      <c r="CS2" s="70" t="s">
        <v>79</v>
      </c>
      <c r="CT2" s="70" t="s">
        <v>80</v>
      </c>
      <c r="CU2" s="70" t="s">
        <v>81</v>
      </c>
      <c r="CV2" s="70" t="s">
        <v>82</v>
      </c>
      <c r="CW2" s="70" t="s">
        <v>83</v>
      </c>
      <c r="CX2" s="70" t="s">
        <v>84</v>
      </c>
      <c r="CY2" s="70" t="s">
        <v>85</v>
      </c>
      <c r="CZ2" s="70" t="s">
        <v>86</v>
      </c>
      <c r="DA2" s="14"/>
      <c r="DB2" s="56" t="s">
        <v>87</v>
      </c>
      <c r="DC2" s="56" t="s">
        <v>88</v>
      </c>
      <c r="DD2" s="56" t="s">
        <v>89</v>
      </c>
      <c r="DE2" s="56" t="s">
        <v>90</v>
      </c>
      <c r="DF2" s="56" t="s">
        <v>91</v>
      </c>
      <c r="DG2" s="56" t="s">
        <v>92</v>
      </c>
      <c r="DH2" s="56" t="s">
        <v>93</v>
      </c>
      <c r="DI2" s="56" t="s">
        <v>94</v>
      </c>
      <c r="DJ2" s="57" t="s">
        <v>95</v>
      </c>
      <c r="DK2" s="17"/>
    </row>
    <row r="3" spans="1:115" customFormat="1" x14ac:dyDescent="0.25">
      <c r="A3" s="76"/>
      <c r="B3" s="76"/>
      <c r="C3" s="76"/>
      <c r="D3" s="76"/>
      <c r="E3" s="76"/>
      <c r="F3" s="44" t="s">
        <v>96</v>
      </c>
      <c r="G3" s="68"/>
      <c r="H3" s="44"/>
      <c r="I3" s="50" t="s">
        <v>96</v>
      </c>
      <c r="J3" s="44"/>
      <c r="K3" s="44"/>
      <c r="L3" s="44"/>
      <c r="M3" s="44" t="s">
        <v>96</v>
      </c>
      <c r="N3" s="44" t="s">
        <v>96</v>
      </c>
      <c r="O3" s="44" t="s">
        <v>96</v>
      </c>
      <c r="P3" s="44" t="s">
        <v>96</v>
      </c>
      <c r="Q3" s="44"/>
      <c r="R3" s="44" t="s">
        <v>96</v>
      </c>
      <c r="S3" s="44" t="s">
        <v>96</v>
      </c>
      <c r="T3" s="44" t="s">
        <v>96</v>
      </c>
      <c r="U3" s="44"/>
      <c r="V3" s="44"/>
      <c r="W3" s="44"/>
      <c r="X3" s="44" t="s">
        <v>96</v>
      </c>
      <c r="Y3" s="44"/>
      <c r="Z3" s="44" t="s">
        <v>96</v>
      </c>
      <c r="AA3" s="44" t="s">
        <v>96</v>
      </c>
      <c r="AB3" s="44"/>
      <c r="AC3" s="44" t="s">
        <v>96</v>
      </c>
      <c r="AD3" s="44" t="s">
        <v>96</v>
      </c>
      <c r="AE3" s="44" t="s">
        <v>96</v>
      </c>
      <c r="AF3" s="44" t="s">
        <v>96</v>
      </c>
      <c r="AG3" s="44" t="s">
        <v>96</v>
      </c>
      <c r="AH3" s="44" t="s">
        <v>96</v>
      </c>
      <c r="AI3" s="44" t="s">
        <v>96</v>
      </c>
      <c r="AJ3" s="44" t="s">
        <v>96</v>
      </c>
      <c r="AK3" s="44" t="s">
        <v>96</v>
      </c>
      <c r="AL3" s="44" t="s">
        <v>96</v>
      </c>
      <c r="AM3" s="44" t="s">
        <v>96</v>
      </c>
      <c r="AN3" s="44" t="s">
        <v>96</v>
      </c>
      <c r="AO3" s="44" t="s">
        <v>96</v>
      </c>
      <c r="AP3" s="44" t="s">
        <v>96</v>
      </c>
      <c r="AQ3" s="44" t="s">
        <v>96</v>
      </c>
      <c r="AR3" s="44" t="s">
        <v>96</v>
      </c>
      <c r="AS3" s="44" t="s">
        <v>96</v>
      </c>
      <c r="AT3" s="44" t="s">
        <v>96</v>
      </c>
      <c r="AU3" s="44" t="s">
        <v>96</v>
      </c>
      <c r="AV3" s="44" t="s">
        <v>96</v>
      </c>
      <c r="AW3" s="44"/>
      <c r="AX3" s="44"/>
      <c r="AY3" s="44"/>
      <c r="AZ3" s="44"/>
      <c r="BA3" s="44"/>
      <c r="BB3" s="44" t="s">
        <v>96</v>
      </c>
      <c r="BC3" s="44" t="s">
        <v>96</v>
      </c>
      <c r="BD3" s="44" t="s">
        <v>96</v>
      </c>
      <c r="BE3" s="44"/>
      <c r="BF3" s="44"/>
      <c r="BG3" s="44" t="s">
        <v>96</v>
      </c>
      <c r="BH3" s="44"/>
      <c r="BI3" s="44" t="s">
        <v>96</v>
      </c>
      <c r="BJ3" s="44"/>
      <c r="BK3" s="44"/>
      <c r="BL3" s="44" t="s">
        <v>96</v>
      </c>
      <c r="BM3" s="44" t="s">
        <v>96</v>
      </c>
      <c r="BN3" s="44" t="s">
        <v>96</v>
      </c>
      <c r="BO3" s="44" t="s">
        <v>96</v>
      </c>
      <c r="BP3" s="44" t="s">
        <v>96</v>
      </c>
      <c r="BQ3" s="44"/>
      <c r="BR3" s="44"/>
      <c r="BS3" s="44"/>
      <c r="BT3" s="44"/>
      <c r="BU3" s="45" t="s">
        <v>96</v>
      </c>
      <c r="BV3" s="45" t="s">
        <v>96</v>
      </c>
      <c r="BW3" s="44"/>
      <c r="BX3" s="45" t="s">
        <v>96</v>
      </c>
      <c r="BY3" s="44"/>
      <c r="BZ3" s="44"/>
      <c r="CA3" s="44" t="s">
        <v>96</v>
      </c>
      <c r="CB3" s="44" t="s">
        <v>96</v>
      </c>
      <c r="CC3" s="44" t="s">
        <v>96</v>
      </c>
      <c r="CD3" s="44"/>
      <c r="CE3" s="44"/>
      <c r="CF3" s="44"/>
      <c r="CG3" s="44" t="s">
        <v>96</v>
      </c>
      <c r="CH3" s="44"/>
      <c r="CI3" s="44" t="s">
        <v>96</v>
      </c>
      <c r="CJ3" s="44" t="s">
        <v>96</v>
      </c>
      <c r="CK3" s="44" t="s">
        <v>96</v>
      </c>
      <c r="CL3" s="44"/>
      <c r="CM3" s="44"/>
      <c r="CN3" s="44" t="s">
        <v>96</v>
      </c>
      <c r="CO3" s="44"/>
      <c r="CP3" s="44"/>
      <c r="CQ3" s="44" t="s">
        <v>96</v>
      </c>
      <c r="CR3" s="44"/>
      <c r="CS3" s="44" t="s">
        <v>96</v>
      </c>
      <c r="CT3" s="44" t="s">
        <v>96</v>
      </c>
      <c r="CU3" s="44"/>
      <c r="CV3" s="44" t="s">
        <v>96</v>
      </c>
      <c r="CW3" s="44"/>
      <c r="CX3" s="44" t="s">
        <v>96</v>
      </c>
      <c r="CY3" s="44" t="s">
        <v>96</v>
      </c>
      <c r="CZ3" s="44" t="s">
        <v>96</v>
      </c>
      <c r="DA3" s="14"/>
      <c r="DB3" s="14"/>
      <c r="DC3" s="14"/>
      <c r="DD3" s="14"/>
      <c r="DE3" s="14"/>
      <c r="DF3" s="14"/>
      <c r="DG3" s="14"/>
      <c r="DH3" s="14"/>
      <c r="DI3" s="14"/>
      <c r="DJ3" s="15"/>
      <c r="DK3" s="18"/>
    </row>
    <row r="4" spans="1:115" customFormat="1" x14ac:dyDescent="0.25">
      <c r="A4" s="6" t="s">
        <v>97</v>
      </c>
      <c r="B4" s="6" t="s">
        <v>98</v>
      </c>
      <c r="C4" s="6" t="s">
        <v>99</v>
      </c>
      <c r="D4" s="6" t="s">
        <v>100</v>
      </c>
      <c r="E4" s="6" t="s">
        <v>101</v>
      </c>
      <c r="F4" s="46" t="s">
        <v>102</v>
      </c>
      <c r="G4" s="69" t="s">
        <v>103</v>
      </c>
      <c r="H4" s="46"/>
      <c r="I4" s="51" t="s">
        <v>104</v>
      </c>
      <c r="J4" s="48" t="s">
        <v>103</v>
      </c>
      <c r="K4" s="48" t="s">
        <v>105</v>
      </c>
      <c r="L4" s="48" t="s">
        <v>103</v>
      </c>
      <c r="M4" s="48" t="s">
        <v>104</v>
      </c>
      <c r="N4" s="48" t="s">
        <v>103</v>
      </c>
      <c r="O4" s="47" t="s">
        <v>103</v>
      </c>
      <c r="P4" s="47" t="s">
        <v>104</v>
      </c>
      <c r="Q4" s="47"/>
      <c r="R4" s="47" t="s">
        <v>104</v>
      </c>
      <c r="S4" s="47" t="s">
        <v>103</v>
      </c>
      <c r="T4" s="47" t="s">
        <v>104</v>
      </c>
      <c r="U4" s="47" t="s">
        <v>106</v>
      </c>
      <c r="V4" s="47" t="s">
        <v>104</v>
      </c>
      <c r="W4" s="47" t="s">
        <v>103</v>
      </c>
      <c r="X4" s="47" t="s">
        <v>103</v>
      </c>
      <c r="Y4" s="48" t="s">
        <v>105</v>
      </c>
      <c r="Z4" s="47" t="s">
        <v>104</v>
      </c>
      <c r="AA4" s="47" t="s">
        <v>103</v>
      </c>
      <c r="AB4" s="46" t="s">
        <v>103</v>
      </c>
      <c r="AC4" s="46" t="s">
        <v>107</v>
      </c>
      <c r="AD4" s="48" t="s">
        <v>108</v>
      </c>
      <c r="AE4" s="48" t="s">
        <v>108</v>
      </c>
      <c r="AF4" s="48" t="s">
        <v>108</v>
      </c>
      <c r="AG4" s="47" t="s">
        <v>109</v>
      </c>
      <c r="AH4" s="48"/>
      <c r="AI4" s="48" t="s">
        <v>109</v>
      </c>
      <c r="AJ4" s="48" t="s">
        <v>109</v>
      </c>
      <c r="AK4" s="48" t="s">
        <v>108</v>
      </c>
      <c r="AL4" s="48" t="s">
        <v>102</v>
      </c>
      <c r="AM4" s="48" t="s">
        <v>102</v>
      </c>
      <c r="AN4" s="48" t="s">
        <v>108</v>
      </c>
      <c r="AO4" s="47" t="s">
        <v>103</v>
      </c>
      <c r="AP4" s="47" t="s">
        <v>103</v>
      </c>
      <c r="AQ4" s="48" t="s">
        <v>104</v>
      </c>
      <c r="AR4" s="46" t="s">
        <v>107</v>
      </c>
      <c r="AS4" s="47" t="s">
        <v>108</v>
      </c>
      <c r="AT4" s="47" t="s">
        <v>108</v>
      </c>
      <c r="AU4" s="47" t="s">
        <v>108</v>
      </c>
      <c r="AV4" s="48" t="s">
        <v>109</v>
      </c>
      <c r="AW4" s="48" t="s">
        <v>109</v>
      </c>
      <c r="AX4" s="48" t="s">
        <v>109</v>
      </c>
      <c r="AY4" s="48" t="s">
        <v>108</v>
      </c>
      <c r="AZ4" s="48" t="s">
        <v>102</v>
      </c>
      <c r="BA4" s="48" t="s">
        <v>102</v>
      </c>
      <c r="BB4" s="47" t="s">
        <v>103</v>
      </c>
      <c r="BC4" s="47" t="s">
        <v>103</v>
      </c>
      <c r="BD4" s="47" t="s">
        <v>104</v>
      </c>
      <c r="BE4" s="47"/>
      <c r="BF4" s="47"/>
      <c r="BG4" s="48" t="s">
        <v>109</v>
      </c>
      <c r="BH4" s="48" t="s">
        <v>104</v>
      </c>
      <c r="BI4" s="48" t="s">
        <v>104</v>
      </c>
      <c r="BJ4" s="47" t="s">
        <v>109</v>
      </c>
      <c r="BK4" s="47" t="s">
        <v>104</v>
      </c>
      <c r="BL4" s="47" t="s">
        <v>103</v>
      </c>
      <c r="BM4" s="47" t="s">
        <v>103</v>
      </c>
      <c r="BN4" s="47" t="s">
        <v>103</v>
      </c>
      <c r="BO4" s="47" t="s">
        <v>103</v>
      </c>
      <c r="BP4" s="47" t="s">
        <v>103</v>
      </c>
      <c r="BQ4" s="47" t="s">
        <v>109</v>
      </c>
      <c r="BR4" s="48" t="s">
        <v>104</v>
      </c>
      <c r="BS4" s="48" t="s">
        <v>103</v>
      </c>
      <c r="BT4" s="48" t="s">
        <v>103</v>
      </c>
      <c r="BU4" s="49" t="s">
        <v>102</v>
      </c>
      <c r="BV4" s="49" t="s">
        <v>102</v>
      </c>
      <c r="BW4" s="48" t="s">
        <v>102</v>
      </c>
      <c r="BX4" s="49" t="s">
        <v>102</v>
      </c>
      <c r="BY4" s="48" t="s">
        <v>102</v>
      </c>
      <c r="BZ4" s="48" t="s">
        <v>102</v>
      </c>
      <c r="CA4" s="48"/>
      <c r="CB4" s="48" t="s">
        <v>104</v>
      </c>
      <c r="CC4" s="48" t="s">
        <v>110</v>
      </c>
      <c r="CD4" s="48" t="s">
        <v>105</v>
      </c>
      <c r="CE4" s="48" t="s">
        <v>105</v>
      </c>
      <c r="CF4" s="48" t="s">
        <v>106</v>
      </c>
      <c r="CG4" s="48" t="s">
        <v>106</v>
      </c>
      <c r="CH4" s="48" t="s">
        <v>108</v>
      </c>
      <c r="CI4" s="48" t="s">
        <v>103</v>
      </c>
      <c r="CJ4" s="48" t="s">
        <v>103</v>
      </c>
      <c r="CK4" s="48" t="s">
        <v>103</v>
      </c>
      <c r="CL4" s="48" t="s">
        <v>104</v>
      </c>
      <c r="CM4" s="48" t="s">
        <v>111</v>
      </c>
      <c r="CN4" s="48" t="s">
        <v>103</v>
      </c>
      <c r="CO4" s="48" t="s">
        <v>104</v>
      </c>
      <c r="CP4" s="48" t="s">
        <v>112</v>
      </c>
      <c r="CQ4" s="49" t="s">
        <v>111</v>
      </c>
      <c r="CR4" s="49" t="s">
        <v>102</v>
      </c>
      <c r="CS4" s="48" t="s">
        <v>109</v>
      </c>
      <c r="CT4" s="48" t="s">
        <v>103</v>
      </c>
      <c r="CU4" s="48" t="s">
        <v>103</v>
      </c>
      <c r="CV4" s="48" t="s">
        <v>103</v>
      </c>
      <c r="CW4" s="48" t="s">
        <v>103</v>
      </c>
      <c r="CX4" s="48"/>
      <c r="CY4" s="48" t="s">
        <v>108</v>
      </c>
      <c r="CZ4" s="48" t="s">
        <v>108</v>
      </c>
      <c r="DA4" s="14"/>
      <c r="DB4" s="14"/>
      <c r="DC4" s="14"/>
      <c r="DD4" s="14"/>
      <c r="DE4" s="14"/>
      <c r="DF4" s="14"/>
      <c r="DG4" s="14"/>
      <c r="DH4" s="14"/>
      <c r="DI4" s="14"/>
      <c r="DJ4" s="15"/>
      <c r="DK4" s="18"/>
    </row>
    <row r="5" spans="1:115" x14ac:dyDescent="0.25">
      <c r="B5" s="1">
        <v>10001</v>
      </c>
      <c r="C5" s="12">
        <v>45660</v>
      </c>
      <c r="D5" s="2">
        <v>0.48055555555555557</v>
      </c>
      <c r="E5" s="2">
        <v>0.7631944444444444</v>
      </c>
      <c r="F5" s="61">
        <v>13.18</v>
      </c>
      <c r="G5" s="10">
        <v>16</v>
      </c>
      <c r="H5" s="61">
        <v>2.78</v>
      </c>
      <c r="I5" s="52">
        <v>79.900000000000006</v>
      </c>
      <c r="J5" s="10">
        <v>10</v>
      </c>
      <c r="L5" s="10">
        <v>5</v>
      </c>
      <c r="N5" s="10">
        <v>72</v>
      </c>
      <c r="O5" s="10">
        <v>25</v>
      </c>
      <c r="P5" s="10">
        <v>46.6</v>
      </c>
      <c r="Q5" s="61">
        <v>2.29</v>
      </c>
      <c r="R5" s="52">
        <v>45</v>
      </c>
      <c r="S5" s="10">
        <v>10</v>
      </c>
      <c r="T5" s="52">
        <v>60</v>
      </c>
      <c r="U5" s="10">
        <v>63</v>
      </c>
      <c r="V5" s="52">
        <v>65.5</v>
      </c>
      <c r="W5" s="10">
        <v>45</v>
      </c>
      <c r="Z5" s="52">
        <v>76</v>
      </c>
      <c r="AA5" s="10">
        <v>122</v>
      </c>
      <c r="AB5" s="10">
        <v>8</v>
      </c>
      <c r="AC5" s="52">
        <v>10</v>
      </c>
      <c r="AD5" s="3">
        <v>22.97</v>
      </c>
      <c r="AE5" s="3">
        <v>3.3</v>
      </c>
      <c r="AF5" s="3">
        <v>1.49</v>
      </c>
      <c r="AG5" s="10">
        <v>40</v>
      </c>
      <c r="AH5" s="10">
        <v>3</v>
      </c>
      <c r="AI5" s="10">
        <v>120</v>
      </c>
      <c r="AJ5" s="10">
        <v>258</v>
      </c>
      <c r="AK5" s="3">
        <v>16.23</v>
      </c>
      <c r="AL5" s="61">
        <v>74.53</v>
      </c>
      <c r="AM5" s="61">
        <v>46.51</v>
      </c>
      <c r="AO5" s="10">
        <v>112</v>
      </c>
      <c r="AP5" s="10">
        <v>140</v>
      </c>
      <c r="AQ5" s="52">
        <v>80.099999999999994</v>
      </c>
      <c r="BG5" s="10">
        <v>180</v>
      </c>
      <c r="BJ5" s="10">
        <v>259</v>
      </c>
      <c r="BK5" s="52">
        <v>100.7</v>
      </c>
      <c r="BM5" s="10">
        <v>30</v>
      </c>
      <c r="BN5" s="10">
        <v>45</v>
      </c>
      <c r="BO5" s="10">
        <v>75</v>
      </c>
      <c r="BS5" s="10">
        <v>5</v>
      </c>
      <c r="BT5" s="10">
        <v>10</v>
      </c>
      <c r="BV5" s="61">
        <v>8.49</v>
      </c>
      <c r="BW5" s="61">
        <v>0.49</v>
      </c>
      <c r="BZ5" s="61">
        <v>10.23</v>
      </c>
      <c r="CA5" s="10">
        <v>0</v>
      </c>
      <c r="CB5" s="52">
        <v>101</v>
      </c>
      <c r="CG5" s="10">
        <v>2171</v>
      </c>
      <c r="CI5" s="10">
        <v>10</v>
      </c>
      <c r="CJ5" s="10">
        <v>10</v>
      </c>
      <c r="CK5" s="3">
        <v>0</v>
      </c>
      <c r="CM5" s="3">
        <v>0.55000000000000004</v>
      </c>
      <c r="CN5" s="10">
        <v>49</v>
      </c>
      <c r="CO5" s="52">
        <v>10.4</v>
      </c>
      <c r="CP5" s="52">
        <v>3.6</v>
      </c>
      <c r="CQ5" s="3">
        <v>16.22</v>
      </c>
      <c r="CS5" s="10">
        <v>222</v>
      </c>
      <c r="CT5" s="10">
        <v>261</v>
      </c>
      <c r="CU5" s="59">
        <v>50</v>
      </c>
      <c r="CV5" s="10">
        <v>407</v>
      </c>
      <c r="CW5" s="10">
        <v>50</v>
      </c>
      <c r="CX5" s="60">
        <v>552.28</v>
      </c>
      <c r="CY5" s="3">
        <v>18.2</v>
      </c>
      <c r="CZ5" s="3">
        <v>5.48</v>
      </c>
      <c r="DC5" s="24">
        <v>45581.686805555553</v>
      </c>
      <c r="DD5" s="24">
        <v>45581.729166666664</v>
      </c>
      <c r="DF5" s="10">
        <v>263</v>
      </c>
      <c r="DG5" s="24">
        <v>45581.78125</v>
      </c>
      <c r="DI5" s="10">
        <v>242</v>
      </c>
      <c r="DJ5" s="58">
        <v>45581.829861111109</v>
      </c>
    </row>
    <row r="6" spans="1:115" x14ac:dyDescent="0.25">
      <c r="B6" s="1">
        <v>10072</v>
      </c>
      <c r="C6" s="12">
        <v>45698</v>
      </c>
      <c r="D6" s="2">
        <v>0.4375</v>
      </c>
      <c r="E6" s="2">
        <v>0.68680555555555556</v>
      </c>
      <c r="F6" s="61">
        <v>13.55</v>
      </c>
      <c r="G6" s="10">
        <v>18</v>
      </c>
      <c r="H6" s="61">
        <v>2.87</v>
      </c>
      <c r="I6" s="52">
        <v>79.400000000000006</v>
      </c>
      <c r="J6" s="10">
        <v>10</v>
      </c>
      <c r="L6" s="10">
        <v>3</v>
      </c>
      <c r="N6" s="10">
        <v>60</v>
      </c>
      <c r="O6" s="10">
        <v>25</v>
      </c>
      <c r="P6" s="10">
        <v>46.6</v>
      </c>
      <c r="Q6" s="61">
        <v>2.2799999999999998</v>
      </c>
      <c r="R6" s="52">
        <v>45.4</v>
      </c>
      <c r="S6" s="10">
        <v>10</v>
      </c>
      <c r="T6" s="52">
        <v>62.3</v>
      </c>
      <c r="U6" s="10">
        <v>22</v>
      </c>
      <c r="V6" s="52">
        <v>65.5</v>
      </c>
      <c r="W6" s="10">
        <v>40</v>
      </c>
      <c r="Z6" s="52">
        <v>76</v>
      </c>
      <c r="AA6" s="10">
        <v>103</v>
      </c>
      <c r="AB6" s="10">
        <v>9</v>
      </c>
      <c r="AC6" s="52">
        <v>10.1</v>
      </c>
      <c r="AD6" s="3">
        <v>23.18</v>
      </c>
      <c r="AE6" s="3">
        <v>1.6</v>
      </c>
      <c r="AF6" s="3">
        <v>0.7</v>
      </c>
      <c r="AG6" s="10">
        <v>40</v>
      </c>
      <c r="AH6" s="10">
        <v>2</v>
      </c>
      <c r="AI6" s="10">
        <v>120</v>
      </c>
      <c r="AJ6" s="10">
        <v>258</v>
      </c>
      <c r="AK6" s="3">
        <v>16.23</v>
      </c>
      <c r="AL6" s="61">
        <v>74.53</v>
      </c>
      <c r="AM6" s="61">
        <v>46.51</v>
      </c>
      <c r="AO6" s="10">
        <v>85</v>
      </c>
      <c r="AP6" s="10">
        <v>115</v>
      </c>
      <c r="AQ6" s="52">
        <v>80.099999999999994</v>
      </c>
      <c r="BG6" s="10">
        <v>180</v>
      </c>
      <c r="BJ6" s="10">
        <v>261</v>
      </c>
      <c r="BK6" s="52">
        <v>100.7</v>
      </c>
      <c r="BM6" s="10">
        <v>30</v>
      </c>
      <c r="BN6" s="10">
        <v>45</v>
      </c>
      <c r="BO6" s="10">
        <v>75</v>
      </c>
      <c r="BS6" s="10">
        <v>5</v>
      </c>
      <c r="BT6" s="10">
        <v>10</v>
      </c>
      <c r="BV6" s="61">
        <v>7.28</v>
      </c>
      <c r="BW6" s="61">
        <v>0.72</v>
      </c>
      <c r="BZ6" s="61">
        <v>8.6199999999999992</v>
      </c>
      <c r="CA6" s="10">
        <v>0</v>
      </c>
      <c r="CB6" s="52">
        <v>101</v>
      </c>
      <c r="CG6" s="10">
        <v>1943</v>
      </c>
      <c r="CI6" s="10">
        <v>10</v>
      </c>
      <c r="CJ6" s="10">
        <v>10</v>
      </c>
      <c r="CK6" s="3">
        <v>0</v>
      </c>
      <c r="CM6" s="3">
        <v>0.53</v>
      </c>
      <c r="CN6" s="10">
        <v>51</v>
      </c>
      <c r="CO6" s="52">
        <v>10.6</v>
      </c>
      <c r="CP6" s="52">
        <v>3.9</v>
      </c>
      <c r="CQ6" s="3">
        <v>17.11</v>
      </c>
      <c r="CS6" s="10">
        <v>228</v>
      </c>
      <c r="CT6" s="10">
        <v>229</v>
      </c>
      <c r="CU6" s="59">
        <v>18</v>
      </c>
      <c r="CV6" s="10">
        <v>359</v>
      </c>
      <c r="CW6" s="10">
        <v>2</v>
      </c>
      <c r="CX6" s="60">
        <v>254.89</v>
      </c>
      <c r="CY6" s="3">
        <v>18</v>
      </c>
      <c r="CZ6" s="3">
        <v>5.5</v>
      </c>
      <c r="DC6" s="24">
        <v>45698.527777777781</v>
      </c>
      <c r="DD6" s="24">
        <v>45698.585416666669</v>
      </c>
      <c r="DF6" s="10">
        <v>261</v>
      </c>
      <c r="DG6" s="24">
        <v>45698.637499999997</v>
      </c>
      <c r="DI6" s="10">
        <v>242</v>
      </c>
      <c r="DJ6" s="58">
        <v>45698.686805555553</v>
      </c>
    </row>
    <row r="7" spans="1:115" x14ac:dyDescent="0.25">
      <c r="B7" s="1">
        <v>10073</v>
      </c>
      <c r="C7" s="12">
        <v>45698</v>
      </c>
      <c r="D7" s="2">
        <v>0.53472222222222221</v>
      </c>
      <c r="E7" s="2">
        <v>0.77569444444444446</v>
      </c>
      <c r="F7" s="61">
        <v>13.05</v>
      </c>
      <c r="G7" s="10">
        <v>20</v>
      </c>
      <c r="H7" s="61">
        <v>3.16</v>
      </c>
      <c r="I7" s="52">
        <v>79.7</v>
      </c>
      <c r="J7" s="10">
        <v>10</v>
      </c>
      <c r="L7" s="10">
        <v>3</v>
      </c>
      <c r="N7" s="10">
        <v>61</v>
      </c>
      <c r="O7" s="10">
        <v>25</v>
      </c>
      <c r="P7" s="10">
        <v>46.6</v>
      </c>
      <c r="Q7" s="61">
        <v>2.31</v>
      </c>
      <c r="R7" s="52">
        <v>45.4</v>
      </c>
      <c r="S7" s="10">
        <v>10</v>
      </c>
      <c r="T7" s="52">
        <v>63.8</v>
      </c>
      <c r="U7" s="10">
        <v>5</v>
      </c>
      <c r="V7" s="52">
        <v>65.2</v>
      </c>
      <c r="W7" s="10">
        <v>40</v>
      </c>
      <c r="Z7" s="52">
        <v>75.900000000000006</v>
      </c>
      <c r="AA7" s="10">
        <v>101</v>
      </c>
      <c r="AB7" s="10">
        <v>7</v>
      </c>
      <c r="AC7" s="52">
        <v>10</v>
      </c>
      <c r="AD7" s="3">
        <v>22.19</v>
      </c>
      <c r="AE7" s="3">
        <v>2.2999999999999998</v>
      </c>
      <c r="AG7" s="10">
        <v>40</v>
      </c>
      <c r="AH7" s="10">
        <v>2</v>
      </c>
      <c r="AI7" s="10">
        <v>136</v>
      </c>
      <c r="AJ7" s="10">
        <v>259</v>
      </c>
      <c r="AK7" s="3">
        <v>16.23</v>
      </c>
      <c r="AL7" s="61">
        <v>84.47</v>
      </c>
      <c r="AM7" s="61">
        <v>52.51</v>
      </c>
      <c r="AO7" s="10">
        <v>85</v>
      </c>
      <c r="AP7" s="10">
        <v>112</v>
      </c>
      <c r="AQ7" s="52">
        <v>80.099999999999994</v>
      </c>
      <c r="BG7" s="10">
        <v>180</v>
      </c>
      <c r="BJ7" s="10">
        <v>265</v>
      </c>
      <c r="BK7" s="52">
        <v>100.7</v>
      </c>
      <c r="BM7" s="10">
        <v>30</v>
      </c>
      <c r="BN7" s="10">
        <v>45</v>
      </c>
      <c r="BO7" s="10">
        <v>75</v>
      </c>
      <c r="BS7" s="10">
        <v>5</v>
      </c>
      <c r="BT7" s="10">
        <v>10</v>
      </c>
      <c r="BV7" s="61">
        <v>7.55</v>
      </c>
      <c r="BW7" s="61">
        <v>0.45</v>
      </c>
      <c r="BZ7" s="61">
        <v>9.6199999999999992</v>
      </c>
      <c r="CA7" s="10">
        <v>0</v>
      </c>
      <c r="CB7" s="52">
        <v>101</v>
      </c>
      <c r="CG7" s="10">
        <v>2037</v>
      </c>
      <c r="CI7" s="10">
        <v>10</v>
      </c>
      <c r="CJ7" s="10">
        <v>10</v>
      </c>
      <c r="CK7" s="3">
        <v>0</v>
      </c>
      <c r="CM7" s="3">
        <v>0.53</v>
      </c>
      <c r="CN7" s="10">
        <v>51</v>
      </c>
      <c r="CO7" s="52">
        <v>1.7</v>
      </c>
      <c r="CP7" s="52">
        <v>3.9</v>
      </c>
      <c r="CQ7" s="3">
        <v>17.03</v>
      </c>
      <c r="CS7" s="10">
        <v>229</v>
      </c>
      <c r="CT7" s="10">
        <v>219</v>
      </c>
      <c r="CU7" s="59">
        <v>8</v>
      </c>
      <c r="CV7" s="10">
        <v>347</v>
      </c>
      <c r="CW7" s="10">
        <v>10</v>
      </c>
      <c r="CX7" s="60">
        <v>128.13999999999999</v>
      </c>
      <c r="CY7" s="3">
        <v>17.95</v>
      </c>
      <c r="CZ7" s="3">
        <v>5.52</v>
      </c>
      <c r="DC7" s="24">
        <v>45698.623611111114</v>
      </c>
      <c r="DD7" s="24">
        <v>45698.674305555556</v>
      </c>
      <c r="DF7" s="10">
        <v>265</v>
      </c>
      <c r="DG7" s="24">
        <v>45698.726388888892</v>
      </c>
      <c r="DI7" s="10">
        <v>245</v>
      </c>
      <c r="DJ7" s="58">
        <v>45698.775694444441</v>
      </c>
    </row>
    <row r="8" spans="1:115" x14ac:dyDescent="0.25">
      <c r="B8" s="1">
        <v>10074</v>
      </c>
      <c r="C8" s="12">
        <v>45698</v>
      </c>
      <c r="D8" s="2">
        <v>0.63194444444444442</v>
      </c>
      <c r="E8" s="2">
        <v>0.87708333333333333</v>
      </c>
      <c r="F8" s="61">
        <v>11.79</v>
      </c>
      <c r="G8" s="10">
        <v>19</v>
      </c>
      <c r="H8" s="61">
        <v>2.9</v>
      </c>
      <c r="I8" s="52">
        <v>79.8</v>
      </c>
      <c r="J8" s="10">
        <v>10</v>
      </c>
      <c r="L8" s="10">
        <v>4</v>
      </c>
      <c r="N8" s="10">
        <v>59</v>
      </c>
      <c r="O8" s="10">
        <v>24</v>
      </c>
      <c r="P8" s="10">
        <v>46.6</v>
      </c>
      <c r="Q8" s="61">
        <v>2.35</v>
      </c>
      <c r="R8" s="52">
        <v>46.3</v>
      </c>
      <c r="S8" s="10">
        <v>10</v>
      </c>
      <c r="T8" s="52">
        <v>64</v>
      </c>
      <c r="U8" s="10">
        <v>0</v>
      </c>
      <c r="V8" s="52">
        <v>65.5</v>
      </c>
      <c r="W8" s="10">
        <v>40</v>
      </c>
      <c r="Z8" s="52">
        <v>76</v>
      </c>
      <c r="AA8" s="10">
        <v>111</v>
      </c>
      <c r="AB8" s="10">
        <v>8</v>
      </c>
      <c r="AC8" s="52">
        <v>10</v>
      </c>
      <c r="AD8" s="3">
        <v>22</v>
      </c>
      <c r="AE8" s="3">
        <v>1.9</v>
      </c>
      <c r="AF8" s="3">
        <v>0.8</v>
      </c>
      <c r="AG8" s="10">
        <v>40</v>
      </c>
      <c r="AH8" s="10">
        <v>1</v>
      </c>
      <c r="AI8" s="10">
        <v>136</v>
      </c>
      <c r="AJ8" s="10">
        <v>259</v>
      </c>
      <c r="AK8" s="3">
        <v>16.23</v>
      </c>
      <c r="AL8" s="61">
        <v>84.47</v>
      </c>
      <c r="AM8" s="61">
        <v>52.51</v>
      </c>
      <c r="AO8" s="10">
        <v>81</v>
      </c>
      <c r="AP8" s="10">
        <v>109</v>
      </c>
      <c r="AQ8" s="52">
        <v>80.099999999999994</v>
      </c>
      <c r="BG8" s="10">
        <v>180</v>
      </c>
      <c r="BJ8" s="10">
        <v>266</v>
      </c>
      <c r="BK8" s="52">
        <v>100.7</v>
      </c>
      <c r="BM8" s="10">
        <v>30</v>
      </c>
      <c r="BN8" s="10">
        <v>45</v>
      </c>
      <c r="BO8" s="10">
        <v>75</v>
      </c>
      <c r="BS8" s="10">
        <v>5</v>
      </c>
      <c r="BT8" s="10">
        <v>10</v>
      </c>
      <c r="BV8" s="61">
        <v>7.89</v>
      </c>
      <c r="BW8" s="61">
        <v>0.11</v>
      </c>
      <c r="BZ8" s="61">
        <v>9.59</v>
      </c>
      <c r="CA8" s="10">
        <v>0</v>
      </c>
      <c r="CB8" s="52">
        <v>101</v>
      </c>
      <c r="CG8" s="10">
        <v>2212</v>
      </c>
      <c r="CI8" s="10">
        <v>10</v>
      </c>
      <c r="CJ8" s="10">
        <v>10</v>
      </c>
      <c r="CK8" s="3">
        <v>0</v>
      </c>
      <c r="CM8" s="3">
        <v>0.53</v>
      </c>
      <c r="CN8" s="10">
        <v>51</v>
      </c>
      <c r="CO8" s="52">
        <v>10.7</v>
      </c>
      <c r="CP8" s="52">
        <v>3.9</v>
      </c>
      <c r="CQ8" s="3">
        <v>16.96</v>
      </c>
      <c r="CS8" s="10">
        <v>230</v>
      </c>
      <c r="CT8" s="10">
        <v>215</v>
      </c>
      <c r="CU8" s="59">
        <v>4</v>
      </c>
      <c r="CV8" s="10">
        <v>353</v>
      </c>
      <c r="CW8" s="10">
        <v>4</v>
      </c>
      <c r="CX8" s="60">
        <v>53.39</v>
      </c>
      <c r="CY8" s="3">
        <v>17.82</v>
      </c>
      <c r="CZ8" s="3">
        <v>5.52</v>
      </c>
      <c r="DC8" s="24">
        <v>45698.727777777778</v>
      </c>
      <c r="DD8" s="24">
        <v>45698.775694444441</v>
      </c>
      <c r="DF8" s="10">
        <v>266</v>
      </c>
      <c r="DG8" s="24">
        <v>45698.827777777777</v>
      </c>
      <c r="DI8" s="10">
        <v>245</v>
      </c>
      <c r="DJ8" s="58">
        <v>45698.877083333333</v>
      </c>
    </row>
    <row r="9" spans="1:115" x14ac:dyDescent="0.25">
      <c r="B9" s="1">
        <v>10075</v>
      </c>
      <c r="C9" s="12">
        <v>45698</v>
      </c>
      <c r="D9" s="2">
        <v>0.73263888888888884</v>
      </c>
      <c r="E9" s="2">
        <v>0.96944444444444444</v>
      </c>
      <c r="F9" s="61">
        <v>12.92</v>
      </c>
      <c r="G9" s="10">
        <v>17</v>
      </c>
      <c r="H9" s="61">
        <v>2.86</v>
      </c>
      <c r="I9" s="52">
        <v>79.7</v>
      </c>
      <c r="J9" s="10">
        <v>10</v>
      </c>
      <c r="L9" s="10">
        <v>6</v>
      </c>
      <c r="N9" s="10">
        <v>59</v>
      </c>
      <c r="O9" s="10">
        <v>25</v>
      </c>
      <c r="P9" s="10">
        <v>46.6</v>
      </c>
      <c r="Q9" s="61">
        <v>2.36</v>
      </c>
      <c r="R9" s="52">
        <v>46.1</v>
      </c>
      <c r="S9" s="10">
        <v>10</v>
      </c>
      <c r="T9" s="52">
        <v>64.099999999999994</v>
      </c>
      <c r="U9" s="10">
        <v>0</v>
      </c>
      <c r="V9" s="52">
        <v>65.400000000000006</v>
      </c>
      <c r="W9" s="10">
        <v>40</v>
      </c>
      <c r="Z9" s="52">
        <v>76</v>
      </c>
      <c r="AA9" s="10">
        <v>102</v>
      </c>
      <c r="AB9" s="10">
        <v>6</v>
      </c>
      <c r="AC9" s="52">
        <v>9</v>
      </c>
      <c r="AD9" s="3">
        <v>22.07</v>
      </c>
      <c r="AE9" s="3">
        <v>2.1800000000000002</v>
      </c>
      <c r="AG9" s="10">
        <v>40</v>
      </c>
      <c r="AH9" s="10">
        <v>1</v>
      </c>
      <c r="AI9" s="10">
        <v>136</v>
      </c>
      <c r="AJ9" s="10">
        <v>259</v>
      </c>
      <c r="AK9" s="3">
        <v>16.23</v>
      </c>
      <c r="AL9" s="61">
        <v>84.47</v>
      </c>
      <c r="AM9" s="61">
        <v>52.51</v>
      </c>
      <c r="AO9" s="10">
        <v>82</v>
      </c>
      <c r="AP9" s="10">
        <v>108</v>
      </c>
      <c r="AQ9" s="52">
        <v>80.099999999999994</v>
      </c>
      <c r="BG9" s="10">
        <v>180</v>
      </c>
      <c r="BJ9" s="10">
        <v>265</v>
      </c>
      <c r="BK9" s="52">
        <v>100.7</v>
      </c>
      <c r="BM9" s="10">
        <v>30</v>
      </c>
      <c r="BN9" s="10">
        <v>45</v>
      </c>
      <c r="BO9" s="10">
        <v>75</v>
      </c>
      <c r="BS9" s="10">
        <v>5</v>
      </c>
      <c r="BT9" s="10">
        <v>10</v>
      </c>
      <c r="BV9" s="61">
        <v>7.92</v>
      </c>
      <c r="BW9" s="61">
        <v>0.08</v>
      </c>
      <c r="BZ9" s="61">
        <v>10.38</v>
      </c>
      <c r="CA9" s="10">
        <v>0</v>
      </c>
      <c r="CB9" s="52">
        <v>101</v>
      </c>
      <c r="CG9" s="10">
        <v>2365</v>
      </c>
      <c r="CI9" s="10">
        <v>10</v>
      </c>
      <c r="CJ9" s="10">
        <v>10</v>
      </c>
      <c r="CK9" s="3">
        <v>0</v>
      </c>
      <c r="CM9" s="3">
        <v>0.54</v>
      </c>
      <c r="CN9" s="10">
        <v>51</v>
      </c>
      <c r="CO9" s="52">
        <v>10.5</v>
      </c>
      <c r="CP9" s="52">
        <v>3.3</v>
      </c>
      <c r="CQ9" s="3">
        <v>14.54</v>
      </c>
      <c r="CS9" s="10">
        <v>227</v>
      </c>
      <c r="CT9" s="10">
        <v>216</v>
      </c>
      <c r="CU9" s="59">
        <v>5</v>
      </c>
      <c r="CV9" s="10">
        <v>341</v>
      </c>
      <c r="CW9" s="10">
        <v>16</v>
      </c>
      <c r="CX9" s="60">
        <v>60.41</v>
      </c>
      <c r="CY9" s="3">
        <v>17.97</v>
      </c>
      <c r="CZ9" s="3">
        <v>5.5</v>
      </c>
      <c r="DC9" s="24">
        <v>45698.819444444445</v>
      </c>
      <c r="DD9" s="24">
        <v>45698.868055555555</v>
      </c>
      <c r="DF9" s="10">
        <v>265</v>
      </c>
      <c r="DG9" s="24">
        <v>45698.920138888891</v>
      </c>
      <c r="DI9" s="10">
        <v>244</v>
      </c>
      <c r="DJ9" s="58">
        <v>45698.969444444447</v>
      </c>
    </row>
    <row r="10" spans="1:115" x14ac:dyDescent="0.25">
      <c r="B10" s="1">
        <v>10076</v>
      </c>
      <c r="C10" s="12">
        <v>45698</v>
      </c>
      <c r="D10" s="2">
        <v>0.82986111111111116</v>
      </c>
      <c r="E10" s="2">
        <v>1.0659722222222223</v>
      </c>
      <c r="F10" s="61">
        <v>13.56</v>
      </c>
      <c r="G10" s="10">
        <v>19</v>
      </c>
      <c r="H10" s="61">
        <v>2.86</v>
      </c>
      <c r="I10" s="52">
        <v>79.599999999999994</v>
      </c>
      <c r="J10" s="10">
        <v>10</v>
      </c>
      <c r="L10" s="10">
        <v>3</v>
      </c>
      <c r="N10" s="10">
        <v>59</v>
      </c>
      <c r="O10" s="10">
        <v>24</v>
      </c>
      <c r="P10" s="10">
        <v>46.6</v>
      </c>
      <c r="Q10" s="61">
        <v>2.36</v>
      </c>
      <c r="R10" s="52">
        <v>46.3</v>
      </c>
      <c r="S10" s="10">
        <v>10</v>
      </c>
      <c r="T10" s="52">
        <v>64</v>
      </c>
      <c r="U10" s="10">
        <v>0</v>
      </c>
      <c r="V10" s="52">
        <v>65.5</v>
      </c>
      <c r="W10" s="10">
        <v>40</v>
      </c>
      <c r="Z10" s="52">
        <v>76</v>
      </c>
      <c r="AA10" s="10">
        <v>101</v>
      </c>
      <c r="AB10" s="10">
        <v>8</v>
      </c>
      <c r="AC10" s="52">
        <v>14.1</v>
      </c>
      <c r="AD10" s="3">
        <v>21.92</v>
      </c>
      <c r="AE10" s="3">
        <v>2.25</v>
      </c>
      <c r="AF10" s="3">
        <v>0.9</v>
      </c>
      <c r="AG10" s="10">
        <v>40</v>
      </c>
      <c r="AH10" s="10">
        <v>1</v>
      </c>
      <c r="AI10" s="10">
        <v>136</v>
      </c>
      <c r="AJ10" s="10">
        <v>259</v>
      </c>
      <c r="AK10" s="3">
        <v>16.23</v>
      </c>
      <c r="AL10" s="61">
        <v>84.47</v>
      </c>
      <c r="AM10" s="61">
        <v>52.51</v>
      </c>
      <c r="AO10" s="10">
        <v>79</v>
      </c>
      <c r="AP10" s="10">
        <v>107</v>
      </c>
      <c r="AQ10" s="52">
        <v>80.099999999999994</v>
      </c>
      <c r="BG10" s="10">
        <v>180</v>
      </c>
      <c r="BJ10" s="10">
        <v>267</v>
      </c>
      <c r="BK10" s="52">
        <v>100.7</v>
      </c>
      <c r="BM10" s="10">
        <v>30</v>
      </c>
      <c r="BN10" s="10">
        <v>45</v>
      </c>
      <c r="BO10" s="10">
        <v>75</v>
      </c>
      <c r="BS10" s="10">
        <v>5</v>
      </c>
      <c r="BT10" s="10">
        <v>10</v>
      </c>
      <c r="BV10" s="61">
        <v>7.49</v>
      </c>
      <c r="BW10" s="61">
        <v>0.51</v>
      </c>
      <c r="BZ10" s="61">
        <v>9.5500000000000007</v>
      </c>
      <c r="CA10" s="10">
        <v>0</v>
      </c>
      <c r="CB10" s="52">
        <v>101</v>
      </c>
      <c r="CG10" s="10">
        <v>2117</v>
      </c>
      <c r="CI10" s="10">
        <v>10</v>
      </c>
      <c r="CJ10" s="10">
        <v>10</v>
      </c>
      <c r="CK10" s="3">
        <v>0</v>
      </c>
      <c r="CM10" s="3">
        <v>0.53</v>
      </c>
      <c r="CN10" s="10">
        <v>52</v>
      </c>
      <c r="CO10" s="52">
        <v>10.5</v>
      </c>
      <c r="CP10" s="52">
        <v>3.4</v>
      </c>
      <c r="CQ10" s="3">
        <v>14.72</v>
      </c>
      <c r="CS10" s="10">
        <v>231</v>
      </c>
      <c r="CT10" s="10">
        <v>212</v>
      </c>
      <c r="CU10" s="59">
        <v>1</v>
      </c>
      <c r="CV10" s="10">
        <v>340</v>
      </c>
      <c r="CW10" s="10">
        <v>17</v>
      </c>
      <c r="CX10" s="60">
        <v>63.8</v>
      </c>
      <c r="CY10" s="3">
        <v>17.62</v>
      </c>
      <c r="CZ10" s="3">
        <v>5.49</v>
      </c>
      <c r="DC10" s="24">
        <v>45698.918749999997</v>
      </c>
      <c r="DD10" s="24">
        <v>45698.963888888888</v>
      </c>
      <c r="DF10" s="10">
        <v>267</v>
      </c>
      <c r="DG10" s="24">
        <v>45699.015972222223</v>
      </c>
      <c r="DI10" s="10">
        <v>247</v>
      </c>
      <c r="DJ10" s="58">
        <v>45699.065972222219</v>
      </c>
    </row>
    <row r="11" spans="1:115" x14ac:dyDescent="0.25">
      <c r="B11" s="1">
        <v>10077</v>
      </c>
      <c r="C11" s="12">
        <v>45698</v>
      </c>
      <c r="D11" s="2">
        <v>0.94097222222222221</v>
      </c>
      <c r="E11" s="2">
        <v>0.1763888888888889</v>
      </c>
      <c r="F11" s="61">
        <v>13.05</v>
      </c>
      <c r="G11" s="10">
        <v>17</v>
      </c>
      <c r="H11" s="61">
        <v>2.76</v>
      </c>
      <c r="I11" s="52">
        <v>79.5</v>
      </c>
      <c r="J11" s="10">
        <v>10</v>
      </c>
      <c r="L11" s="10">
        <v>5</v>
      </c>
      <c r="N11" s="10">
        <v>57</v>
      </c>
      <c r="O11" s="10">
        <v>24</v>
      </c>
      <c r="P11" s="10">
        <v>46.3</v>
      </c>
      <c r="Q11" s="61">
        <v>2.38</v>
      </c>
      <c r="R11" s="52">
        <v>46.5</v>
      </c>
      <c r="S11" s="10">
        <v>10</v>
      </c>
      <c r="T11" s="52">
        <v>64.900000000000006</v>
      </c>
      <c r="U11" s="10">
        <v>0</v>
      </c>
      <c r="V11" s="52">
        <v>65.400000000000006</v>
      </c>
      <c r="W11" s="10">
        <v>45</v>
      </c>
      <c r="Z11" s="52">
        <v>76.099999999999994</v>
      </c>
      <c r="AA11" s="10">
        <v>98</v>
      </c>
      <c r="AB11" s="10">
        <v>8</v>
      </c>
      <c r="AC11" s="52">
        <v>13.8</v>
      </c>
      <c r="AD11" s="3">
        <v>22.02</v>
      </c>
      <c r="AE11" s="3">
        <v>2.19</v>
      </c>
      <c r="AF11" s="3">
        <v>0.8</v>
      </c>
      <c r="AG11" s="10">
        <v>40</v>
      </c>
      <c r="AH11" s="10">
        <v>1</v>
      </c>
      <c r="AI11" s="10">
        <v>136</v>
      </c>
      <c r="AJ11" s="10">
        <v>257</v>
      </c>
      <c r="AK11" s="3">
        <v>16.23</v>
      </c>
      <c r="AL11" s="61">
        <v>84.47</v>
      </c>
      <c r="AM11" s="61">
        <v>52.92</v>
      </c>
      <c r="AO11" s="10">
        <v>81</v>
      </c>
      <c r="AP11" s="10">
        <v>108</v>
      </c>
      <c r="AQ11" s="52">
        <v>80.099999999999994</v>
      </c>
      <c r="BG11" s="10">
        <v>180</v>
      </c>
      <c r="BJ11" s="10">
        <v>265</v>
      </c>
      <c r="BK11" s="52">
        <v>100.7</v>
      </c>
      <c r="BM11" s="10">
        <v>30</v>
      </c>
      <c r="BN11" s="10">
        <v>45</v>
      </c>
      <c r="BO11" s="10">
        <v>75</v>
      </c>
      <c r="BS11" s="10">
        <v>5</v>
      </c>
      <c r="BT11" s="10">
        <v>10</v>
      </c>
      <c r="BV11" s="61">
        <v>7.92</v>
      </c>
      <c r="BW11" s="61">
        <v>0.08</v>
      </c>
      <c r="BZ11" s="61">
        <v>8.8699999999999992</v>
      </c>
      <c r="CA11" s="10">
        <v>0</v>
      </c>
      <c r="CB11" s="52">
        <v>101</v>
      </c>
      <c r="CG11" s="10">
        <v>2249</v>
      </c>
      <c r="CI11" s="10">
        <v>10</v>
      </c>
      <c r="CJ11" s="10">
        <v>13</v>
      </c>
      <c r="CK11" s="3">
        <v>3</v>
      </c>
      <c r="CM11" s="3">
        <v>0.53</v>
      </c>
      <c r="CN11" s="10">
        <v>52</v>
      </c>
      <c r="CO11" s="52">
        <v>10.5</v>
      </c>
      <c r="CP11" s="52">
        <v>3.6</v>
      </c>
      <c r="CQ11" s="3">
        <v>15.58</v>
      </c>
      <c r="CS11" s="10">
        <v>231</v>
      </c>
      <c r="CT11" s="10">
        <v>216</v>
      </c>
      <c r="CU11" s="59">
        <v>5</v>
      </c>
      <c r="CV11" s="10">
        <v>339</v>
      </c>
      <c r="CW11" s="10">
        <v>18</v>
      </c>
      <c r="CX11" s="60">
        <v>60.41</v>
      </c>
      <c r="CY11" s="3">
        <v>17.899999999999999</v>
      </c>
      <c r="CZ11" s="3">
        <v>5.49</v>
      </c>
      <c r="DC11" s="24">
        <v>45699.026388888888</v>
      </c>
      <c r="DD11" s="24">
        <v>45699.072222222225</v>
      </c>
      <c r="DF11" s="10">
        <v>265</v>
      </c>
      <c r="DG11" s="24">
        <v>45699.124305555553</v>
      </c>
      <c r="DI11" s="10">
        <v>244</v>
      </c>
      <c r="DJ11" s="58">
        <v>45699.176388888889</v>
      </c>
    </row>
    <row r="12" spans="1:115" x14ac:dyDescent="0.25">
      <c r="B12" s="1">
        <v>10078</v>
      </c>
      <c r="C12" s="12">
        <v>45699</v>
      </c>
      <c r="D12" s="2">
        <v>6.25E-2</v>
      </c>
      <c r="E12" s="2">
        <v>0.30138888888888887</v>
      </c>
      <c r="F12" s="61">
        <v>12.43</v>
      </c>
      <c r="G12" s="10">
        <v>16</v>
      </c>
      <c r="H12" s="61">
        <v>2.88</v>
      </c>
      <c r="I12" s="52">
        <v>79.7</v>
      </c>
      <c r="J12" s="10">
        <v>10</v>
      </c>
      <c r="L12" s="10">
        <v>4</v>
      </c>
      <c r="N12" s="10">
        <v>57</v>
      </c>
      <c r="O12" s="10">
        <v>25</v>
      </c>
      <c r="P12" s="10">
        <v>46.6</v>
      </c>
      <c r="Q12" s="61">
        <v>2.35</v>
      </c>
      <c r="R12" s="52">
        <v>46</v>
      </c>
      <c r="S12" s="10">
        <v>10</v>
      </c>
      <c r="T12" s="52">
        <v>64.400000000000006</v>
      </c>
      <c r="U12" s="10">
        <v>0</v>
      </c>
      <c r="V12" s="52">
        <v>65.099999999999994</v>
      </c>
      <c r="W12" s="10">
        <v>40</v>
      </c>
      <c r="Z12" s="52">
        <v>76.099999999999994</v>
      </c>
      <c r="AA12" s="10">
        <v>98</v>
      </c>
      <c r="AB12" s="10">
        <v>8</v>
      </c>
      <c r="AC12" s="52">
        <v>13.2</v>
      </c>
      <c r="AD12" s="3">
        <v>22</v>
      </c>
      <c r="AE12" s="3">
        <v>1.81</v>
      </c>
      <c r="AF12" s="3">
        <v>0.56000000000000005</v>
      </c>
      <c r="AG12" s="10">
        <v>40</v>
      </c>
      <c r="AH12" s="10">
        <v>1</v>
      </c>
      <c r="AI12" s="10">
        <v>136</v>
      </c>
      <c r="AJ12" s="10">
        <v>258</v>
      </c>
      <c r="AK12" s="3">
        <v>16.23</v>
      </c>
      <c r="AL12" s="61">
        <v>84.47</v>
      </c>
      <c r="AM12" s="61">
        <v>52.71</v>
      </c>
      <c r="AO12" s="10">
        <v>81</v>
      </c>
      <c r="AP12" s="10">
        <v>108</v>
      </c>
      <c r="AQ12" s="52">
        <v>80.099999999999994</v>
      </c>
      <c r="BG12" s="10">
        <v>180</v>
      </c>
      <c r="BJ12" s="10">
        <v>264</v>
      </c>
      <c r="BK12" s="52">
        <v>100.7</v>
      </c>
      <c r="BM12" s="10">
        <v>30</v>
      </c>
      <c r="BN12" s="10">
        <v>45</v>
      </c>
      <c r="BO12" s="10">
        <v>75</v>
      </c>
      <c r="BS12" s="10">
        <v>5</v>
      </c>
      <c r="BT12" s="10">
        <v>10</v>
      </c>
      <c r="BV12" s="61">
        <v>7.58</v>
      </c>
      <c r="BW12" s="61">
        <v>0.42</v>
      </c>
      <c r="BZ12" s="61">
        <v>8.9</v>
      </c>
      <c r="CA12" s="10">
        <v>0</v>
      </c>
      <c r="CB12" s="52">
        <v>101</v>
      </c>
      <c r="CG12" s="10">
        <v>2253</v>
      </c>
      <c r="CI12" s="10">
        <v>10</v>
      </c>
      <c r="CJ12" s="10">
        <v>10</v>
      </c>
      <c r="CK12" s="3">
        <v>0</v>
      </c>
      <c r="CM12" s="3">
        <v>0.53</v>
      </c>
      <c r="CN12" s="10">
        <v>54</v>
      </c>
      <c r="CO12" s="52">
        <v>10.6</v>
      </c>
      <c r="CP12" s="52">
        <v>3.4</v>
      </c>
      <c r="CQ12" s="3">
        <v>14.78</v>
      </c>
      <c r="CS12" s="10">
        <v>230</v>
      </c>
      <c r="CT12" s="10">
        <v>222</v>
      </c>
      <c r="CU12" s="59">
        <v>11</v>
      </c>
      <c r="CV12" s="10">
        <v>344</v>
      </c>
      <c r="CW12" s="10">
        <v>13</v>
      </c>
      <c r="CX12" s="60">
        <v>155.28</v>
      </c>
      <c r="CY12" s="3">
        <v>17.899999999999999</v>
      </c>
      <c r="CZ12" s="3">
        <v>5.53</v>
      </c>
      <c r="DC12" s="24">
        <v>45699.147222222222</v>
      </c>
      <c r="DD12" s="24">
        <v>45699.197916666664</v>
      </c>
      <c r="DF12" s="10">
        <v>264</v>
      </c>
      <c r="DG12" s="24">
        <v>45699.25</v>
      </c>
      <c r="DI12" s="10">
        <v>244</v>
      </c>
      <c r="DJ12" s="58">
        <v>45699.301388888889</v>
      </c>
    </row>
    <row r="13" spans="1:115" x14ac:dyDescent="0.25">
      <c r="B13" s="1">
        <v>10079</v>
      </c>
      <c r="C13" s="12">
        <v>45699</v>
      </c>
      <c r="D13" s="2">
        <v>0.15972222222222224</v>
      </c>
      <c r="E13" s="2">
        <v>0.40347222222222212</v>
      </c>
      <c r="F13" s="61">
        <v>12.67</v>
      </c>
      <c r="G13" s="10">
        <v>17</v>
      </c>
      <c r="H13" s="61">
        <v>2.85</v>
      </c>
      <c r="I13" s="52">
        <v>79.599999999999994</v>
      </c>
      <c r="J13" s="10">
        <v>10</v>
      </c>
      <c r="L13" s="10">
        <v>4</v>
      </c>
      <c r="N13" s="10">
        <v>58</v>
      </c>
      <c r="O13" s="10">
        <v>25</v>
      </c>
      <c r="P13" s="10">
        <v>46.6</v>
      </c>
      <c r="Q13" s="61">
        <v>2.34</v>
      </c>
      <c r="R13" s="52">
        <v>46.2</v>
      </c>
      <c r="S13" s="10">
        <v>10</v>
      </c>
      <c r="T13" s="52">
        <v>64.2</v>
      </c>
      <c r="U13" s="10">
        <v>0</v>
      </c>
      <c r="V13" s="52">
        <v>65.400000000000006</v>
      </c>
      <c r="W13" s="10">
        <v>40</v>
      </c>
      <c r="Z13" s="52">
        <v>76.099999999999994</v>
      </c>
      <c r="AA13" s="10">
        <v>100</v>
      </c>
      <c r="AB13" s="10">
        <v>11</v>
      </c>
      <c r="AD13" s="3">
        <v>21.74</v>
      </c>
      <c r="AE13" s="3">
        <v>2.21</v>
      </c>
      <c r="AF13" s="3">
        <v>0.88</v>
      </c>
      <c r="AG13" s="10">
        <v>43</v>
      </c>
      <c r="AH13" s="10">
        <v>1</v>
      </c>
      <c r="AI13" s="10">
        <v>136</v>
      </c>
      <c r="AJ13" s="10">
        <v>259</v>
      </c>
      <c r="AK13" s="3">
        <v>16.23</v>
      </c>
      <c r="AL13" s="61">
        <v>84.47</v>
      </c>
      <c r="AM13" s="61">
        <v>52.51</v>
      </c>
      <c r="AO13" s="10">
        <v>92</v>
      </c>
      <c r="AP13" s="10">
        <v>123</v>
      </c>
      <c r="AQ13" s="52">
        <v>80.099999999999994</v>
      </c>
      <c r="BG13" s="10">
        <v>180</v>
      </c>
      <c r="BJ13" s="10">
        <v>265</v>
      </c>
      <c r="BK13" s="52">
        <v>100.7</v>
      </c>
      <c r="BM13" s="10">
        <v>30</v>
      </c>
      <c r="BN13" s="10">
        <v>45</v>
      </c>
      <c r="BO13" s="10">
        <v>75</v>
      </c>
      <c r="BS13" s="10">
        <v>5</v>
      </c>
      <c r="BT13" s="10">
        <v>10</v>
      </c>
      <c r="BV13" s="61">
        <v>8.68</v>
      </c>
      <c r="BW13" s="61">
        <v>0.68</v>
      </c>
      <c r="BZ13" s="61">
        <v>10</v>
      </c>
      <c r="CA13" s="10">
        <v>0</v>
      </c>
      <c r="CB13" s="52">
        <v>101</v>
      </c>
      <c r="CG13" s="10">
        <v>2503</v>
      </c>
      <c r="CI13" s="10">
        <v>10</v>
      </c>
      <c r="CJ13" s="10">
        <v>10</v>
      </c>
      <c r="CK13" s="3">
        <v>0</v>
      </c>
      <c r="CM13" s="3">
        <v>0.53</v>
      </c>
      <c r="CN13" s="10">
        <v>51</v>
      </c>
      <c r="CO13" s="52">
        <v>10.7</v>
      </c>
      <c r="CP13" s="52">
        <v>3.4</v>
      </c>
      <c r="CQ13" s="3">
        <v>14.91</v>
      </c>
      <c r="CS13" s="10">
        <v>228</v>
      </c>
      <c r="CT13" s="10">
        <v>223</v>
      </c>
      <c r="CU13" s="59">
        <v>12</v>
      </c>
      <c r="CV13" s="10">
        <v>351</v>
      </c>
      <c r="CW13" s="10">
        <v>6</v>
      </c>
      <c r="CX13" s="60">
        <v>190.78</v>
      </c>
      <c r="CY13" s="3">
        <v>18.100000000000001</v>
      </c>
      <c r="CZ13" s="3">
        <v>5.51</v>
      </c>
      <c r="DC13" s="24">
        <v>45699.248611111114</v>
      </c>
      <c r="DD13" s="24">
        <v>45699.302083333336</v>
      </c>
      <c r="DF13" s="10">
        <v>265</v>
      </c>
      <c r="DG13" s="24">
        <v>45699.354166666664</v>
      </c>
      <c r="DI13" s="10">
        <v>242</v>
      </c>
      <c r="DJ13" s="58">
        <v>45699.40347222222</v>
      </c>
    </row>
    <row r="14" spans="1:115" x14ac:dyDescent="0.25">
      <c r="B14" s="1">
        <v>10080</v>
      </c>
      <c r="C14" s="12">
        <v>45699</v>
      </c>
      <c r="D14" s="2">
        <v>0.25694444444444448</v>
      </c>
      <c r="E14" s="2">
        <v>0.5</v>
      </c>
      <c r="F14" s="61">
        <v>13.16</v>
      </c>
      <c r="G14" s="10">
        <v>17</v>
      </c>
      <c r="H14" s="61">
        <v>2.79</v>
      </c>
      <c r="I14" s="52">
        <v>79.7</v>
      </c>
      <c r="J14" s="10">
        <v>10</v>
      </c>
      <c r="L14" s="10">
        <v>5</v>
      </c>
      <c r="N14" s="10">
        <v>59</v>
      </c>
      <c r="O14" s="10">
        <v>26</v>
      </c>
      <c r="P14" s="10">
        <v>46.6</v>
      </c>
      <c r="Q14" s="61">
        <v>2.34</v>
      </c>
      <c r="R14" s="52">
        <v>46.2</v>
      </c>
      <c r="S14" s="10">
        <v>10</v>
      </c>
      <c r="T14" s="52">
        <v>64.2</v>
      </c>
      <c r="U14" s="10">
        <v>0</v>
      </c>
      <c r="V14" s="52">
        <v>65.5</v>
      </c>
      <c r="W14" s="10">
        <v>40</v>
      </c>
      <c r="Z14" s="52">
        <v>76</v>
      </c>
      <c r="AA14" s="10">
        <v>101</v>
      </c>
      <c r="AB14" s="10">
        <v>17</v>
      </c>
      <c r="AD14" s="3">
        <v>22.15</v>
      </c>
      <c r="AE14" s="3">
        <v>2.12</v>
      </c>
      <c r="AF14" s="3">
        <v>0.86</v>
      </c>
      <c r="AG14" s="10">
        <v>43</v>
      </c>
      <c r="AH14" s="10">
        <v>1</v>
      </c>
      <c r="AI14" s="10">
        <v>136</v>
      </c>
      <c r="AJ14" s="10">
        <v>260</v>
      </c>
      <c r="AK14" s="3">
        <v>16.23</v>
      </c>
      <c r="AL14" s="61">
        <v>84.47</v>
      </c>
      <c r="AM14" s="61">
        <v>52.31</v>
      </c>
      <c r="AO14" s="10">
        <v>83</v>
      </c>
      <c r="AP14" s="10">
        <v>121</v>
      </c>
      <c r="AQ14" s="52">
        <v>80.099999999999994</v>
      </c>
      <c r="BG14" s="10">
        <v>180</v>
      </c>
      <c r="BJ14" s="10">
        <v>266</v>
      </c>
      <c r="BK14" s="52">
        <v>100.7</v>
      </c>
      <c r="BM14" s="10">
        <v>30</v>
      </c>
      <c r="BN14" s="10">
        <v>45</v>
      </c>
      <c r="BO14" s="10">
        <v>75</v>
      </c>
      <c r="BS14" s="10">
        <v>5</v>
      </c>
      <c r="BT14" s="10">
        <v>10</v>
      </c>
      <c r="BV14" s="61">
        <v>8.65</v>
      </c>
      <c r="BW14" s="61">
        <v>0.65</v>
      </c>
      <c r="BZ14" s="61">
        <v>9.9600000000000009</v>
      </c>
      <c r="CA14" s="10">
        <v>0</v>
      </c>
      <c r="CB14" s="52">
        <v>101</v>
      </c>
      <c r="CG14" s="10">
        <v>2417</v>
      </c>
      <c r="CI14" s="10">
        <v>10</v>
      </c>
      <c r="CJ14" s="10">
        <v>10</v>
      </c>
      <c r="CK14" s="3">
        <v>0</v>
      </c>
      <c r="CM14" s="3">
        <v>0.53</v>
      </c>
      <c r="CN14" s="10">
        <v>53</v>
      </c>
      <c r="CO14" s="52">
        <v>10.7</v>
      </c>
      <c r="CP14" s="52">
        <v>3.4</v>
      </c>
      <c r="CQ14" s="3">
        <v>14.85</v>
      </c>
      <c r="CS14" s="10">
        <v>229</v>
      </c>
      <c r="CT14" s="10">
        <v>215</v>
      </c>
      <c r="CU14" s="59">
        <v>4</v>
      </c>
      <c r="CV14" s="10">
        <v>350</v>
      </c>
      <c r="CW14" s="10">
        <v>7</v>
      </c>
      <c r="CX14" s="60">
        <v>107.52</v>
      </c>
      <c r="CY14" s="3">
        <v>17.97</v>
      </c>
      <c r="CZ14" s="3">
        <v>5.52</v>
      </c>
      <c r="DC14" s="24">
        <v>45699.350694444445</v>
      </c>
      <c r="DD14" s="24">
        <v>45699.397222222222</v>
      </c>
      <c r="DF14" s="10">
        <v>266</v>
      </c>
      <c r="DG14" s="24">
        <v>45699.449305555558</v>
      </c>
      <c r="DI14" s="10">
        <v>243</v>
      </c>
      <c r="DJ14" s="58">
        <v>45699.5</v>
      </c>
    </row>
    <row r="15" spans="1:115" x14ac:dyDescent="0.25">
      <c r="B15" s="1">
        <v>10081</v>
      </c>
      <c r="C15" s="12">
        <v>45699</v>
      </c>
      <c r="D15" s="2">
        <v>0.35416666666666669</v>
      </c>
      <c r="E15" s="2">
        <v>0.59861111111111098</v>
      </c>
      <c r="F15" s="61">
        <v>12.99</v>
      </c>
      <c r="G15" s="10">
        <v>17</v>
      </c>
      <c r="H15" s="61">
        <v>2.82</v>
      </c>
      <c r="I15" s="52">
        <v>79.7</v>
      </c>
      <c r="J15" s="10">
        <v>10</v>
      </c>
      <c r="L15" s="10">
        <v>3</v>
      </c>
      <c r="N15" s="10">
        <v>59</v>
      </c>
      <c r="O15" s="10">
        <v>25</v>
      </c>
      <c r="P15" s="10">
        <v>46.6</v>
      </c>
      <c r="Q15" s="61">
        <v>2.34</v>
      </c>
      <c r="R15" s="52">
        <v>46.2</v>
      </c>
      <c r="S15" s="10">
        <v>10</v>
      </c>
      <c r="T15" s="52">
        <v>64.400000000000006</v>
      </c>
      <c r="U15" s="10">
        <v>0</v>
      </c>
      <c r="V15" s="52">
        <v>65.400000000000006</v>
      </c>
      <c r="W15" s="10">
        <v>40</v>
      </c>
      <c r="Z15" s="52">
        <v>76</v>
      </c>
      <c r="AA15" s="10">
        <v>116</v>
      </c>
      <c r="AB15" s="10">
        <v>7</v>
      </c>
      <c r="AC15" s="52">
        <v>1.6</v>
      </c>
      <c r="AD15" s="3">
        <v>22.18</v>
      </c>
      <c r="AE15" s="3">
        <v>2.29</v>
      </c>
      <c r="AF15" s="3">
        <v>0.9</v>
      </c>
      <c r="AG15" s="10">
        <v>43</v>
      </c>
      <c r="AH15" s="10">
        <v>1</v>
      </c>
      <c r="AI15" s="10">
        <v>136</v>
      </c>
      <c r="AJ15" s="10">
        <v>260</v>
      </c>
      <c r="AK15" s="3">
        <v>16.23</v>
      </c>
      <c r="AL15" s="61">
        <v>84.47</v>
      </c>
      <c r="AM15" s="61">
        <v>52.31</v>
      </c>
      <c r="AO15" s="10">
        <v>83</v>
      </c>
      <c r="AP15" s="10">
        <v>111</v>
      </c>
      <c r="AQ15" s="52">
        <v>80.099999999999994</v>
      </c>
      <c r="BG15" s="10">
        <v>180</v>
      </c>
      <c r="BJ15" s="10">
        <v>266</v>
      </c>
      <c r="BK15" s="52">
        <v>100.7</v>
      </c>
      <c r="BM15" s="10">
        <v>30</v>
      </c>
      <c r="BN15" s="10">
        <v>45</v>
      </c>
      <c r="BO15" s="10">
        <v>75</v>
      </c>
      <c r="BS15" s="10">
        <v>5</v>
      </c>
      <c r="BT15" s="10">
        <v>10</v>
      </c>
      <c r="BV15" s="61">
        <v>7.89</v>
      </c>
      <c r="BW15" s="61">
        <v>0.11</v>
      </c>
      <c r="BZ15" s="61">
        <v>9.2100000000000009</v>
      </c>
      <c r="CA15" s="10">
        <v>0</v>
      </c>
      <c r="CB15" s="52">
        <v>101</v>
      </c>
      <c r="CG15" s="10">
        <v>2459</v>
      </c>
      <c r="CI15" s="10">
        <v>10</v>
      </c>
      <c r="CJ15" s="10">
        <v>10</v>
      </c>
      <c r="CK15" s="3">
        <v>0</v>
      </c>
      <c r="CM15" s="3">
        <v>0.53</v>
      </c>
      <c r="CN15" s="10">
        <v>52</v>
      </c>
      <c r="CO15" s="52">
        <v>10.6</v>
      </c>
      <c r="CP15" s="52">
        <v>3.4</v>
      </c>
      <c r="CQ15" s="3">
        <v>14.6</v>
      </c>
      <c r="CS15" s="10">
        <v>231</v>
      </c>
      <c r="CT15" s="10">
        <v>212</v>
      </c>
      <c r="CU15" s="59">
        <v>1</v>
      </c>
      <c r="CV15" s="10">
        <v>352</v>
      </c>
      <c r="CW15" s="10">
        <v>5</v>
      </c>
      <c r="CX15" s="60">
        <v>23.39</v>
      </c>
      <c r="CY15" s="3">
        <v>17.899999999999999</v>
      </c>
      <c r="CZ15" s="3">
        <v>5.54</v>
      </c>
      <c r="DC15" s="24">
        <v>45699.451388888891</v>
      </c>
      <c r="DD15" s="24">
        <v>45699.496527777781</v>
      </c>
      <c r="DF15" s="10">
        <v>266</v>
      </c>
      <c r="DG15" s="24">
        <v>45699.548611111109</v>
      </c>
      <c r="DI15" s="10">
        <v>245</v>
      </c>
      <c r="DJ15" s="58">
        <v>45699.598611111112</v>
      </c>
    </row>
    <row r="16" spans="1:115" x14ac:dyDescent="0.25">
      <c r="B16" s="1">
        <v>10082</v>
      </c>
      <c r="C16" s="12">
        <v>45699</v>
      </c>
      <c r="D16" s="2">
        <v>0.46180555555555558</v>
      </c>
      <c r="E16" s="2">
        <v>0.6958333333333333</v>
      </c>
      <c r="F16" s="61">
        <v>13.33</v>
      </c>
      <c r="G16" s="10">
        <v>17</v>
      </c>
      <c r="H16" s="61">
        <v>2.84</v>
      </c>
      <c r="I16" s="52">
        <v>79.7</v>
      </c>
      <c r="J16" s="10">
        <v>10</v>
      </c>
      <c r="L16" s="10">
        <v>3</v>
      </c>
      <c r="N16" s="10">
        <v>58</v>
      </c>
      <c r="O16" s="10">
        <v>25</v>
      </c>
      <c r="P16" s="10">
        <v>46.6</v>
      </c>
      <c r="Q16" s="61">
        <v>2.34</v>
      </c>
      <c r="R16" s="52">
        <v>46.2</v>
      </c>
      <c r="S16" s="10">
        <v>10</v>
      </c>
      <c r="T16" s="52">
        <v>64.2</v>
      </c>
      <c r="U16" s="10">
        <v>0</v>
      </c>
      <c r="V16" s="52">
        <v>65.400000000000006</v>
      </c>
      <c r="W16" s="10">
        <v>40</v>
      </c>
      <c r="Z16" s="52">
        <v>76</v>
      </c>
      <c r="AA16" s="10">
        <v>101</v>
      </c>
      <c r="AB16" s="10">
        <v>5</v>
      </c>
      <c r="AC16" s="52">
        <v>13.1</v>
      </c>
      <c r="AD16" s="3">
        <v>22.2</v>
      </c>
      <c r="AE16" s="3">
        <v>2.2999999999999998</v>
      </c>
      <c r="AF16" s="3">
        <v>0.71</v>
      </c>
      <c r="AG16" s="10">
        <v>43</v>
      </c>
      <c r="AH16" s="10">
        <v>1</v>
      </c>
      <c r="AI16" s="10">
        <v>136</v>
      </c>
      <c r="AJ16" s="10">
        <v>260</v>
      </c>
      <c r="AK16" s="3">
        <v>16.23</v>
      </c>
      <c r="AL16" s="61">
        <v>84.47</v>
      </c>
      <c r="AM16" s="61">
        <v>52.31</v>
      </c>
      <c r="AO16" s="10">
        <v>82</v>
      </c>
      <c r="AP16" s="10">
        <v>108</v>
      </c>
      <c r="AQ16" s="52">
        <v>80.099999999999994</v>
      </c>
      <c r="BG16" s="10">
        <v>180</v>
      </c>
      <c r="BJ16" s="10">
        <v>267</v>
      </c>
      <c r="BK16" s="52">
        <v>100.7</v>
      </c>
      <c r="BM16" s="10">
        <v>30</v>
      </c>
      <c r="BN16" s="10">
        <v>45</v>
      </c>
      <c r="BO16" s="10">
        <v>75</v>
      </c>
      <c r="BS16" s="10">
        <v>5</v>
      </c>
      <c r="BT16" s="10">
        <v>10</v>
      </c>
      <c r="BV16" s="61">
        <v>7.49</v>
      </c>
      <c r="BW16" s="61">
        <v>0.51</v>
      </c>
      <c r="BZ16" s="61">
        <v>9.18</v>
      </c>
      <c r="CA16" s="10">
        <v>0</v>
      </c>
      <c r="CB16" s="52">
        <v>101</v>
      </c>
      <c r="CG16" s="10">
        <v>2256</v>
      </c>
      <c r="CI16" s="10">
        <v>10</v>
      </c>
      <c r="CJ16" s="10">
        <v>10</v>
      </c>
      <c r="CK16" s="3">
        <v>0</v>
      </c>
      <c r="CM16" s="3">
        <v>0.52</v>
      </c>
      <c r="CN16" s="10">
        <v>52</v>
      </c>
      <c r="CO16" s="52">
        <v>10.6</v>
      </c>
      <c r="CP16" s="52">
        <v>3.9</v>
      </c>
      <c r="CQ16" s="3">
        <v>16.809999999999999</v>
      </c>
      <c r="CS16" s="10">
        <v>232</v>
      </c>
      <c r="CT16" s="10">
        <v>214</v>
      </c>
      <c r="CU16" s="59">
        <v>3</v>
      </c>
      <c r="CV16" s="10">
        <v>337</v>
      </c>
      <c r="CW16" s="10">
        <v>20</v>
      </c>
      <c r="CX16" s="60">
        <v>83.8</v>
      </c>
      <c r="CY16" s="3">
        <v>17.899999999999999</v>
      </c>
      <c r="CZ16" s="3">
        <v>5.53</v>
      </c>
      <c r="DC16" s="24">
        <v>45699.547222222223</v>
      </c>
      <c r="DD16" s="24">
        <v>45699.59375</v>
      </c>
      <c r="DF16" s="10">
        <v>267</v>
      </c>
      <c r="DG16" s="24">
        <v>45699.645833333336</v>
      </c>
      <c r="DI16" s="10">
        <v>247</v>
      </c>
      <c r="DJ16" s="58">
        <v>45699.695833333331</v>
      </c>
    </row>
    <row r="17" spans="2:114" x14ac:dyDescent="0.25">
      <c r="B17" s="1">
        <v>10083</v>
      </c>
      <c r="C17" s="12">
        <v>45699</v>
      </c>
      <c r="D17" s="2">
        <v>0.57291666666666663</v>
      </c>
      <c r="E17" s="2">
        <v>0.80694444444444446</v>
      </c>
      <c r="F17" s="61">
        <v>13.41</v>
      </c>
      <c r="G17" s="10">
        <v>18</v>
      </c>
      <c r="H17" s="61">
        <v>2.83</v>
      </c>
      <c r="I17" s="52">
        <v>79.8</v>
      </c>
      <c r="J17" s="10">
        <v>10</v>
      </c>
      <c r="L17" s="10">
        <v>4</v>
      </c>
      <c r="N17" s="10">
        <v>59</v>
      </c>
      <c r="O17" s="10">
        <v>24</v>
      </c>
      <c r="P17" s="10">
        <v>46.6</v>
      </c>
      <c r="Q17" s="61">
        <v>2.35</v>
      </c>
      <c r="R17" s="52">
        <v>46.3</v>
      </c>
      <c r="S17" s="10">
        <v>10</v>
      </c>
      <c r="T17" s="52">
        <v>64.099999999999994</v>
      </c>
      <c r="U17" s="10">
        <v>0</v>
      </c>
      <c r="V17" s="52">
        <v>65.3</v>
      </c>
      <c r="W17" s="10">
        <v>40</v>
      </c>
      <c r="Z17" s="52">
        <v>76</v>
      </c>
      <c r="AA17" s="10">
        <v>99</v>
      </c>
      <c r="AB17" s="10">
        <v>8</v>
      </c>
      <c r="AC17" s="52">
        <v>10</v>
      </c>
      <c r="AD17" s="3">
        <v>22.1</v>
      </c>
      <c r="AE17" s="3">
        <v>2.7</v>
      </c>
      <c r="AG17" s="10">
        <v>43</v>
      </c>
      <c r="AH17" s="10">
        <v>1</v>
      </c>
      <c r="AI17" s="10">
        <v>136</v>
      </c>
      <c r="AJ17" s="10">
        <v>260</v>
      </c>
      <c r="AK17" s="3">
        <v>16.23</v>
      </c>
      <c r="AL17" s="61">
        <v>84.47</v>
      </c>
      <c r="AM17" s="61">
        <v>52.31</v>
      </c>
      <c r="AO17" s="10">
        <v>81</v>
      </c>
      <c r="AP17" s="10">
        <v>110</v>
      </c>
      <c r="AQ17" s="52">
        <v>80.099999999999994</v>
      </c>
      <c r="BG17" s="10">
        <v>180</v>
      </c>
      <c r="BJ17" s="10">
        <v>267</v>
      </c>
      <c r="BK17" s="52">
        <v>100.7</v>
      </c>
      <c r="BM17" s="10">
        <v>30</v>
      </c>
      <c r="BN17" s="10">
        <v>45</v>
      </c>
      <c r="BO17" s="10">
        <v>75</v>
      </c>
      <c r="BS17" s="10">
        <v>5</v>
      </c>
      <c r="BT17" s="10">
        <v>10</v>
      </c>
      <c r="BV17" s="61">
        <v>8.24</v>
      </c>
      <c r="BW17" s="61">
        <v>0.24</v>
      </c>
      <c r="BZ17" s="61">
        <v>9.18</v>
      </c>
      <c r="CA17" s="10">
        <v>0</v>
      </c>
      <c r="CB17" s="52">
        <v>101</v>
      </c>
      <c r="CG17" s="10">
        <v>2203</v>
      </c>
      <c r="CI17" s="10">
        <v>10</v>
      </c>
      <c r="CJ17" s="10">
        <v>10</v>
      </c>
      <c r="CK17" s="3">
        <v>0</v>
      </c>
      <c r="CM17" s="3">
        <v>0.52</v>
      </c>
      <c r="CN17" s="10">
        <v>52</v>
      </c>
      <c r="CO17" s="52">
        <v>10.8</v>
      </c>
      <c r="CP17" s="52">
        <v>3.9</v>
      </c>
      <c r="CQ17" s="3">
        <v>16.809999999999999</v>
      </c>
      <c r="CS17" s="10">
        <v>232</v>
      </c>
      <c r="CT17" s="10">
        <v>212</v>
      </c>
      <c r="CU17" s="59">
        <v>1</v>
      </c>
      <c r="CV17" s="10">
        <v>337</v>
      </c>
      <c r="CW17" s="10">
        <v>20</v>
      </c>
      <c r="CX17" s="60">
        <v>36.83</v>
      </c>
      <c r="CY17" s="3">
        <v>18</v>
      </c>
      <c r="CZ17" s="3">
        <v>5.53</v>
      </c>
      <c r="DC17" s="24">
        <v>45699.659722222219</v>
      </c>
      <c r="DD17" s="24">
        <v>45699.704861111109</v>
      </c>
      <c r="DF17" s="10">
        <v>267</v>
      </c>
      <c r="DG17" s="24">
        <v>45699.756944444445</v>
      </c>
      <c r="DI17" s="10">
        <v>245</v>
      </c>
      <c r="DJ17" s="58">
        <v>45699.806944444441</v>
      </c>
    </row>
    <row r="18" spans="2:114" x14ac:dyDescent="0.25">
      <c r="B18" s="1">
        <v>10084</v>
      </c>
      <c r="C18" s="12">
        <v>45699</v>
      </c>
      <c r="D18" s="2">
        <v>0.69791666666666663</v>
      </c>
      <c r="E18" s="2">
        <v>0.94166666666666665</v>
      </c>
      <c r="F18" s="61">
        <v>13.4</v>
      </c>
      <c r="G18" s="10">
        <v>17</v>
      </c>
      <c r="H18" s="61">
        <v>2.82</v>
      </c>
      <c r="I18" s="52">
        <v>79.8</v>
      </c>
      <c r="J18" s="10">
        <v>10</v>
      </c>
      <c r="L18" s="10">
        <v>4</v>
      </c>
      <c r="N18" s="10">
        <v>65</v>
      </c>
      <c r="O18" s="10">
        <v>28</v>
      </c>
      <c r="P18" s="10">
        <v>46.6</v>
      </c>
      <c r="Q18" s="61">
        <v>2.39</v>
      </c>
      <c r="R18" s="52">
        <v>45.9</v>
      </c>
      <c r="S18" s="10">
        <v>6</v>
      </c>
      <c r="T18" s="52">
        <v>63</v>
      </c>
      <c r="U18" s="10">
        <v>116</v>
      </c>
      <c r="V18" s="52">
        <v>65.8</v>
      </c>
      <c r="W18" s="10">
        <v>40</v>
      </c>
      <c r="Z18" s="52">
        <v>76</v>
      </c>
      <c r="AA18" s="10">
        <v>107</v>
      </c>
      <c r="AB18" s="10">
        <v>8</v>
      </c>
      <c r="AC18" s="52">
        <v>10</v>
      </c>
      <c r="AD18" s="3">
        <v>22.3</v>
      </c>
      <c r="AE18" s="3">
        <v>1.53</v>
      </c>
      <c r="AG18" s="10">
        <v>40</v>
      </c>
      <c r="AH18" s="10">
        <v>2</v>
      </c>
      <c r="AI18" s="10">
        <v>136</v>
      </c>
      <c r="AJ18" s="10">
        <v>259</v>
      </c>
      <c r="AK18" s="3">
        <v>16.23</v>
      </c>
      <c r="AL18" s="61">
        <v>83.44</v>
      </c>
      <c r="AM18" s="61">
        <v>52.51</v>
      </c>
      <c r="AO18" s="10">
        <v>87</v>
      </c>
      <c r="AP18" s="10">
        <v>115</v>
      </c>
      <c r="AQ18" s="52">
        <v>80.099999999999994</v>
      </c>
      <c r="BG18" s="10">
        <v>180</v>
      </c>
      <c r="BJ18" s="10">
        <v>266</v>
      </c>
      <c r="BK18" s="52">
        <v>100.7</v>
      </c>
      <c r="BM18" s="10">
        <v>30</v>
      </c>
      <c r="BN18" s="10">
        <v>45</v>
      </c>
      <c r="BO18" s="10">
        <v>75</v>
      </c>
      <c r="BS18" s="10">
        <v>5</v>
      </c>
      <c r="BT18" s="10">
        <v>10</v>
      </c>
      <c r="BV18" s="61">
        <v>8.65</v>
      </c>
      <c r="BW18" s="61">
        <v>0.65</v>
      </c>
      <c r="BZ18" s="61">
        <v>9.59</v>
      </c>
      <c r="CA18" s="10">
        <v>0</v>
      </c>
      <c r="CB18" s="52">
        <v>101</v>
      </c>
      <c r="CG18" s="10">
        <v>2178</v>
      </c>
      <c r="CI18" s="10">
        <v>10</v>
      </c>
      <c r="CJ18" s="10">
        <v>10</v>
      </c>
      <c r="CK18" s="3">
        <v>0</v>
      </c>
      <c r="CM18" s="3">
        <v>0.53</v>
      </c>
      <c r="CN18" s="10">
        <v>51</v>
      </c>
      <c r="CO18" s="52">
        <v>10.5</v>
      </c>
      <c r="CP18" s="52">
        <v>3.3</v>
      </c>
      <c r="CQ18" s="3">
        <v>14.35</v>
      </c>
      <c r="CS18" s="10">
        <v>230</v>
      </c>
      <c r="CT18" s="10">
        <v>219</v>
      </c>
      <c r="CU18" s="59">
        <v>8</v>
      </c>
      <c r="CV18" s="10">
        <v>351</v>
      </c>
      <c r="CW18" s="10">
        <v>6</v>
      </c>
      <c r="CX18" s="60">
        <v>147.52000000000001</v>
      </c>
      <c r="CY18" s="3">
        <v>17.8</v>
      </c>
      <c r="CZ18" s="3">
        <v>5.52</v>
      </c>
      <c r="DC18" s="24">
        <v>45699.789583333331</v>
      </c>
      <c r="DD18" s="24">
        <v>45699.840277777781</v>
      </c>
      <c r="DF18" s="10">
        <v>266</v>
      </c>
      <c r="DG18" s="24">
        <v>45699.892361111109</v>
      </c>
      <c r="DI18" s="10">
        <v>243</v>
      </c>
      <c r="DJ18" s="58">
        <v>45699.941666666666</v>
      </c>
    </row>
    <row r="19" spans="2:114" x14ac:dyDescent="0.25">
      <c r="B19" s="1">
        <v>10086</v>
      </c>
      <c r="C19" s="12">
        <v>45699</v>
      </c>
      <c r="D19" s="2">
        <v>0.89236111111111116</v>
      </c>
      <c r="E19" s="2">
        <v>0.12638888888888891</v>
      </c>
      <c r="F19" s="61">
        <v>12.84</v>
      </c>
      <c r="G19" s="10">
        <v>18</v>
      </c>
      <c r="H19" s="61">
        <v>2.85</v>
      </c>
      <c r="I19" s="52">
        <v>79.599999999999994</v>
      </c>
      <c r="J19" s="10">
        <v>10</v>
      </c>
      <c r="L19" s="10">
        <v>6</v>
      </c>
      <c r="N19" s="10">
        <v>58</v>
      </c>
      <c r="O19" s="10">
        <v>25</v>
      </c>
      <c r="P19" s="10">
        <v>46.6</v>
      </c>
      <c r="Q19" s="61">
        <v>2.35</v>
      </c>
      <c r="R19" s="52">
        <v>46.5</v>
      </c>
      <c r="S19" s="10">
        <v>10</v>
      </c>
      <c r="T19" s="52">
        <v>64.3</v>
      </c>
      <c r="U19" s="10">
        <v>0</v>
      </c>
      <c r="V19" s="52">
        <v>65.5</v>
      </c>
      <c r="W19" s="10">
        <v>45</v>
      </c>
      <c r="Z19" s="52">
        <v>76</v>
      </c>
      <c r="AA19" s="10">
        <v>97</v>
      </c>
      <c r="AB19" s="10">
        <v>8</v>
      </c>
      <c r="AC19" s="52">
        <v>13.5</v>
      </c>
      <c r="AD19" s="3">
        <v>22.14</v>
      </c>
      <c r="AE19" s="3">
        <v>2.25</v>
      </c>
      <c r="AF19" s="3">
        <v>0.71</v>
      </c>
      <c r="AG19" s="10">
        <v>40</v>
      </c>
      <c r="AH19" s="10">
        <v>1</v>
      </c>
      <c r="AI19" s="10">
        <v>136</v>
      </c>
      <c r="AJ19" s="10">
        <v>258</v>
      </c>
      <c r="AK19" s="3">
        <v>16.23</v>
      </c>
      <c r="AL19" s="61">
        <v>84.47</v>
      </c>
      <c r="AM19" s="61">
        <v>52.71</v>
      </c>
      <c r="AO19" s="10">
        <v>82</v>
      </c>
      <c r="AP19" s="10">
        <v>107</v>
      </c>
      <c r="AQ19" s="52">
        <v>80.099999999999994</v>
      </c>
      <c r="BG19" s="10">
        <v>180</v>
      </c>
      <c r="BJ19" s="10">
        <v>266</v>
      </c>
      <c r="BK19" s="52">
        <v>100.7</v>
      </c>
      <c r="BM19" s="10">
        <v>30</v>
      </c>
      <c r="BN19" s="10">
        <v>45</v>
      </c>
      <c r="BO19" s="10">
        <v>75</v>
      </c>
      <c r="BS19" s="10">
        <v>5</v>
      </c>
      <c r="BT19" s="10">
        <v>10</v>
      </c>
      <c r="BV19" s="61">
        <v>7.89</v>
      </c>
      <c r="BW19" s="61">
        <v>0.11</v>
      </c>
      <c r="BZ19" s="61">
        <v>9.2100000000000009</v>
      </c>
      <c r="CA19" s="10">
        <v>0</v>
      </c>
      <c r="CB19" s="52">
        <v>101</v>
      </c>
      <c r="CG19" s="10">
        <v>2274</v>
      </c>
      <c r="CI19" s="10">
        <v>10</v>
      </c>
      <c r="CJ19" s="10">
        <v>10</v>
      </c>
      <c r="CK19" s="3">
        <v>0</v>
      </c>
      <c r="CM19" s="3">
        <v>0.53</v>
      </c>
      <c r="CN19" s="10">
        <v>52</v>
      </c>
      <c r="CO19" s="52">
        <v>10.5</v>
      </c>
      <c r="CP19" s="52">
        <v>3.4</v>
      </c>
      <c r="CQ19" s="3">
        <v>14.72</v>
      </c>
      <c r="CS19" s="10">
        <v>231</v>
      </c>
      <c r="CT19" s="10">
        <v>214</v>
      </c>
      <c r="CU19" s="59">
        <v>3</v>
      </c>
      <c r="CV19" s="10">
        <v>337</v>
      </c>
      <c r="CW19" s="10">
        <v>20</v>
      </c>
      <c r="CX19" s="60">
        <v>43.39</v>
      </c>
      <c r="CY19" s="3">
        <v>17.77</v>
      </c>
      <c r="CZ19" s="3">
        <v>5.49</v>
      </c>
      <c r="DC19" s="24">
        <v>45699.977777777778</v>
      </c>
      <c r="DD19" s="24">
        <v>45700.024305555555</v>
      </c>
      <c r="DF19" s="10">
        <v>266</v>
      </c>
      <c r="DG19" s="24">
        <v>45700.076388888891</v>
      </c>
      <c r="DI19" s="10">
        <v>245</v>
      </c>
      <c r="DJ19" s="58">
        <v>45700.126388888886</v>
      </c>
    </row>
    <row r="20" spans="2:114" x14ac:dyDescent="0.25">
      <c r="B20" s="1">
        <v>10087</v>
      </c>
      <c r="C20" s="12">
        <v>45699</v>
      </c>
      <c r="D20" s="2">
        <v>0.98958333333333337</v>
      </c>
      <c r="E20" s="2">
        <v>0.22916666666666669</v>
      </c>
      <c r="F20" s="61">
        <v>12.83</v>
      </c>
      <c r="G20" s="10">
        <v>16</v>
      </c>
      <c r="H20" s="61">
        <v>2.88</v>
      </c>
      <c r="I20" s="52">
        <v>79.5</v>
      </c>
      <c r="J20" s="10">
        <v>10</v>
      </c>
      <c r="L20" s="10">
        <v>5</v>
      </c>
      <c r="N20" s="10">
        <v>58</v>
      </c>
      <c r="O20" s="10">
        <v>25</v>
      </c>
      <c r="P20" s="10">
        <v>46.6</v>
      </c>
      <c r="Q20" s="61">
        <v>2.34</v>
      </c>
      <c r="R20" s="52">
        <v>46.5</v>
      </c>
      <c r="S20" s="10">
        <v>10</v>
      </c>
      <c r="T20" s="52">
        <v>64.8</v>
      </c>
      <c r="U20" s="10">
        <v>0</v>
      </c>
      <c r="V20" s="52">
        <v>65.5</v>
      </c>
      <c r="W20" s="10">
        <v>45</v>
      </c>
      <c r="Z20" s="52">
        <v>76.099999999999994</v>
      </c>
      <c r="AA20" s="10">
        <v>101</v>
      </c>
      <c r="AB20" s="10">
        <v>8</v>
      </c>
      <c r="AC20" s="52">
        <v>13.7</v>
      </c>
      <c r="AD20" s="3">
        <v>22.2</v>
      </c>
      <c r="AE20" s="3">
        <v>2.38</v>
      </c>
      <c r="AF20" s="3">
        <v>0.95</v>
      </c>
      <c r="AG20" s="10">
        <v>40</v>
      </c>
      <c r="AH20" s="10">
        <v>2</v>
      </c>
      <c r="AI20" s="10">
        <v>140</v>
      </c>
      <c r="AJ20" s="10">
        <v>258</v>
      </c>
      <c r="AK20" s="3">
        <v>16.23</v>
      </c>
      <c r="AL20" s="61">
        <v>86.96</v>
      </c>
      <c r="AM20" s="61">
        <v>54.26</v>
      </c>
      <c r="AO20" s="10">
        <v>87</v>
      </c>
      <c r="AP20" s="10">
        <v>114</v>
      </c>
      <c r="AQ20" s="52">
        <v>80.099999999999994</v>
      </c>
      <c r="BG20" s="10">
        <v>180</v>
      </c>
      <c r="BJ20" s="10">
        <v>265</v>
      </c>
      <c r="BK20" s="52">
        <v>100.7</v>
      </c>
      <c r="BM20" s="10">
        <v>30</v>
      </c>
      <c r="BN20" s="10">
        <v>45</v>
      </c>
      <c r="BO20" s="10">
        <v>75</v>
      </c>
      <c r="BS20" s="10">
        <v>5</v>
      </c>
      <c r="BT20" s="10">
        <v>10</v>
      </c>
      <c r="BV20" s="61">
        <v>7.92</v>
      </c>
      <c r="BW20" s="61">
        <v>0.08</v>
      </c>
      <c r="BZ20" s="61">
        <v>8.8699999999999992</v>
      </c>
      <c r="CA20" s="10">
        <v>0</v>
      </c>
      <c r="CB20" s="52">
        <v>101</v>
      </c>
      <c r="CG20" s="10">
        <v>2321</v>
      </c>
      <c r="CI20" s="10">
        <v>10</v>
      </c>
      <c r="CJ20" s="10">
        <v>10</v>
      </c>
      <c r="CK20" s="3">
        <v>0</v>
      </c>
      <c r="CM20" s="3">
        <v>0.53</v>
      </c>
      <c r="CN20" s="10">
        <v>52</v>
      </c>
      <c r="CO20" s="52">
        <v>10.7</v>
      </c>
      <c r="CP20" s="52">
        <v>3.4</v>
      </c>
      <c r="CQ20" s="3">
        <v>14.72</v>
      </c>
      <c r="CS20" s="10">
        <v>231</v>
      </c>
      <c r="CT20" s="10">
        <v>220</v>
      </c>
      <c r="CU20" s="59">
        <v>9</v>
      </c>
      <c r="CV20" s="10">
        <v>345</v>
      </c>
      <c r="CW20" s="10">
        <v>12</v>
      </c>
      <c r="CX20" s="60">
        <v>100.41</v>
      </c>
      <c r="CY20" s="3">
        <v>17.78</v>
      </c>
      <c r="CZ20" s="3">
        <v>5.48</v>
      </c>
      <c r="DC20" s="24">
        <v>45700.076388888891</v>
      </c>
      <c r="DD20" s="24">
        <v>45700.127083333333</v>
      </c>
      <c r="DF20" s="10">
        <v>265</v>
      </c>
      <c r="DG20" s="24">
        <v>45700.179166666669</v>
      </c>
      <c r="DI20" s="10">
        <v>244</v>
      </c>
      <c r="DJ20" s="58">
        <v>45700.229166666664</v>
      </c>
    </row>
    <row r="21" spans="2:114" x14ac:dyDescent="0.25">
      <c r="B21" s="1">
        <v>10088</v>
      </c>
      <c r="C21" s="12">
        <v>45700</v>
      </c>
      <c r="D21" s="2">
        <v>8.6805555555555566E-2</v>
      </c>
      <c r="E21" s="2">
        <v>0.32361111111111107</v>
      </c>
      <c r="F21" s="61">
        <v>12.55</v>
      </c>
      <c r="G21" s="10">
        <v>17</v>
      </c>
      <c r="H21" s="61">
        <v>2.88</v>
      </c>
      <c r="I21" s="52">
        <v>79.599999999999994</v>
      </c>
      <c r="J21" s="10">
        <v>10</v>
      </c>
      <c r="L21" s="10">
        <v>4</v>
      </c>
      <c r="N21" s="10">
        <v>58</v>
      </c>
      <c r="O21" s="10">
        <v>24</v>
      </c>
      <c r="P21" s="10">
        <v>46.6</v>
      </c>
      <c r="Q21" s="61">
        <v>2.35</v>
      </c>
      <c r="R21" s="52">
        <v>46.5</v>
      </c>
      <c r="S21" s="10">
        <v>10</v>
      </c>
      <c r="T21" s="52">
        <v>64.8</v>
      </c>
      <c r="U21" s="10">
        <v>0</v>
      </c>
      <c r="V21" s="52">
        <v>65.5</v>
      </c>
      <c r="W21" s="10">
        <v>40</v>
      </c>
      <c r="Z21" s="52">
        <v>76.099999999999994</v>
      </c>
      <c r="AA21" s="10">
        <v>100</v>
      </c>
      <c r="AB21" s="10">
        <v>7</v>
      </c>
      <c r="AC21" s="52">
        <v>12.8</v>
      </c>
      <c r="AD21" s="3">
        <v>22</v>
      </c>
      <c r="AE21" s="3">
        <v>2.27</v>
      </c>
      <c r="AF21" s="3">
        <v>0.67</v>
      </c>
      <c r="AG21" s="10">
        <v>40</v>
      </c>
      <c r="AH21" s="10">
        <v>1</v>
      </c>
      <c r="AI21" s="10">
        <v>136</v>
      </c>
      <c r="AJ21" s="10">
        <v>257</v>
      </c>
      <c r="AK21" s="3">
        <v>16.23</v>
      </c>
      <c r="AL21" s="61">
        <v>84.47</v>
      </c>
      <c r="AM21" s="61">
        <v>52.92</v>
      </c>
      <c r="AO21" s="10">
        <v>83</v>
      </c>
      <c r="AP21" s="10">
        <v>109</v>
      </c>
      <c r="AQ21" s="52">
        <v>80.099999999999994</v>
      </c>
      <c r="BG21" s="10">
        <v>180</v>
      </c>
      <c r="BJ21" s="10">
        <v>265</v>
      </c>
      <c r="BK21" s="52">
        <v>100.7</v>
      </c>
      <c r="BM21" s="10">
        <v>30</v>
      </c>
      <c r="BN21" s="10">
        <v>45</v>
      </c>
      <c r="BO21" s="10">
        <v>75</v>
      </c>
      <c r="BS21" s="10">
        <v>5</v>
      </c>
      <c r="BT21" s="10">
        <v>10</v>
      </c>
      <c r="BV21" s="61">
        <v>7.92</v>
      </c>
      <c r="BW21" s="61">
        <v>0.08</v>
      </c>
      <c r="BZ21" s="61">
        <v>9.25</v>
      </c>
      <c r="CA21" s="10">
        <v>0</v>
      </c>
      <c r="CB21" s="52">
        <v>101</v>
      </c>
      <c r="CG21" s="10">
        <v>2152</v>
      </c>
      <c r="CI21" s="10">
        <v>10</v>
      </c>
      <c r="CJ21" s="10">
        <v>10</v>
      </c>
      <c r="CK21" s="3">
        <v>0</v>
      </c>
      <c r="CM21" s="3">
        <v>0.53</v>
      </c>
      <c r="CN21" s="10">
        <v>51</v>
      </c>
      <c r="CO21" s="52">
        <v>10.5</v>
      </c>
      <c r="CP21" s="52">
        <v>3.5</v>
      </c>
      <c r="CQ21" s="3">
        <v>15.22</v>
      </c>
      <c r="CS21" s="10">
        <v>230</v>
      </c>
      <c r="CT21" s="10">
        <v>217</v>
      </c>
      <c r="CU21" s="59">
        <v>6</v>
      </c>
      <c r="CV21" s="10">
        <v>341</v>
      </c>
      <c r="CW21" s="10">
        <v>16</v>
      </c>
      <c r="CX21" s="60">
        <v>70.41</v>
      </c>
      <c r="CY21" s="3">
        <v>17.89</v>
      </c>
      <c r="CZ21" s="3">
        <v>5.51</v>
      </c>
      <c r="DC21" s="24">
        <v>45700.17291666667</v>
      </c>
      <c r="DD21" s="24">
        <v>45700.222222222219</v>
      </c>
      <c r="DF21" s="10">
        <v>265</v>
      </c>
      <c r="DG21" s="24">
        <v>45700.274305555555</v>
      </c>
      <c r="DI21" s="10">
        <v>244</v>
      </c>
      <c r="DJ21" s="58">
        <v>45700.323611111111</v>
      </c>
    </row>
    <row r="22" spans="2:114" x14ac:dyDescent="0.25">
      <c r="B22" s="1">
        <v>10089</v>
      </c>
      <c r="C22" s="12">
        <v>45700</v>
      </c>
      <c r="D22" s="2">
        <v>0.19791666666666666</v>
      </c>
      <c r="E22" s="2">
        <v>0.4375</v>
      </c>
      <c r="F22" s="61">
        <v>12.11</v>
      </c>
      <c r="G22" s="10">
        <v>16</v>
      </c>
      <c r="H22" s="61">
        <v>2.81</v>
      </c>
      <c r="I22" s="52">
        <v>79.599999999999994</v>
      </c>
      <c r="J22" s="10">
        <v>10</v>
      </c>
      <c r="L22" s="10">
        <v>4</v>
      </c>
      <c r="N22" s="10">
        <v>57</v>
      </c>
      <c r="O22" s="10">
        <v>25</v>
      </c>
      <c r="P22" s="10">
        <v>46.6</v>
      </c>
      <c r="Q22" s="61">
        <v>2.38</v>
      </c>
      <c r="R22" s="52">
        <v>46.5</v>
      </c>
      <c r="S22" s="10">
        <v>10</v>
      </c>
      <c r="T22" s="52">
        <v>64.7</v>
      </c>
      <c r="U22" s="10">
        <v>0</v>
      </c>
      <c r="V22" s="52">
        <v>65.5</v>
      </c>
      <c r="W22" s="10">
        <v>40</v>
      </c>
      <c r="Z22" s="52">
        <v>76</v>
      </c>
      <c r="AA22" s="10">
        <v>100</v>
      </c>
      <c r="AB22" s="10">
        <v>8</v>
      </c>
      <c r="AC22" s="52">
        <v>11.3</v>
      </c>
      <c r="AD22" s="3">
        <v>22.11</v>
      </c>
      <c r="AE22" s="3">
        <v>2.71</v>
      </c>
      <c r="AG22" s="10">
        <v>0</v>
      </c>
      <c r="AH22" s="10">
        <v>1</v>
      </c>
      <c r="AI22" s="10">
        <v>136</v>
      </c>
      <c r="AJ22" s="10">
        <v>262</v>
      </c>
      <c r="AK22" s="3">
        <v>16.23</v>
      </c>
      <c r="AL22" s="61">
        <v>84.47</v>
      </c>
      <c r="AM22" s="61">
        <v>51.91</v>
      </c>
      <c r="AO22" s="10">
        <v>82</v>
      </c>
      <c r="AP22" s="10">
        <v>100</v>
      </c>
      <c r="AQ22" s="52">
        <v>80.099999999999994</v>
      </c>
      <c r="BG22" s="10">
        <v>180</v>
      </c>
      <c r="BJ22" s="10">
        <v>267</v>
      </c>
      <c r="BK22" s="52">
        <v>100.7</v>
      </c>
      <c r="BM22" s="10">
        <v>30</v>
      </c>
      <c r="BN22" s="10">
        <v>45</v>
      </c>
      <c r="BO22" s="10">
        <v>75</v>
      </c>
      <c r="BS22" s="10">
        <v>5</v>
      </c>
      <c r="BT22" s="10">
        <v>10</v>
      </c>
      <c r="BV22" s="61">
        <v>7.49</v>
      </c>
      <c r="BW22" s="61">
        <v>0.51</v>
      </c>
      <c r="BZ22" s="61">
        <v>9.5500000000000007</v>
      </c>
      <c r="CA22" s="10">
        <v>0</v>
      </c>
      <c r="CB22" s="52">
        <v>101</v>
      </c>
      <c r="CG22" s="10">
        <v>2496</v>
      </c>
      <c r="CI22" s="10">
        <v>10</v>
      </c>
      <c r="CJ22" s="10">
        <v>10</v>
      </c>
      <c r="CK22" s="3">
        <v>0</v>
      </c>
      <c r="CM22" s="3">
        <v>0.53</v>
      </c>
      <c r="CN22" s="10">
        <v>55</v>
      </c>
      <c r="CO22" s="52">
        <v>10.6</v>
      </c>
      <c r="CP22" s="52">
        <v>3.5</v>
      </c>
      <c r="CQ22" s="3">
        <v>15.15</v>
      </c>
      <c r="CS22" s="10">
        <v>231</v>
      </c>
      <c r="CT22" s="10">
        <v>221</v>
      </c>
      <c r="CU22" s="59">
        <v>10</v>
      </c>
      <c r="CV22" s="10">
        <v>345</v>
      </c>
      <c r="CW22" s="10">
        <v>12</v>
      </c>
      <c r="CX22" s="60">
        <v>153.80000000000001</v>
      </c>
      <c r="CY22" s="3">
        <v>17.87</v>
      </c>
      <c r="CZ22" s="3">
        <v>5.49</v>
      </c>
      <c r="DC22" s="24">
        <v>45700.28402777778</v>
      </c>
      <c r="DD22" s="24">
        <v>45700.333333333336</v>
      </c>
      <c r="DF22" s="10">
        <v>267</v>
      </c>
      <c r="DG22" s="24">
        <v>45700.385416666664</v>
      </c>
      <c r="DI22" s="10">
        <v>247</v>
      </c>
      <c r="DJ22" s="58">
        <v>45700.4375</v>
      </c>
    </row>
    <row r="23" spans="2:114" x14ac:dyDescent="0.25">
      <c r="B23" s="1">
        <v>10090</v>
      </c>
      <c r="C23" s="12">
        <v>45706</v>
      </c>
      <c r="D23" s="2">
        <v>0</v>
      </c>
      <c r="E23" s="2">
        <v>0.2722222222222222</v>
      </c>
      <c r="F23" s="61">
        <v>13.49</v>
      </c>
      <c r="G23" s="10">
        <v>19</v>
      </c>
      <c r="H23" s="61">
        <v>2.83</v>
      </c>
      <c r="I23" s="52">
        <v>79.7</v>
      </c>
      <c r="J23" s="10">
        <v>10</v>
      </c>
      <c r="L23" s="10">
        <v>1</v>
      </c>
      <c r="N23" s="10">
        <v>61</v>
      </c>
      <c r="O23" s="10">
        <v>25</v>
      </c>
      <c r="P23" s="10">
        <v>46.6</v>
      </c>
      <c r="Q23" s="61">
        <v>2.2799999999999998</v>
      </c>
      <c r="R23" s="52">
        <v>45.1</v>
      </c>
      <c r="S23" s="10">
        <v>10</v>
      </c>
      <c r="T23" s="52">
        <v>62.8</v>
      </c>
      <c r="U23" s="10">
        <v>30</v>
      </c>
      <c r="V23" s="52">
        <v>65.5</v>
      </c>
      <c r="W23" s="10">
        <v>40</v>
      </c>
      <c r="Z23" s="52">
        <v>76</v>
      </c>
      <c r="AA23" s="10">
        <v>104</v>
      </c>
      <c r="AB23" s="10">
        <v>8</v>
      </c>
      <c r="AC23" s="52">
        <v>12.6</v>
      </c>
      <c r="AD23" s="3">
        <v>22.74</v>
      </c>
      <c r="AE23" s="3">
        <v>1.82</v>
      </c>
      <c r="AF23" s="3">
        <v>0.75</v>
      </c>
      <c r="AG23" s="10">
        <v>42</v>
      </c>
      <c r="AH23" s="10">
        <v>2</v>
      </c>
      <c r="AI23" s="10">
        <v>120</v>
      </c>
      <c r="AJ23" s="10">
        <v>258</v>
      </c>
      <c r="AK23" s="3">
        <v>16.23</v>
      </c>
      <c r="AL23" s="61">
        <v>74.53</v>
      </c>
      <c r="AM23" s="61">
        <v>46.51</v>
      </c>
      <c r="AO23" s="10">
        <v>86</v>
      </c>
      <c r="AP23" s="10">
        <v>115</v>
      </c>
      <c r="AQ23" s="52">
        <v>80.099999999999994</v>
      </c>
      <c r="BG23" s="10">
        <v>180</v>
      </c>
      <c r="BJ23" s="10">
        <v>260</v>
      </c>
      <c r="BK23" s="52">
        <v>100.7</v>
      </c>
      <c r="BM23" s="10">
        <v>30</v>
      </c>
      <c r="BN23" s="10">
        <v>45</v>
      </c>
      <c r="BO23" s="10">
        <v>75</v>
      </c>
      <c r="BS23" s="10">
        <v>5</v>
      </c>
      <c r="BT23" s="10">
        <v>10</v>
      </c>
      <c r="BV23" s="61">
        <v>5.77</v>
      </c>
      <c r="BW23" s="61">
        <v>2.23</v>
      </c>
      <c r="BZ23" s="61">
        <v>8.27</v>
      </c>
      <c r="CA23" s="10">
        <v>0</v>
      </c>
      <c r="CB23" s="52">
        <v>101</v>
      </c>
      <c r="CG23" s="10">
        <v>2249</v>
      </c>
      <c r="CI23" s="10">
        <v>10</v>
      </c>
      <c r="CJ23" s="10">
        <v>10</v>
      </c>
      <c r="CK23" s="3">
        <v>0</v>
      </c>
      <c r="CM23" s="3">
        <v>0.7</v>
      </c>
      <c r="CN23" s="10">
        <v>80</v>
      </c>
      <c r="CO23" s="52">
        <v>10.6</v>
      </c>
      <c r="CP23" s="52">
        <v>3.9</v>
      </c>
      <c r="CQ23" s="3">
        <v>17.11</v>
      </c>
      <c r="CS23" s="10">
        <v>228</v>
      </c>
      <c r="CT23" s="10">
        <v>261</v>
      </c>
      <c r="CU23" s="59">
        <v>50</v>
      </c>
      <c r="CV23" s="10">
        <v>392</v>
      </c>
      <c r="CW23" s="10">
        <v>35</v>
      </c>
      <c r="CX23" s="60">
        <v>725.94</v>
      </c>
      <c r="CY23" s="3">
        <v>17.75</v>
      </c>
      <c r="CZ23" s="3">
        <v>5.5</v>
      </c>
      <c r="DC23" s="24">
        <v>45706.09097222222</v>
      </c>
      <c r="DD23" s="24">
        <v>45706.150694444441</v>
      </c>
      <c r="DF23" s="10">
        <v>260</v>
      </c>
      <c r="DG23" s="24">
        <v>45706.202777777777</v>
      </c>
      <c r="DI23" s="10">
        <v>245</v>
      </c>
      <c r="DJ23" s="58">
        <v>45706.272222222222</v>
      </c>
    </row>
    <row r="24" spans="2:114" x14ac:dyDescent="0.25">
      <c r="B24" s="1">
        <v>10091</v>
      </c>
      <c r="C24" s="12">
        <v>45706</v>
      </c>
      <c r="D24" s="2">
        <v>9.7222222222222224E-2</v>
      </c>
      <c r="E24" s="2">
        <v>0.34861111111111104</v>
      </c>
      <c r="F24" s="61">
        <v>11.01</v>
      </c>
      <c r="G24" s="10">
        <v>17</v>
      </c>
      <c r="H24" s="61">
        <v>2.9</v>
      </c>
      <c r="I24" s="52">
        <v>79.8</v>
      </c>
      <c r="J24" s="10">
        <v>10</v>
      </c>
      <c r="L24" s="10">
        <v>2</v>
      </c>
      <c r="N24" s="10">
        <v>57</v>
      </c>
      <c r="O24" s="10">
        <v>24</v>
      </c>
      <c r="P24" s="10">
        <v>46.6</v>
      </c>
      <c r="Q24" s="61">
        <v>2.29</v>
      </c>
      <c r="R24" s="52">
        <v>45.7</v>
      </c>
      <c r="S24" s="10">
        <v>10</v>
      </c>
      <c r="T24" s="52">
        <v>64.2</v>
      </c>
      <c r="U24" s="10">
        <v>0</v>
      </c>
      <c r="V24" s="52">
        <v>65.099999999999994</v>
      </c>
      <c r="W24" s="10">
        <v>40</v>
      </c>
      <c r="Z24" s="52">
        <v>76</v>
      </c>
      <c r="AA24" s="10">
        <v>99</v>
      </c>
      <c r="AB24" s="10">
        <v>8</v>
      </c>
      <c r="AC24" s="52">
        <v>11.1</v>
      </c>
      <c r="AD24" s="3">
        <v>22.4</v>
      </c>
      <c r="AE24" s="3">
        <v>1.6</v>
      </c>
      <c r="AF24" s="3">
        <v>0.65</v>
      </c>
      <c r="AG24" s="10">
        <v>43</v>
      </c>
      <c r="AH24" s="10">
        <v>1</v>
      </c>
      <c r="AI24" s="10">
        <v>120</v>
      </c>
      <c r="AJ24" s="10">
        <v>258</v>
      </c>
      <c r="AK24" s="3">
        <v>16.23</v>
      </c>
      <c r="AL24" s="61">
        <v>74.53</v>
      </c>
      <c r="AM24" s="61">
        <v>46.51</v>
      </c>
      <c r="AO24" s="10">
        <v>97</v>
      </c>
      <c r="AP24" s="10">
        <v>126</v>
      </c>
      <c r="AQ24" s="52">
        <v>80.099999999999994</v>
      </c>
      <c r="BG24" s="10">
        <v>180</v>
      </c>
      <c r="BJ24" s="10">
        <v>262</v>
      </c>
      <c r="BK24" s="52">
        <v>100.7</v>
      </c>
      <c r="BM24" s="10">
        <v>30</v>
      </c>
      <c r="BN24" s="10">
        <v>45</v>
      </c>
      <c r="BO24" s="10">
        <v>75</v>
      </c>
      <c r="BS24" s="10">
        <v>5</v>
      </c>
      <c r="BT24" s="10">
        <v>10</v>
      </c>
      <c r="BV24" s="61">
        <v>7.63</v>
      </c>
      <c r="BW24" s="61">
        <v>0.37</v>
      </c>
      <c r="BZ24" s="61">
        <v>8.59</v>
      </c>
      <c r="CA24" s="10">
        <v>0</v>
      </c>
      <c r="CB24" s="52">
        <v>101</v>
      </c>
      <c r="CG24" s="10">
        <v>2311</v>
      </c>
      <c r="CI24" s="10">
        <v>10</v>
      </c>
      <c r="CJ24" s="10">
        <v>10</v>
      </c>
      <c r="CK24" s="3">
        <v>0</v>
      </c>
      <c r="CM24" s="3">
        <v>0.5</v>
      </c>
      <c r="CN24" s="10">
        <v>51</v>
      </c>
      <c r="CO24" s="52">
        <v>10.6</v>
      </c>
      <c r="CP24" s="52">
        <v>3.9</v>
      </c>
      <c r="CQ24" s="3">
        <v>17.03</v>
      </c>
      <c r="CS24" s="10">
        <v>229</v>
      </c>
      <c r="CT24" s="10">
        <v>238</v>
      </c>
      <c r="CU24" s="59">
        <v>27</v>
      </c>
      <c r="CV24" s="10">
        <v>362</v>
      </c>
      <c r="CW24" s="10">
        <v>5</v>
      </c>
      <c r="CX24" s="60">
        <v>309.5</v>
      </c>
      <c r="CY24" s="3">
        <v>18</v>
      </c>
      <c r="CZ24" s="3">
        <v>5.5</v>
      </c>
      <c r="DC24" s="24">
        <v>45707.213194444441</v>
      </c>
      <c r="DD24" s="24">
        <v>45707.259722222225</v>
      </c>
      <c r="DF24" s="10">
        <v>266</v>
      </c>
      <c r="DG24" s="24">
        <v>45707.311805555553</v>
      </c>
      <c r="DI24" s="10">
        <v>242</v>
      </c>
      <c r="DJ24" s="58">
        <v>45707.361111111109</v>
      </c>
    </row>
    <row r="25" spans="2:114" x14ac:dyDescent="0.25">
      <c r="B25" s="1">
        <v>10092</v>
      </c>
      <c r="C25" s="12">
        <v>45706</v>
      </c>
      <c r="D25" s="2">
        <v>0.19444444444444445</v>
      </c>
      <c r="E25" s="2">
        <v>0.43194444444444435</v>
      </c>
      <c r="F25" s="61">
        <v>12.89</v>
      </c>
      <c r="G25" s="10">
        <v>17</v>
      </c>
      <c r="H25" s="61">
        <v>2.84</v>
      </c>
      <c r="I25" s="52">
        <v>79.7</v>
      </c>
      <c r="J25" s="10">
        <v>10</v>
      </c>
      <c r="L25" s="10">
        <v>3</v>
      </c>
      <c r="N25" s="10">
        <v>57</v>
      </c>
      <c r="O25" s="10">
        <v>24</v>
      </c>
      <c r="P25" s="10">
        <v>46.6</v>
      </c>
      <c r="Q25" s="61">
        <v>2.33</v>
      </c>
      <c r="R25" s="52">
        <v>45.8</v>
      </c>
      <c r="S25" s="10">
        <v>10</v>
      </c>
      <c r="T25" s="52">
        <v>64</v>
      </c>
      <c r="U25" s="10">
        <v>0</v>
      </c>
      <c r="V25" s="52">
        <v>65.400000000000006</v>
      </c>
      <c r="W25" s="10">
        <v>40</v>
      </c>
      <c r="Z25" s="52">
        <v>75.900000000000006</v>
      </c>
      <c r="AA25" s="10">
        <v>99</v>
      </c>
      <c r="AB25" s="10">
        <v>8</v>
      </c>
      <c r="AC25" s="52">
        <v>10</v>
      </c>
      <c r="AD25" s="3">
        <v>22.2</v>
      </c>
      <c r="AE25" s="3">
        <v>1.8</v>
      </c>
      <c r="AF25" s="3">
        <v>0.6</v>
      </c>
      <c r="AG25" s="10">
        <v>40</v>
      </c>
      <c r="AH25" s="10">
        <v>1</v>
      </c>
      <c r="AI25" s="10">
        <v>136</v>
      </c>
      <c r="AJ25" s="10">
        <v>259</v>
      </c>
      <c r="AK25" s="3">
        <v>16.23</v>
      </c>
      <c r="AL25" s="61">
        <v>84.47</v>
      </c>
      <c r="AM25" s="61">
        <v>52.51</v>
      </c>
      <c r="AO25" s="10">
        <v>81</v>
      </c>
      <c r="AP25" s="10">
        <v>109</v>
      </c>
      <c r="AQ25" s="52">
        <v>80.099999999999994</v>
      </c>
      <c r="BG25" s="10">
        <v>180</v>
      </c>
      <c r="BJ25" s="10">
        <v>265</v>
      </c>
      <c r="BK25" s="52">
        <v>100.7</v>
      </c>
      <c r="BM25" s="10">
        <v>30</v>
      </c>
      <c r="BN25" s="10">
        <v>45</v>
      </c>
      <c r="BO25" s="10">
        <v>75</v>
      </c>
      <c r="BS25" s="10">
        <v>5</v>
      </c>
      <c r="BT25" s="10">
        <v>10</v>
      </c>
      <c r="BV25" s="61">
        <v>8.68</v>
      </c>
      <c r="BW25" s="61">
        <v>0.68</v>
      </c>
      <c r="BZ25" s="61">
        <v>10.75</v>
      </c>
      <c r="CA25" s="10">
        <v>0</v>
      </c>
      <c r="CB25" s="52">
        <v>101</v>
      </c>
      <c r="CG25" s="10">
        <v>2366</v>
      </c>
      <c r="CI25" s="10">
        <v>10</v>
      </c>
      <c r="CJ25" s="10">
        <v>10</v>
      </c>
      <c r="CK25" s="3">
        <v>0</v>
      </c>
      <c r="CM25" s="3">
        <v>0.51</v>
      </c>
      <c r="CN25" s="10">
        <v>50</v>
      </c>
      <c r="CO25" s="52">
        <v>10.6</v>
      </c>
      <c r="CP25" s="52">
        <v>3.9</v>
      </c>
      <c r="CQ25" s="3">
        <v>17.260000000000002</v>
      </c>
      <c r="CS25" s="10">
        <v>226</v>
      </c>
      <c r="CT25" s="10">
        <v>218</v>
      </c>
      <c r="CU25" s="59">
        <v>7</v>
      </c>
      <c r="CV25" s="10">
        <v>342</v>
      </c>
      <c r="CW25" s="10">
        <v>15</v>
      </c>
      <c r="CX25" s="60">
        <v>140.78</v>
      </c>
      <c r="CY25" s="3">
        <v>18.16</v>
      </c>
      <c r="CZ25" s="3">
        <v>5.52</v>
      </c>
      <c r="DC25" s="24">
        <v>45708.780555555553</v>
      </c>
      <c r="DD25" s="24">
        <v>45708.833333333336</v>
      </c>
      <c r="DF25" s="10">
        <v>266</v>
      </c>
      <c r="DG25" s="24">
        <v>45708.885416666664</v>
      </c>
      <c r="DI25" s="10">
        <v>245</v>
      </c>
      <c r="DJ25" s="58">
        <v>45708.935416666667</v>
      </c>
    </row>
    <row r="26" spans="2:114" x14ac:dyDescent="0.25">
      <c r="B26" s="1">
        <v>10093</v>
      </c>
      <c r="C26" s="12">
        <v>45706</v>
      </c>
      <c r="D26" s="2">
        <v>0.29166666666666669</v>
      </c>
      <c r="E26" s="2">
        <v>0.5263888888888888</v>
      </c>
      <c r="F26" s="61">
        <v>13.29</v>
      </c>
      <c r="G26" s="10">
        <v>17</v>
      </c>
      <c r="H26" s="61">
        <v>2.81</v>
      </c>
      <c r="I26" s="52">
        <v>79.7</v>
      </c>
      <c r="J26" s="10">
        <v>10</v>
      </c>
      <c r="L26" s="10">
        <v>5</v>
      </c>
      <c r="N26" s="10">
        <v>58</v>
      </c>
      <c r="O26" s="10">
        <v>25</v>
      </c>
      <c r="P26" s="10">
        <v>46.6</v>
      </c>
      <c r="Q26" s="61">
        <v>2.35</v>
      </c>
      <c r="R26" s="52">
        <v>46</v>
      </c>
      <c r="S26" s="10">
        <v>10</v>
      </c>
      <c r="T26" s="52">
        <v>64</v>
      </c>
      <c r="U26" s="10">
        <v>0</v>
      </c>
      <c r="V26" s="52">
        <v>65.5</v>
      </c>
      <c r="W26" s="10">
        <v>45</v>
      </c>
      <c r="Z26" s="52">
        <v>75.900000000000006</v>
      </c>
      <c r="AA26" s="10">
        <v>101</v>
      </c>
      <c r="AB26" s="10">
        <v>8</v>
      </c>
      <c r="AC26" s="52">
        <v>9</v>
      </c>
      <c r="AD26" s="3">
        <v>22.4</v>
      </c>
      <c r="AE26" s="3">
        <v>2.13</v>
      </c>
      <c r="AF26" s="3">
        <v>0.8</v>
      </c>
      <c r="AG26" s="10">
        <v>40</v>
      </c>
      <c r="AH26" s="10">
        <v>1</v>
      </c>
      <c r="AI26" s="10">
        <v>136</v>
      </c>
      <c r="AJ26" s="10">
        <v>260</v>
      </c>
      <c r="AK26" s="3">
        <v>16.23</v>
      </c>
      <c r="AL26" s="61">
        <v>84.47</v>
      </c>
      <c r="AM26" s="61">
        <v>52.31</v>
      </c>
      <c r="AO26" s="10">
        <v>81</v>
      </c>
      <c r="AP26" s="10">
        <v>109</v>
      </c>
      <c r="AQ26" s="52">
        <v>80.099999999999994</v>
      </c>
      <c r="BG26" s="10">
        <v>180</v>
      </c>
      <c r="BJ26" s="10">
        <v>268</v>
      </c>
      <c r="BK26" s="52">
        <v>100.7</v>
      </c>
      <c r="BM26" s="10">
        <v>30</v>
      </c>
      <c r="BN26" s="10">
        <v>45</v>
      </c>
      <c r="BO26" s="10">
        <v>75</v>
      </c>
      <c r="BS26" s="10">
        <v>5</v>
      </c>
      <c r="BT26" s="10">
        <v>10</v>
      </c>
      <c r="BV26" s="61">
        <v>8.58</v>
      </c>
      <c r="BW26" s="61">
        <v>0.57999999999999996</v>
      </c>
      <c r="BZ26" s="61">
        <v>10.26</v>
      </c>
      <c r="CA26" s="10">
        <v>0</v>
      </c>
      <c r="CB26" s="52">
        <v>101</v>
      </c>
      <c r="CG26" s="10">
        <v>2361</v>
      </c>
      <c r="CI26" s="10">
        <v>10</v>
      </c>
      <c r="CJ26" s="10">
        <v>10</v>
      </c>
      <c r="CK26" s="3">
        <v>0</v>
      </c>
      <c r="CM26" s="3">
        <v>0.5</v>
      </c>
      <c r="CN26" s="10">
        <v>51</v>
      </c>
      <c r="CO26" s="52">
        <v>10.6</v>
      </c>
      <c r="CP26" s="52">
        <v>3.9</v>
      </c>
      <c r="CQ26" s="3">
        <v>16.96</v>
      </c>
      <c r="CS26" s="10">
        <v>230</v>
      </c>
      <c r="CT26" s="10">
        <v>212</v>
      </c>
      <c r="CU26" s="59">
        <v>1</v>
      </c>
      <c r="CV26" s="10">
        <v>338</v>
      </c>
      <c r="CW26" s="10">
        <v>19</v>
      </c>
      <c r="CX26" s="60">
        <v>71.069999999999993</v>
      </c>
      <c r="CY26" s="3">
        <v>17.899999999999999</v>
      </c>
      <c r="CZ26" s="3">
        <v>5.52</v>
      </c>
      <c r="DC26" s="24">
        <v>45706.183333333334</v>
      </c>
      <c r="DD26" s="24">
        <v>45706.24722222222</v>
      </c>
      <c r="DF26" s="10">
        <v>262</v>
      </c>
      <c r="DG26" s="24">
        <v>45706.299305555556</v>
      </c>
      <c r="DI26" s="10">
        <v>242</v>
      </c>
      <c r="DJ26" s="58">
        <v>45706.348611111112</v>
      </c>
    </row>
    <row r="27" spans="2:114" x14ac:dyDescent="0.25">
      <c r="B27" s="1">
        <v>10094</v>
      </c>
      <c r="C27" s="12">
        <v>45706</v>
      </c>
      <c r="D27" s="2">
        <v>0.3888888888888889</v>
      </c>
      <c r="E27" s="2">
        <v>0.62777777777777777</v>
      </c>
      <c r="F27" s="61">
        <v>12.8</v>
      </c>
      <c r="G27" s="10">
        <v>18</v>
      </c>
      <c r="H27" s="61">
        <v>2.84</v>
      </c>
      <c r="I27" s="52">
        <v>79.8</v>
      </c>
      <c r="J27" s="10">
        <v>10</v>
      </c>
      <c r="L27" s="10">
        <v>12</v>
      </c>
      <c r="N27" s="10">
        <v>59</v>
      </c>
      <c r="O27" s="10">
        <v>25</v>
      </c>
      <c r="P27" s="10">
        <v>46.6</v>
      </c>
      <c r="Q27" s="61">
        <v>2.36</v>
      </c>
      <c r="R27" s="52">
        <v>46.3</v>
      </c>
      <c r="S27" s="10">
        <v>9</v>
      </c>
      <c r="T27" s="52">
        <v>64</v>
      </c>
      <c r="U27" s="10">
        <v>0</v>
      </c>
      <c r="V27" s="52">
        <v>65.3</v>
      </c>
      <c r="W27" s="10">
        <v>45</v>
      </c>
      <c r="Z27" s="52">
        <v>76</v>
      </c>
      <c r="AA27" s="10">
        <v>98</v>
      </c>
      <c r="AB27" s="10">
        <v>8</v>
      </c>
      <c r="AC27" s="52">
        <v>10</v>
      </c>
      <c r="AD27" s="3">
        <v>22.1</v>
      </c>
      <c r="AE27" s="3">
        <v>2.2000000000000002</v>
      </c>
      <c r="AF27" s="3">
        <v>0.8</v>
      </c>
      <c r="AG27" s="10">
        <v>40</v>
      </c>
      <c r="AH27" s="10">
        <v>1</v>
      </c>
      <c r="AI27" s="10">
        <v>136</v>
      </c>
      <c r="AJ27" s="10">
        <v>260</v>
      </c>
      <c r="AK27" s="3">
        <v>16.23</v>
      </c>
      <c r="AL27" s="61">
        <v>84.47</v>
      </c>
      <c r="AM27" s="61">
        <v>52.31</v>
      </c>
      <c r="AO27" s="10">
        <v>83</v>
      </c>
      <c r="AP27" s="10">
        <v>111</v>
      </c>
      <c r="AQ27" s="52">
        <v>80.099999999999994</v>
      </c>
      <c r="BG27" s="10">
        <v>180</v>
      </c>
      <c r="BJ27" s="10">
        <v>267</v>
      </c>
      <c r="BK27" s="52">
        <v>100.7</v>
      </c>
      <c r="BM27" s="10">
        <v>30</v>
      </c>
      <c r="BN27" s="10">
        <v>45</v>
      </c>
      <c r="BO27" s="10">
        <v>75</v>
      </c>
      <c r="BS27" s="10">
        <v>5</v>
      </c>
      <c r="BT27" s="10">
        <v>10</v>
      </c>
      <c r="BV27" s="61">
        <v>8.24</v>
      </c>
      <c r="BW27" s="61">
        <v>0.24</v>
      </c>
      <c r="BZ27" s="61">
        <v>9.93</v>
      </c>
      <c r="CA27" s="10">
        <v>0</v>
      </c>
      <c r="CB27" s="52">
        <v>101</v>
      </c>
      <c r="CG27" s="10">
        <v>2239</v>
      </c>
      <c r="CI27" s="10">
        <v>10</v>
      </c>
      <c r="CJ27" s="10">
        <v>10</v>
      </c>
      <c r="CK27" s="3">
        <v>0</v>
      </c>
      <c r="CM27" s="3">
        <v>0.5</v>
      </c>
      <c r="CN27" s="10">
        <v>51</v>
      </c>
      <c r="CO27" s="52">
        <v>10.5</v>
      </c>
      <c r="CP27" s="52">
        <v>3.9</v>
      </c>
      <c r="CQ27" s="3">
        <v>16.96</v>
      </c>
      <c r="CS27" s="10">
        <v>230</v>
      </c>
      <c r="CT27" s="10">
        <v>220</v>
      </c>
      <c r="CU27" s="59">
        <v>9</v>
      </c>
      <c r="CV27" s="10">
        <v>344</v>
      </c>
      <c r="CW27" s="10">
        <v>13</v>
      </c>
      <c r="CX27" s="60">
        <v>116.83</v>
      </c>
      <c r="CY27" s="3">
        <v>17.77</v>
      </c>
      <c r="CZ27" s="3">
        <v>5.49</v>
      </c>
      <c r="DC27" s="24">
        <v>45706.280555555553</v>
      </c>
      <c r="DD27" s="24">
        <v>45706.331250000003</v>
      </c>
      <c r="DF27" s="10">
        <v>265</v>
      </c>
      <c r="DG27" s="24">
        <v>45706.383333333331</v>
      </c>
      <c r="DI27" s="10">
        <v>242</v>
      </c>
      <c r="DJ27" s="58">
        <v>45706.431944444441</v>
      </c>
    </row>
    <row r="28" spans="2:114" x14ac:dyDescent="0.25">
      <c r="B28" s="1">
        <v>10095</v>
      </c>
      <c r="C28" s="12">
        <v>45706</v>
      </c>
      <c r="D28" s="2">
        <v>0.625</v>
      </c>
      <c r="E28" s="2">
        <v>0.86736111111111114</v>
      </c>
      <c r="F28" s="61">
        <v>12.54</v>
      </c>
      <c r="G28" s="10">
        <v>16</v>
      </c>
      <c r="H28" s="61">
        <v>2.88</v>
      </c>
      <c r="I28" s="52">
        <v>79.599999999999994</v>
      </c>
      <c r="J28" s="10">
        <v>10</v>
      </c>
      <c r="L28" s="10">
        <v>4</v>
      </c>
      <c r="N28" s="10">
        <v>57</v>
      </c>
      <c r="O28" s="10">
        <v>25</v>
      </c>
      <c r="P28" s="10">
        <v>46.6</v>
      </c>
      <c r="Q28" s="61">
        <v>2.35</v>
      </c>
      <c r="R28" s="52">
        <v>45.8</v>
      </c>
      <c r="S28" s="10">
        <v>10</v>
      </c>
      <c r="T28" s="52">
        <v>63.3</v>
      </c>
      <c r="U28" s="10">
        <v>44</v>
      </c>
      <c r="V28" s="52">
        <v>65.5</v>
      </c>
      <c r="W28" s="10">
        <v>40</v>
      </c>
      <c r="Z28" s="52">
        <v>76.099999999999994</v>
      </c>
      <c r="AA28" s="10">
        <v>99</v>
      </c>
      <c r="AB28" s="10">
        <v>7</v>
      </c>
      <c r="AC28" s="52">
        <v>14.7</v>
      </c>
      <c r="AD28" s="3">
        <v>22.6</v>
      </c>
      <c r="AE28" s="3">
        <v>1.74</v>
      </c>
      <c r="AF28" s="3">
        <v>0.7</v>
      </c>
      <c r="AG28" s="10">
        <v>40</v>
      </c>
      <c r="AH28" s="10">
        <v>1</v>
      </c>
      <c r="AI28" s="10">
        <v>136</v>
      </c>
      <c r="AJ28" s="10">
        <v>260</v>
      </c>
      <c r="AK28" s="3">
        <v>16.23</v>
      </c>
      <c r="AL28" s="61">
        <v>84.47</v>
      </c>
      <c r="AM28" s="61">
        <v>52.31</v>
      </c>
      <c r="AO28" s="10">
        <v>0</v>
      </c>
      <c r="AP28" s="10">
        <v>108</v>
      </c>
      <c r="AQ28" s="52">
        <v>80.099999999999994</v>
      </c>
      <c r="BG28" s="10">
        <v>180</v>
      </c>
      <c r="BJ28" s="10">
        <v>266</v>
      </c>
      <c r="BK28" s="52">
        <v>100.7</v>
      </c>
      <c r="BM28" s="10">
        <v>30</v>
      </c>
      <c r="BN28" s="10">
        <v>45</v>
      </c>
      <c r="BO28" s="10">
        <v>75</v>
      </c>
      <c r="BS28" s="10">
        <v>5</v>
      </c>
      <c r="BT28" s="10">
        <v>10</v>
      </c>
      <c r="BV28" s="61">
        <v>7.89</v>
      </c>
      <c r="BW28" s="61">
        <v>0.11</v>
      </c>
      <c r="BZ28" s="61">
        <v>9.2100000000000009</v>
      </c>
      <c r="CA28" s="10">
        <v>0</v>
      </c>
      <c r="CB28" s="52">
        <v>101</v>
      </c>
      <c r="CG28" s="10">
        <v>2264</v>
      </c>
      <c r="CI28" s="10">
        <v>10</v>
      </c>
      <c r="CJ28" s="10">
        <v>10</v>
      </c>
      <c r="CK28" s="3">
        <v>0</v>
      </c>
      <c r="CM28" s="3">
        <v>0.5</v>
      </c>
      <c r="CN28" s="10">
        <v>52</v>
      </c>
      <c r="CO28" s="52">
        <v>10.5</v>
      </c>
      <c r="CP28" s="52">
        <v>3.3</v>
      </c>
      <c r="CQ28" s="3">
        <v>14.29</v>
      </c>
      <c r="CS28" s="10">
        <v>231</v>
      </c>
      <c r="CT28" s="10">
        <v>227</v>
      </c>
      <c r="CU28" s="59">
        <v>16</v>
      </c>
      <c r="CV28" s="10">
        <v>349</v>
      </c>
      <c r="CW28" s="10">
        <v>8</v>
      </c>
      <c r="CX28" s="60">
        <v>173.39</v>
      </c>
      <c r="CY28" s="3">
        <v>17.98</v>
      </c>
      <c r="CZ28" s="3">
        <v>5.47</v>
      </c>
      <c r="DC28" s="24">
        <v>45706.379166666666</v>
      </c>
      <c r="DD28" s="24">
        <v>45706.425000000003</v>
      </c>
      <c r="DF28" s="10">
        <v>268</v>
      </c>
      <c r="DG28" s="24">
        <v>45706.477083333331</v>
      </c>
      <c r="DI28" s="10">
        <v>245</v>
      </c>
      <c r="DJ28" s="58">
        <v>45706.526388888888</v>
      </c>
    </row>
    <row r="29" spans="2:114" x14ac:dyDescent="0.25">
      <c r="B29" s="1">
        <v>10096</v>
      </c>
      <c r="C29" s="12">
        <v>45706</v>
      </c>
      <c r="D29" s="2">
        <v>0.72222222222222221</v>
      </c>
      <c r="E29" s="2">
        <v>0.96180555555555547</v>
      </c>
      <c r="F29" s="61">
        <v>12.01</v>
      </c>
      <c r="G29" s="10">
        <v>16</v>
      </c>
      <c r="H29" s="61">
        <v>2.91</v>
      </c>
      <c r="I29" s="52">
        <v>79.7</v>
      </c>
      <c r="J29" s="10">
        <v>10</v>
      </c>
      <c r="L29" s="10">
        <v>5</v>
      </c>
      <c r="N29" s="10">
        <v>57</v>
      </c>
      <c r="O29" s="10">
        <v>25</v>
      </c>
      <c r="P29" s="10">
        <v>46.6</v>
      </c>
      <c r="Q29" s="61">
        <v>2.35</v>
      </c>
      <c r="R29" s="52">
        <v>46.5</v>
      </c>
      <c r="S29" s="10">
        <v>10</v>
      </c>
      <c r="T29" s="52">
        <v>64.8</v>
      </c>
      <c r="U29" s="10">
        <v>0</v>
      </c>
      <c r="V29" s="52">
        <v>65.5</v>
      </c>
      <c r="W29" s="10">
        <v>40</v>
      </c>
      <c r="Z29" s="52">
        <v>76</v>
      </c>
      <c r="AA29" s="10">
        <v>99</v>
      </c>
      <c r="AB29" s="10">
        <v>9</v>
      </c>
      <c r="AC29" s="52">
        <v>16.600000000000001</v>
      </c>
      <c r="AD29" s="3">
        <v>22.3</v>
      </c>
      <c r="AE29" s="3">
        <v>2.0099999999999998</v>
      </c>
      <c r="AF29" s="3">
        <v>0.56000000000000005</v>
      </c>
      <c r="AG29" s="10">
        <v>40</v>
      </c>
      <c r="AH29" s="10">
        <v>1</v>
      </c>
      <c r="AI29" s="10">
        <v>136</v>
      </c>
      <c r="AJ29" s="10">
        <v>258</v>
      </c>
      <c r="AK29" s="3">
        <v>16.23</v>
      </c>
      <c r="AL29" s="61">
        <v>84.47</v>
      </c>
      <c r="AM29" s="61">
        <v>52.71</v>
      </c>
      <c r="AO29" s="10">
        <v>83</v>
      </c>
      <c r="AP29" s="10">
        <v>111</v>
      </c>
      <c r="AQ29" s="52">
        <v>80.099999999999994</v>
      </c>
      <c r="BG29" s="10">
        <v>180</v>
      </c>
      <c r="BJ29" s="10">
        <v>265</v>
      </c>
      <c r="BK29" s="52">
        <v>100.7</v>
      </c>
      <c r="BM29" s="10">
        <v>30</v>
      </c>
      <c r="BN29" s="10">
        <v>45</v>
      </c>
      <c r="BO29" s="10">
        <v>75</v>
      </c>
      <c r="BS29" s="10">
        <v>5</v>
      </c>
      <c r="BT29" s="10">
        <v>10</v>
      </c>
      <c r="BV29" s="61">
        <v>8.3000000000000007</v>
      </c>
      <c r="BW29" s="61">
        <v>0.3</v>
      </c>
      <c r="BZ29" s="61">
        <v>9.6199999999999992</v>
      </c>
      <c r="CA29" s="10">
        <v>0</v>
      </c>
      <c r="CB29" s="52">
        <v>101</v>
      </c>
      <c r="CG29" s="10">
        <v>2318</v>
      </c>
      <c r="CI29" s="10">
        <v>10</v>
      </c>
      <c r="CJ29" s="10">
        <v>10</v>
      </c>
      <c r="CK29" s="3">
        <v>0</v>
      </c>
      <c r="CM29" s="3">
        <v>0.5</v>
      </c>
      <c r="CN29" s="10">
        <v>53</v>
      </c>
      <c r="CO29" s="52">
        <v>10.9</v>
      </c>
      <c r="CP29" s="52">
        <v>3.4</v>
      </c>
      <c r="CQ29" s="3">
        <v>14.85</v>
      </c>
      <c r="CS29" s="10">
        <v>229</v>
      </c>
      <c r="CT29" s="10">
        <v>221</v>
      </c>
      <c r="CU29" s="59">
        <v>10</v>
      </c>
      <c r="CV29" s="10">
        <v>345</v>
      </c>
      <c r="CW29" s="10">
        <v>12</v>
      </c>
      <c r="CX29" s="60">
        <v>133.05000000000001</v>
      </c>
      <c r="CY29" s="3">
        <v>18.02</v>
      </c>
      <c r="CZ29" s="3">
        <v>5.48</v>
      </c>
      <c r="DC29" s="24">
        <v>45706.474999999999</v>
      </c>
      <c r="DD29" s="24">
        <v>45706.526388888888</v>
      </c>
      <c r="DF29" s="10">
        <v>267</v>
      </c>
      <c r="DG29" s="24">
        <v>45706.578472222223</v>
      </c>
      <c r="DI29" s="10">
        <v>245</v>
      </c>
      <c r="DJ29" s="58">
        <v>45706.62777777778</v>
      </c>
    </row>
    <row r="30" spans="2:114" x14ac:dyDescent="0.25">
      <c r="B30" s="1">
        <v>10098</v>
      </c>
      <c r="C30" s="12">
        <v>45706</v>
      </c>
      <c r="D30" s="2">
        <v>0.81944444444444453</v>
      </c>
      <c r="E30" s="2">
        <v>5.9027777777777783E-2</v>
      </c>
      <c r="F30" s="61">
        <v>11.86</v>
      </c>
      <c r="G30" s="10">
        <v>16</v>
      </c>
      <c r="H30" s="61">
        <v>2.92</v>
      </c>
      <c r="I30" s="52">
        <v>79.599999999999994</v>
      </c>
      <c r="J30" s="10">
        <v>10</v>
      </c>
      <c r="L30" s="10">
        <v>4</v>
      </c>
      <c r="N30" s="10">
        <v>56</v>
      </c>
      <c r="O30" s="10">
        <v>25</v>
      </c>
      <c r="P30" s="10">
        <v>46.6</v>
      </c>
      <c r="Q30" s="61">
        <v>2.34</v>
      </c>
      <c r="R30" s="52">
        <v>46.5</v>
      </c>
      <c r="S30" s="10">
        <v>10</v>
      </c>
      <c r="T30" s="52">
        <v>64.7</v>
      </c>
      <c r="U30" s="10">
        <v>0</v>
      </c>
      <c r="V30" s="52">
        <v>65.7</v>
      </c>
      <c r="W30" s="10">
        <v>40</v>
      </c>
      <c r="Z30" s="52">
        <v>76.2</v>
      </c>
      <c r="AA30" s="10">
        <v>99</v>
      </c>
      <c r="AB30" s="10">
        <v>13</v>
      </c>
      <c r="AC30" s="52">
        <v>12.2</v>
      </c>
      <c r="AD30" s="3">
        <v>21.97</v>
      </c>
      <c r="AE30" s="3">
        <v>2.16</v>
      </c>
      <c r="AF30" s="3">
        <v>0.77</v>
      </c>
      <c r="AG30" s="10">
        <v>44</v>
      </c>
      <c r="AH30" s="10">
        <v>1</v>
      </c>
      <c r="AI30" s="10">
        <v>136</v>
      </c>
      <c r="AJ30" s="10">
        <v>258</v>
      </c>
      <c r="AK30" s="3">
        <v>16.23</v>
      </c>
      <c r="AL30" s="61">
        <v>84.47</v>
      </c>
      <c r="AM30" s="61">
        <v>52.71</v>
      </c>
      <c r="AO30" s="10">
        <v>77</v>
      </c>
      <c r="AP30" s="10">
        <v>111</v>
      </c>
      <c r="AQ30" s="52">
        <v>80.099999999999994</v>
      </c>
      <c r="BG30" s="10">
        <v>180</v>
      </c>
      <c r="BJ30" s="10">
        <v>265</v>
      </c>
      <c r="BK30" s="52">
        <v>100.7</v>
      </c>
      <c r="BM30" s="10">
        <v>30</v>
      </c>
      <c r="BN30" s="10">
        <v>45</v>
      </c>
      <c r="BO30" s="10">
        <v>75</v>
      </c>
      <c r="BS30" s="10">
        <v>5</v>
      </c>
      <c r="BT30" s="10">
        <v>10</v>
      </c>
      <c r="BV30" s="61">
        <v>8.68</v>
      </c>
      <c r="BW30" s="61">
        <v>0.68</v>
      </c>
      <c r="BZ30" s="61">
        <v>10.38</v>
      </c>
      <c r="CA30" s="10">
        <v>0</v>
      </c>
      <c r="CB30" s="52">
        <v>101</v>
      </c>
      <c r="CG30" s="10">
        <v>2439</v>
      </c>
      <c r="CI30" s="10">
        <v>10</v>
      </c>
      <c r="CJ30" s="10">
        <v>10</v>
      </c>
      <c r="CK30" s="3">
        <v>0</v>
      </c>
      <c r="CM30" s="3">
        <v>0.51</v>
      </c>
      <c r="CN30" s="10">
        <v>58</v>
      </c>
      <c r="CO30" s="52">
        <v>10.7</v>
      </c>
      <c r="CP30" s="52">
        <v>3.4</v>
      </c>
      <c r="CQ30" s="3">
        <v>14.98</v>
      </c>
      <c r="CS30" s="10">
        <v>227</v>
      </c>
      <c r="CT30" s="10">
        <v>217</v>
      </c>
      <c r="CU30" s="59">
        <v>6</v>
      </c>
      <c r="CV30" s="10">
        <v>345</v>
      </c>
      <c r="CW30" s="10">
        <v>12</v>
      </c>
      <c r="CX30" s="60">
        <v>130.78</v>
      </c>
      <c r="CY30" s="3">
        <v>18.04</v>
      </c>
      <c r="CZ30" s="3">
        <v>5.49</v>
      </c>
      <c r="DC30" s="24">
        <v>45706.709722222222</v>
      </c>
      <c r="DD30" s="24">
        <v>45706.765277777777</v>
      </c>
      <c r="DF30" s="10">
        <v>266</v>
      </c>
      <c r="DG30" s="24">
        <v>45706.817361111112</v>
      </c>
      <c r="DI30" s="10">
        <v>245</v>
      </c>
      <c r="DJ30" s="58">
        <v>45706.867361111108</v>
      </c>
    </row>
    <row r="31" spans="2:114" x14ac:dyDescent="0.25">
      <c r="B31" s="1">
        <v>10099</v>
      </c>
      <c r="C31" s="12">
        <v>45706</v>
      </c>
      <c r="D31" s="2">
        <v>0.91666666666666663</v>
      </c>
      <c r="E31" s="2">
        <v>0.15486111111111112</v>
      </c>
      <c r="F31" s="61">
        <v>13.1</v>
      </c>
      <c r="G31" s="10">
        <v>18</v>
      </c>
      <c r="H31" s="61">
        <v>2.79</v>
      </c>
      <c r="I31" s="52">
        <v>79.900000000000006</v>
      </c>
      <c r="J31" s="10">
        <v>10</v>
      </c>
      <c r="L31" s="10">
        <v>2</v>
      </c>
      <c r="N31" s="10">
        <v>58</v>
      </c>
      <c r="O31" s="10">
        <v>24</v>
      </c>
      <c r="P31" s="10">
        <v>46.6</v>
      </c>
      <c r="Q31" s="61">
        <v>2.34</v>
      </c>
      <c r="R31" s="52">
        <v>46.3</v>
      </c>
      <c r="S31" s="10">
        <v>10</v>
      </c>
      <c r="T31" s="52">
        <v>64.599999999999994</v>
      </c>
      <c r="U31" s="10">
        <v>0</v>
      </c>
      <c r="V31" s="52">
        <v>65.400000000000006</v>
      </c>
      <c r="W31" s="10">
        <v>40</v>
      </c>
      <c r="Z31" s="52">
        <v>75.900000000000006</v>
      </c>
      <c r="AA31" s="10">
        <v>100</v>
      </c>
      <c r="AB31" s="10">
        <v>7</v>
      </c>
      <c r="AC31" s="52">
        <v>12.6</v>
      </c>
      <c r="AD31" s="3">
        <v>22.23</v>
      </c>
      <c r="AE31" s="3">
        <v>2.14</v>
      </c>
      <c r="AF31" s="3">
        <v>0.82</v>
      </c>
      <c r="AG31" s="10">
        <v>44</v>
      </c>
      <c r="AH31" s="10">
        <v>1</v>
      </c>
      <c r="AI31" s="10">
        <v>136</v>
      </c>
      <c r="AJ31" s="10">
        <v>258</v>
      </c>
      <c r="AK31" s="3">
        <v>16.23</v>
      </c>
      <c r="AL31" s="61">
        <v>84.47</v>
      </c>
      <c r="AM31" s="61">
        <v>52.71</v>
      </c>
      <c r="AO31" s="10">
        <v>82</v>
      </c>
      <c r="AP31" s="10">
        <v>111</v>
      </c>
      <c r="AQ31" s="52">
        <v>80.099999999999994</v>
      </c>
      <c r="BG31" s="10">
        <v>180</v>
      </c>
      <c r="BJ31" s="10">
        <v>265</v>
      </c>
      <c r="BK31" s="52">
        <v>100.7</v>
      </c>
      <c r="BM31" s="10">
        <v>30</v>
      </c>
      <c r="BN31" s="10">
        <v>45</v>
      </c>
      <c r="BO31" s="10">
        <v>75</v>
      </c>
      <c r="BS31" s="10">
        <v>5</v>
      </c>
      <c r="BT31" s="10">
        <v>10</v>
      </c>
      <c r="BV31" s="61">
        <v>8.68</v>
      </c>
      <c r="BW31" s="61">
        <v>0.68</v>
      </c>
      <c r="BZ31" s="61">
        <v>10</v>
      </c>
      <c r="CA31" s="10">
        <v>0</v>
      </c>
      <c r="CB31" s="52">
        <v>101</v>
      </c>
      <c r="CG31" s="10">
        <v>1920</v>
      </c>
      <c r="CI31" s="10">
        <v>10</v>
      </c>
      <c r="CJ31" s="10">
        <v>10</v>
      </c>
      <c r="CK31" s="3">
        <v>0</v>
      </c>
      <c r="CM31" s="3">
        <v>0.51</v>
      </c>
      <c r="CN31" s="10">
        <v>56</v>
      </c>
      <c r="CO31" s="52">
        <v>10.6</v>
      </c>
      <c r="CP31" s="52">
        <v>3.4</v>
      </c>
      <c r="CQ31" s="3">
        <v>14.91</v>
      </c>
      <c r="CS31" s="10">
        <v>228</v>
      </c>
      <c r="CT31" s="10">
        <v>218</v>
      </c>
      <c r="CU31" s="59">
        <v>7</v>
      </c>
      <c r="CV31" s="10">
        <v>343</v>
      </c>
      <c r="CW31" s="10">
        <v>14</v>
      </c>
      <c r="CX31" s="60">
        <v>140.78</v>
      </c>
      <c r="CY31" s="3">
        <v>18.09</v>
      </c>
      <c r="CZ31" s="3">
        <v>5.51</v>
      </c>
      <c r="DC31" s="24">
        <v>45706.808333333334</v>
      </c>
      <c r="DD31" s="24">
        <v>45706.859027777777</v>
      </c>
      <c r="DF31" s="10">
        <v>265</v>
      </c>
      <c r="DG31" s="24">
        <v>45706.911111111112</v>
      </c>
      <c r="DI31" s="10">
        <v>243</v>
      </c>
      <c r="DJ31" s="58">
        <v>45706.961805555555</v>
      </c>
    </row>
    <row r="32" spans="2:114" x14ac:dyDescent="0.25">
      <c r="B32" s="1">
        <v>10100</v>
      </c>
      <c r="C32" s="12">
        <v>45707</v>
      </c>
      <c r="D32" s="2">
        <v>2.7777777777777776E-2</v>
      </c>
      <c r="E32" s="2">
        <v>0.26527777777777778</v>
      </c>
      <c r="F32" s="61">
        <v>12.99</v>
      </c>
      <c r="G32" s="10">
        <v>17</v>
      </c>
      <c r="H32" s="61">
        <v>2.8</v>
      </c>
      <c r="I32" s="52">
        <v>79.900000000000006</v>
      </c>
      <c r="J32" s="10">
        <v>10</v>
      </c>
      <c r="L32" s="10">
        <v>2</v>
      </c>
      <c r="N32" s="10">
        <v>57</v>
      </c>
      <c r="O32" s="10">
        <v>24</v>
      </c>
      <c r="P32" s="10">
        <v>46.6</v>
      </c>
      <c r="Q32" s="61">
        <v>2.35</v>
      </c>
      <c r="R32" s="52">
        <v>46.3</v>
      </c>
      <c r="S32" s="10">
        <v>10</v>
      </c>
      <c r="T32" s="52">
        <v>64.3</v>
      </c>
      <c r="U32" s="10">
        <v>0</v>
      </c>
      <c r="V32" s="52">
        <v>65.3</v>
      </c>
      <c r="W32" s="10">
        <v>40</v>
      </c>
      <c r="Z32" s="52">
        <v>76</v>
      </c>
      <c r="AA32" s="10">
        <v>100</v>
      </c>
      <c r="AB32" s="10">
        <v>7</v>
      </c>
      <c r="AC32" s="52">
        <v>11.6</v>
      </c>
      <c r="AD32" s="3">
        <v>22.21</v>
      </c>
      <c r="AE32" s="3">
        <v>2.1800000000000002</v>
      </c>
      <c r="AF32" s="3">
        <v>0.77</v>
      </c>
      <c r="AG32" s="10">
        <v>44</v>
      </c>
      <c r="AH32" s="10">
        <v>1</v>
      </c>
      <c r="AI32" s="10">
        <v>136</v>
      </c>
      <c r="AJ32" s="10">
        <v>259</v>
      </c>
      <c r="AK32" s="3">
        <v>16.23</v>
      </c>
      <c r="AL32" s="61">
        <v>84.47</v>
      </c>
      <c r="AM32" s="61">
        <v>52.51</v>
      </c>
      <c r="AO32" s="10">
        <v>81</v>
      </c>
      <c r="AP32" s="10">
        <v>110</v>
      </c>
      <c r="AQ32" s="52">
        <v>80.099999999999994</v>
      </c>
      <c r="BG32" s="10">
        <v>180</v>
      </c>
      <c r="BJ32" s="10">
        <v>266</v>
      </c>
      <c r="BK32" s="52">
        <v>100.7</v>
      </c>
      <c r="BM32" s="10">
        <v>30</v>
      </c>
      <c r="BN32" s="10">
        <v>45</v>
      </c>
      <c r="BO32" s="10">
        <v>75</v>
      </c>
      <c r="BS32" s="10">
        <v>5</v>
      </c>
      <c r="BT32" s="10">
        <v>10</v>
      </c>
      <c r="BV32" s="61">
        <v>9.77</v>
      </c>
      <c r="BW32" s="61">
        <v>1.77</v>
      </c>
      <c r="BZ32" s="61">
        <v>10.71</v>
      </c>
      <c r="CA32" s="10">
        <v>0</v>
      </c>
      <c r="CB32" s="52">
        <v>101</v>
      </c>
      <c r="CG32" s="10">
        <v>2233</v>
      </c>
      <c r="CI32" s="10">
        <v>10</v>
      </c>
      <c r="CJ32" s="10">
        <v>10</v>
      </c>
      <c r="CK32" s="3">
        <v>0</v>
      </c>
      <c r="CM32" s="3">
        <v>0.51</v>
      </c>
      <c r="CN32" s="10">
        <v>56</v>
      </c>
      <c r="CO32" s="52">
        <v>10.6</v>
      </c>
      <c r="CP32" s="52">
        <v>3.4</v>
      </c>
      <c r="CQ32" s="3">
        <v>14.98</v>
      </c>
      <c r="CS32" s="10">
        <v>227</v>
      </c>
      <c r="CT32" s="10">
        <v>218</v>
      </c>
      <c r="CU32" s="59">
        <v>7</v>
      </c>
      <c r="CV32" s="10">
        <v>342</v>
      </c>
      <c r="CW32" s="10">
        <v>15</v>
      </c>
      <c r="CX32" s="60">
        <v>250.3</v>
      </c>
      <c r="CY32" s="3">
        <v>18.23</v>
      </c>
      <c r="CZ32" s="3">
        <v>5.47</v>
      </c>
      <c r="DC32" s="24">
        <v>45706.908333333333</v>
      </c>
      <c r="DD32" s="24">
        <v>45706.952777777777</v>
      </c>
      <c r="DF32" s="10">
        <v>265</v>
      </c>
      <c r="DG32" s="24">
        <v>45707.004861111112</v>
      </c>
      <c r="DI32" s="10">
        <v>242</v>
      </c>
      <c r="DJ32" s="58">
        <v>45707.059027777781</v>
      </c>
    </row>
    <row r="33" spans="2:114" x14ac:dyDescent="0.25">
      <c r="B33" s="1">
        <v>10102</v>
      </c>
      <c r="C33" s="12">
        <v>45707</v>
      </c>
      <c r="D33" s="2">
        <v>0.25</v>
      </c>
      <c r="E33" s="2">
        <v>0.49236111111111103</v>
      </c>
      <c r="F33" s="61">
        <v>12.75</v>
      </c>
      <c r="G33" s="10">
        <v>18</v>
      </c>
      <c r="H33" s="61">
        <v>2.83</v>
      </c>
      <c r="I33" s="52">
        <v>79.8</v>
      </c>
      <c r="J33" s="10">
        <v>10</v>
      </c>
      <c r="L33" s="10">
        <v>4</v>
      </c>
      <c r="N33" s="10">
        <v>62</v>
      </c>
      <c r="O33" s="10">
        <v>25</v>
      </c>
      <c r="P33" s="10">
        <v>46.6</v>
      </c>
      <c r="Q33" s="61">
        <v>2.35</v>
      </c>
      <c r="R33" s="52">
        <v>45.7</v>
      </c>
      <c r="S33" s="10">
        <v>10</v>
      </c>
      <c r="T33" s="52">
        <v>63.2</v>
      </c>
      <c r="U33" s="10">
        <v>21</v>
      </c>
      <c r="V33" s="52">
        <v>65.3</v>
      </c>
      <c r="W33" s="10">
        <v>40</v>
      </c>
      <c r="Z33" s="52">
        <v>76</v>
      </c>
      <c r="AA33" s="10">
        <v>106</v>
      </c>
      <c r="AB33" s="10">
        <v>8</v>
      </c>
      <c r="AC33" s="52">
        <v>9</v>
      </c>
      <c r="AD33" s="3">
        <v>22.36</v>
      </c>
      <c r="AE33" s="3">
        <v>1.75</v>
      </c>
      <c r="AF33" s="3">
        <v>0.8</v>
      </c>
      <c r="AG33" s="10">
        <v>40</v>
      </c>
      <c r="AH33" s="10">
        <v>2</v>
      </c>
      <c r="AI33" s="10">
        <v>136</v>
      </c>
      <c r="AJ33" s="10">
        <v>259</v>
      </c>
      <c r="AK33" s="3">
        <v>16.23</v>
      </c>
      <c r="AL33" s="61">
        <v>84.47</v>
      </c>
      <c r="AM33" s="61">
        <v>52.51</v>
      </c>
      <c r="AO33" s="10">
        <v>84</v>
      </c>
      <c r="AP33" s="10">
        <v>112</v>
      </c>
      <c r="AQ33" s="52">
        <v>80.099999999999994</v>
      </c>
      <c r="BG33" s="10">
        <v>180</v>
      </c>
      <c r="BJ33" s="10">
        <v>264</v>
      </c>
      <c r="BK33" s="52">
        <v>100.7</v>
      </c>
      <c r="BM33" s="10">
        <v>30</v>
      </c>
      <c r="BN33" s="10">
        <v>45</v>
      </c>
      <c r="BO33" s="10">
        <v>75</v>
      </c>
      <c r="BS33" s="10">
        <v>5</v>
      </c>
      <c r="BT33" s="10">
        <v>10</v>
      </c>
      <c r="BV33" s="61">
        <v>8.33</v>
      </c>
      <c r="BW33" s="61">
        <v>0.33</v>
      </c>
      <c r="BZ33" s="61">
        <v>9.2799999999999994</v>
      </c>
      <c r="CA33" s="10">
        <v>0</v>
      </c>
      <c r="CB33" s="52">
        <v>101</v>
      </c>
      <c r="CG33" s="10">
        <v>2241</v>
      </c>
      <c r="CI33" s="10">
        <v>10</v>
      </c>
      <c r="CJ33" s="10">
        <v>10</v>
      </c>
      <c r="CK33" s="3">
        <v>0</v>
      </c>
      <c r="CM33" s="3">
        <v>0.5</v>
      </c>
      <c r="CN33" s="10">
        <v>51</v>
      </c>
      <c r="CO33" s="52">
        <v>10.6</v>
      </c>
      <c r="CP33" s="52">
        <v>3.4</v>
      </c>
      <c r="CQ33" s="3">
        <v>14.85</v>
      </c>
      <c r="CS33" s="10">
        <v>229</v>
      </c>
      <c r="CT33" s="10">
        <v>217</v>
      </c>
      <c r="CU33" s="59">
        <v>6</v>
      </c>
      <c r="CV33" s="10">
        <v>349</v>
      </c>
      <c r="CW33" s="10">
        <v>8</v>
      </c>
      <c r="CX33" s="60">
        <v>96.19</v>
      </c>
      <c r="CY33" s="3">
        <v>17.899999999999999</v>
      </c>
      <c r="CZ33" s="3">
        <v>5.52</v>
      </c>
      <c r="DC33" s="24">
        <v>45707.113888888889</v>
      </c>
      <c r="DD33" s="24">
        <v>45707.160416666666</v>
      </c>
      <c r="DF33" s="10">
        <v>266</v>
      </c>
      <c r="DG33" s="24">
        <v>45707.212500000001</v>
      </c>
      <c r="DI33" s="10">
        <v>240</v>
      </c>
      <c r="DJ33" s="58">
        <v>45707.265277777777</v>
      </c>
    </row>
    <row r="34" spans="2:114" x14ac:dyDescent="0.25">
      <c r="B34" s="1">
        <v>10104</v>
      </c>
      <c r="C34" s="12">
        <v>45707</v>
      </c>
      <c r="D34" s="2">
        <v>0.45833333333333331</v>
      </c>
      <c r="E34" s="2">
        <v>0.69513888888888886</v>
      </c>
      <c r="F34" s="61">
        <v>13.38</v>
      </c>
      <c r="G34" s="10">
        <v>17</v>
      </c>
      <c r="H34" s="61">
        <v>2.82</v>
      </c>
      <c r="I34" s="52">
        <v>79.8</v>
      </c>
      <c r="J34" s="10">
        <v>10</v>
      </c>
      <c r="L34" s="10">
        <v>4</v>
      </c>
      <c r="N34" s="10">
        <v>56</v>
      </c>
      <c r="O34" s="10">
        <v>24</v>
      </c>
      <c r="P34" s="10">
        <v>46.6</v>
      </c>
      <c r="Q34" s="61">
        <v>2.36</v>
      </c>
      <c r="R34" s="52">
        <v>46</v>
      </c>
      <c r="S34" s="10">
        <v>10</v>
      </c>
      <c r="T34" s="52">
        <v>64</v>
      </c>
      <c r="U34" s="10">
        <v>0</v>
      </c>
      <c r="V34" s="52">
        <v>65.3</v>
      </c>
      <c r="W34" s="10">
        <v>40</v>
      </c>
      <c r="Z34" s="52">
        <v>76</v>
      </c>
      <c r="AA34" s="10">
        <v>99</v>
      </c>
      <c r="AB34" s="10">
        <v>8</v>
      </c>
      <c r="AC34" s="52">
        <v>10</v>
      </c>
      <c r="AD34" s="3">
        <v>22.3</v>
      </c>
      <c r="AE34" s="3">
        <v>2.39</v>
      </c>
      <c r="AF34" s="3">
        <v>0.8</v>
      </c>
      <c r="AG34" s="10">
        <v>40</v>
      </c>
      <c r="AH34" s="10">
        <v>1</v>
      </c>
      <c r="AI34" s="10">
        <v>136</v>
      </c>
      <c r="AJ34" s="10">
        <v>258</v>
      </c>
      <c r="AK34" s="3">
        <v>16.23</v>
      </c>
      <c r="AL34" s="61">
        <v>84.47</v>
      </c>
      <c r="AM34" s="61">
        <v>52.71</v>
      </c>
      <c r="AO34" s="10">
        <v>81</v>
      </c>
      <c r="AP34" s="10">
        <v>109</v>
      </c>
      <c r="AQ34" s="52">
        <v>80.099999999999994</v>
      </c>
      <c r="BG34" s="10">
        <v>180</v>
      </c>
      <c r="BJ34" s="10">
        <v>264</v>
      </c>
      <c r="BK34" s="52">
        <v>100.7</v>
      </c>
      <c r="BM34" s="10">
        <v>30</v>
      </c>
      <c r="BN34" s="10">
        <v>45</v>
      </c>
      <c r="BO34" s="10">
        <v>75</v>
      </c>
      <c r="BS34" s="10">
        <v>5</v>
      </c>
      <c r="BT34" s="10">
        <v>10</v>
      </c>
      <c r="BV34" s="61">
        <v>7.95</v>
      </c>
      <c r="BW34" s="61">
        <v>0.05</v>
      </c>
      <c r="BZ34" s="61">
        <v>9.66</v>
      </c>
      <c r="CA34" s="10">
        <v>0</v>
      </c>
      <c r="CB34" s="52">
        <v>101</v>
      </c>
      <c r="CG34" s="10">
        <v>2225</v>
      </c>
      <c r="CI34" s="10">
        <v>10</v>
      </c>
      <c r="CJ34" s="10">
        <v>10</v>
      </c>
      <c r="CK34" s="3">
        <v>0</v>
      </c>
      <c r="CM34" s="3">
        <v>0.51</v>
      </c>
      <c r="CN34" s="10">
        <v>51</v>
      </c>
      <c r="CO34" s="52">
        <v>10.199999999999999</v>
      </c>
      <c r="CP34" s="52">
        <v>3.4</v>
      </c>
      <c r="CQ34" s="3">
        <v>14.91</v>
      </c>
      <c r="CS34" s="10">
        <v>228</v>
      </c>
      <c r="CT34" s="10">
        <v>217</v>
      </c>
      <c r="CU34" s="59">
        <v>6</v>
      </c>
      <c r="CV34" s="10">
        <v>341</v>
      </c>
      <c r="CW34" s="10">
        <v>16</v>
      </c>
      <c r="CX34" s="60">
        <v>67.41</v>
      </c>
      <c r="CY34" s="3">
        <v>18</v>
      </c>
      <c r="CZ34" s="3">
        <v>5.49</v>
      </c>
      <c r="DC34" s="24">
        <v>45707.341666666667</v>
      </c>
      <c r="DD34" s="24">
        <v>45707.390972222223</v>
      </c>
      <c r="DF34" s="10">
        <v>264</v>
      </c>
      <c r="DG34" s="24">
        <v>45707.443055555559</v>
      </c>
      <c r="DI34" s="10">
        <v>242</v>
      </c>
      <c r="DJ34" s="58">
        <v>45707.492361111108</v>
      </c>
    </row>
    <row r="35" spans="2:114" x14ac:dyDescent="0.25">
      <c r="B35" s="1">
        <v>10105</v>
      </c>
      <c r="C35" s="12">
        <v>45707</v>
      </c>
      <c r="D35" s="2">
        <v>0.55555555555555558</v>
      </c>
      <c r="E35" s="2">
        <v>0.79583333333333339</v>
      </c>
      <c r="F35" s="61">
        <v>13.36</v>
      </c>
      <c r="G35" s="10">
        <v>17</v>
      </c>
      <c r="H35" s="61">
        <v>2.82</v>
      </c>
      <c r="I35" s="52">
        <v>79.599999999999994</v>
      </c>
      <c r="J35" s="10">
        <v>10</v>
      </c>
      <c r="L35" s="10">
        <v>2</v>
      </c>
      <c r="N35" s="10">
        <v>57</v>
      </c>
      <c r="O35" s="10">
        <v>29</v>
      </c>
      <c r="P35" s="10">
        <v>46.6</v>
      </c>
      <c r="Q35" s="61">
        <v>2.2799999999999998</v>
      </c>
      <c r="R35" s="52">
        <v>46.3</v>
      </c>
      <c r="S35" s="10">
        <v>6</v>
      </c>
      <c r="T35" s="52">
        <v>64.3</v>
      </c>
      <c r="U35" s="10">
        <v>0</v>
      </c>
      <c r="V35" s="52">
        <v>65.099999999999994</v>
      </c>
      <c r="W35" s="10">
        <v>40</v>
      </c>
      <c r="Z35" s="52">
        <v>76</v>
      </c>
      <c r="AA35" s="10">
        <v>103</v>
      </c>
      <c r="AB35" s="10">
        <v>7</v>
      </c>
      <c r="AC35" s="52">
        <v>15.2</v>
      </c>
      <c r="AD35" s="3">
        <v>22.15</v>
      </c>
      <c r="AE35" s="3">
        <v>2.4700000000000002</v>
      </c>
      <c r="AF35" s="3">
        <v>0.89</v>
      </c>
      <c r="AG35" s="10">
        <v>40</v>
      </c>
      <c r="AH35" s="10">
        <v>1</v>
      </c>
      <c r="AI35" s="10">
        <v>140</v>
      </c>
      <c r="AJ35" s="10">
        <v>259</v>
      </c>
      <c r="AK35" s="3">
        <v>16.23</v>
      </c>
      <c r="AL35" s="61">
        <v>86.96</v>
      </c>
      <c r="AM35" s="61">
        <v>54.05</v>
      </c>
      <c r="AO35" s="10">
        <v>82</v>
      </c>
      <c r="AP35" s="10">
        <v>111</v>
      </c>
      <c r="AQ35" s="52">
        <v>80.099999999999994</v>
      </c>
      <c r="BG35" s="10">
        <v>180</v>
      </c>
      <c r="BJ35" s="10">
        <v>266</v>
      </c>
      <c r="BK35" s="52">
        <v>100.7</v>
      </c>
      <c r="BM35" s="10">
        <v>30</v>
      </c>
      <c r="BN35" s="10">
        <v>45</v>
      </c>
      <c r="BO35" s="10">
        <v>75</v>
      </c>
      <c r="BS35" s="10">
        <v>5</v>
      </c>
      <c r="BT35" s="10">
        <v>10</v>
      </c>
      <c r="BV35" s="61">
        <v>7.89</v>
      </c>
      <c r="BW35" s="61">
        <v>0.11</v>
      </c>
      <c r="BZ35" s="61">
        <v>9.59</v>
      </c>
      <c r="CA35" s="10">
        <v>0</v>
      </c>
      <c r="CB35" s="52">
        <v>101</v>
      </c>
      <c r="CG35" s="10">
        <v>2169</v>
      </c>
      <c r="CI35" s="10">
        <v>10</v>
      </c>
      <c r="CJ35" s="10">
        <v>10</v>
      </c>
      <c r="CK35" s="3">
        <v>0</v>
      </c>
      <c r="CM35" s="3">
        <v>0.5</v>
      </c>
      <c r="CN35" s="10">
        <v>51</v>
      </c>
      <c r="CO35" s="52">
        <v>10.5</v>
      </c>
      <c r="CP35" s="52">
        <v>3.4</v>
      </c>
      <c r="CQ35" s="3">
        <v>14.78</v>
      </c>
      <c r="CS35" s="10">
        <v>230</v>
      </c>
      <c r="CT35" s="10">
        <v>219</v>
      </c>
      <c r="CU35" s="59">
        <v>8</v>
      </c>
      <c r="CV35" s="10">
        <v>346</v>
      </c>
      <c r="CW35" s="10">
        <v>11</v>
      </c>
      <c r="CX35" s="60">
        <v>93.39</v>
      </c>
      <c r="CY35" s="3">
        <v>18</v>
      </c>
      <c r="CZ35" s="3">
        <v>5.47</v>
      </c>
      <c r="DC35" s="24">
        <v>45707.739583333336</v>
      </c>
      <c r="DD35" s="24">
        <v>45707.786805555559</v>
      </c>
      <c r="DF35" s="10">
        <v>266</v>
      </c>
      <c r="DG35" s="24">
        <v>45707.838888888888</v>
      </c>
      <c r="DI35" s="10">
        <v>247</v>
      </c>
      <c r="DJ35" s="58">
        <v>45707.888888888891</v>
      </c>
    </row>
    <row r="36" spans="2:114" x14ac:dyDescent="0.25">
      <c r="B36" s="1">
        <v>10106</v>
      </c>
      <c r="C36" s="12">
        <v>45707</v>
      </c>
      <c r="D36" s="2">
        <v>0.65277777777777779</v>
      </c>
      <c r="E36" s="2">
        <v>0.88888888888888884</v>
      </c>
      <c r="F36" s="61">
        <v>11.12</v>
      </c>
      <c r="G36" s="10">
        <v>16</v>
      </c>
      <c r="H36" s="61">
        <v>2.93</v>
      </c>
      <c r="I36" s="52">
        <v>79.599999999999994</v>
      </c>
      <c r="J36" s="10">
        <v>10</v>
      </c>
      <c r="L36" s="10">
        <v>5</v>
      </c>
      <c r="N36" s="10">
        <v>57</v>
      </c>
      <c r="O36" s="10">
        <v>25</v>
      </c>
      <c r="P36" s="10">
        <v>46.6</v>
      </c>
      <c r="Q36" s="61">
        <v>2.35</v>
      </c>
      <c r="R36" s="52">
        <v>46.5</v>
      </c>
      <c r="S36" s="10">
        <v>10</v>
      </c>
      <c r="T36" s="52">
        <v>64.7</v>
      </c>
      <c r="U36" s="10">
        <v>0</v>
      </c>
      <c r="V36" s="52">
        <v>65.7</v>
      </c>
      <c r="W36" s="10">
        <v>40</v>
      </c>
      <c r="Z36" s="52">
        <v>76.2</v>
      </c>
      <c r="AA36" s="10">
        <v>100</v>
      </c>
      <c r="AB36" s="10">
        <v>9</v>
      </c>
      <c r="AC36" s="52">
        <v>14.5</v>
      </c>
      <c r="AD36" s="3">
        <v>22.2</v>
      </c>
      <c r="AE36" s="3">
        <v>2.14</v>
      </c>
      <c r="AF36" s="3">
        <v>0.89</v>
      </c>
      <c r="AG36" s="10">
        <v>40</v>
      </c>
      <c r="AH36" s="10">
        <v>1</v>
      </c>
      <c r="AI36" s="10">
        <v>136</v>
      </c>
      <c r="AJ36" s="10">
        <v>258</v>
      </c>
      <c r="AK36" s="3">
        <v>16.23</v>
      </c>
      <c r="AL36" s="61">
        <v>84.47</v>
      </c>
      <c r="AM36" s="61">
        <v>52.71</v>
      </c>
      <c r="AO36" s="10">
        <v>81</v>
      </c>
      <c r="AP36" s="10">
        <v>109</v>
      </c>
      <c r="AQ36" s="52">
        <v>80.099999999999994</v>
      </c>
      <c r="BG36" s="10">
        <v>180</v>
      </c>
      <c r="BJ36" s="10">
        <v>266</v>
      </c>
      <c r="BK36" s="52">
        <v>100.7</v>
      </c>
      <c r="BM36" s="10">
        <v>30</v>
      </c>
      <c r="BN36" s="10">
        <v>45</v>
      </c>
      <c r="BO36" s="10">
        <v>75</v>
      </c>
      <c r="BS36" s="10">
        <v>5</v>
      </c>
      <c r="BT36" s="10">
        <v>10</v>
      </c>
      <c r="BV36" s="61">
        <v>7.14</v>
      </c>
      <c r="BW36" s="61">
        <v>0.86</v>
      </c>
      <c r="BZ36" s="61">
        <v>8.83</v>
      </c>
      <c r="CA36" s="10">
        <v>0</v>
      </c>
      <c r="CB36" s="52">
        <v>101</v>
      </c>
      <c r="CG36" s="10">
        <v>2247</v>
      </c>
      <c r="CI36" s="10">
        <v>10</v>
      </c>
      <c r="CJ36" s="10">
        <v>10</v>
      </c>
      <c r="CK36" s="3">
        <v>0</v>
      </c>
      <c r="CM36" s="3">
        <v>0.5</v>
      </c>
      <c r="CN36" s="10">
        <v>52</v>
      </c>
      <c r="CO36" s="52">
        <v>10.5</v>
      </c>
      <c r="CP36" s="52">
        <v>3.4</v>
      </c>
      <c r="CQ36" s="3">
        <v>14.66</v>
      </c>
      <c r="CS36" s="10">
        <v>232</v>
      </c>
      <c r="CT36" s="10">
        <v>215</v>
      </c>
      <c r="CU36" s="59">
        <v>4</v>
      </c>
      <c r="CV36" s="10">
        <v>340</v>
      </c>
      <c r="CW36" s="10">
        <v>17</v>
      </c>
      <c r="CX36" s="60">
        <v>128.57</v>
      </c>
      <c r="CY36" s="3">
        <v>17.79</v>
      </c>
      <c r="CZ36" s="3">
        <v>5.47</v>
      </c>
      <c r="DC36" s="24">
        <v>45707.544444444444</v>
      </c>
      <c r="DD36" s="24">
        <v>45707.59375</v>
      </c>
      <c r="DF36" s="10">
        <v>264</v>
      </c>
      <c r="DG36" s="24">
        <v>45707.645833333336</v>
      </c>
      <c r="DI36" s="10">
        <v>243</v>
      </c>
      <c r="DJ36" s="58">
        <v>45707.695138888892</v>
      </c>
    </row>
    <row r="37" spans="2:114" x14ac:dyDescent="0.25">
      <c r="B37" s="1">
        <v>10107</v>
      </c>
      <c r="C37" s="12">
        <v>45707</v>
      </c>
      <c r="D37" s="2">
        <v>0.76388888888888884</v>
      </c>
      <c r="E37" s="2">
        <v>1.0097222222222222</v>
      </c>
      <c r="F37" s="61">
        <v>13.05</v>
      </c>
      <c r="G37" s="10">
        <v>16</v>
      </c>
      <c r="H37" s="61">
        <v>3.26</v>
      </c>
      <c r="I37" s="52">
        <v>79.7</v>
      </c>
      <c r="J37" s="10">
        <v>10</v>
      </c>
      <c r="L37" s="10">
        <v>4</v>
      </c>
      <c r="N37" s="10">
        <v>58</v>
      </c>
      <c r="O37" s="10">
        <v>26</v>
      </c>
      <c r="P37" s="10">
        <v>46.6</v>
      </c>
      <c r="Q37" s="61">
        <v>2.2999999999999998</v>
      </c>
      <c r="R37" s="52">
        <v>46.9</v>
      </c>
      <c r="S37" s="10">
        <v>10</v>
      </c>
      <c r="T37" s="52">
        <v>64.7</v>
      </c>
      <c r="U37" s="10">
        <v>0</v>
      </c>
      <c r="V37" s="52">
        <v>65.400000000000006</v>
      </c>
      <c r="W37" s="10">
        <v>40</v>
      </c>
      <c r="Z37" s="52">
        <v>76.2</v>
      </c>
      <c r="AA37" s="10">
        <v>100</v>
      </c>
      <c r="AB37" s="10">
        <v>9</v>
      </c>
      <c r="AC37" s="52">
        <v>13.2</v>
      </c>
      <c r="AD37" s="3">
        <v>22.27</v>
      </c>
      <c r="AE37" s="3">
        <v>2.1</v>
      </c>
      <c r="AF37" s="3">
        <v>1.04</v>
      </c>
      <c r="AG37" s="10">
        <v>40</v>
      </c>
      <c r="AH37" s="10">
        <v>1</v>
      </c>
      <c r="AI37" s="10">
        <v>136</v>
      </c>
      <c r="AJ37" s="10">
        <v>258</v>
      </c>
      <c r="AK37" s="3">
        <v>16.23</v>
      </c>
      <c r="AL37" s="61">
        <v>84.47</v>
      </c>
      <c r="AM37" s="61">
        <v>52.71</v>
      </c>
      <c r="AO37" s="10">
        <v>81</v>
      </c>
      <c r="AP37" s="10">
        <v>109</v>
      </c>
      <c r="AQ37" s="52">
        <v>80.099999999999994</v>
      </c>
      <c r="BG37" s="10">
        <v>180</v>
      </c>
      <c r="BJ37" s="10">
        <v>265</v>
      </c>
      <c r="BK37" s="52">
        <v>100.7</v>
      </c>
      <c r="BM37" s="10">
        <v>30</v>
      </c>
      <c r="BN37" s="10">
        <v>45</v>
      </c>
      <c r="BO37" s="10">
        <v>75</v>
      </c>
      <c r="BS37" s="10">
        <v>5</v>
      </c>
      <c r="BT37" s="10">
        <v>10</v>
      </c>
      <c r="BV37" s="61">
        <v>8.68</v>
      </c>
      <c r="BW37" s="61">
        <v>0.68</v>
      </c>
      <c r="BZ37" s="61">
        <v>10</v>
      </c>
      <c r="CA37" s="10">
        <v>0</v>
      </c>
      <c r="CB37" s="52">
        <v>101</v>
      </c>
      <c r="CG37" s="10">
        <v>2163</v>
      </c>
      <c r="CI37" s="10">
        <v>10</v>
      </c>
      <c r="CJ37" s="10">
        <v>10</v>
      </c>
      <c r="CK37" s="3">
        <v>0</v>
      </c>
      <c r="CM37" s="3">
        <v>0.51</v>
      </c>
      <c r="CN37" s="10">
        <v>51</v>
      </c>
      <c r="CO37" s="52">
        <v>10.6</v>
      </c>
      <c r="CP37" s="52">
        <v>3.4</v>
      </c>
      <c r="CQ37" s="3">
        <v>14.91</v>
      </c>
      <c r="CS37" s="10">
        <v>228</v>
      </c>
      <c r="CT37" s="10">
        <v>229</v>
      </c>
      <c r="CU37" s="59">
        <v>18</v>
      </c>
      <c r="CV37" s="10">
        <v>354</v>
      </c>
      <c r="CW37" s="10">
        <v>3</v>
      </c>
      <c r="CX37" s="60">
        <v>250.78</v>
      </c>
      <c r="CY37" s="3">
        <v>18.04</v>
      </c>
      <c r="CZ37" s="3">
        <v>5.49</v>
      </c>
      <c r="DC37" s="24">
        <v>45707.643750000003</v>
      </c>
      <c r="DD37" s="24">
        <v>45707.694444444445</v>
      </c>
      <c r="DF37" s="10">
        <v>266</v>
      </c>
      <c r="DG37" s="24">
        <v>45707.746527777781</v>
      </c>
      <c r="DI37" s="10">
        <v>245</v>
      </c>
      <c r="DJ37" s="58">
        <v>45707.79583333333</v>
      </c>
    </row>
    <row r="38" spans="2:114" x14ac:dyDescent="0.25">
      <c r="B38" s="1">
        <v>10108</v>
      </c>
      <c r="C38" s="12">
        <v>45707</v>
      </c>
      <c r="D38" s="2">
        <v>0.91319444444444453</v>
      </c>
      <c r="E38" s="2">
        <v>0.15277777777777776</v>
      </c>
      <c r="F38" s="61">
        <v>13.28</v>
      </c>
      <c r="G38" s="10">
        <v>17</v>
      </c>
      <c r="H38" s="61">
        <v>2.96</v>
      </c>
      <c r="I38" s="52">
        <v>79.8</v>
      </c>
      <c r="J38" s="10">
        <v>10</v>
      </c>
      <c r="L38" s="10">
        <v>2</v>
      </c>
      <c r="N38" s="10">
        <v>58</v>
      </c>
      <c r="O38" s="10">
        <v>26</v>
      </c>
      <c r="P38" s="10">
        <v>46.6</v>
      </c>
      <c r="Q38" s="61">
        <v>2.39</v>
      </c>
      <c r="R38" s="52">
        <v>46.2</v>
      </c>
      <c r="S38" s="10">
        <v>10</v>
      </c>
      <c r="T38" s="52">
        <v>64.2</v>
      </c>
      <c r="U38" s="10">
        <v>0</v>
      </c>
      <c r="V38" s="52">
        <v>65.400000000000006</v>
      </c>
      <c r="W38" s="10">
        <v>40</v>
      </c>
      <c r="Z38" s="52">
        <v>75.900000000000006</v>
      </c>
      <c r="AA38" s="10">
        <v>100</v>
      </c>
      <c r="AB38" s="10">
        <v>8</v>
      </c>
      <c r="AC38" s="52">
        <v>11.1</v>
      </c>
      <c r="AD38" s="3">
        <v>20.36</v>
      </c>
      <c r="AE38" s="3">
        <v>2.61</v>
      </c>
      <c r="AF38" s="3">
        <v>0.91</v>
      </c>
      <c r="AG38" s="10">
        <v>45</v>
      </c>
      <c r="AH38" s="10">
        <v>1</v>
      </c>
      <c r="AI38" s="10">
        <v>140</v>
      </c>
      <c r="AJ38" s="10">
        <v>258</v>
      </c>
      <c r="AK38" s="3">
        <v>16.23</v>
      </c>
      <c r="AL38" s="61">
        <v>85.89</v>
      </c>
      <c r="AM38" s="61">
        <v>54.26</v>
      </c>
      <c r="AO38" s="10">
        <v>81</v>
      </c>
      <c r="AP38" s="10">
        <v>111</v>
      </c>
      <c r="AQ38" s="52">
        <v>80.099999999999994</v>
      </c>
      <c r="BG38" s="10">
        <v>180</v>
      </c>
      <c r="BJ38" s="10">
        <v>264</v>
      </c>
      <c r="BK38" s="52">
        <v>100.7</v>
      </c>
      <c r="BM38" s="10">
        <v>30</v>
      </c>
      <c r="BN38" s="10">
        <v>45</v>
      </c>
      <c r="BO38" s="10">
        <v>75</v>
      </c>
      <c r="BS38" s="10">
        <v>5</v>
      </c>
      <c r="BT38" s="10">
        <v>10</v>
      </c>
      <c r="BV38" s="61">
        <v>8.33</v>
      </c>
      <c r="BW38" s="61">
        <v>0.33</v>
      </c>
      <c r="BZ38" s="61">
        <v>10.8</v>
      </c>
      <c r="CA38" s="10">
        <v>0</v>
      </c>
      <c r="CB38" s="52">
        <v>101</v>
      </c>
      <c r="CG38" s="10">
        <v>1922</v>
      </c>
      <c r="CI38" s="10">
        <v>10</v>
      </c>
      <c r="CJ38" s="10">
        <v>10</v>
      </c>
      <c r="CK38" s="3">
        <v>0</v>
      </c>
      <c r="CM38" s="3">
        <v>0.51</v>
      </c>
      <c r="CN38" s="10">
        <v>58</v>
      </c>
      <c r="CO38" s="52">
        <v>10.7</v>
      </c>
      <c r="CP38" s="52">
        <v>3.3</v>
      </c>
      <c r="CQ38" s="3">
        <v>14.67</v>
      </c>
      <c r="CS38" s="10">
        <v>225</v>
      </c>
      <c r="CT38" s="10">
        <v>220</v>
      </c>
      <c r="CU38" s="59">
        <v>9</v>
      </c>
      <c r="CV38" s="10">
        <v>345</v>
      </c>
      <c r="CW38" s="10">
        <v>12</v>
      </c>
      <c r="CX38" s="60">
        <v>126.19</v>
      </c>
      <c r="CY38" s="3">
        <v>17.760000000000002</v>
      </c>
      <c r="CZ38" s="3">
        <v>5.51</v>
      </c>
      <c r="DC38" s="24">
        <v>45707.850694444445</v>
      </c>
      <c r="DD38" s="24">
        <v>45707.908333333333</v>
      </c>
      <c r="DF38" s="10">
        <v>265</v>
      </c>
      <c r="DG38" s="24">
        <v>45707.960416666669</v>
      </c>
      <c r="DI38" s="10">
        <v>242</v>
      </c>
      <c r="DJ38" s="58">
        <v>45708.009722222225</v>
      </c>
    </row>
    <row r="39" spans="2:114" x14ac:dyDescent="0.25">
      <c r="B39" s="1">
        <v>10109</v>
      </c>
      <c r="C39" s="12">
        <v>45707</v>
      </c>
      <c r="D39" s="2">
        <v>0.29166666666666669</v>
      </c>
      <c r="E39" s="2">
        <v>0.53125</v>
      </c>
      <c r="F39" s="61">
        <v>12.9</v>
      </c>
      <c r="G39" s="10">
        <v>20</v>
      </c>
      <c r="H39" s="61">
        <v>3.22</v>
      </c>
      <c r="I39" s="52">
        <v>79.5</v>
      </c>
      <c r="J39" s="10">
        <v>10</v>
      </c>
      <c r="L39" s="10">
        <v>0</v>
      </c>
      <c r="N39" s="10">
        <v>61</v>
      </c>
      <c r="O39" s="10">
        <v>25</v>
      </c>
      <c r="P39" s="10">
        <v>46.6</v>
      </c>
      <c r="Q39" s="61">
        <v>2.35</v>
      </c>
      <c r="R39" s="52">
        <v>46</v>
      </c>
      <c r="S39" s="10">
        <v>9</v>
      </c>
      <c r="T39" s="52">
        <v>64.3</v>
      </c>
      <c r="U39" s="10">
        <v>0</v>
      </c>
      <c r="V39" s="52">
        <v>66</v>
      </c>
      <c r="W39" s="10">
        <v>40</v>
      </c>
      <c r="Z39" s="52">
        <v>76</v>
      </c>
      <c r="AA39" s="10">
        <v>99</v>
      </c>
      <c r="AB39" s="10">
        <v>8</v>
      </c>
      <c r="AC39" s="52">
        <v>9</v>
      </c>
      <c r="AD39" s="3">
        <v>21.2</v>
      </c>
      <c r="AE39" s="3">
        <v>2.7</v>
      </c>
      <c r="AF39" s="3">
        <v>1</v>
      </c>
      <c r="AG39" s="10">
        <v>40</v>
      </c>
      <c r="AH39" s="10">
        <v>1</v>
      </c>
      <c r="AI39" s="10">
        <v>145</v>
      </c>
      <c r="AJ39" s="10">
        <v>259</v>
      </c>
      <c r="AK39" s="3">
        <v>16.23</v>
      </c>
      <c r="AL39" s="61">
        <v>90.06</v>
      </c>
      <c r="AM39" s="61">
        <v>55.98</v>
      </c>
      <c r="AO39" s="10">
        <v>81</v>
      </c>
      <c r="AP39" s="10">
        <v>109</v>
      </c>
      <c r="AQ39" s="52">
        <v>80.099999999999994</v>
      </c>
      <c r="BG39" s="10">
        <v>180</v>
      </c>
      <c r="BJ39" s="10">
        <v>266</v>
      </c>
      <c r="BK39" s="52">
        <v>100.7</v>
      </c>
      <c r="BM39" s="10">
        <v>30</v>
      </c>
      <c r="BN39" s="10">
        <v>45</v>
      </c>
      <c r="BO39" s="10">
        <v>75</v>
      </c>
      <c r="BS39" s="10">
        <v>5</v>
      </c>
      <c r="BT39" s="10">
        <v>10</v>
      </c>
      <c r="BV39" s="61">
        <v>7.89</v>
      </c>
      <c r="BW39" s="61">
        <v>0.11</v>
      </c>
      <c r="BZ39" s="61">
        <v>9.59</v>
      </c>
      <c r="CA39" s="10">
        <v>0</v>
      </c>
      <c r="CB39" s="52">
        <v>101</v>
      </c>
      <c r="CG39" s="10">
        <v>2842</v>
      </c>
      <c r="CI39" s="10">
        <v>10</v>
      </c>
      <c r="CJ39" s="10">
        <v>10</v>
      </c>
      <c r="CK39" s="3">
        <v>0</v>
      </c>
      <c r="CM39" s="3">
        <v>0.5</v>
      </c>
      <c r="CN39" s="10">
        <v>51</v>
      </c>
      <c r="CO39" s="52">
        <v>10.8</v>
      </c>
      <c r="CP39" s="52">
        <v>3.4</v>
      </c>
      <c r="CQ39" s="3">
        <v>14.78</v>
      </c>
      <c r="CS39" s="10">
        <v>230</v>
      </c>
      <c r="CT39" s="10">
        <v>218</v>
      </c>
      <c r="CU39" s="59">
        <v>7</v>
      </c>
      <c r="CV39" s="10">
        <v>345</v>
      </c>
      <c r="CW39" s="10">
        <v>12</v>
      </c>
      <c r="CX39" s="60">
        <v>83.39</v>
      </c>
      <c r="CY39" s="3">
        <v>18.03</v>
      </c>
      <c r="CZ39" s="3">
        <v>5.41</v>
      </c>
      <c r="DC39" s="24">
        <v>45708</v>
      </c>
      <c r="DD39" s="24">
        <v>45708.046527777777</v>
      </c>
      <c r="DF39" s="10">
        <v>264</v>
      </c>
      <c r="DG39" s="24">
        <v>45708.098611111112</v>
      </c>
      <c r="DI39" s="10">
        <v>242</v>
      </c>
      <c r="DJ39" s="58">
        <v>45708.152777777781</v>
      </c>
    </row>
    <row r="40" spans="2:114" x14ac:dyDescent="0.25">
      <c r="B40" s="1">
        <v>10110</v>
      </c>
      <c r="C40" s="12">
        <v>45708</v>
      </c>
      <c r="D40" s="2">
        <v>0.3888888888888889</v>
      </c>
      <c r="E40" s="2">
        <v>0.62708333333333333</v>
      </c>
      <c r="F40" s="61">
        <v>13.43</v>
      </c>
      <c r="G40" s="10">
        <v>18</v>
      </c>
      <c r="H40" s="61">
        <v>7.98</v>
      </c>
      <c r="I40" s="52">
        <v>79.5</v>
      </c>
      <c r="J40" s="10">
        <v>10</v>
      </c>
      <c r="L40" s="10">
        <v>5</v>
      </c>
      <c r="N40" s="10">
        <v>59</v>
      </c>
      <c r="O40" s="10">
        <v>25</v>
      </c>
      <c r="P40" s="10">
        <v>46.6</v>
      </c>
      <c r="Q40" s="61">
        <v>2.36</v>
      </c>
      <c r="R40" s="52">
        <v>46.1</v>
      </c>
      <c r="S40" s="10">
        <v>9</v>
      </c>
      <c r="T40" s="52">
        <v>64</v>
      </c>
      <c r="U40" s="10">
        <v>0</v>
      </c>
      <c r="V40" s="52">
        <v>65.3</v>
      </c>
      <c r="W40" s="10">
        <v>40</v>
      </c>
      <c r="Z40" s="52">
        <v>76</v>
      </c>
      <c r="AA40" s="10">
        <v>110</v>
      </c>
      <c r="AB40" s="10">
        <v>8</v>
      </c>
      <c r="AC40" s="52">
        <v>10</v>
      </c>
      <c r="AD40" s="3">
        <v>21.8</v>
      </c>
      <c r="AE40" s="3">
        <v>2.2000000000000002</v>
      </c>
      <c r="AF40" s="3">
        <v>0.9</v>
      </c>
      <c r="AG40" s="10">
        <v>40</v>
      </c>
      <c r="AH40" s="10">
        <v>2</v>
      </c>
      <c r="AI40" s="10">
        <v>145</v>
      </c>
      <c r="AJ40" s="10">
        <v>259</v>
      </c>
      <c r="AK40" s="3">
        <v>16.23</v>
      </c>
      <c r="AL40" s="61">
        <v>55.56</v>
      </c>
      <c r="AM40" s="61">
        <v>55.98</v>
      </c>
      <c r="AO40" s="10">
        <v>88</v>
      </c>
      <c r="AP40" s="10">
        <v>116</v>
      </c>
      <c r="AQ40" s="52">
        <v>80.099999999999994</v>
      </c>
      <c r="BG40" s="10">
        <v>180</v>
      </c>
      <c r="BJ40" s="10">
        <v>266</v>
      </c>
      <c r="BK40" s="52">
        <v>100.7</v>
      </c>
      <c r="BM40" s="10">
        <v>30</v>
      </c>
      <c r="BN40" s="10">
        <v>45</v>
      </c>
      <c r="BO40" s="10">
        <v>75</v>
      </c>
      <c r="BS40" s="10">
        <v>5</v>
      </c>
      <c r="BT40" s="10">
        <v>10</v>
      </c>
      <c r="BV40" s="61">
        <v>7.52</v>
      </c>
      <c r="BW40" s="61">
        <v>0.48</v>
      </c>
      <c r="BZ40" s="61">
        <v>10.34</v>
      </c>
      <c r="CA40" s="10">
        <v>0</v>
      </c>
      <c r="CB40" s="52">
        <v>101</v>
      </c>
      <c r="CG40" s="10">
        <v>2101</v>
      </c>
      <c r="CI40" s="10">
        <v>10</v>
      </c>
      <c r="CJ40" s="10">
        <v>10</v>
      </c>
      <c r="CK40" s="3">
        <v>0</v>
      </c>
      <c r="CM40" s="3">
        <v>0.51</v>
      </c>
      <c r="CN40" s="10">
        <v>51</v>
      </c>
      <c r="CO40" s="52">
        <v>10</v>
      </c>
      <c r="CP40" s="52">
        <v>3.4</v>
      </c>
      <c r="CQ40" s="3">
        <v>14.91</v>
      </c>
      <c r="CS40" s="10">
        <v>228</v>
      </c>
      <c r="CT40" s="10">
        <v>217</v>
      </c>
      <c r="CU40" s="59">
        <v>6</v>
      </c>
      <c r="CV40" s="10">
        <v>343</v>
      </c>
      <c r="CW40" s="10">
        <v>14</v>
      </c>
      <c r="CX40" s="60">
        <v>110.98</v>
      </c>
      <c r="CY40" s="3">
        <v>17.760000000000002</v>
      </c>
      <c r="CZ40" s="3">
        <v>5.29</v>
      </c>
      <c r="DC40" s="24">
        <v>45707.379861111112</v>
      </c>
      <c r="DD40" s="24">
        <v>45707.429861111108</v>
      </c>
      <c r="DF40" s="10">
        <v>266</v>
      </c>
      <c r="DG40" s="24">
        <v>45707.481944444444</v>
      </c>
      <c r="DI40" s="10">
        <v>245</v>
      </c>
      <c r="DJ40" s="58">
        <v>45707.53125</v>
      </c>
    </row>
    <row r="41" spans="2:114" x14ac:dyDescent="0.25">
      <c r="B41" s="1">
        <v>10111</v>
      </c>
      <c r="C41" s="12">
        <v>45708</v>
      </c>
      <c r="D41" s="74">
        <v>0.4861111111111111</v>
      </c>
      <c r="E41" s="74">
        <v>0.7270833333333333</v>
      </c>
      <c r="F41" s="61">
        <v>12.54</v>
      </c>
      <c r="G41" s="10">
        <v>17</v>
      </c>
      <c r="H41" s="61">
        <v>2.79</v>
      </c>
      <c r="I41" s="52">
        <v>79.7</v>
      </c>
      <c r="J41" s="10">
        <v>10</v>
      </c>
      <c r="L41" s="10">
        <v>5</v>
      </c>
      <c r="N41" s="10">
        <v>58</v>
      </c>
      <c r="O41" s="10">
        <v>25</v>
      </c>
      <c r="P41" s="10">
        <v>46.6</v>
      </c>
      <c r="Q41" s="61">
        <v>2.37</v>
      </c>
      <c r="R41" s="52">
        <v>46.1</v>
      </c>
      <c r="S41" s="10">
        <v>10</v>
      </c>
      <c r="T41" s="52">
        <v>64</v>
      </c>
      <c r="U41" s="10">
        <v>0</v>
      </c>
      <c r="V41" s="52">
        <v>65.400000000000006</v>
      </c>
      <c r="W41" s="10">
        <v>45</v>
      </c>
      <c r="Z41" s="52">
        <v>76</v>
      </c>
      <c r="AA41" s="10">
        <v>141</v>
      </c>
      <c r="AB41" s="10">
        <v>8</v>
      </c>
      <c r="AC41" s="52">
        <v>9</v>
      </c>
      <c r="AD41" s="3">
        <v>22.47</v>
      </c>
      <c r="AE41" s="3">
        <v>2.1800000000000002</v>
      </c>
      <c r="AF41" s="3">
        <v>0.78</v>
      </c>
      <c r="AG41" s="10">
        <v>40</v>
      </c>
      <c r="AH41" s="10">
        <v>1</v>
      </c>
      <c r="AI41" s="10">
        <v>136</v>
      </c>
      <c r="AJ41" s="10">
        <v>258</v>
      </c>
      <c r="AK41" s="3">
        <v>16.23</v>
      </c>
      <c r="AL41" s="61">
        <v>84.47</v>
      </c>
      <c r="AM41" s="61">
        <v>52.71</v>
      </c>
      <c r="AO41" s="10">
        <v>82</v>
      </c>
      <c r="AP41" s="10">
        <v>110</v>
      </c>
      <c r="AQ41" s="52">
        <v>80.099999999999994</v>
      </c>
      <c r="BG41" s="10">
        <v>180</v>
      </c>
      <c r="BJ41" s="10">
        <v>266</v>
      </c>
      <c r="BK41" s="52">
        <v>100.7</v>
      </c>
      <c r="BM41" s="10">
        <v>30</v>
      </c>
      <c r="BN41" s="10">
        <v>45</v>
      </c>
      <c r="BO41" s="10">
        <v>75</v>
      </c>
      <c r="BS41" s="10">
        <v>5</v>
      </c>
      <c r="BT41" s="10">
        <v>10</v>
      </c>
      <c r="BV41" s="61">
        <v>8.27</v>
      </c>
      <c r="BW41" s="61">
        <v>0.27</v>
      </c>
      <c r="BZ41" s="61">
        <v>9.9600000000000009</v>
      </c>
      <c r="CA41" s="10">
        <v>0</v>
      </c>
      <c r="CB41" s="52">
        <v>101</v>
      </c>
      <c r="CG41" s="10">
        <v>2003</v>
      </c>
      <c r="CI41" s="10">
        <v>10</v>
      </c>
      <c r="CJ41" s="10">
        <v>10</v>
      </c>
      <c r="CK41" s="3">
        <v>0</v>
      </c>
      <c r="CM41" s="3">
        <v>0.5</v>
      </c>
      <c r="CN41" s="10">
        <v>51</v>
      </c>
      <c r="CO41" s="52">
        <v>10.5</v>
      </c>
      <c r="CP41" s="52">
        <v>3.4</v>
      </c>
      <c r="CQ41" s="3">
        <v>14.85</v>
      </c>
      <c r="CS41" s="10">
        <v>229</v>
      </c>
      <c r="CT41" s="10">
        <v>221</v>
      </c>
      <c r="CU41" s="59">
        <v>10</v>
      </c>
      <c r="CV41" s="10">
        <v>347</v>
      </c>
      <c r="CW41" s="10">
        <v>10</v>
      </c>
      <c r="CX41" s="60">
        <v>129.93</v>
      </c>
      <c r="CY41" s="3">
        <v>18.170000000000002</v>
      </c>
      <c r="CZ41" s="3">
        <v>5.46</v>
      </c>
      <c r="DC41" s="24">
        <v>45708.476388888892</v>
      </c>
      <c r="DD41" s="24">
        <v>45708.525694444441</v>
      </c>
      <c r="DF41" s="10">
        <v>266</v>
      </c>
      <c r="DG41" s="24">
        <v>45708.577777777777</v>
      </c>
      <c r="DI41" s="10">
        <v>246</v>
      </c>
      <c r="DJ41" s="58">
        <v>45708.627083333333</v>
      </c>
    </row>
    <row r="42" spans="2:114" x14ac:dyDescent="0.25">
      <c r="B42" s="1">
        <v>10112</v>
      </c>
      <c r="C42" s="12">
        <v>45708</v>
      </c>
      <c r="D42" s="2">
        <v>0.59722222222222221</v>
      </c>
      <c r="E42" s="2">
        <v>0.84097222222222223</v>
      </c>
      <c r="F42" s="61">
        <v>12.88</v>
      </c>
      <c r="G42" s="10">
        <v>16</v>
      </c>
      <c r="H42" s="61">
        <v>2.85</v>
      </c>
      <c r="I42" s="52">
        <v>79.599999999999994</v>
      </c>
      <c r="J42" s="10">
        <v>10</v>
      </c>
      <c r="L42" s="10">
        <v>5</v>
      </c>
      <c r="N42" s="10">
        <v>59</v>
      </c>
      <c r="O42" s="10">
        <v>25</v>
      </c>
      <c r="P42" s="10">
        <v>46.6</v>
      </c>
      <c r="Q42" s="61">
        <v>2.35</v>
      </c>
      <c r="R42" s="52">
        <v>46.5</v>
      </c>
      <c r="S42" s="10">
        <v>10</v>
      </c>
      <c r="T42" s="52">
        <v>65.099999999999994</v>
      </c>
      <c r="U42" s="10">
        <v>0</v>
      </c>
      <c r="V42" s="52">
        <v>65.599999999999994</v>
      </c>
      <c r="W42" s="10">
        <v>45</v>
      </c>
      <c r="Z42" s="52">
        <v>76</v>
      </c>
      <c r="AA42" s="10">
        <v>101</v>
      </c>
      <c r="AB42" s="10">
        <v>12</v>
      </c>
      <c r="AC42" s="52">
        <v>13.2</v>
      </c>
      <c r="AD42" s="3">
        <v>22.2</v>
      </c>
      <c r="AE42" s="3">
        <v>2.0499999999999998</v>
      </c>
      <c r="AF42" s="3">
        <v>0.79</v>
      </c>
      <c r="AG42" s="10">
        <v>40</v>
      </c>
      <c r="AH42" s="10">
        <v>1</v>
      </c>
      <c r="AI42" s="10">
        <v>136</v>
      </c>
      <c r="AJ42" s="10">
        <v>258</v>
      </c>
      <c r="AK42" s="3">
        <v>16.23</v>
      </c>
      <c r="AL42" s="61">
        <v>84.47</v>
      </c>
      <c r="AM42" s="61">
        <v>52.71</v>
      </c>
      <c r="AO42" s="10">
        <v>81</v>
      </c>
      <c r="AP42" s="10">
        <v>112</v>
      </c>
      <c r="AQ42" s="52">
        <v>80.099999999999994</v>
      </c>
      <c r="BG42" s="10">
        <v>180</v>
      </c>
      <c r="BJ42" s="10">
        <v>265</v>
      </c>
      <c r="BK42" s="52">
        <v>100.7</v>
      </c>
      <c r="BM42" s="10">
        <v>30</v>
      </c>
      <c r="BN42" s="10">
        <v>45</v>
      </c>
      <c r="BO42" s="10">
        <v>75</v>
      </c>
      <c r="BS42" s="10">
        <v>5</v>
      </c>
      <c r="BT42" s="10">
        <v>10</v>
      </c>
      <c r="BV42" s="61">
        <v>7.92</v>
      </c>
      <c r="BW42" s="61">
        <v>0.08</v>
      </c>
      <c r="BZ42" s="61">
        <v>10</v>
      </c>
      <c r="CA42" s="10">
        <v>0</v>
      </c>
      <c r="CB42" s="52">
        <v>101</v>
      </c>
      <c r="CG42" s="10">
        <v>1970</v>
      </c>
      <c r="CI42" s="10">
        <v>10</v>
      </c>
      <c r="CJ42" s="10">
        <v>10</v>
      </c>
      <c r="CK42" s="3">
        <v>0</v>
      </c>
      <c r="CM42" s="3">
        <v>0.51</v>
      </c>
      <c r="CN42" s="10">
        <v>51</v>
      </c>
      <c r="CO42" s="52">
        <v>10.5</v>
      </c>
      <c r="CP42" s="52">
        <v>3.4</v>
      </c>
      <c r="CQ42" s="3">
        <v>14.91</v>
      </c>
      <c r="CS42" s="10">
        <v>228</v>
      </c>
      <c r="CT42" s="10">
        <v>222</v>
      </c>
      <c r="CU42" s="59">
        <v>11</v>
      </c>
      <c r="CV42" s="10">
        <v>351</v>
      </c>
      <c r="CW42" s="10">
        <v>6</v>
      </c>
      <c r="CX42" s="60">
        <v>120.41</v>
      </c>
      <c r="CY42" s="3">
        <v>18.11</v>
      </c>
      <c r="CZ42" s="3">
        <v>5.2</v>
      </c>
      <c r="DC42" s="24">
        <v>45708.573611111111</v>
      </c>
      <c r="DD42" s="24">
        <v>45708.625694444447</v>
      </c>
      <c r="DF42" s="10">
        <v>266</v>
      </c>
      <c r="DG42" s="24">
        <v>45708.677777777775</v>
      </c>
      <c r="DI42" s="10">
        <v>244</v>
      </c>
      <c r="DJ42" s="58">
        <v>45708.727083333331</v>
      </c>
    </row>
    <row r="43" spans="2:114" x14ac:dyDescent="0.25">
      <c r="B43" s="1">
        <v>10113</v>
      </c>
      <c r="C43" s="12">
        <v>45708</v>
      </c>
      <c r="D43" s="2">
        <v>0.69444444444444453</v>
      </c>
      <c r="E43" s="2">
        <v>0.93541666666666667</v>
      </c>
      <c r="F43" s="61">
        <v>13.04</v>
      </c>
      <c r="G43" s="10">
        <v>16</v>
      </c>
      <c r="H43" s="61">
        <v>3.24</v>
      </c>
      <c r="I43" s="52">
        <v>79.599999999999994</v>
      </c>
      <c r="J43" s="10">
        <v>10</v>
      </c>
      <c r="L43" s="10">
        <v>5</v>
      </c>
      <c r="N43" s="10">
        <v>58</v>
      </c>
      <c r="O43" s="10">
        <v>25</v>
      </c>
      <c r="P43" s="10">
        <v>46.6</v>
      </c>
      <c r="Q43" s="61">
        <v>2.37</v>
      </c>
      <c r="R43" s="52">
        <v>46.5</v>
      </c>
      <c r="S43" s="10">
        <v>10</v>
      </c>
      <c r="T43" s="52">
        <v>65.099999999999994</v>
      </c>
      <c r="U43" s="10">
        <v>0</v>
      </c>
      <c r="V43" s="52">
        <v>65.8</v>
      </c>
      <c r="W43" s="10">
        <v>45</v>
      </c>
      <c r="Z43" s="52">
        <v>76.099999999999994</v>
      </c>
      <c r="AA43" s="10">
        <v>99</v>
      </c>
      <c r="AB43" s="10">
        <v>9</v>
      </c>
      <c r="AC43" s="52">
        <v>14.2</v>
      </c>
      <c r="AD43" s="3">
        <v>22.27</v>
      </c>
      <c r="AE43" s="3">
        <v>2.37</v>
      </c>
      <c r="AG43" s="10">
        <v>0</v>
      </c>
      <c r="AH43" s="10">
        <v>1</v>
      </c>
      <c r="AI43" s="10">
        <v>136</v>
      </c>
      <c r="AJ43" s="10">
        <v>260</v>
      </c>
      <c r="AK43" s="3">
        <v>16.23</v>
      </c>
      <c r="AL43" s="61">
        <v>84.47</v>
      </c>
      <c r="AM43" s="61">
        <v>52.31</v>
      </c>
      <c r="AO43" s="10">
        <v>84</v>
      </c>
      <c r="AP43" s="10">
        <v>102</v>
      </c>
      <c r="AQ43" s="52">
        <v>80.099999999999994</v>
      </c>
      <c r="BG43" s="10">
        <v>180</v>
      </c>
      <c r="BJ43" s="10">
        <v>266</v>
      </c>
      <c r="BK43" s="52">
        <v>100.7</v>
      </c>
      <c r="BM43" s="10">
        <v>30</v>
      </c>
      <c r="BN43" s="10">
        <v>45</v>
      </c>
      <c r="BO43" s="10">
        <v>75</v>
      </c>
      <c r="BS43" s="10">
        <v>5</v>
      </c>
      <c r="BT43" s="10">
        <v>10</v>
      </c>
      <c r="BV43" s="61">
        <v>7.89</v>
      </c>
      <c r="BW43" s="61">
        <v>0.11</v>
      </c>
      <c r="BZ43" s="61">
        <v>9.2100000000000009</v>
      </c>
      <c r="CA43" s="10">
        <v>0</v>
      </c>
      <c r="CB43" s="52">
        <v>101</v>
      </c>
      <c r="CG43" s="10">
        <v>1955</v>
      </c>
      <c r="CI43" s="10">
        <v>10</v>
      </c>
      <c r="CJ43" s="10">
        <v>10</v>
      </c>
      <c r="CK43" s="3">
        <v>0</v>
      </c>
      <c r="CM43" s="3">
        <v>0.69</v>
      </c>
      <c r="CN43" s="10">
        <v>52</v>
      </c>
      <c r="CO43" s="52">
        <v>10.6</v>
      </c>
      <c r="CP43" s="52">
        <v>3.5</v>
      </c>
      <c r="CQ43" s="3">
        <v>15.15</v>
      </c>
      <c r="CS43" s="10">
        <v>231</v>
      </c>
      <c r="CT43" s="10">
        <v>223</v>
      </c>
      <c r="CU43" s="59">
        <v>12</v>
      </c>
      <c r="CV43" s="10">
        <v>347</v>
      </c>
      <c r="CW43" s="10">
        <v>10</v>
      </c>
      <c r="CX43" s="60">
        <v>133.38999999999999</v>
      </c>
      <c r="CY43" s="3">
        <v>17.920000000000002</v>
      </c>
      <c r="CZ43" s="3">
        <v>5.47</v>
      </c>
      <c r="DC43" s="24">
        <v>45708.686805555553</v>
      </c>
      <c r="DD43" s="24">
        <v>45708.739583333336</v>
      </c>
      <c r="DF43" s="10">
        <v>265</v>
      </c>
      <c r="DG43" s="24">
        <v>45708.791666666664</v>
      </c>
      <c r="DI43" s="10">
        <v>244</v>
      </c>
      <c r="DJ43" s="58">
        <v>45708.84097222222</v>
      </c>
    </row>
    <row r="44" spans="2:114" x14ac:dyDescent="0.25">
      <c r="B44" s="1">
        <v>10114</v>
      </c>
      <c r="C44" s="12">
        <v>45713</v>
      </c>
      <c r="D44" s="2">
        <v>0.75694444444444453</v>
      </c>
      <c r="E44" s="2">
        <v>1.0180555555555555</v>
      </c>
      <c r="F44" s="61">
        <v>13.08</v>
      </c>
      <c r="G44" s="10">
        <v>19</v>
      </c>
      <c r="H44" s="61">
        <v>2.81</v>
      </c>
      <c r="I44" s="52">
        <v>79.599999999999994</v>
      </c>
      <c r="J44" s="10">
        <v>10</v>
      </c>
      <c r="L44" s="10">
        <v>1</v>
      </c>
      <c r="N44" s="10">
        <v>60</v>
      </c>
      <c r="O44" s="10">
        <v>24</v>
      </c>
      <c r="P44" s="10">
        <v>46.6</v>
      </c>
      <c r="Q44" s="61">
        <v>2.3199999999999998</v>
      </c>
      <c r="R44" s="52">
        <v>45.6</v>
      </c>
      <c r="S44" s="10">
        <v>10</v>
      </c>
      <c r="T44" s="52">
        <v>63.9</v>
      </c>
      <c r="U44" s="10">
        <v>18</v>
      </c>
      <c r="V44" s="52">
        <v>65.2</v>
      </c>
      <c r="W44" s="10">
        <v>40</v>
      </c>
      <c r="Z44" s="52">
        <v>75.8</v>
      </c>
      <c r="AA44" s="10">
        <v>105</v>
      </c>
      <c r="AB44" s="10">
        <v>8</v>
      </c>
      <c r="AC44" s="52">
        <v>12.3</v>
      </c>
      <c r="AD44" s="3">
        <v>22.9</v>
      </c>
      <c r="AE44" s="3">
        <v>3.1</v>
      </c>
      <c r="AF44" s="3">
        <v>1.05</v>
      </c>
      <c r="AG44" s="10">
        <v>43</v>
      </c>
      <c r="AH44" s="10">
        <v>2</v>
      </c>
      <c r="AI44" s="10">
        <v>120</v>
      </c>
      <c r="AJ44" s="10">
        <v>258</v>
      </c>
      <c r="AK44" s="3">
        <v>16.23</v>
      </c>
      <c r="AL44" s="61">
        <v>74.53</v>
      </c>
      <c r="AM44" s="61">
        <v>46.51</v>
      </c>
      <c r="AO44" s="10">
        <v>93</v>
      </c>
      <c r="AP44" s="10">
        <v>122</v>
      </c>
      <c r="AQ44" s="52">
        <v>80.099999999999994</v>
      </c>
      <c r="BG44" s="10">
        <v>180</v>
      </c>
      <c r="BJ44" s="10">
        <v>260</v>
      </c>
      <c r="BK44" s="52">
        <v>100.7</v>
      </c>
      <c r="BM44" s="10">
        <v>30</v>
      </c>
      <c r="BN44" s="10">
        <v>45</v>
      </c>
      <c r="BO44" s="10">
        <v>75</v>
      </c>
      <c r="BS44" s="10">
        <v>5</v>
      </c>
      <c r="BT44" s="10">
        <v>10</v>
      </c>
      <c r="BV44" s="61">
        <v>5.77</v>
      </c>
      <c r="BW44" s="61">
        <v>2.23</v>
      </c>
      <c r="BZ44" s="61">
        <v>8.27</v>
      </c>
      <c r="CA44" s="10">
        <v>0</v>
      </c>
      <c r="CB44" s="52">
        <v>101</v>
      </c>
      <c r="CG44" s="10">
        <v>1757</v>
      </c>
      <c r="CI44" s="10">
        <v>10</v>
      </c>
      <c r="CJ44" s="10">
        <v>10</v>
      </c>
      <c r="CK44" s="3">
        <v>0</v>
      </c>
      <c r="CM44" s="3">
        <v>0.51</v>
      </c>
      <c r="CN44" s="10">
        <v>51</v>
      </c>
      <c r="CO44" s="52">
        <v>10.6</v>
      </c>
      <c r="CP44" s="52">
        <v>3.4</v>
      </c>
      <c r="CQ44" s="3">
        <v>14.91</v>
      </c>
      <c r="CS44" s="10">
        <v>228</v>
      </c>
      <c r="CT44" s="10">
        <v>244</v>
      </c>
      <c r="CU44" s="59">
        <v>33</v>
      </c>
      <c r="CV44" s="10">
        <v>376</v>
      </c>
      <c r="CW44" s="10">
        <v>19</v>
      </c>
      <c r="CX44" s="60">
        <v>555.94000000000005</v>
      </c>
      <c r="CY44" s="3">
        <v>17.760000000000002</v>
      </c>
      <c r="CZ44" s="3">
        <v>5.52</v>
      </c>
      <c r="DC44" s="24">
        <v>45713.848611111112</v>
      </c>
      <c r="DD44" s="24">
        <v>45713.916666666664</v>
      </c>
      <c r="DF44" s="10">
        <v>260</v>
      </c>
      <c r="DG44" s="24">
        <v>45713.96875</v>
      </c>
      <c r="DI44" s="10">
        <v>245</v>
      </c>
      <c r="DJ44" s="58">
        <v>45714.018055555556</v>
      </c>
    </row>
    <row r="45" spans="2:114" x14ac:dyDescent="0.25">
      <c r="B45" s="1">
        <v>10115</v>
      </c>
      <c r="C45" s="12">
        <v>45713</v>
      </c>
      <c r="D45" s="2">
        <v>0.85416666666666663</v>
      </c>
      <c r="E45" s="2">
        <v>1.0993055555555555</v>
      </c>
      <c r="F45" s="61">
        <v>13.04</v>
      </c>
      <c r="G45" s="10">
        <v>17</v>
      </c>
      <c r="H45" s="61">
        <v>2.87</v>
      </c>
      <c r="I45" s="52">
        <v>79.599999999999994</v>
      </c>
      <c r="J45" s="10">
        <v>10</v>
      </c>
      <c r="L45" s="10">
        <v>1</v>
      </c>
      <c r="N45" s="10">
        <v>56</v>
      </c>
      <c r="O45" s="10">
        <v>24</v>
      </c>
      <c r="P45" s="10">
        <v>46.6</v>
      </c>
      <c r="Q45" s="61">
        <v>2.3199999999999998</v>
      </c>
      <c r="R45" s="52">
        <v>45.9</v>
      </c>
      <c r="S45" s="10">
        <v>10</v>
      </c>
      <c r="T45" s="52">
        <v>63.9</v>
      </c>
      <c r="U45" s="10">
        <v>5</v>
      </c>
      <c r="V45" s="52">
        <v>65.099999999999994</v>
      </c>
      <c r="W45" s="10">
        <v>40</v>
      </c>
      <c r="Z45" s="52">
        <v>75.900000000000006</v>
      </c>
      <c r="AA45" s="10">
        <v>105</v>
      </c>
      <c r="AB45" s="10">
        <v>8</v>
      </c>
      <c r="AC45" s="52">
        <v>10</v>
      </c>
      <c r="AD45" s="3">
        <v>22.1</v>
      </c>
      <c r="AE45" s="3">
        <v>1.78</v>
      </c>
      <c r="AF45" s="3">
        <v>0.8</v>
      </c>
      <c r="AG45" s="10">
        <v>40</v>
      </c>
      <c r="AH45" s="10">
        <v>1</v>
      </c>
      <c r="AI45" s="10">
        <v>136</v>
      </c>
      <c r="AJ45" s="10">
        <v>259</v>
      </c>
      <c r="AK45" s="3">
        <v>16.23</v>
      </c>
      <c r="AL45" s="61">
        <v>84.47</v>
      </c>
      <c r="AM45" s="61">
        <v>52.51</v>
      </c>
      <c r="AO45" s="10">
        <v>81</v>
      </c>
      <c r="AP45" s="10">
        <v>109</v>
      </c>
      <c r="AQ45" s="52">
        <v>80.099999999999994</v>
      </c>
      <c r="BG45" s="10">
        <v>180</v>
      </c>
      <c r="BJ45" s="10">
        <v>264</v>
      </c>
      <c r="BK45" s="52">
        <v>100.7</v>
      </c>
      <c r="BM45" s="10">
        <v>30</v>
      </c>
      <c r="BN45" s="10">
        <v>45</v>
      </c>
      <c r="BO45" s="10">
        <v>75</v>
      </c>
      <c r="BS45" s="10">
        <v>5</v>
      </c>
      <c r="BT45" s="10">
        <v>10</v>
      </c>
      <c r="BV45" s="61">
        <v>8.33</v>
      </c>
      <c r="BW45" s="61">
        <v>0.33</v>
      </c>
      <c r="BZ45" s="61">
        <v>9.66</v>
      </c>
      <c r="CA45" s="10">
        <v>0</v>
      </c>
      <c r="CB45" s="52">
        <v>101</v>
      </c>
      <c r="CG45" s="10">
        <v>2178</v>
      </c>
      <c r="CI45" s="10">
        <v>10</v>
      </c>
      <c r="CJ45" s="10">
        <v>10</v>
      </c>
      <c r="CK45" s="3">
        <v>0</v>
      </c>
      <c r="CM45" s="3">
        <v>0.51</v>
      </c>
      <c r="CN45" s="10">
        <v>51</v>
      </c>
      <c r="CO45" s="52">
        <v>10.6</v>
      </c>
      <c r="CP45" s="52">
        <v>3.4</v>
      </c>
      <c r="CQ45" s="3">
        <v>14.91</v>
      </c>
      <c r="CS45" s="10">
        <v>228</v>
      </c>
      <c r="CT45" s="10">
        <v>223</v>
      </c>
      <c r="CU45" s="59">
        <v>12</v>
      </c>
      <c r="CV45" s="10">
        <v>353</v>
      </c>
      <c r="CW45" s="10">
        <v>4</v>
      </c>
      <c r="CX45" s="60">
        <v>156.19</v>
      </c>
      <c r="CY45" s="3">
        <v>17.95</v>
      </c>
      <c r="CZ45" s="3">
        <v>5.26</v>
      </c>
      <c r="DC45" s="24">
        <v>45713.944444444445</v>
      </c>
      <c r="DD45" s="24">
        <v>45713.997916666667</v>
      </c>
      <c r="DF45" s="10">
        <v>264</v>
      </c>
      <c r="DG45" s="24">
        <v>45714.05</v>
      </c>
      <c r="DI45" s="10">
        <v>242</v>
      </c>
      <c r="DJ45" s="58">
        <v>45714.099305555559</v>
      </c>
    </row>
    <row r="46" spans="2:114" x14ac:dyDescent="0.25">
      <c r="B46" s="1">
        <v>10116</v>
      </c>
      <c r="C46" s="12">
        <v>45713</v>
      </c>
      <c r="D46" s="2">
        <v>0.95138888888888884</v>
      </c>
      <c r="E46" s="2">
        <v>0.1875</v>
      </c>
      <c r="F46" s="61">
        <v>12.97</v>
      </c>
      <c r="G46" s="10">
        <v>18</v>
      </c>
      <c r="H46" s="61">
        <v>2.87</v>
      </c>
      <c r="I46" s="52">
        <v>79.8</v>
      </c>
      <c r="J46" s="10">
        <v>10</v>
      </c>
      <c r="L46" s="10">
        <v>3</v>
      </c>
      <c r="N46" s="10">
        <v>58</v>
      </c>
      <c r="O46" s="10">
        <v>24</v>
      </c>
      <c r="P46" s="10">
        <v>46.6</v>
      </c>
      <c r="Q46" s="61">
        <v>2.31</v>
      </c>
      <c r="R46" s="52">
        <v>45.9</v>
      </c>
      <c r="S46" s="10">
        <v>10</v>
      </c>
      <c r="T46" s="52">
        <v>64</v>
      </c>
      <c r="U46" s="10">
        <v>0</v>
      </c>
      <c r="V46" s="52">
        <v>65.2</v>
      </c>
      <c r="W46" s="10">
        <v>40</v>
      </c>
      <c r="Z46" s="52">
        <v>76</v>
      </c>
      <c r="AA46" s="10">
        <v>100</v>
      </c>
      <c r="AB46" s="10">
        <v>9</v>
      </c>
      <c r="AC46" s="52">
        <v>10</v>
      </c>
      <c r="AD46" s="3">
        <v>22.4</v>
      </c>
      <c r="AE46" s="3">
        <v>2.27</v>
      </c>
      <c r="AG46" s="10">
        <v>40</v>
      </c>
      <c r="AH46" s="10">
        <v>1</v>
      </c>
      <c r="AI46" s="10">
        <v>136</v>
      </c>
      <c r="AJ46" s="10">
        <v>259</v>
      </c>
      <c r="AK46" s="3">
        <v>16.23</v>
      </c>
      <c r="AL46" s="61">
        <v>84.47</v>
      </c>
      <c r="AM46" s="61">
        <v>52.51</v>
      </c>
      <c r="AO46" s="10">
        <v>79</v>
      </c>
      <c r="AP46" s="10">
        <v>828</v>
      </c>
      <c r="AQ46" s="52">
        <v>80.099999999999994</v>
      </c>
      <c r="BG46" s="10">
        <v>180</v>
      </c>
      <c r="BJ46" s="10">
        <v>267</v>
      </c>
      <c r="BK46" s="52">
        <v>100.7</v>
      </c>
      <c r="BM46" s="10">
        <v>30</v>
      </c>
      <c r="BN46" s="10">
        <v>45</v>
      </c>
      <c r="BO46" s="10">
        <v>75</v>
      </c>
      <c r="BS46" s="10">
        <v>5</v>
      </c>
      <c r="BT46" s="10">
        <v>10</v>
      </c>
      <c r="BV46" s="61">
        <v>8.24</v>
      </c>
      <c r="BW46" s="61">
        <v>0.24</v>
      </c>
      <c r="BZ46" s="61">
        <v>9.93</v>
      </c>
      <c r="CA46" s="10">
        <v>0</v>
      </c>
      <c r="CB46" s="52">
        <v>101</v>
      </c>
      <c r="CG46" s="10">
        <v>2330</v>
      </c>
      <c r="CI46" s="10">
        <v>10</v>
      </c>
      <c r="CJ46" s="10">
        <v>10</v>
      </c>
      <c r="CK46" s="3">
        <v>0</v>
      </c>
      <c r="CM46" s="3">
        <v>0.5</v>
      </c>
      <c r="CN46" s="10">
        <v>51</v>
      </c>
      <c r="CO46" s="52">
        <v>10.6</v>
      </c>
      <c r="CP46" s="52">
        <v>3.4</v>
      </c>
      <c r="CQ46" s="3">
        <v>14.78</v>
      </c>
      <c r="CS46" s="10">
        <v>230</v>
      </c>
      <c r="CT46" s="10">
        <v>213</v>
      </c>
      <c r="CU46" s="59">
        <v>2</v>
      </c>
      <c r="CV46" s="10">
        <v>340</v>
      </c>
      <c r="CW46" s="10">
        <v>17</v>
      </c>
      <c r="CX46" s="60">
        <v>46.83</v>
      </c>
      <c r="CY46" s="3">
        <v>18.2</v>
      </c>
      <c r="CZ46" s="3">
        <v>5.27</v>
      </c>
      <c r="DC46" s="24">
        <v>45714.039583333331</v>
      </c>
      <c r="DD46" s="24">
        <v>45714.086111111108</v>
      </c>
      <c r="DF46" s="10">
        <v>267</v>
      </c>
      <c r="DG46" s="24">
        <v>45714.138194444444</v>
      </c>
      <c r="DI46" s="10">
        <v>245</v>
      </c>
      <c r="DJ46" s="58">
        <v>45714.1875</v>
      </c>
    </row>
    <row r="47" spans="2:114" x14ac:dyDescent="0.25">
      <c r="B47" s="1">
        <v>10117</v>
      </c>
      <c r="C47" s="12">
        <v>45714</v>
      </c>
      <c r="D47" s="2">
        <v>4.8611111111111112E-2</v>
      </c>
      <c r="E47" s="2">
        <v>0.28749999999999998</v>
      </c>
      <c r="F47" s="61">
        <v>12.87</v>
      </c>
      <c r="G47" s="10">
        <v>17</v>
      </c>
      <c r="H47" s="61">
        <v>2.85</v>
      </c>
      <c r="I47" s="52">
        <v>79.8</v>
      </c>
      <c r="J47" s="10">
        <v>10</v>
      </c>
      <c r="L47" s="10">
        <v>4</v>
      </c>
      <c r="N47" s="10">
        <v>58</v>
      </c>
      <c r="O47" s="10">
        <v>25</v>
      </c>
      <c r="P47" s="10">
        <v>46.6</v>
      </c>
      <c r="Q47" s="61">
        <v>2.35</v>
      </c>
      <c r="R47" s="52">
        <v>46</v>
      </c>
      <c r="S47" s="10">
        <v>10</v>
      </c>
      <c r="T47" s="52">
        <v>64</v>
      </c>
      <c r="U47" s="10">
        <v>0</v>
      </c>
      <c r="V47" s="52">
        <v>65.3</v>
      </c>
      <c r="W47" s="10">
        <v>40</v>
      </c>
      <c r="Z47" s="52">
        <v>76</v>
      </c>
      <c r="AA47" s="10">
        <v>100</v>
      </c>
      <c r="AB47" s="10">
        <v>9</v>
      </c>
      <c r="AC47" s="52">
        <v>10</v>
      </c>
      <c r="AD47" s="3">
        <v>22.35</v>
      </c>
      <c r="AE47" s="3">
        <v>2.25</v>
      </c>
      <c r="AF47" s="3">
        <v>0.85</v>
      </c>
      <c r="AG47" s="10">
        <v>40</v>
      </c>
      <c r="AH47" s="10">
        <v>1</v>
      </c>
      <c r="AI47" s="10">
        <v>136</v>
      </c>
      <c r="AJ47" s="10">
        <v>260</v>
      </c>
      <c r="AK47" s="3">
        <v>16.23</v>
      </c>
      <c r="AL47" s="61">
        <v>84.47</v>
      </c>
      <c r="AM47" s="61">
        <v>52.31</v>
      </c>
      <c r="AO47" s="10">
        <v>80</v>
      </c>
      <c r="AP47" s="10">
        <v>109</v>
      </c>
      <c r="AQ47" s="52">
        <v>80.099999999999994</v>
      </c>
      <c r="BG47" s="10">
        <v>180</v>
      </c>
      <c r="BJ47" s="10">
        <v>266</v>
      </c>
      <c r="BK47" s="52">
        <v>100.7</v>
      </c>
      <c r="BM47" s="10">
        <v>30</v>
      </c>
      <c r="BN47" s="10">
        <v>45</v>
      </c>
      <c r="BO47" s="10">
        <v>75</v>
      </c>
      <c r="BS47" s="10">
        <v>5</v>
      </c>
      <c r="BT47" s="10">
        <v>10</v>
      </c>
      <c r="BV47" s="61">
        <v>10</v>
      </c>
      <c r="BW47" s="61">
        <v>0.92</v>
      </c>
      <c r="BZ47" s="61">
        <v>10.71</v>
      </c>
      <c r="CA47" s="10">
        <v>0</v>
      </c>
      <c r="CB47" s="52">
        <v>101</v>
      </c>
      <c r="CG47" s="10">
        <v>1205</v>
      </c>
      <c r="CI47" s="10">
        <v>10</v>
      </c>
      <c r="CJ47" s="10">
        <v>10</v>
      </c>
      <c r="CK47" s="3">
        <v>0</v>
      </c>
      <c r="CM47" s="3">
        <v>0</v>
      </c>
      <c r="CN47" s="10">
        <v>51</v>
      </c>
      <c r="CO47" s="52">
        <v>10.5</v>
      </c>
      <c r="CP47" s="52">
        <v>3.4</v>
      </c>
      <c r="CQ47" s="3">
        <v>14.98</v>
      </c>
      <c r="CS47" s="10">
        <v>227</v>
      </c>
      <c r="CT47" s="10">
        <v>218</v>
      </c>
      <c r="CU47" s="59">
        <v>7</v>
      </c>
      <c r="CV47" s="10">
        <v>344</v>
      </c>
      <c r="CW47" s="10">
        <v>13</v>
      </c>
      <c r="CX47" s="60">
        <v>9272.86</v>
      </c>
      <c r="CY47" s="3">
        <v>18.14</v>
      </c>
      <c r="CZ47" s="3">
        <v>5.24</v>
      </c>
      <c r="DC47" s="24">
        <v>45714.136111111111</v>
      </c>
      <c r="DD47" s="24">
        <v>45714.186111111114</v>
      </c>
      <c r="DF47" s="10">
        <v>266</v>
      </c>
      <c r="DG47" s="24">
        <v>45714.238194444442</v>
      </c>
      <c r="DJ47" s="58">
        <v>45714.287499999999</v>
      </c>
    </row>
    <row r="48" spans="2:114" x14ac:dyDescent="0.25">
      <c r="B48" s="1">
        <v>10118</v>
      </c>
      <c r="C48" s="12">
        <v>45714</v>
      </c>
      <c r="D48" s="2">
        <v>0.14583333333333334</v>
      </c>
      <c r="E48" s="2">
        <v>0.38680555555555546</v>
      </c>
      <c r="F48" s="61">
        <v>13.14</v>
      </c>
      <c r="G48" s="10">
        <v>18</v>
      </c>
      <c r="H48" s="61">
        <v>2.78</v>
      </c>
      <c r="I48" s="52">
        <v>79.599999999999994</v>
      </c>
      <c r="J48" s="10">
        <v>10</v>
      </c>
      <c r="L48" s="10">
        <v>3</v>
      </c>
      <c r="N48" s="10">
        <v>59</v>
      </c>
      <c r="O48" s="10">
        <v>24</v>
      </c>
      <c r="P48" s="10">
        <v>46.6</v>
      </c>
      <c r="Q48" s="61">
        <v>2.36</v>
      </c>
      <c r="R48" s="52">
        <v>46.1</v>
      </c>
      <c r="S48" s="10">
        <v>10</v>
      </c>
      <c r="T48" s="52">
        <v>64</v>
      </c>
      <c r="U48" s="10">
        <v>0</v>
      </c>
      <c r="V48" s="52">
        <v>65.2</v>
      </c>
      <c r="W48" s="10">
        <v>40</v>
      </c>
      <c r="Z48" s="52">
        <v>75.8</v>
      </c>
      <c r="AA48" s="10">
        <v>101</v>
      </c>
      <c r="AB48" s="10">
        <v>8</v>
      </c>
      <c r="AC48" s="52">
        <v>10</v>
      </c>
      <c r="AD48" s="3">
        <v>22.2</v>
      </c>
      <c r="AE48" s="3">
        <v>2.44</v>
      </c>
      <c r="AF48" s="3">
        <v>0.85</v>
      </c>
      <c r="AG48" s="10">
        <v>40</v>
      </c>
      <c r="AH48" s="10">
        <v>1</v>
      </c>
      <c r="AI48" s="10">
        <v>136</v>
      </c>
      <c r="AJ48" s="10">
        <v>258</v>
      </c>
      <c r="AK48" s="3">
        <v>16.23</v>
      </c>
      <c r="AL48" s="61">
        <v>84.47</v>
      </c>
      <c r="AM48" s="61">
        <v>52.71</v>
      </c>
      <c r="AO48" s="10">
        <v>81</v>
      </c>
      <c r="AP48" s="10">
        <v>109</v>
      </c>
      <c r="AQ48" s="52">
        <v>80.099999999999994</v>
      </c>
      <c r="BG48" s="10">
        <v>180</v>
      </c>
      <c r="BJ48" s="10">
        <v>265</v>
      </c>
      <c r="BK48" s="52">
        <v>100.7</v>
      </c>
      <c r="BM48" s="10">
        <v>30</v>
      </c>
      <c r="BN48" s="10">
        <v>45</v>
      </c>
      <c r="BO48" s="10">
        <v>75</v>
      </c>
      <c r="BS48" s="10">
        <v>5</v>
      </c>
      <c r="BT48" s="10">
        <v>10</v>
      </c>
      <c r="BV48" s="61">
        <v>7.55</v>
      </c>
      <c r="BW48" s="61">
        <v>0.45</v>
      </c>
      <c r="BZ48" s="61">
        <v>8.8699999999999992</v>
      </c>
      <c r="CA48" s="10">
        <v>0</v>
      </c>
      <c r="CB48" s="52">
        <v>101</v>
      </c>
      <c r="CG48" s="10">
        <v>2203</v>
      </c>
      <c r="CI48" s="10">
        <v>10</v>
      </c>
      <c r="CJ48" s="10">
        <v>10</v>
      </c>
      <c r="CK48" s="3">
        <v>0</v>
      </c>
      <c r="CM48" s="3">
        <v>0.5</v>
      </c>
      <c r="CN48" s="10">
        <v>52</v>
      </c>
      <c r="CO48" s="52">
        <v>10.5</v>
      </c>
      <c r="CP48" s="52">
        <v>3.4</v>
      </c>
      <c r="CQ48" s="3">
        <v>14.7</v>
      </c>
      <c r="CS48" s="10">
        <v>231</v>
      </c>
      <c r="CT48" s="10">
        <v>220</v>
      </c>
      <c r="CU48" s="59">
        <v>9</v>
      </c>
      <c r="CV48" s="10">
        <v>347</v>
      </c>
      <c r="CW48" s="10">
        <v>10</v>
      </c>
      <c r="CX48" s="60">
        <v>138.13999999999999</v>
      </c>
      <c r="CY48" s="3">
        <v>17.96</v>
      </c>
      <c r="CZ48" s="3">
        <v>5.2</v>
      </c>
      <c r="DC48" s="24">
        <v>45714.234027777777</v>
      </c>
      <c r="DD48" s="24">
        <v>45714.284722222219</v>
      </c>
      <c r="DF48" s="10">
        <v>265</v>
      </c>
      <c r="DG48" s="24">
        <v>45714.336805555555</v>
      </c>
      <c r="DI48" s="10">
        <v>245</v>
      </c>
      <c r="DJ48" s="58">
        <v>45714.386805555558</v>
      </c>
    </row>
    <row r="49" spans="2:114" x14ac:dyDescent="0.25">
      <c r="B49" s="1">
        <v>10119</v>
      </c>
      <c r="C49" s="12">
        <v>45714</v>
      </c>
      <c r="D49" s="2">
        <v>0.25694444444444442</v>
      </c>
      <c r="E49" s="2">
        <v>0.50902777777777775</v>
      </c>
      <c r="F49" s="61">
        <v>11.42</v>
      </c>
      <c r="G49" s="10">
        <v>18</v>
      </c>
      <c r="H49" s="61">
        <v>2.89</v>
      </c>
      <c r="I49" s="52">
        <v>79.599999999999994</v>
      </c>
      <c r="J49" s="10">
        <v>10</v>
      </c>
      <c r="L49" s="10">
        <v>5</v>
      </c>
      <c r="N49" s="10">
        <v>59</v>
      </c>
      <c r="O49" s="10">
        <v>25</v>
      </c>
      <c r="P49" s="10">
        <v>46.6</v>
      </c>
      <c r="Q49" s="61">
        <v>2.36</v>
      </c>
      <c r="R49" s="52">
        <v>46.4</v>
      </c>
      <c r="S49" s="10">
        <v>10</v>
      </c>
      <c r="T49" s="52">
        <v>64.8</v>
      </c>
      <c r="U49" s="10">
        <v>0</v>
      </c>
      <c r="V49" s="52">
        <v>65.7</v>
      </c>
      <c r="W49" s="10">
        <v>40</v>
      </c>
      <c r="Z49" s="52">
        <v>76</v>
      </c>
      <c r="AA49" s="10">
        <v>124</v>
      </c>
      <c r="AB49" s="10">
        <v>8</v>
      </c>
      <c r="AC49" s="52">
        <v>9.6</v>
      </c>
      <c r="AD49" s="3">
        <v>22.33</v>
      </c>
      <c r="AE49" s="3">
        <v>2.6</v>
      </c>
      <c r="AG49" s="10">
        <v>0</v>
      </c>
      <c r="AH49" s="10">
        <v>1</v>
      </c>
      <c r="AI49" s="10">
        <v>136</v>
      </c>
      <c r="AJ49" s="10">
        <v>259</v>
      </c>
      <c r="AK49" s="3">
        <v>16.23</v>
      </c>
      <c r="AL49" s="61">
        <v>84.47</v>
      </c>
      <c r="AM49" s="61">
        <v>52.51</v>
      </c>
      <c r="AO49" s="10">
        <v>81</v>
      </c>
      <c r="AP49" s="10">
        <v>98</v>
      </c>
      <c r="AQ49" s="52">
        <v>80.099999999999994</v>
      </c>
      <c r="BG49" s="10">
        <v>180</v>
      </c>
      <c r="BJ49" s="10">
        <v>266</v>
      </c>
      <c r="BK49" s="52">
        <v>100.7</v>
      </c>
      <c r="BM49" s="10">
        <v>30</v>
      </c>
      <c r="BN49" s="10">
        <v>45</v>
      </c>
      <c r="BO49" s="10">
        <v>75</v>
      </c>
      <c r="BS49" s="10">
        <v>5</v>
      </c>
      <c r="BT49" s="10">
        <v>10</v>
      </c>
      <c r="BV49" s="61">
        <v>7.14</v>
      </c>
      <c r="BW49" s="61">
        <v>0.86</v>
      </c>
      <c r="BZ49" s="61">
        <v>8.83</v>
      </c>
      <c r="CA49" s="10">
        <v>0</v>
      </c>
      <c r="CB49" s="52">
        <v>101</v>
      </c>
      <c r="CG49" s="10">
        <v>2376</v>
      </c>
      <c r="CI49" s="10">
        <v>10</v>
      </c>
      <c r="CJ49" s="10">
        <v>10</v>
      </c>
      <c r="CK49" s="3">
        <v>0</v>
      </c>
      <c r="CM49" s="3">
        <v>0.5</v>
      </c>
      <c r="CN49" s="10">
        <v>52</v>
      </c>
      <c r="CO49" s="52">
        <v>10.5</v>
      </c>
      <c r="CP49" s="52">
        <v>3.7</v>
      </c>
      <c r="CQ49" s="3">
        <v>15.95</v>
      </c>
      <c r="CS49" s="10">
        <v>232</v>
      </c>
      <c r="CT49" s="10">
        <v>213</v>
      </c>
      <c r="CU49" s="59">
        <v>2</v>
      </c>
      <c r="CV49" s="10">
        <v>363</v>
      </c>
      <c r="CW49" s="10">
        <v>6</v>
      </c>
      <c r="CX49" s="60">
        <v>108.57</v>
      </c>
      <c r="CY49" s="3">
        <v>17.920000000000002</v>
      </c>
      <c r="CZ49" s="3">
        <v>5.46</v>
      </c>
      <c r="DC49" s="24">
        <v>45714.361111111109</v>
      </c>
      <c r="DD49" s="24">
        <v>45714.406944444447</v>
      </c>
      <c r="DF49" s="10">
        <v>266</v>
      </c>
      <c r="DG49" s="24">
        <v>45714.459027777775</v>
      </c>
      <c r="DI49" s="10">
        <v>247</v>
      </c>
      <c r="DJ49" s="58">
        <v>45714.509027777778</v>
      </c>
    </row>
    <row r="50" spans="2:114" x14ac:dyDescent="0.25">
      <c r="B50" s="1">
        <v>10120</v>
      </c>
      <c r="C50" s="12">
        <v>45719</v>
      </c>
      <c r="D50" s="2">
        <v>0.67638888888888893</v>
      </c>
      <c r="E50" s="2">
        <v>0.92638888888888893</v>
      </c>
      <c r="F50" s="61">
        <v>12.65</v>
      </c>
      <c r="G50" s="10">
        <v>19</v>
      </c>
      <c r="H50" s="61">
        <v>2.82</v>
      </c>
      <c r="I50" s="52">
        <v>80.3</v>
      </c>
      <c r="J50" s="10">
        <v>10</v>
      </c>
      <c r="L50" s="10">
        <v>4</v>
      </c>
      <c r="N50" s="10">
        <v>60</v>
      </c>
      <c r="O50" s="10">
        <v>24</v>
      </c>
      <c r="P50" s="10">
        <v>46.6</v>
      </c>
      <c r="Q50" s="61">
        <v>2.31</v>
      </c>
      <c r="R50" s="52">
        <v>46.7</v>
      </c>
      <c r="S50" s="10">
        <v>10</v>
      </c>
      <c r="T50" s="52">
        <v>64.3</v>
      </c>
      <c r="U50" s="10">
        <v>0</v>
      </c>
      <c r="V50" s="52">
        <v>65.5</v>
      </c>
      <c r="W50" s="10">
        <v>40</v>
      </c>
      <c r="Z50" s="52">
        <v>76</v>
      </c>
      <c r="AA50" s="10">
        <v>101</v>
      </c>
      <c r="AB50" s="10">
        <v>6</v>
      </c>
      <c r="AC50" s="52">
        <v>10.1</v>
      </c>
      <c r="AD50" s="3">
        <v>23.17</v>
      </c>
      <c r="AE50" s="3">
        <v>1.89</v>
      </c>
      <c r="AF50" s="3">
        <v>0.79</v>
      </c>
      <c r="AG50" s="10">
        <v>42</v>
      </c>
      <c r="AH50" s="10">
        <v>2</v>
      </c>
      <c r="AI50" s="10">
        <v>120</v>
      </c>
      <c r="AJ50" s="10">
        <v>258</v>
      </c>
      <c r="AK50" s="3">
        <v>16.23</v>
      </c>
      <c r="AL50" s="61">
        <v>74.53</v>
      </c>
      <c r="AM50" s="61">
        <v>46.51</v>
      </c>
      <c r="AO50" s="10">
        <v>85</v>
      </c>
      <c r="AP50" s="10">
        <v>112</v>
      </c>
      <c r="AQ50" s="52">
        <v>80.099999999999994</v>
      </c>
      <c r="BG50" s="10">
        <v>180</v>
      </c>
      <c r="BJ50" s="10">
        <v>260</v>
      </c>
      <c r="BK50" s="52">
        <v>100.7</v>
      </c>
      <c r="BM50" s="10">
        <v>30</v>
      </c>
      <c r="BN50" s="10">
        <v>45</v>
      </c>
      <c r="BO50" s="10">
        <v>75</v>
      </c>
      <c r="BS50" s="10">
        <v>5</v>
      </c>
      <c r="BT50" s="10">
        <v>10</v>
      </c>
      <c r="BV50" s="61">
        <v>7.69</v>
      </c>
      <c r="BW50" s="61">
        <v>0.31</v>
      </c>
      <c r="BZ50" s="61">
        <v>8.27</v>
      </c>
      <c r="CA50" s="10">
        <v>0</v>
      </c>
      <c r="CB50" s="52">
        <v>101</v>
      </c>
      <c r="CG50" s="10">
        <v>2202</v>
      </c>
      <c r="CI50" s="10">
        <v>10</v>
      </c>
      <c r="CJ50" s="10">
        <v>10</v>
      </c>
      <c r="CK50" s="3">
        <v>0</v>
      </c>
      <c r="CM50" s="3">
        <v>0.67</v>
      </c>
      <c r="CN50" s="10">
        <v>51</v>
      </c>
      <c r="CO50" s="52">
        <v>11.2</v>
      </c>
      <c r="CP50" s="52">
        <v>4.3</v>
      </c>
      <c r="CQ50" s="3">
        <v>18.86</v>
      </c>
      <c r="CS50" s="10">
        <v>228</v>
      </c>
      <c r="CT50" s="10">
        <v>234</v>
      </c>
      <c r="CU50" s="59">
        <v>23</v>
      </c>
      <c r="CV50" s="10">
        <v>360</v>
      </c>
      <c r="CW50" s="10">
        <v>3</v>
      </c>
      <c r="CX50" s="60">
        <v>263.63</v>
      </c>
      <c r="CY50" s="3">
        <v>17.95</v>
      </c>
      <c r="CZ50" s="3">
        <v>5.51</v>
      </c>
      <c r="DC50" s="24">
        <v>45719.763888888891</v>
      </c>
      <c r="DD50" s="24">
        <v>45719.824999999997</v>
      </c>
      <c r="DF50" s="10">
        <v>260</v>
      </c>
      <c r="DG50" s="24">
        <v>45719.877083333333</v>
      </c>
      <c r="DI50" s="10">
        <v>240</v>
      </c>
      <c r="DJ50" s="58">
        <v>45719.926388888889</v>
      </c>
    </row>
    <row r="51" spans="2:114" x14ac:dyDescent="0.25">
      <c r="B51" s="1">
        <v>10121</v>
      </c>
      <c r="C51" s="12">
        <v>45719</v>
      </c>
      <c r="D51" s="2">
        <v>0.77430555555555547</v>
      </c>
      <c r="E51" s="2">
        <v>1.01875</v>
      </c>
      <c r="F51" s="61">
        <v>13.13</v>
      </c>
      <c r="G51" s="10">
        <v>17</v>
      </c>
      <c r="H51" s="61">
        <v>2.8</v>
      </c>
      <c r="I51" s="52">
        <v>79.7</v>
      </c>
      <c r="J51" s="10">
        <v>10</v>
      </c>
      <c r="L51" s="10">
        <v>5</v>
      </c>
      <c r="N51" s="10">
        <v>57</v>
      </c>
      <c r="O51" s="10">
        <v>25</v>
      </c>
      <c r="P51" s="10">
        <v>46.6</v>
      </c>
      <c r="Q51" s="61">
        <v>2.3199999999999998</v>
      </c>
      <c r="R51" s="52">
        <v>46</v>
      </c>
      <c r="S51" s="10">
        <v>10</v>
      </c>
      <c r="T51" s="52">
        <v>64.2</v>
      </c>
      <c r="U51" s="10">
        <v>0</v>
      </c>
      <c r="V51" s="52">
        <v>65.099999999999994</v>
      </c>
      <c r="W51" s="10">
        <v>40</v>
      </c>
      <c r="Z51" s="52">
        <v>76</v>
      </c>
      <c r="AA51" s="10">
        <v>99</v>
      </c>
      <c r="AB51" s="10">
        <v>9</v>
      </c>
      <c r="AC51" s="52">
        <v>12.3</v>
      </c>
      <c r="AD51" s="3">
        <v>22.21</v>
      </c>
      <c r="AE51" s="3">
        <v>2.21</v>
      </c>
      <c r="AF51" s="3">
        <v>0.8</v>
      </c>
      <c r="AG51" s="10">
        <v>42</v>
      </c>
      <c r="AH51" s="10">
        <v>1</v>
      </c>
      <c r="AI51" s="10">
        <v>120</v>
      </c>
      <c r="AJ51" s="10">
        <v>258</v>
      </c>
      <c r="AK51" s="3">
        <v>16.23</v>
      </c>
      <c r="AL51" s="61">
        <v>74.53</v>
      </c>
      <c r="AM51" s="61">
        <v>46.51</v>
      </c>
      <c r="AO51" s="10">
        <v>80</v>
      </c>
      <c r="AP51" s="10">
        <v>110</v>
      </c>
      <c r="AQ51" s="52">
        <v>80.099999999999994</v>
      </c>
      <c r="BG51" s="10">
        <v>180</v>
      </c>
      <c r="BJ51" s="10">
        <v>264</v>
      </c>
      <c r="BK51" s="52">
        <v>100.7</v>
      </c>
      <c r="BM51" s="10">
        <v>30</v>
      </c>
      <c r="BN51" s="10">
        <v>45</v>
      </c>
      <c r="BO51" s="10">
        <v>75</v>
      </c>
      <c r="BS51" s="10">
        <v>5</v>
      </c>
      <c r="BT51" s="10">
        <v>10</v>
      </c>
      <c r="BV51" s="61">
        <v>7.2</v>
      </c>
      <c r="BW51" s="61">
        <v>0.8</v>
      </c>
      <c r="BZ51" s="61">
        <v>8.9</v>
      </c>
      <c r="CA51" s="10">
        <v>0</v>
      </c>
      <c r="CB51" s="52">
        <v>101</v>
      </c>
      <c r="CG51" s="10">
        <v>1996</v>
      </c>
      <c r="CI51" s="10">
        <v>10</v>
      </c>
      <c r="CJ51" s="10">
        <v>10</v>
      </c>
      <c r="CK51" s="3">
        <v>0</v>
      </c>
      <c r="CM51" s="3">
        <v>0.66</v>
      </c>
      <c r="CN51" s="10">
        <v>51</v>
      </c>
      <c r="CO51" s="52">
        <v>11.2</v>
      </c>
      <c r="CP51" s="52">
        <v>3.7</v>
      </c>
      <c r="CQ51" s="3">
        <v>16.09</v>
      </c>
      <c r="CS51" s="10">
        <v>230</v>
      </c>
      <c r="CT51" s="10">
        <v>227</v>
      </c>
      <c r="CU51" s="59">
        <v>16</v>
      </c>
      <c r="CV51" s="10">
        <v>352</v>
      </c>
      <c r="CW51" s="10">
        <v>5</v>
      </c>
      <c r="CX51" s="60">
        <v>243.16</v>
      </c>
      <c r="CY51" s="3">
        <v>17.77</v>
      </c>
      <c r="CZ51" s="3">
        <v>5.48</v>
      </c>
      <c r="DC51" s="24">
        <v>45719.861111111109</v>
      </c>
      <c r="DD51" s="24">
        <v>45719.917361111111</v>
      </c>
      <c r="DF51" s="10">
        <v>264</v>
      </c>
      <c r="DG51" s="24">
        <v>45719.969444444447</v>
      </c>
      <c r="DI51" s="10">
        <v>245</v>
      </c>
      <c r="DJ51" s="58">
        <v>45720.018750000003</v>
      </c>
    </row>
    <row r="52" spans="2:114" x14ac:dyDescent="0.25">
      <c r="B52" s="1">
        <v>10122</v>
      </c>
      <c r="C52" s="12">
        <v>45719</v>
      </c>
      <c r="D52" s="2">
        <v>0.87291666666666667</v>
      </c>
      <c r="E52" s="2">
        <v>0.11180555555555556</v>
      </c>
      <c r="F52" s="61">
        <v>12.84</v>
      </c>
      <c r="G52" s="10">
        <v>17</v>
      </c>
      <c r="H52" s="61">
        <v>2.79</v>
      </c>
      <c r="I52" s="52">
        <v>79.8</v>
      </c>
      <c r="J52" s="10">
        <v>10</v>
      </c>
      <c r="L52" s="10">
        <v>6</v>
      </c>
      <c r="N52" s="10">
        <v>61</v>
      </c>
      <c r="O52" s="10">
        <v>27</v>
      </c>
      <c r="P52" s="10">
        <v>46.6</v>
      </c>
      <c r="Q52" s="61">
        <v>2.4700000000000002</v>
      </c>
      <c r="R52" s="52">
        <v>46</v>
      </c>
      <c r="S52" s="10">
        <v>10</v>
      </c>
      <c r="T52" s="52">
        <v>64.2</v>
      </c>
      <c r="U52" s="10">
        <v>0</v>
      </c>
      <c r="V52" s="52">
        <v>65.099999999999994</v>
      </c>
      <c r="W52" s="10">
        <v>40</v>
      </c>
      <c r="Z52" s="52">
        <v>76</v>
      </c>
      <c r="AA52" s="10">
        <v>104</v>
      </c>
      <c r="AB52" s="10">
        <v>8</v>
      </c>
      <c r="AC52" s="52">
        <v>14.5</v>
      </c>
      <c r="AD52" s="3">
        <v>21.65</v>
      </c>
      <c r="AE52" s="3">
        <v>2.66</v>
      </c>
      <c r="AF52" s="3">
        <v>1.02</v>
      </c>
      <c r="AG52" s="10">
        <v>42</v>
      </c>
      <c r="AH52" s="10">
        <v>1</v>
      </c>
      <c r="AI52" s="10">
        <v>142</v>
      </c>
      <c r="AJ52" s="10">
        <v>258</v>
      </c>
      <c r="AK52" s="3">
        <v>16.23</v>
      </c>
      <c r="AL52" s="61">
        <v>86.06</v>
      </c>
      <c r="AM52" s="61">
        <v>55.04</v>
      </c>
      <c r="AO52" s="10">
        <v>81</v>
      </c>
      <c r="AP52" s="10">
        <v>109</v>
      </c>
      <c r="AQ52" s="52">
        <v>80.099999999999994</v>
      </c>
      <c r="BG52" s="10">
        <v>180</v>
      </c>
      <c r="BJ52" s="10">
        <v>264</v>
      </c>
      <c r="BK52" s="52">
        <v>100.7</v>
      </c>
      <c r="BM52" s="10">
        <v>30</v>
      </c>
      <c r="BN52" s="10">
        <v>45</v>
      </c>
      <c r="BO52" s="10">
        <v>75</v>
      </c>
      <c r="BS52" s="10">
        <v>5</v>
      </c>
      <c r="BT52" s="10">
        <v>10</v>
      </c>
      <c r="BV52" s="61">
        <v>8.7100000000000009</v>
      </c>
      <c r="BW52" s="61">
        <v>0.71</v>
      </c>
      <c r="BZ52" s="61">
        <v>10.8</v>
      </c>
      <c r="CA52" s="10">
        <v>0</v>
      </c>
      <c r="CB52" s="52">
        <v>101</v>
      </c>
      <c r="CG52" s="10">
        <v>1819</v>
      </c>
      <c r="CI52" s="10">
        <v>10</v>
      </c>
      <c r="CJ52" s="10">
        <v>10</v>
      </c>
      <c r="CK52" s="3">
        <v>0</v>
      </c>
      <c r="CM52" s="3">
        <v>0.68</v>
      </c>
      <c r="CN52" s="10">
        <v>50</v>
      </c>
      <c r="CO52" s="52">
        <v>11</v>
      </c>
      <c r="CP52" s="52">
        <v>3.7</v>
      </c>
      <c r="CQ52" s="3">
        <v>16.440000000000001</v>
      </c>
      <c r="CS52" s="10">
        <v>225</v>
      </c>
      <c r="CT52" s="10">
        <v>215</v>
      </c>
      <c r="CU52" s="59">
        <v>4</v>
      </c>
      <c r="CV52" s="10">
        <v>344</v>
      </c>
      <c r="CW52" s="10">
        <v>13</v>
      </c>
      <c r="CX52" s="60">
        <v>114.07</v>
      </c>
      <c r="CY52" s="3">
        <v>18.149999999999999</v>
      </c>
      <c r="CZ52" s="3">
        <v>5.47</v>
      </c>
      <c r="DC52" s="24">
        <v>45719.962500000001</v>
      </c>
      <c r="DD52" s="24">
        <v>45720.011111111111</v>
      </c>
      <c r="DF52" s="10">
        <v>264</v>
      </c>
      <c r="DG52" s="24">
        <v>45720.063194444447</v>
      </c>
      <c r="DI52" s="10">
        <v>241</v>
      </c>
      <c r="DJ52" s="58">
        <v>45720.111805555556</v>
      </c>
    </row>
    <row r="53" spans="2:114" x14ac:dyDescent="0.25">
      <c r="B53" s="1">
        <v>10123</v>
      </c>
      <c r="C53" s="12">
        <v>45719</v>
      </c>
      <c r="D53" s="2">
        <v>0.98263888888888884</v>
      </c>
      <c r="E53" s="2">
        <v>0.22013888888888888</v>
      </c>
      <c r="F53" s="61">
        <v>10.99</v>
      </c>
      <c r="G53" s="10">
        <v>17</v>
      </c>
      <c r="H53" s="61">
        <v>2.88</v>
      </c>
      <c r="I53" s="52">
        <v>79.7</v>
      </c>
      <c r="J53" s="10">
        <v>10</v>
      </c>
      <c r="L53" s="10">
        <v>6</v>
      </c>
      <c r="N53" s="10">
        <v>58</v>
      </c>
      <c r="O53" s="10">
        <v>25</v>
      </c>
      <c r="P53" s="10">
        <v>46.6</v>
      </c>
      <c r="Q53" s="61">
        <v>2.38</v>
      </c>
      <c r="R53" s="52">
        <v>46.5</v>
      </c>
      <c r="S53" s="10">
        <v>10</v>
      </c>
      <c r="T53" s="52">
        <v>64.400000000000006</v>
      </c>
      <c r="U53" s="10">
        <v>0</v>
      </c>
      <c r="V53" s="52">
        <v>65.599999999999994</v>
      </c>
      <c r="W53" s="10">
        <v>40</v>
      </c>
      <c r="Z53" s="52">
        <v>76</v>
      </c>
      <c r="AA53" s="10">
        <v>98</v>
      </c>
      <c r="AB53" s="10">
        <v>8</v>
      </c>
      <c r="AC53" s="52">
        <v>15.2</v>
      </c>
      <c r="AD53" s="3">
        <v>22.27</v>
      </c>
      <c r="AE53" s="3">
        <v>2.52</v>
      </c>
      <c r="AF53" s="3">
        <v>0.95</v>
      </c>
      <c r="AG53" s="10">
        <v>42</v>
      </c>
      <c r="AH53" s="10">
        <v>1</v>
      </c>
      <c r="AI53" s="10">
        <v>136</v>
      </c>
      <c r="AJ53" s="10">
        <v>258</v>
      </c>
      <c r="AK53" s="3">
        <v>16.23</v>
      </c>
      <c r="AL53" s="61">
        <v>83.95</v>
      </c>
      <c r="AM53" s="61">
        <v>52.71</v>
      </c>
      <c r="AO53" s="10">
        <v>81</v>
      </c>
      <c r="AP53" s="10">
        <v>109</v>
      </c>
      <c r="AQ53" s="52">
        <v>80.099999999999994</v>
      </c>
      <c r="BG53" s="10">
        <v>180</v>
      </c>
      <c r="BJ53" s="10">
        <v>265</v>
      </c>
      <c r="BK53" s="52">
        <v>100.7</v>
      </c>
      <c r="BM53" s="10">
        <v>30</v>
      </c>
      <c r="BN53" s="10">
        <v>45</v>
      </c>
      <c r="BO53" s="10">
        <v>75</v>
      </c>
      <c r="BS53" s="10">
        <v>5</v>
      </c>
      <c r="BT53" s="10">
        <v>10</v>
      </c>
      <c r="BV53" s="61">
        <v>7.92</v>
      </c>
      <c r="BW53" s="61">
        <v>0.08</v>
      </c>
      <c r="BZ53" s="61">
        <v>10</v>
      </c>
      <c r="CA53" s="10">
        <v>0</v>
      </c>
      <c r="CB53" s="52">
        <v>101</v>
      </c>
      <c r="CG53" s="10">
        <v>1880</v>
      </c>
      <c r="CI53" s="10">
        <v>10</v>
      </c>
      <c r="CJ53" s="10">
        <v>10</v>
      </c>
      <c r="CK53" s="3">
        <v>0</v>
      </c>
      <c r="CM53" s="3">
        <v>0.67</v>
      </c>
      <c r="CN53" s="10">
        <v>51</v>
      </c>
      <c r="CO53" s="52">
        <v>11.2</v>
      </c>
      <c r="CP53" s="52">
        <v>3.4</v>
      </c>
      <c r="CQ53" s="3">
        <v>14.78</v>
      </c>
      <c r="CS53" s="10">
        <v>228</v>
      </c>
      <c r="CT53" s="10">
        <v>219</v>
      </c>
      <c r="CU53" s="59">
        <v>8</v>
      </c>
      <c r="CV53" s="10">
        <v>342</v>
      </c>
      <c r="CW53" s="10">
        <v>15</v>
      </c>
      <c r="CX53" s="60">
        <v>90.41</v>
      </c>
      <c r="CY53" s="3">
        <v>17.93</v>
      </c>
      <c r="CZ53" s="3">
        <v>5.47</v>
      </c>
      <c r="DC53" s="24">
        <v>45720.068055555559</v>
      </c>
      <c r="DD53" s="24">
        <v>45720.118750000001</v>
      </c>
      <c r="DF53" s="10">
        <v>265</v>
      </c>
      <c r="DG53" s="24">
        <v>45720.17083333333</v>
      </c>
      <c r="DI53" s="10">
        <v>244</v>
      </c>
      <c r="DJ53" s="58">
        <v>45720.220138888886</v>
      </c>
    </row>
    <row r="54" spans="2:114" x14ac:dyDescent="0.25">
      <c r="B54" s="1">
        <v>10124</v>
      </c>
      <c r="C54" s="12">
        <v>45720</v>
      </c>
      <c r="D54" s="2">
        <v>7.9861111111111105E-2</v>
      </c>
      <c r="E54" s="2">
        <v>0.32361111111111107</v>
      </c>
      <c r="F54" s="61">
        <v>12.87</v>
      </c>
      <c r="G54" s="10">
        <v>16</v>
      </c>
      <c r="H54" s="61">
        <v>3.21</v>
      </c>
      <c r="I54" s="52">
        <v>79.5</v>
      </c>
      <c r="J54" s="10">
        <v>10</v>
      </c>
      <c r="L54" s="10">
        <v>6</v>
      </c>
      <c r="N54" s="10">
        <v>59</v>
      </c>
      <c r="O54" s="10">
        <v>27</v>
      </c>
      <c r="P54" s="10">
        <v>46.6</v>
      </c>
      <c r="Q54" s="61">
        <v>2.37</v>
      </c>
      <c r="R54" s="52">
        <v>46.3</v>
      </c>
      <c r="S54" s="10">
        <v>10</v>
      </c>
      <c r="T54" s="52">
        <v>64.8</v>
      </c>
      <c r="U54" s="10">
        <v>0</v>
      </c>
      <c r="V54" s="52">
        <v>65.599999999999994</v>
      </c>
      <c r="W54" s="10">
        <v>40</v>
      </c>
      <c r="Z54" s="52">
        <v>76</v>
      </c>
      <c r="AA54" s="10">
        <v>102</v>
      </c>
      <c r="AB54" s="10">
        <v>9</v>
      </c>
      <c r="AC54" s="52">
        <v>13.8</v>
      </c>
      <c r="AD54" s="3">
        <v>22.52</v>
      </c>
      <c r="AE54" s="3">
        <v>2.1800000000000002</v>
      </c>
      <c r="AF54" s="3">
        <v>0.83</v>
      </c>
      <c r="AG54" s="10">
        <v>42</v>
      </c>
      <c r="AH54" s="10">
        <v>1</v>
      </c>
      <c r="AI54" s="10">
        <v>136</v>
      </c>
      <c r="AJ54" s="10">
        <v>259</v>
      </c>
      <c r="AK54" s="3">
        <v>16.23</v>
      </c>
      <c r="AL54" s="61">
        <v>83.95</v>
      </c>
      <c r="AM54" s="61">
        <v>52.51</v>
      </c>
      <c r="AO54" s="10">
        <v>82</v>
      </c>
      <c r="AP54" s="10">
        <v>111</v>
      </c>
      <c r="AQ54" s="52">
        <v>80.099999999999994</v>
      </c>
      <c r="BG54" s="10">
        <v>180</v>
      </c>
      <c r="BJ54" s="10">
        <v>265</v>
      </c>
      <c r="BK54" s="52">
        <v>100.7</v>
      </c>
      <c r="BM54" s="10">
        <v>30</v>
      </c>
      <c r="BN54" s="10">
        <v>45</v>
      </c>
      <c r="BO54" s="10">
        <v>75</v>
      </c>
      <c r="BS54" s="10">
        <v>5</v>
      </c>
      <c r="BT54" s="10">
        <v>10</v>
      </c>
      <c r="BV54" s="61">
        <v>9.43</v>
      </c>
      <c r="BW54" s="61">
        <v>1.43</v>
      </c>
      <c r="BZ54" s="61">
        <v>9.25</v>
      </c>
      <c r="CA54" s="10">
        <v>0</v>
      </c>
      <c r="CB54" s="52">
        <v>101</v>
      </c>
      <c r="CG54" s="10">
        <v>2161</v>
      </c>
      <c r="CI54" s="10">
        <v>10</v>
      </c>
      <c r="CJ54" s="10">
        <v>10</v>
      </c>
      <c r="CK54" s="3">
        <v>0</v>
      </c>
      <c r="CM54" s="3">
        <v>0.5</v>
      </c>
      <c r="CN54" s="10">
        <v>51</v>
      </c>
      <c r="CO54" s="52">
        <v>10.6</v>
      </c>
      <c r="CP54" s="52">
        <v>3.4</v>
      </c>
      <c r="CQ54" s="3">
        <v>14.78</v>
      </c>
      <c r="CS54" s="10">
        <v>230</v>
      </c>
      <c r="CT54" s="10">
        <v>224</v>
      </c>
      <c r="CU54" s="59">
        <v>13</v>
      </c>
      <c r="CV54" s="10">
        <v>351</v>
      </c>
      <c r="CW54" s="10">
        <v>6</v>
      </c>
      <c r="CX54" s="60">
        <v>276.26</v>
      </c>
      <c r="CY54" s="3">
        <v>18.100000000000001</v>
      </c>
      <c r="CZ54" s="3">
        <v>5.53</v>
      </c>
      <c r="DC54" s="24">
        <v>45720.168055555558</v>
      </c>
      <c r="DD54" s="24">
        <v>45720.222222222219</v>
      </c>
      <c r="DF54" s="10">
        <v>265</v>
      </c>
      <c r="DG54" s="24">
        <v>45720.274305555555</v>
      </c>
      <c r="DI54" s="10">
        <v>240</v>
      </c>
      <c r="DJ54" s="58">
        <v>45720.323611111111</v>
      </c>
    </row>
    <row r="55" spans="2:114" x14ac:dyDescent="0.25">
      <c r="B55" s="1">
        <v>10125</v>
      </c>
      <c r="C55" s="12">
        <v>45789</v>
      </c>
      <c r="D55" s="2">
        <v>0.85416666666666663</v>
      </c>
      <c r="F55" s="61">
        <v>13.1</v>
      </c>
      <c r="G55" s="10">
        <v>18</v>
      </c>
      <c r="H55" s="61">
        <v>2.77</v>
      </c>
      <c r="I55" s="52">
        <v>79.599999999999994</v>
      </c>
      <c r="J55" s="10">
        <v>10</v>
      </c>
      <c r="L55" s="10">
        <v>6</v>
      </c>
      <c r="N55" s="10">
        <v>64</v>
      </c>
      <c r="O55" s="10">
        <v>26</v>
      </c>
      <c r="P55" s="10">
        <v>46.3</v>
      </c>
      <c r="Q55" s="61">
        <v>2.39</v>
      </c>
      <c r="R55" s="52">
        <v>46.5</v>
      </c>
      <c r="S55" s="10">
        <v>10</v>
      </c>
      <c r="T55" s="52">
        <v>64.7</v>
      </c>
      <c r="U55" s="10">
        <v>0</v>
      </c>
      <c r="V55" s="52">
        <v>65.5</v>
      </c>
      <c r="W55" s="10">
        <v>35</v>
      </c>
      <c r="Z55" s="52">
        <v>75.7</v>
      </c>
      <c r="AA55" s="10">
        <v>108</v>
      </c>
      <c r="AB55" s="10">
        <v>6</v>
      </c>
      <c r="AC55" s="52">
        <v>11.1</v>
      </c>
      <c r="AD55" s="3">
        <v>22.67</v>
      </c>
      <c r="AE55" s="3">
        <v>2.4</v>
      </c>
      <c r="AG55" s="10">
        <v>90</v>
      </c>
      <c r="AH55" s="10">
        <v>1</v>
      </c>
      <c r="AI55" s="10">
        <v>136</v>
      </c>
      <c r="AJ55" s="10">
        <v>261</v>
      </c>
      <c r="AK55" s="3">
        <v>16.3</v>
      </c>
      <c r="AL55" s="61">
        <v>84.47</v>
      </c>
      <c r="AM55" s="61">
        <v>52.11</v>
      </c>
      <c r="AO55" s="10">
        <v>82</v>
      </c>
      <c r="AP55" s="10">
        <v>122</v>
      </c>
      <c r="AQ55" s="52">
        <v>80.2</v>
      </c>
      <c r="BG55" s="10">
        <v>180</v>
      </c>
      <c r="BK55" s="52">
        <v>0</v>
      </c>
      <c r="BM55" s="10">
        <v>30</v>
      </c>
      <c r="BN55" s="10">
        <v>100.7</v>
      </c>
      <c r="BO55" s="10">
        <v>155.69999999999999</v>
      </c>
      <c r="BT55" s="10">
        <v>5</v>
      </c>
      <c r="BV55" s="61">
        <v>0</v>
      </c>
      <c r="BW55" s="61">
        <v>0</v>
      </c>
      <c r="BZ55" s="61">
        <v>96.07</v>
      </c>
      <c r="CA55" s="10">
        <v>10</v>
      </c>
      <c r="CG55" s="10">
        <v>1546</v>
      </c>
      <c r="CI55" s="10">
        <v>0</v>
      </c>
      <c r="CK55" s="3">
        <v>-10</v>
      </c>
      <c r="CM55" s="3">
        <v>0</v>
      </c>
      <c r="CO55" s="52">
        <v>5.28</v>
      </c>
      <c r="CP55" s="52">
        <v>0</v>
      </c>
      <c r="CQ55" s="3">
        <v>0</v>
      </c>
      <c r="CT55" s="10">
        <v>78</v>
      </c>
      <c r="CU55" s="59">
        <v>133</v>
      </c>
      <c r="CV55" s="10">
        <v>0</v>
      </c>
      <c r="CW55" s="10">
        <v>357</v>
      </c>
      <c r="CX55" s="60">
        <v>0</v>
      </c>
      <c r="CZ55" s="3">
        <v>18.170000000000002</v>
      </c>
      <c r="DC55" s="24">
        <v>45789.945833333331</v>
      </c>
      <c r="DD55" s="24">
        <v>45789.997916666667</v>
      </c>
      <c r="DG55" s="24">
        <v>45790</v>
      </c>
      <c r="DJ55" s="58">
        <v>45790</v>
      </c>
    </row>
    <row r="56" spans="2:114" x14ac:dyDescent="0.25">
      <c r="B56" s="1">
        <v>10126</v>
      </c>
      <c r="C56" s="12">
        <v>45720</v>
      </c>
      <c r="D56" s="2">
        <v>0.27430555555555552</v>
      </c>
      <c r="E56" s="2">
        <v>0.51041666666666663</v>
      </c>
      <c r="F56" s="61">
        <v>13.53</v>
      </c>
      <c r="G56" s="10">
        <v>18</v>
      </c>
      <c r="H56" s="61">
        <v>2.85</v>
      </c>
      <c r="I56" s="52">
        <v>79.8</v>
      </c>
      <c r="J56" s="10">
        <v>10</v>
      </c>
      <c r="L56" s="10">
        <v>4</v>
      </c>
      <c r="N56" s="10">
        <v>60</v>
      </c>
      <c r="O56" s="10">
        <v>24</v>
      </c>
      <c r="P56" s="10">
        <v>46.6</v>
      </c>
      <c r="Q56" s="61">
        <v>2.4</v>
      </c>
      <c r="R56" s="52">
        <v>46.1</v>
      </c>
      <c r="S56" s="10">
        <v>10</v>
      </c>
      <c r="T56" s="52">
        <v>64</v>
      </c>
      <c r="U56" s="10">
        <v>0</v>
      </c>
      <c r="V56" s="52">
        <v>65.400000000000006</v>
      </c>
      <c r="W56" s="10">
        <v>40</v>
      </c>
      <c r="Z56" s="52">
        <v>76</v>
      </c>
      <c r="AA56" s="10">
        <v>102</v>
      </c>
      <c r="AB56" s="10">
        <v>7</v>
      </c>
      <c r="AC56" s="52">
        <v>10</v>
      </c>
      <c r="AD56" s="3">
        <v>21.6</v>
      </c>
      <c r="AE56" s="3">
        <v>2.7</v>
      </c>
      <c r="AF56" s="3">
        <v>0.85</v>
      </c>
      <c r="AG56" s="10">
        <v>40</v>
      </c>
      <c r="AH56" s="10">
        <v>1</v>
      </c>
      <c r="AI56" s="10">
        <v>140</v>
      </c>
      <c r="AJ56" s="10">
        <v>260</v>
      </c>
      <c r="AK56" s="3">
        <v>16.23</v>
      </c>
      <c r="AL56" s="61">
        <v>85.89</v>
      </c>
      <c r="AM56" s="61">
        <v>53.85</v>
      </c>
      <c r="AO56" s="10">
        <v>82</v>
      </c>
      <c r="AP56" s="10">
        <v>109</v>
      </c>
      <c r="AQ56" s="52">
        <v>80.099999999999994</v>
      </c>
      <c r="BG56" s="10">
        <v>180</v>
      </c>
      <c r="BJ56" s="10">
        <v>267</v>
      </c>
      <c r="BK56" s="52">
        <v>100.7</v>
      </c>
      <c r="BM56" s="10">
        <v>30</v>
      </c>
      <c r="BN56" s="10">
        <v>45</v>
      </c>
      <c r="BO56" s="10">
        <v>75</v>
      </c>
      <c r="BS56" s="10">
        <v>5</v>
      </c>
      <c r="BT56" s="10">
        <v>10</v>
      </c>
      <c r="BV56" s="61">
        <v>9.36</v>
      </c>
      <c r="BW56" s="61">
        <v>1.36</v>
      </c>
      <c r="BZ56" s="61">
        <v>10.67</v>
      </c>
      <c r="CA56" s="10">
        <v>0</v>
      </c>
      <c r="CB56" s="52">
        <v>101</v>
      </c>
      <c r="CG56" s="10">
        <v>2485</v>
      </c>
      <c r="CI56" s="10">
        <v>10</v>
      </c>
      <c r="CJ56" s="10">
        <v>10</v>
      </c>
      <c r="CK56" s="3">
        <v>0</v>
      </c>
      <c r="CM56" s="3">
        <v>0.51</v>
      </c>
      <c r="CN56" s="10">
        <v>51</v>
      </c>
      <c r="CO56" s="52">
        <v>10.6</v>
      </c>
      <c r="CP56" s="52">
        <v>3.4</v>
      </c>
      <c r="CQ56" s="3">
        <v>14.91</v>
      </c>
      <c r="CS56" s="10">
        <v>228</v>
      </c>
      <c r="CT56" s="10">
        <v>213</v>
      </c>
      <c r="CU56" s="59">
        <v>2</v>
      </c>
      <c r="CV56" s="10">
        <v>340</v>
      </c>
      <c r="CW56" s="10">
        <v>17</v>
      </c>
      <c r="CX56" s="60">
        <v>159.19</v>
      </c>
      <c r="CY56" s="3">
        <v>17.95</v>
      </c>
      <c r="CZ56" s="3">
        <v>5.5</v>
      </c>
      <c r="DC56" s="24">
        <v>45720.362500000003</v>
      </c>
      <c r="DD56" s="24">
        <v>45720.40902777778</v>
      </c>
      <c r="DF56" s="10">
        <v>267</v>
      </c>
      <c r="DG56" s="24">
        <v>45720.461111111108</v>
      </c>
      <c r="DI56" s="10">
        <v>242</v>
      </c>
      <c r="DJ56" s="58">
        <v>45720.510416666664</v>
      </c>
    </row>
    <row r="57" spans="2:114" x14ac:dyDescent="0.25">
      <c r="B57" s="1">
        <v>10127</v>
      </c>
      <c r="C57" s="12">
        <v>45720</v>
      </c>
      <c r="D57" s="2">
        <v>0.38541666666666669</v>
      </c>
      <c r="E57" s="2">
        <v>0.625</v>
      </c>
      <c r="F57" s="61">
        <v>13.53</v>
      </c>
      <c r="G57" s="10">
        <v>17</v>
      </c>
      <c r="H57" s="61">
        <v>2.85</v>
      </c>
      <c r="I57" s="52">
        <v>79.599999999999994</v>
      </c>
      <c r="J57" s="10">
        <v>10</v>
      </c>
      <c r="L57" s="10">
        <v>3</v>
      </c>
      <c r="N57" s="10">
        <v>56</v>
      </c>
      <c r="O57" s="10">
        <v>24</v>
      </c>
      <c r="P57" s="10">
        <v>46.6</v>
      </c>
      <c r="Q57" s="61">
        <v>2.29</v>
      </c>
      <c r="R57" s="52">
        <v>46.1</v>
      </c>
      <c r="S57" s="10">
        <v>10</v>
      </c>
      <c r="T57" s="52">
        <v>64</v>
      </c>
      <c r="U57" s="10">
        <v>0</v>
      </c>
      <c r="V57" s="52">
        <v>65.3</v>
      </c>
      <c r="W57" s="10">
        <v>40</v>
      </c>
      <c r="Z57" s="52">
        <v>76</v>
      </c>
      <c r="AA57" s="10">
        <v>99</v>
      </c>
      <c r="AB57" s="10">
        <v>9</v>
      </c>
      <c r="AC57" s="52">
        <v>10</v>
      </c>
      <c r="AD57" s="3">
        <v>22.3</v>
      </c>
      <c r="AE57" s="3">
        <v>3.15</v>
      </c>
      <c r="AG57" s="10">
        <v>40</v>
      </c>
      <c r="AH57" s="10">
        <v>1</v>
      </c>
      <c r="AI57" s="10">
        <v>136</v>
      </c>
      <c r="AJ57" s="10">
        <v>260</v>
      </c>
      <c r="AK57" s="3">
        <v>16.23</v>
      </c>
      <c r="AL57" s="61">
        <v>84.47</v>
      </c>
      <c r="AM57" s="61">
        <v>52.31</v>
      </c>
      <c r="AO57" s="10">
        <v>79</v>
      </c>
      <c r="AP57" s="10">
        <v>108</v>
      </c>
      <c r="AQ57" s="52">
        <v>80.099999999999994</v>
      </c>
      <c r="BG57" s="10">
        <v>180</v>
      </c>
      <c r="BJ57" s="10">
        <v>267</v>
      </c>
      <c r="BK57" s="52">
        <v>100.7</v>
      </c>
      <c r="BM57" s="10">
        <v>30</v>
      </c>
      <c r="BN57" s="10">
        <v>45</v>
      </c>
      <c r="BO57" s="10">
        <v>75</v>
      </c>
      <c r="BS57" s="10">
        <v>5</v>
      </c>
      <c r="BT57" s="10">
        <v>10</v>
      </c>
      <c r="BV57" s="61">
        <v>8.24</v>
      </c>
      <c r="BW57" s="61">
        <v>0.24</v>
      </c>
      <c r="BZ57" s="61">
        <v>10.3</v>
      </c>
      <c r="CA57" s="10">
        <v>0</v>
      </c>
      <c r="CB57" s="52">
        <v>101</v>
      </c>
      <c r="CG57" s="10">
        <v>2638</v>
      </c>
      <c r="CI57" s="10">
        <v>10</v>
      </c>
      <c r="CJ57" s="10">
        <v>10</v>
      </c>
      <c r="CK57" s="3">
        <v>0</v>
      </c>
      <c r="CM57" s="3">
        <v>0.5</v>
      </c>
      <c r="CN57" s="10">
        <v>57</v>
      </c>
      <c r="CO57" s="52">
        <v>10</v>
      </c>
      <c r="CP57" s="52">
        <v>3.5</v>
      </c>
      <c r="CQ57" s="3">
        <v>15.28</v>
      </c>
      <c r="CS57" s="10">
        <v>229</v>
      </c>
      <c r="CT57" s="10">
        <v>220</v>
      </c>
      <c r="CU57" s="59">
        <v>9</v>
      </c>
      <c r="CV57" s="10">
        <v>345</v>
      </c>
      <c r="CW57" s="10">
        <v>12</v>
      </c>
      <c r="CX57" s="60">
        <v>116.83</v>
      </c>
      <c r="CY57" s="3">
        <v>18.22</v>
      </c>
      <c r="CZ57" s="3">
        <v>5.48</v>
      </c>
      <c r="DC57" s="24">
        <v>45720.472222222219</v>
      </c>
      <c r="DD57" s="24">
        <v>45720.519444444442</v>
      </c>
      <c r="DF57" s="10">
        <v>267</v>
      </c>
      <c r="DG57" s="24">
        <v>45720.571527777778</v>
      </c>
      <c r="DI57" s="10">
        <v>245</v>
      </c>
      <c r="DJ57" s="58">
        <v>45720.625</v>
      </c>
    </row>
    <row r="58" spans="2:114" x14ac:dyDescent="0.25">
      <c r="B58" s="1">
        <v>10128</v>
      </c>
      <c r="C58" s="12">
        <v>45720</v>
      </c>
      <c r="D58" s="2">
        <v>0.51041666666666663</v>
      </c>
      <c r="E58" s="2">
        <v>0.75416666666666665</v>
      </c>
      <c r="F58" s="61">
        <v>12.59</v>
      </c>
      <c r="G58" s="10">
        <v>18</v>
      </c>
      <c r="H58" s="61">
        <v>2.8</v>
      </c>
      <c r="I58" s="52">
        <v>46.1</v>
      </c>
      <c r="J58" s="10">
        <v>10</v>
      </c>
      <c r="L58" s="10">
        <v>6</v>
      </c>
      <c r="N58" s="10">
        <v>61</v>
      </c>
      <c r="O58" s="10">
        <v>26</v>
      </c>
      <c r="P58" s="10">
        <v>46.6</v>
      </c>
      <c r="Q58" s="61">
        <v>2.42</v>
      </c>
      <c r="R58" s="52">
        <v>46.5</v>
      </c>
      <c r="S58" s="10">
        <v>10</v>
      </c>
      <c r="T58" s="52">
        <v>64.099999999999994</v>
      </c>
      <c r="U58" s="10">
        <v>0</v>
      </c>
      <c r="V58" s="52">
        <v>64.7</v>
      </c>
      <c r="W58" s="10">
        <v>40</v>
      </c>
      <c r="Z58" s="52">
        <v>76</v>
      </c>
      <c r="AA58" s="10">
        <v>102</v>
      </c>
      <c r="AB58" s="10">
        <v>7</v>
      </c>
      <c r="AC58" s="52">
        <v>12.2</v>
      </c>
      <c r="AD58" s="3">
        <v>23.04</v>
      </c>
      <c r="AE58" s="3">
        <v>2.92</v>
      </c>
      <c r="AF58" s="3">
        <v>1.2</v>
      </c>
      <c r="AG58" s="10">
        <v>42</v>
      </c>
      <c r="AH58" s="10">
        <v>1</v>
      </c>
      <c r="AI58" s="10">
        <v>136</v>
      </c>
      <c r="AJ58" s="10">
        <v>260</v>
      </c>
      <c r="AK58" s="3">
        <v>16.23</v>
      </c>
      <c r="AL58" s="61">
        <v>82.93</v>
      </c>
      <c r="AM58" s="61">
        <v>52.31</v>
      </c>
      <c r="AO58" s="10">
        <v>87</v>
      </c>
      <c r="AP58" s="10">
        <v>115</v>
      </c>
      <c r="AQ58" s="52">
        <v>80.099999999999994</v>
      </c>
      <c r="BG58" s="10">
        <v>180</v>
      </c>
      <c r="BJ58" s="10">
        <v>266</v>
      </c>
      <c r="BK58" s="52">
        <v>100.7</v>
      </c>
      <c r="BM58" s="10">
        <v>30</v>
      </c>
      <c r="BN58" s="10">
        <v>45</v>
      </c>
      <c r="BO58" s="10">
        <v>75</v>
      </c>
      <c r="BS58" s="10">
        <v>5</v>
      </c>
      <c r="BT58" s="10">
        <v>10</v>
      </c>
      <c r="BV58" s="61">
        <v>7.89</v>
      </c>
      <c r="BW58" s="61">
        <v>0.11</v>
      </c>
      <c r="BZ58" s="61">
        <v>8.83</v>
      </c>
      <c r="CA58" s="10">
        <v>0</v>
      </c>
      <c r="CB58" s="52">
        <v>101</v>
      </c>
      <c r="CG58" s="10">
        <v>2640</v>
      </c>
      <c r="CI58" s="10">
        <v>10</v>
      </c>
      <c r="CJ58" s="10">
        <v>10</v>
      </c>
      <c r="CK58" s="3">
        <v>0</v>
      </c>
      <c r="CM58" s="3">
        <v>0.5</v>
      </c>
      <c r="CN58" s="10">
        <v>52</v>
      </c>
      <c r="CO58" s="52">
        <v>10.5</v>
      </c>
      <c r="CP58" s="52">
        <v>3.6</v>
      </c>
      <c r="CQ58" s="3">
        <v>15.52</v>
      </c>
      <c r="CS58" s="10">
        <v>232</v>
      </c>
      <c r="CT58" s="10">
        <v>224</v>
      </c>
      <c r="CU58" s="59">
        <v>13</v>
      </c>
      <c r="CV58" s="10">
        <v>351</v>
      </c>
      <c r="CW58" s="10">
        <v>6</v>
      </c>
      <c r="CX58" s="60">
        <v>143.38999999999999</v>
      </c>
      <c r="CY58" s="3">
        <v>18.100000000000001</v>
      </c>
      <c r="CZ58" s="3">
        <v>5.28</v>
      </c>
      <c r="DC58" s="24">
        <v>45720.598611111112</v>
      </c>
      <c r="DD58" s="24">
        <v>45720.652083333334</v>
      </c>
      <c r="DF58" s="10">
        <v>266</v>
      </c>
      <c r="DG58" s="24">
        <v>45720.70416666667</v>
      </c>
      <c r="DI58" s="10">
        <v>245</v>
      </c>
      <c r="DJ58" s="58">
        <v>45720.754166666666</v>
      </c>
    </row>
    <row r="59" spans="2:114" x14ac:dyDescent="0.25">
      <c r="B59" s="1">
        <v>10129</v>
      </c>
      <c r="C59" s="12">
        <v>45720</v>
      </c>
      <c r="D59" s="2">
        <v>0.60763888888888895</v>
      </c>
      <c r="E59" s="2">
        <v>0.84652777777777766</v>
      </c>
      <c r="F59" s="61">
        <v>13.1</v>
      </c>
      <c r="G59" s="10">
        <v>17</v>
      </c>
      <c r="H59" s="61">
        <v>2.79</v>
      </c>
      <c r="I59" s="52">
        <v>79.7</v>
      </c>
      <c r="J59" s="10">
        <v>10</v>
      </c>
      <c r="L59" s="10">
        <v>1</v>
      </c>
      <c r="N59" s="10">
        <v>65</v>
      </c>
      <c r="O59" s="10">
        <v>25</v>
      </c>
      <c r="P59" s="10">
        <v>46.6</v>
      </c>
      <c r="Q59" s="61">
        <v>2.37</v>
      </c>
      <c r="R59" s="52">
        <v>46.3</v>
      </c>
      <c r="S59" s="10">
        <v>18</v>
      </c>
      <c r="T59" s="52">
        <v>64.2</v>
      </c>
      <c r="U59" s="10">
        <v>0</v>
      </c>
      <c r="V59" s="52">
        <v>65.400000000000006</v>
      </c>
      <c r="W59" s="10">
        <v>40</v>
      </c>
      <c r="Z59" s="52">
        <v>76</v>
      </c>
      <c r="AA59" s="10">
        <v>108</v>
      </c>
      <c r="AB59" s="10">
        <v>7</v>
      </c>
      <c r="AC59" s="52">
        <v>12.2</v>
      </c>
      <c r="AD59" s="3">
        <v>22.12</v>
      </c>
      <c r="AE59" s="3">
        <v>2.93</v>
      </c>
      <c r="AF59" s="3">
        <v>1.22</v>
      </c>
      <c r="AG59" s="10">
        <v>42</v>
      </c>
      <c r="AH59" s="10">
        <v>1</v>
      </c>
      <c r="AI59" s="10">
        <v>136</v>
      </c>
      <c r="AJ59" s="10">
        <v>260</v>
      </c>
      <c r="AK59" s="3">
        <v>16.23</v>
      </c>
      <c r="AL59" s="61">
        <v>84.47</v>
      </c>
      <c r="AM59" s="61">
        <v>52.31</v>
      </c>
      <c r="AO59" s="10">
        <v>83</v>
      </c>
      <c r="AP59" s="10">
        <v>111</v>
      </c>
      <c r="AQ59" s="52">
        <v>80.099999999999994</v>
      </c>
      <c r="BG59" s="10">
        <v>180</v>
      </c>
      <c r="BJ59" s="10">
        <v>265</v>
      </c>
      <c r="BK59" s="52">
        <v>100.7</v>
      </c>
      <c r="BM59" s="10">
        <v>30</v>
      </c>
      <c r="BN59" s="10">
        <v>45</v>
      </c>
      <c r="BO59" s="10">
        <v>75</v>
      </c>
      <c r="BS59" s="10">
        <v>5</v>
      </c>
      <c r="BT59" s="10">
        <v>10</v>
      </c>
      <c r="BV59" s="61">
        <v>9.43</v>
      </c>
      <c r="BW59" s="61">
        <v>1.43</v>
      </c>
      <c r="BZ59" s="61">
        <v>10.75</v>
      </c>
      <c r="CA59" s="10">
        <v>0</v>
      </c>
      <c r="CB59" s="52">
        <v>101</v>
      </c>
      <c r="CG59" s="10">
        <v>2633</v>
      </c>
      <c r="CI59" s="10">
        <v>10</v>
      </c>
      <c r="CJ59" s="10">
        <v>10</v>
      </c>
      <c r="CK59" s="3">
        <v>0</v>
      </c>
      <c r="CM59" s="3">
        <v>0.51</v>
      </c>
      <c r="CN59" s="10">
        <v>50</v>
      </c>
      <c r="CO59" s="52">
        <v>10.5</v>
      </c>
      <c r="CP59" s="52">
        <v>3.4</v>
      </c>
      <c r="CQ59" s="3">
        <v>15.04</v>
      </c>
      <c r="CS59" s="10">
        <v>226</v>
      </c>
      <c r="CT59" s="10">
        <v>212</v>
      </c>
      <c r="CU59" s="59">
        <v>1</v>
      </c>
      <c r="CV59" s="10">
        <v>344</v>
      </c>
      <c r="CW59" s="10">
        <v>13</v>
      </c>
      <c r="CX59" s="60">
        <v>156.26</v>
      </c>
      <c r="CY59" s="3">
        <v>18.149999999999999</v>
      </c>
      <c r="CZ59" s="3">
        <v>5.26</v>
      </c>
      <c r="DC59" s="24">
        <v>45720.699305555558</v>
      </c>
      <c r="DD59" s="24">
        <v>45720.745833333334</v>
      </c>
      <c r="DF59" s="10">
        <v>265</v>
      </c>
      <c r="DG59" s="24">
        <v>45720.79791666667</v>
      </c>
      <c r="DI59" s="10">
        <v>240</v>
      </c>
      <c r="DJ59" s="58">
        <v>45720.84652777778</v>
      </c>
    </row>
    <row r="60" spans="2:114" x14ac:dyDescent="0.25">
      <c r="B60" s="1">
        <v>10130</v>
      </c>
      <c r="C60" s="12">
        <v>45720</v>
      </c>
      <c r="D60" s="2">
        <v>0.70486111111111116</v>
      </c>
      <c r="E60" s="2">
        <v>0.94236111111111109</v>
      </c>
      <c r="F60" s="61">
        <v>12.97</v>
      </c>
      <c r="G60" s="10">
        <v>17</v>
      </c>
      <c r="H60" s="61">
        <v>2.78</v>
      </c>
      <c r="I60" s="52">
        <v>79.599999999999994</v>
      </c>
      <c r="J60" s="10">
        <v>10</v>
      </c>
      <c r="L60" s="10">
        <v>5</v>
      </c>
      <c r="N60" s="10">
        <v>59</v>
      </c>
      <c r="O60" s="10">
        <v>26</v>
      </c>
      <c r="P60" s="10">
        <v>46.6</v>
      </c>
      <c r="Q60" s="61">
        <v>2.39</v>
      </c>
      <c r="R60" s="52">
        <v>46.6</v>
      </c>
      <c r="S60" s="10">
        <v>10</v>
      </c>
      <c r="T60" s="52">
        <v>64.5</v>
      </c>
      <c r="U60" s="10">
        <v>0</v>
      </c>
      <c r="V60" s="52">
        <v>66</v>
      </c>
      <c r="W60" s="10">
        <v>40</v>
      </c>
      <c r="Z60" s="52">
        <v>76</v>
      </c>
      <c r="AA60" s="10">
        <v>102</v>
      </c>
      <c r="AB60" s="10">
        <v>6</v>
      </c>
      <c r="AC60" s="52">
        <v>14.1</v>
      </c>
      <c r="AD60" s="3">
        <v>22.14</v>
      </c>
      <c r="AE60" s="3">
        <v>2.63</v>
      </c>
      <c r="AF60" s="3">
        <v>1.1599999999999999</v>
      </c>
      <c r="AG60" s="10">
        <v>43</v>
      </c>
      <c r="AH60" s="10">
        <v>1</v>
      </c>
      <c r="AI60" s="10">
        <v>136</v>
      </c>
      <c r="AJ60" s="10">
        <v>260</v>
      </c>
      <c r="AK60" s="3">
        <v>16.23</v>
      </c>
      <c r="AL60" s="61">
        <v>84.47</v>
      </c>
      <c r="AM60" s="61">
        <v>52.31</v>
      </c>
      <c r="AO60" s="10">
        <v>83</v>
      </c>
      <c r="AP60" s="10">
        <v>110</v>
      </c>
      <c r="AQ60" s="52">
        <v>80.099999999999994</v>
      </c>
      <c r="BG60" s="10">
        <v>180</v>
      </c>
      <c r="BJ60" s="10">
        <v>267</v>
      </c>
      <c r="BK60" s="52">
        <v>100.7</v>
      </c>
      <c r="BM60" s="10">
        <v>30</v>
      </c>
      <c r="BN60" s="10">
        <v>45</v>
      </c>
      <c r="BO60" s="10">
        <v>75</v>
      </c>
      <c r="BS60" s="10">
        <v>5</v>
      </c>
      <c r="BT60" s="10">
        <v>10</v>
      </c>
      <c r="BV60" s="61">
        <v>9.36</v>
      </c>
      <c r="BW60" s="61">
        <v>1.36</v>
      </c>
      <c r="BZ60" s="61">
        <v>10.67</v>
      </c>
      <c r="CA60" s="10">
        <v>0</v>
      </c>
      <c r="CB60" s="52">
        <v>101</v>
      </c>
      <c r="CG60" s="10">
        <v>2589</v>
      </c>
      <c r="CI60" s="10">
        <v>10</v>
      </c>
      <c r="CJ60" s="10">
        <v>10</v>
      </c>
      <c r="CK60" s="3">
        <v>0</v>
      </c>
      <c r="CM60" s="3">
        <v>0.51</v>
      </c>
      <c r="CN60" s="10">
        <v>54</v>
      </c>
      <c r="CO60" s="52">
        <v>10.7</v>
      </c>
      <c r="CP60" s="52">
        <v>3.5</v>
      </c>
      <c r="CQ60" s="3">
        <v>15.35</v>
      </c>
      <c r="CS60" s="10">
        <v>228</v>
      </c>
      <c r="CT60" s="10">
        <v>217</v>
      </c>
      <c r="CU60" s="59">
        <v>6</v>
      </c>
      <c r="CV60" s="10">
        <v>342</v>
      </c>
      <c r="CW60" s="10">
        <v>15</v>
      </c>
      <c r="CX60" s="60">
        <v>199.19</v>
      </c>
      <c r="CY60" s="3">
        <v>18</v>
      </c>
      <c r="CZ60" s="3">
        <v>5.27</v>
      </c>
      <c r="DC60" s="24">
        <v>45720.791666666664</v>
      </c>
      <c r="DD60" s="24">
        <v>45720.838888888888</v>
      </c>
      <c r="DF60" s="10">
        <v>267</v>
      </c>
      <c r="DG60" s="24">
        <v>45720.890972222223</v>
      </c>
      <c r="DI60" s="10">
        <v>242</v>
      </c>
      <c r="DJ60" s="58">
        <v>45720.942361111112</v>
      </c>
    </row>
    <row r="61" spans="2:114" x14ac:dyDescent="0.25">
      <c r="B61" s="1">
        <v>10131</v>
      </c>
      <c r="C61" s="12">
        <v>45720</v>
      </c>
      <c r="D61" s="2">
        <v>0.81597222222222221</v>
      </c>
      <c r="E61" s="2">
        <v>1.0576388888888888</v>
      </c>
      <c r="F61" s="61">
        <v>12.92</v>
      </c>
      <c r="G61" s="10">
        <v>17</v>
      </c>
      <c r="H61" s="61">
        <v>2.76</v>
      </c>
      <c r="I61" s="52">
        <v>79.7</v>
      </c>
      <c r="J61" s="10">
        <v>10</v>
      </c>
      <c r="L61" s="10">
        <v>5</v>
      </c>
      <c r="N61" s="10">
        <v>59</v>
      </c>
      <c r="O61" s="10">
        <v>25</v>
      </c>
      <c r="P61" s="10">
        <v>46.6</v>
      </c>
      <c r="Q61" s="61">
        <v>2.44</v>
      </c>
      <c r="R61" s="52">
        <v>46.3</v>
      </c>
      <c r="S61" s="10">
        <v>10</v>
      </c>
      <c r="T61" s="52">
        <v>64.3</v>
      </c>
      <c r="U61" s="10">
        <v>0</v>
      </c>
      <c r="V61" s="52">
        <v>65.8</v>
      </c>
      <c r="W61" s="10">
        <v>40</v>
      </c>
      <c r="Z61" s="52">
        <v>76</v>
      </c>
      <c r="AA61" s="10">
        <v>100</v>
      </c>
      <c r="AB61" s="10">
        <v>8</v>
      </c>
      <c r="AC61" s="52">
        <v>11.6</v>
      </c>
      <c r="AD61" s="3">
        <v>22.07</v>
      </c>
      <c r="AE61" s="3">
        <v>3.2</v>
      </c>
      <c r="AG61" s="10">
        <v>0</v>
      </c>
      <c r="AH61" s="10">
        <v>1</v>
      </c>
      <c r="AI61" s="10">
        <v>136</v>
      </c>
      <c r="AJ61" s="10">
        <v>260</v>
      </c>
      <c r="AK61" s="3">
        <v>16.23</v>
      </c>
      <c r="AL61" s="61">
        <v>84.47</v>
      </c>
      <c r="AM61" s="61">
        <v>52.31</v>
      </c>
      <c r="AO61" s="10">
        <v>82</v>
      </c>
      <c r="AP61" s="10">
        <v>100</v>
      </c>
      <c r="AQ61" s="52">
        <v>80.099999999999994</v>
      </c>
      <c r="BG61" s="10">
        <v>180</v>
      </c>
      <c r="BJ61" s="10">
        <v>266</v>
      </c>
      <c r="BK61" s="52">
        <v>100.7</v>
      </c>
      <c r="BM61" s="10">
        <v>30</v>
      </c>
      <c r="BN61" s="10">
        <v>45</v>
      </c>
      <c r="BO61" s="10">
        <v>75</v>
      </c>
      <c r="BS61" s="10">
        <v>5</v>
      </c>
      <c r="BT61" s="10">
        <v>10</v>
      </c>
      <c r="BV61" s="61">
        <v>8.27</v>
      </c>
      <c r="BW61" s="61">
        <v>0.27</v>
      </c>
      <c r="BZ61" s="61">
        <v>9.9600000000000009</v>
      </c>
      <c r="CA61" s="10">
        <v>0</v>
      </c>
      <c r="CB61" s="52">
        <v>101</v>
      </c>
      <c r="CG61" s="10">
        <v>2497</v>
      </c>
      <c r="CI61" s="10">
        <v>10</v>
      </c>
      <c r="CJ61" s="10">
        <v>10</v>
      </c>
      <c r="CK61" s="3">
        <v>0</v>
      </c>
      <c r="CM61" s="3">
        <v>0.5</v>
      </c>
      <c r="CN61" s="10">
        <v>51</v>
      </c>
      <c r="CO61" s="52">
        <v>10.5</v>
      </c>
      <c r="CP61" s="52">
        <v>3.8</v>
      </c>
      <c r="CQ61" s="3">
        <v>16.59</v>
      </c>
      <c r="CS61" s="10">
        <v>229</v>
      </c>
      <c r="CT61" s="10">
        <v>223</v>
      </c>
      <c r="CU61" s="59">
        <v>12</v>
      </c>
      <c r="CV61" s="10">
        <v>348</v>
      </c>
      <c r="CW61" s="10">
        <v>9</v>
      </c>
      <c r="CX61" s="60">
        <v>149.93</v>
      </c>
      <c r="CY61" s="3">
        <v>17.88</v>
      </c>
      <c r="CZ61" s="3">
        <v>5.28</v>
      </c>
      <c r="DC61" s="24">
        <v>45720.902777777781</v>
      </c>
      <c r="DD61" s="24">
        <v>45720.956250000003</v>
      </c>
      <c r="DF61" s="10">
        <v>266</v>
      </c>
      <c r="DG61" s="24">
        <v>45721.008333333331</v>
      </c>
      <c r="DI61" s="10">
        <v>244</v>
      </c>
      <c r="DJ61" s="58">
        <v>45721.057638888888</v>
      </c>
    </row>
    <row r="62" spans="2:114" x14ac:dyDescent="0.25">
      <c r="B62" s="1">
        <v>10132</v>
      </c>
      <c r="C62" s="12">
        <v>45726</v>
      </c>
      <c r="D62" s="2">
        <v>0.33680555555555558</v>
      </c>
      <c r="E62" s="2">
        <v>0.60486111111111107</v>
      </c>
      <c r="F62" s="61">
        <v>12.45</v>
      </c>
      <c r="G62" s="10">
        <v>12</v>
      </c>
      <c r="H62" s="61">
        <v>2.77</v>
      </c>
      <c r="I62" s="52">
        <v>80.05</v>
      </c>
      <c r="L62" s="10">
        <v>17</v>
      </c>
      <c r="N62" s="10">
        <v>63</v>
      </c>
      <c r="O62" s="10">
        <v>29</v>
      </c>
      <c r="P62" s="10">
        <v>46.6</v>
      </c>
      <c r="Q62" s="61">
        <v>2.4</v>
      </c>
      <c r="R62" s="52">
        <v>45.5</v>
      </c>
      <c r="S62" s="10">
        <v>10</v>
      </c>
      <c r="T62" s="52">
        <v>64</v>
      </c>
      <c r="U62" s="10">
        <v>0</v>
      </c>
      <c r="V62" s="52">
        <v>65.099999999999994</v>
      </c>
      <c r="W62" s="10">
        <v>40</v>
      </c>
      <c r="Z62" s="52">
        <v>75.900000000000006</v>
      </c>
      <c r="AA62" s="10">
        <v>111</v>
      </c>
      <c r="AB62" s="10">
        <v>8</v>
      </c>
      <c r="AC62" s="52">
        <v>10</v>
      </c>
      <c r="AD62" s="3">
        <v>23.2</v>
      </c>
      <c r="AE62" s="3">
        <v>1.4</v>
      </c>
      <c r="AF62" s="3">
        <v>0.4</v>
      </c>
      <c r="AG62" s="10">
        <v>50</v>
      </c>
      <c r="AH62" s="10">
        <v>2</v>
      </c>
      <c r="AI62" s="10">
        <v>120</v>
      </c>
      <c r="AJ62" s="10">
        <v>259</v>
      </c>
      <c r="AK62" s="3">
        <v>16.23</v>
      </c>
      <c r="AL62" s="61">
        <v>73.62</v>
      </c>
      <c r="AM62" s="61">
        <v>46.33</v>
      </c>
      <c r="AO62" s="10">
        <v>122</v>
      </c>
      <c r="AP62" s="10">
        <v>153</v>
      </c>
      <c r="AQ62" s="52">
        <v>80.099999999999994</v>
      </c>
      <c r="BG62" s="10">
        <v>180</v>
      </c>
      <c r="BJ62" s="10">
        <v>262</v>
      </c>
      <c r="BK62" s="52">
        <v>100.7</v>
      </c>
      <c r="BM62" s="10">
        <v>30</v>
      </c>
      <c r="BN62" s="10">
        <v>45</v>
      </c>
      <c r="BO62" s="10">
        <v>75</v>
      </c>
      <c r="BS62" s="10">
        <v>5</v>
      </c>
      <c r="BT62" s="10">
        <v>10</v>
      </c>
      <c r="BV62" s="61">
        <v>7.63</v>
      </c>
      <c r="BW62" s="61">
        <v>0.37</v>
      </c>
      <c r="BZ62" s="61">
        <v>8.9700000000000006</v>
      </c>
      <c r="CA62" s="10">
        <v>0</v>
      </c>
      <c r="CB62" s="52">
        <v>101</v>
      </c>
      <c r="CG62" s="10">
        <v>2574</v>
      </c>
      <c r="CI62" s="10">
        <v>10</v>
      </c>
      <c r="CJ62" s="10">
        <v>10</v>
      </c>
      <c r="CK62" s="3">
        <v>0</v>
      </c>
      <c r="CM62" s="3">
        <v>0.7</v>
      </c>
      <c r="CN62" s="10">
        <v>51</v>
      </c>
      <c r="CP62" s="52">
        <v>5.7</v>
      </c>
      <c r="CQ62" s="3">
        <v>25</v>
      </c>
      <c r="CS62" s="10">
        <v>228</v>
      </c>
      <c r="CT62" s="10">
        <v>255</v>
      </c>
      <c r="CU62" s="59">
        <v>44</v>
      </c>
      <c r="CV62" s="10">
        <v>386</v>
      </c>
      <c r="CW62" s="10">
        <v>29</v>
      </c>
      <c r="CX62" s="60">
        <v>479.5</v>
      </c>
      <c r="CY62" s="3">
        <v>17.899999999999999</v>
      </c>
      <c r="CZ62" s="3">
        <v>5.55</v>
      </c>
      <c r="DC62" s="24">
        <v>45726.427777777775</v>
      </c>
      <c r="DD62" s="24">
        <v>45726.503472222219</v>
      </c>
      <c r="DF62" s="10">
        <v>262</v>
      </c>
      <c r="DG62" s="24">
        <v>45726.555555555555</v>
      </c>
      <c r="DI62" s="10">
        <v>242</v>
      </c>
      <c r="DJ62" s="58">
        <v>45726.604861111111</v>
      </c>
    </row>
    <row r="63" spans="2:114" x14ac:dyDescent="0.25">
      <c r="B63" s="1">
        <v>10133</v>
      </c>
      <c r="C63" s="12">
        <v>45726</v>
      </c>
      <c r="D63" s="2">
        <v>0.4861111111111111</v>
      </c>
      <c r="E63" s="2">
        <v>0.74374999999999991</v>
      </c>
      <c r="F63" s="61">
        <v>12.79</v>
      </c>
      <c r="G63" s="10">
        <v>18</v>
      </c>
      <c r="H63" s="61">
        <v>2.84</v>
      </c>
      <c r="I63" s="52">
        <v>79.599999999999994</v>
      </c>
      <c r="J63" s="10">
        <v>10</v>
      </c>
      <c r="L63" s="10">
        <v>6</v>
      </c>
      <c r="N63" s="10">
        <v>65</v>
      </c>
      <c r="O63" s="10">
        <v>27</v>
      </c>
      <c r="P63" s="10">
        <v>46.6</v>
      </c>
      <c r="Q63" s="61">
        <v>2.35</v>
      </c>
      <c r="R63" s="52">
        <v>45.2</v>
      </c>
      <c r="S63" s="10">
        <v>10</v>
      </c>
      <c r="T63" s="52">
        <v>63.8</v>
      </c>
      <c r="U63" s="10">
        <v>32</v>
      </c>
      <c r="V63" s="52">
        <v>65.400000000000006</v>
      </c>
      <c r="W63" s="10">
        <v>40</v>
      </c>
      <c r="Z63" s="52">
        <v>76</v>
      </c>
      <c r="AA63" s="10">
        <v>110</v>
      </c>
      <c r="AB63" s="10">
        <v>8</v>
      </c>
      <c r="AC63" s="52">
        <v>10</v>
      </c>
      <c r="AD63" s="3">
        <v>22.5</v>
      </c>
      <c r="AE63" s="3">
        <v>2.1</v>
      </c>
      <c r="AF63" s="3">
        <v>0.4</v>
      </c>
      <c r="AG63" s="10">
        <v>75</v>
      </c>
      <c r="AH63" s="10">
        <v>1</v>
      </c>
      <c r="AI63" s="10">
        <v>136</v>
      </c>
      <c r="AJ63" s="10">
        <v>259</v>
      </c>
      <c r="AK63" s="3">
        <v>16.23</v>
      </c>
      <c r="AL63" s="61">
        <v>83.44</v>
      </c>
      <c r="AM63" s="61">
        <v>52.51</v>
      </c>
      <c r="AO63" s="10">
        <v>86</v>
      </c>
      <c r="AP63" s="10">
        <v>124</v>
      </c>
      <c r="AQ63" s="52">
        <v>80.099999999999994</v>
      </c>
      <c r="BG63" s="10">
        <v>180</v>
      </c>
      <c r="BJ63" s="10">
        <v>262</v>
      </c>
      <c r="BK63" s="52">
        <v>100.7</v>
      </c>
      <c r="BM63" s="10">
        <v>30</v>
      </c>
      <c r="BN63" s="10">
        <v>45</v>
      </c>
      <c r="BO63" s="10">
        <v>75</v>
      </c>
      <c r="BS63" s="10">
        <v>5</v>
      </c>
      <c r="BT63" s="10">
        <v>10</v>
      </c>
      <c r="BV63" s="61">
        <v>7.25</v>
      </c>
      <c r="BW63" s="61">
        <v>0.75</v>
      </c>
      <c r="BZ63" s="61">
        <v>8.59</v>
      </c>
      <c r="CA63" s="10">
        <v>0</v>
      </c>
      <c r="CB63" s="52">
        <v>101</v>
      </c>
      <c r="CG63" s="10">
        <v>2114</v>
      </c>
      <c r="CI63" s="10">
        <v>10</v>
      </c>
      <c r="CJ63" s="10">
        <v>10</v>
      </c>
      <c r="CK63" s="3">
        <v>0</v>
      </c>
      <c r="CM63" s="3">
        <v>0.5</v>
      </c>
      <c r="CN63" s="10">
        <v>51</v>
      </c>
      <c r="CO63" s="52">
        <v>10.5</v>
      </c>
      <c r="CP63" s="52">
        <v>3.5</v>
      </c>
      <c r="CQ63" s="3">
        <v>15.28</v>
      </c>
      <c r="CS63" s="10">
        <v>229</v>
      </c>
      <c r="CT63" s="10">
        <v>235</v>
      </c>
      <c r="CU63" s="59">
        <v>24</v>
      </c>
      <c r="CV63" s="10">
        <v>371</v>
      </c>
      <c r="CW63" s="10">
        <v>14</v>
      </c>
      <c r="CX63" s="60">
        <v>317.67</v>
      </c>
      <c r="CY63" s="3">
        <v>17.78</v>
      </c>
      <c r="CZ63" s="3">
        <v>5.5</v>
      </c>
      <c r="DC63" s="24">
        <v>12854.887500000001</v>
      </c>
      <c r="DD63" s="24">
        <v>12854.930555555555</v>
      </c>
      <c r="DF63" s="10">
        <v>266</v>
      </c>
      <c r="DG63" s="24">
        <v>12854.982638888889</v>
      </c>
      <c r="DI63" s="10">
        <v>244</v>
      </c>
      <c r="DJ63" s="58">
        <v>12855.036111111111</v>
      </c>
    </row>
    <row r="64" spans="2:114" x14ac:dyDescent="0.25">
      <c r="B64" s="1">
        <v>10134</v>
      </c>
      <c r="C64" s="12">
        <v>45726</v>
      </c>
      <c r="D64" s="2">
        <v>0.60069444444444442</v>
      </c>
      <c r="E64" s="2">
        <v>0.84097222222222223</v>
      </c>
      <c r="F64" s="61">
        <v>13.25</v>
      </c>
      <c r="G64" s="10">
        <v>17</v>
      </c>
      <c r="H64" s="61">
        <v>2.93</v>
      </c>
      <c r="I64" s="52">
        <v>79.599999999999994</v>
      </c>
      <c r="J64" s="10">
        <v>10</v>
      </c>
      <c r="L64" s="10">
        <v>8</v>
      </c>
      <c r="N64" s="10">
        <v>61</v>
      </c>
      <c r="O64" s="10">
        <v>27</v>
      </c>
      <c r="P64" s="10">
        <v>46.6</v>
      </c>
      <c r="Q64" s="61">
        <v>2.31</v>
      </c>
      <c r="R64" s="52">
        <v>46.7</v>
      </c>
      <c r="S64" s="10">
        <v>10</v>
      </c>
      <c r="T64" s="52">
        <v>64.2</v>
      </c>
      <c r="U64" s="10">
        <v>0</v>
      </c>
      <c r="V64" s="52">
        <v>66</v>
      </c>
      <c r="W64" s="10">
        <v>40</v>
      </c>
      <c r="Z64" s="52">
        <v>76</v>
      </c>
      <c r="AA64" s="10">
        <v>101</v>
      </c>
      <c r="AB64" s="10">
        <v>9</v>
      </c>
      <c r="AC64" s="52">
        <v>14.7</v>
      </c>
      <c r="AD64" s="3">
        <v>22.8</v>
      </c>
      <c r="AE64" s="3">
        <v>2.27</v>
      </c>
      <c r="AF64" s="3">
        <v>0.36</v>
      </c>
      <c r="AG64" s="10">
        <v>90</v>
      </c>
      <c r="AH64" s="10">
        <v>1</v>
      </c>
      <c r="AI64" s="10">
        <v>136</v>
      </c>
      <c r="AJ64" s="10">
        <v>259</v>
      </c>
      <c r="AK64" s="3">
        <v>16.23</v>
      </c>
      <c r="AL64" s="61">
        <v>84.47</v>
      </c>
      <c r="AM64" s="61">
        <v>52.51</v>
      </c>
      <c r="AO64" s="10">
        <v>82</v>
      </c>
      <c r="AP64" s="10">
        <v>124</v>
      </c>
      <c r="AQ64" s="52">
        <v>80.099999999999994</v>
      </c>
      <c r="BG64" s="10">
        <v>180</v>
      </c>
      <c r="BJ64" s="10">
        <v>266</v>
      </c>
      <c r="BK64" s="52">
        <v>100.7</v>
      </c>
      <c r="BM64" s="10">
        <v>30</v>
      </c>
      <c r="BN64" s="10">
        <v>45</v>
      </c>
      <c r="BO64" s="10">
        <v>75</v>
      </c>
      <c r="BS64" s="10">
        <v>5</v>
      </c>
      <c r="BT64" s="10">
        <v>10</v>
      </c>
      <c r="BV64" s="61">
        <v>7.89</v>
      </c>
      <c r="BW64" s="61">
        <v>0.11</v>
      </c>
      <c r="BZ64" s="61">
        <v>9.59</v>
      </c>
      <c r="CA64" s="10">
        <v>0</v>
      </c>
      <c r="CB64" s="52">
        <v>101</v>
      </c>
      <c r="CG64" s="10">
        <v>2316</v>
      </c>
      <c r="CI64" s="10">
        <v>10</v>
      </c>
      <c r="CJ64" s="10">
        <v>10</v>
      </c>
      <c r="CK64" s="3">
        <v>0</v>
      </c>
      <c r="CM64" s="3">
        <v>0.5</v>
      </c>
      <c r="CN64" s="10">
        <v>51</v>
      </c>
      <c r="CO64" s="52">
        <v>10.5</v>
      </c>
      <c r="CP64" s="52">
        <v>3.6</v>
      </c>
      <c r="CQ64" s="3">
        <v>15.65</v>
      </c>
      <c r="CS64" s="10">
        <v>230</v>
      </c>
      <c r="CT64" s="10">
        <v>219</v>
      </c>
      <c r="CU64" s="59">
        <v>8</v>
      </c>
      <c r="CV64" s="10">
        <v>346</v>
      </c>
      <c r="CW64" s="10">
        <v>11</v>
      </c>
      <c r="CX64" s="60">
        <v>93.39</v>
      </c>
      <c r="CY64" s="3">
        <v>18.07</v>
      </c>
      <c r="CZ64" s="3">
        <v>5.48</v>
      </c>
      <c r="DC64" s="24">
        <v>45729.475694444445</v>
      </c>
      <c r="DD64" s="24">
        <v>45729.527083333334</v>
      </c>
      <c r="DF64" s="10">
        <v>267</v>
      </c>
      <c r="DG64" s="24">
        <v>45729.57916666667</v>
      </c>
      <c r="DI64" s="10">
        <v>245</v>
      </c>
      <c r="DJ64" s="58">
        <v>45729.629166666666</v>
      </c>
    </row>
    <row r="65" spans="2:114" x14ac:dyDescent="0.25">
      <c r="B65" s="1">
        <v>10135</v>
      </c>
      <c r="C65" s="12">
        <v>12853</v>
      </c>
      <c r="D65" s="2">
        <v>0.71180555555555547</v>
      </c>
      <c r="E65" s="2">
        <v>0.95694444444444449</v>
      </c>
      <c r="F65" s="61">
        <v>11.02</v>
      </c>
      <c r="G65" s="10">
        <v>17</v>
      </c>
      <c r="H65" s="61">
        <v>3.08</v>
      </c>
      <c r="I65" s="52">
        <v>79.599999999999994</v>
      </c>
      <c r="J65" s="10">
        <v>10</v>
      </c>
      <c r="L65" s="10">
        <v>4</v>
      </c>
      <c r="N65" s="10">
        <v>58</v>
      </c>
      <c r="O65" s="10">
        <v>25</v>
      </c>
      <c r="P65" s="10">
        <v>46.6</v>
      </c>
      <c r="Q65" s="61">
        <v>2.2999999999999998</v>
      </c>
      <c r="R65" s="52">
        <v>46.5</v>
      </c>
      <c r="S65" s="10">
        <v>10</v>
      </c>
      <c r="T65" s="52">
        <v>64.8</v>
      </c>
      <c r="U65" s="10">
        <v>0</v>
      </c>
      <c r="V65" s="52">
        <v>65.599999999999994</v>
      </c>
      <c r="W65" s="10">
        <v>40</v>
      </c>
      <c r="Z65" s="52">
        <v>76</v>
      </c>
      <c r="AA65" s="10">
        <v>100</v>
      </c>
      <c r="AB65" s="10">
        <v>9</v>
      </c>
      <c r="AC65" s="52">
        <v>12.3</v>
      </c>
      <c r="AD65" s="3">
        <v>22.21</v>
      </c>
      <c r="AE65" s="3">
        <v>2.2000000000000002</v>
      </c>
      <c r="AF65" s="3">
        <v>0.38</v>
      </c>
      <c r="AG65" s="10">
        <v>90</v>
      </c>
      <c r="AH65" s="10">
        <v>1</v>
      </c>
      <c r="AI65" s="10">
        <v>136</v>
      </c>
      <c r="AJ65" s="10">
        <v>258</v>
      </c>
      <c r="AK65" s="3">
        <v>16.23</v>
      </c>
      <c r="AL65" s="61">
        <v>84.47</v>
      </c>
      <c r="AM65" s="61">
        <v>52.71</v>
      </c>
      <c r="AO65" s="10">
        <v>81</v>
      </c>
      <c r="AP65" s="10">
        <v>123</v>
      </c>
      <c r="AQ65" s="52">
        <v>80.099999999999994</v>
      </c>
      <c r="BG65" s="10">
        <v>180</v>
      </c>
      <c r="BJ65" s="10">
        <v>264</v>
      </c>
      <c r="BK65" s="52">
        <v>100.7</v>
      </c>
      <c r="BM65" s="10">
        <v>30</v>
      </c>
      <c r="BN65" s="10">
        <v>45</v>
      </c>
      <c r="BO65" s="10">
        <v>75</v>
      </c>
      <c r="BS65" s="10">
        <v>5</v>
      </c>
      <c r="BT65" s="10">
        <v>10</v>
      </c>
      <c r="BV65" s="61">
        <v>7.58</v>
      </c>
      <c r="BW65" s="61">
        <v>0.42</v>
      </c>
      <c r="BZ65" s="61">
        <v>9.2799999999999994</v>
      </c>
      <c r="CA65" s="10">
        <v>0</v>
      </c>
      <c r="CB65" s="52">
        <v>101</v>
      </c>
      <c r="CG65" s="10">
        <v>2227</v>
      </c>
      <c r="CI65" s="10">
        <v>10</v>
      </c>
      <c r="CJ65" s="10">
        <v>10</v>
      </c>
      <c r="CK65" s="3">
        <v>0</v>
      </c>
      <c r="CM65" s="3">
        <v>0.5</v>
      </c>
      <c r="CN65" s="10">
        <v>51</v>
      </c>
      <c r="CO65" s="52">
        <v>10.6</v>
      </c>
      <c r="CP65" s="52">
        <v>3.4</v>
      </c>
      <c r="CQ65" s="3">
        <v>14.85</v>
      </c>
      <c r="CS65" s="10">
        <v>229</v>
      </c>
      <c r="CT65" s="10">
        <v>227</v>
      </c>
      <c r="CU65" s="59">
        <v>16</v>
      </c>
      <c r="CV65" s="10">
        <v>353</v>
      </c>
      <c r="CW65" s="10">
        <v>4</v>
      </c>
      <c r="CX65" s="60">
        <v>205.28</v>
      </c>
      <c r="CY65" s="3">
        <v>17.75</v>
      </c>
      <c r="CZ65" s="3">
        <v>5.53</v>
      </c>
      <c r="DC65" s="24">
        <v>45726.580555555556</v>
      </c>
      <c r="DD65" s="24">
        <v>45726.642361111109</v>
      </c>
      <c r="DF65" s="10">
        <v>262</v>
      </c>
      <c r="DG65" s="24">
        <v>45726.694444444445</v>
      </c>
      <c r="DI65" s="10">
        <v>243</v>
      </c>
      <c r="DJ65" s="58">
        <v>45726.743750000001</v>
      </c>
    </row>
    <row r="66" spans="2:114" x14ac:dyDescent="0.25">
      <c r="B66" s="1">
        <v>10136</v>
      </c>
      <c r="C66" s="12">
        <v>45726</v>
      </c>
      <c r="D66" s="2">
        <v>0.8125</v>
      </c>
      <c r="E66" s="2">
        <v>1.0541666666666667</v>
      </c>
      <c r="F66" s="61">
        <v>0</v>
      </c>
      <c r="G66" s="10">
        <v>17</v>
      </c>
      <c r="H66" s="61">
        <v>3.21</v>
      </c>
      <c r="I66" s="52">
        <v>79.599999999999994</v>
      </c>
      <c r="J66" s="10">
        <v>10</v>
      </c>
      <c r="L66" s="10">
        <v>1</v>
      </c>
      <c r="N66" s="10">
        <v>62</v>
      </c>
      <c r="O66" s="10">
        <v>25</v>
      </c>
      <c r="P66" s="10">
        <v>46.6</v>
      </c>
      <c r="Q66" s="61">
        <v>2.38</v>
      </c>
      <c r="R66" s="52">
        <v>46.5</v>
      </c>
      <c r="S66" s="10">
        <v>14</v>
      </c>
      <c r="T66" s="52">
        <v>64.2</v>
      </c>
      <c r="U66" s="10">
        <v>0</v>
      </c>
      <c r="V66" s="52">
        <v>65.599999999999994</v>
      </c>
      <c r="W66" s="10">
        <v>40</v>
      </c>
      <c r="Z66" s="52">
        <v>76</v>
      </c>
      <c r="AA66" s="10">
        <v>104</v>
      </c>
      <c r="AB66" s="10">
        <v>9</v>
      </c>
      <c r="AC66" s="52">
        <v>12.7</v>
      </c>
      <c r="AD66" s="3">
        <v>22.15</v>
      </c>
      <c r="AE66" s="3">
        <v>2.4300000000000002</v>
      </c>
      <c r="AF66" s="3">
        <v>0.74</v>
      </c>
      <c r="AG66" s="10">
        <v>90</v>
      </c>
      <c r="AH66" s="10">
        <v>1</v>
      </c>
      <c r="AI66" s="10">
        <v>136</v>
      </c>
      <c r="AJ66" s="10">
        <v>258</v>
      </c>
      <c r="AK66" s="3">
        <v>16.23</v>
      </c>
      <c r="AL66" s="61">
        <v>83.95</v>
      </c>
      <c r="AM66" s="61">
        <v>52.71</v>
      </c>
      <c r="AO66" s="10">
        <v>80</v>
      </c>
      <c r="AP66" s="10">
        <v>122</v>
      </c>
      <c r="AQ66" s="52">
        <v>80.099999999999994</v>
      </c>
      <c r="BG66" s="10">
        <v>180</v>
      </c>
      <c r="BJ66" s="10">
        <v>264</v>
      </c>
      <c r="BK66" s="52">
        <v>100.7</v>
      </c>
      <c r="BM66" s="10">
        <v>30</v>
      </c>
      <c r="BN66" s="10">
        <v>45</v>
      </c>
      <c r="BO66" s="10">
        <v>75</v>
      </c>
      <c r="BS66" s="10">
        <v>5</v>
      </c>
      <c r="BT66" s="10">
        <v>10</v>
      </c>
      <c r="BV66" s="61">
        <v>9.09</v>
      </c>
      <c r="BW66" s="61">
        <v>1.0900000000000001</v>
      </c>
      <c r="BZ66" s="61">
        <v>11.17</v>
      </c>
      <c r="CA66" s="10">
        <v>0</v>
      </c>
      <c r="CB66" s="52">
        <v>101</v>
      </c>
      <c r="CG66" s="10">
        <v>2352</v>
      </c>
      <c r="CI66" s="10">
        <v>10</v>
      </c>
      <c r="CJ66" s="10">
        <v>10</v>
      </c>
      <c r="CK66" s="3">
        <v>0</v>
      </c>
      <c r="CM66" s="3">
        <v>0.52</v>
      </c>
      <c r="CN66" s="10">
        <v>50</v>
      </c>
      <c r="CO66" s="52">
        <v>10.3</v>
      </c>
      <c r="CQ66" s="3">
        <v>0</v>
      </c>
      <c r="CS66" s="10">
        <v>224</v>
      </c>
      <c r="CT66" s="10">
        <v>218</v>
      </c>
      <c r="CU66" s="59">
        <v>7</v>
      </c>
      <c r="CV66" s="10">
        <v>348</v>
      </c>
      <c r="CW66" s="10">
        <v>9</v>
      </c>
      <c r="CX66" s="60">
        <v>181.95</v>
      </c>
      <c r="CY66" s="3">
        <v>18.25</v>
      </c>
      <c r="CZ66" s="3">
        <v>5.48</v>
      </c>
      <c r="DC66" s="24">
        <v>45726.688888888886</v>
      </c>
      <c r="DD66" s="24">
        <v>45726.739583333336</v>
      </c>
      <c r="DF66" s="10">
        <v>266</v>
      </c>
      <c r="DG66" s="24">
        <v>45726.791666666664</v>
      </c>
      <c r="DI66" s="10">
        <v>245</v>
      </c>
      <c r="DJ66" s="58">
        <v>45726.84097222222</v>
      </c>
    </row>
    <row r="67" spans="2:114" x14ac:dyDescent="0.25">
      <c r="B67" s="1">
        <v>10137</v>
      </c>
      <c r="C67" s="12">
        <v>45726</v>
      </c>
      <c r="D67" s="2">
        <v>0.92361111111111116</v>
      </c>
      <c r="E67" s="2">
        <v>0.16041666666666671</v>
      </c>
      <c r="F67" s="61">
        <v>0</v>
      </c>
      <c r="G67" s="10">
        <v>19</v>
      </c>
      <c r="H67" s="61">
        <v>3.24</v>
      </c>
      <c r="I67" s="52">
        <v>79.7</v>
      </c>
      <c r="J67" s="10">
        <v>10</v>
      </c>
      <c r="L67" s="10">
        <v>5</v>
      </c>
      <c r="N67" s="10">
        <v>61</v>
      </c>
      <c r="O67" s="10">
        <v>26</v>
      </c>
      <c r="P67" s="10">
        <v>46.6</v>
      </c>
      <c r="Q67" s="61">
        <v>2.3199999999999998</v>
      </c>
      <c r="R67" s="52">
        <v>46.5</v>
      </c>
      <c r="S67" s="10">
        <v>10</v>
      </c>
      <c r="T67" s="52">
        <v>64.2</v>
      </c>
      <c r="U67" s="10">
        <v>9</v>
      </c>
      <c r="V67" s="52">
        <v>65.2</v>
      </c>
      <c r="W67" s="10">
        <v>40</v>
      </c>
      <c r="Z67" s="52">
        <v>76</v>
      </c>
      <c r="AA67" s="10">
        <v>100</v>
      </c>
      <c r="AB67" s="10">
        <v>9</v>
      </c>
      <c r="AC67" s="52">
        <v>19.600000000000001</v>
      </c>
      <c r="AD67" s="3">
        <v>22.63</v>
      </c>
      <c r="AE67" s="3">
        <v>2.5499999999999998</v>
      </c>
      <c r="AG67" s="10">
        <v>0</v>
      </c>
      <c r="AH67" s="10">
        <v>1</v>
      </c>
      <c r="AI67" s="10">
        <v>136</v>
      </c>
      <c r="AJ67" s="10">
        <v>261</v>
      </c>
      <c r="AK67" s="3">
        <v>16.23</v>
      </c>
      <c r="AL67" s="61">
        <v>84.47</v>
      </c>
      <c r="AM67" s="61">
        <v>52.11</v>
      </c>
      <c r="AO67" s="10">
        <v>87</v>
      </c>
      <c r="AP67" s="10">
        <v>107</v>
      </c>
      <c r="AQ67" s="52">
        <v>80.099999999999994</v>
      </c>
      <c r="BG67" s="10">
        <v>180</v>
      </c>
      <c r="BJ67" s="10">
        <v>267</v>
      </c>
      <c r="BK67" s="52">
        <v>100.7</v>
      </c>
      <c r="BM67" s="10">
        <v>30</v>
      </c>
      <c r="BN67" s="10">
        <v>45</v>
      </c>
      <c r="BO67" s="10">
        <v>75</v>
      </c>
      <c r="BS67" s="10">
        <v>5</v>
      </c>
      <c r="BT67" s="10">
        <v>10</v>
      </c>
      <c r="BV67" s="61">
        <v>9.36</v>
      </c>
      <c r="BW67" s="61">
        <v>1.36</v>
      </c>
      <c r="BZ67" s="61">
        <v>10.67</v>
      </c>
      <c r="CA67" s="10">
        <v>0</v>
      </c>
      <c r="CB67" s="52">
        <v>101</v>
      </c>
      <c r="CG67" s="10">
        <v>1373</v>
      </c>
      <c r="CI67" s="10">
        <v>10</v>
      </c>
      <c r="CJ67" s="10">
        <v>10</v>
      </c>
      <c r="CK67" s="3">
        <v>0</v>
      </c>
      <c r="CM67" s="3">
        <v>0.51</v>
      </c>
      <c r="CN67" s="10">
        <v>51</v>
      </c>
      <c r="CO67" s="52">
        <v>10.6</v>
      </c>
      <c r="CP67" s="52">
        <v>3.5</v>
      </c>
      <c r="CQ67" s="3">
        <v>15.35</v>
      </c>
      <c r="CS67" s="10">
        <v>228</v>
      </c>
      <c r="CT67" s="10">
        <v>213</v>
      </c>
      <c r="CU67" s="59">
        <v>2</v>
      </c>
      <c r="CV67" s="10">
        <v>341</v>
      </c>
      <c r="CW67" s="10">
        <v>16</v>
      </c>
      <c r="CX67" s="60">
        <v>159.19</v>
      </c>
      <c r="CY67" s="3">
        <v>18.079999999999998</v>
      </c>
      <c r="CZ67" s="3">
        <v>5.47</v>
      </c>
      <c r="DC67" s="24">
        <v>12853.799305555556</v>
      </c>
      <c r="DD67" s="24">
        <v>12853.855555555556</v>
      </c>
      <c r="DF67" s="10">
        <v>264</v>
      </c>
      <c r="DG67" s="24">
        <v>12853.90763888889</v>
      </c>
      <c r="DI67" s="10">
        <v>244</v>
      </c>
      <c r="DJ67" s="58">
        <v>12853.956944444444</v>
      </c>
    </row>
    <row r="68" spans="2:114" x14ac:dyDescent="0.25">
      <c r="B68" s="1">
        <v>10145</v>
      </c>
      <c r="C68" s="12">
        <v>12854</v>
      </c>
      <c r="D68" s="2">
        <v>0.79513888888888884</v>
      </c>
      <c r="E68" s="2">
        <v>3.6111111111111115E-2</v>
      </c>
      <c r="F68" s="61">
        <v>12.27</v>
      </c>
      <c r="G68" s="10">
        <v>17</v>
      </c>
      <c r="H68" s="61">
        <v>2.86</v>
      </c>
      <c r="I68" s="52">
        <v>79.5</v>
      </c>
      <c r="J68" s="10">
        <v>10</v>
      </c>
      <c r="L68" s="10">
        <v>6</v>
      </c>
      <c r="N68" s="10">
        <v>62</v>
      </c>
      <c r="O68" s="10">
        <v>25</v>
      </c>
      <c r="P68" s="10">
        <v>46.6</v>
      </c>
      <c r="Q68" s="61">
        <v>2.41</v>
      </c>
      <c r="R68" s="52">
        <v>46</v>
      </c>
      <c r="S68" s="10">
        <v>10</v>
      </c>
      <c r="T68" s="52">
        <v>64.400000000000006</v>
      </c>
      <c r="U68" s="10">
        <v>0</v>
      </c>
      <c r="V68" s="52">
        <v>65.2</v>
      </c>
      <c r="W68" s="10">
        <v>45</v>
      </c>
      <c r="Z68" s="52">
        <v>76.2</v>
      </c>
      <c r="AA68" s="10">
        <v>108</v>
      </c>
      <c r="AB68" s="10">
        <v>8</v>
      </c>
      <c r="AC68" s="52">
        <v>13.2</v>
      </c>
      <c r="AD68" s="3">
        <v>21.88</v>
      </c>
      <c r="AE68" s="3">
        <v>4.21</v>
      </c>
      <c r="AF68" s="3">
        <v>2.86</v>
      </c>
      <c r="AG68" s="10">
        <v>20</v>
      </c>
      <c r="AH68" s="10">
        <v>0</v>
      </c>
      <c r="AI68" s="10">
        <v>136</v>
      </c>
      <c r="AJ68" s="10">
        <v>260</v>
      </c>
      <c r="AK68" s="3">
        <v>16.23</v>
      </c>
      <c r="AL68" s="61">
        <v>82.93</v>
      </c>
      <c r="AM68" s="61">
        <v>52.31</v>
      </c>
      <c r="AO68" s="10">
        <v>77</v>
      </c>
      <c r="AP68" s="10">
        <v>99</v>
      </c>
      <c r="AQ68" s="52">
        <v>80.099999999999994</v>
      </c>
      <c r="BG68" s="10">
        <v>180</v>
      </c>
      <c r="BJ68" s="10">
        <v>266</v>
      </c>
      <c r="BK68" s="52">
        <v>100.7</v>
      </c>
      <c r="BM68" s="10">
        <v>30</v>
      </c>
      <c r="BN68" s="10">
        <v>45</v>
      </c>
      <c r="BO68" s="10">
        <v>75</v>
      </c>
      <c r="BS68" s="10">
        <v>5</v>
      </c>
      <c r="BT68" s="10">
        <v>10</v>
      </c>
      <c r="BV68" s="61">
        <v>8.27</v>
      </c>
      <c r="BW68" s="61">
        <v>0.27</v>
      </c>
      <c r="BZ68" s="61">
        <v>9.9600000000000009</v>
      </c>
      <c r="CA68" s="10">
        <v>0</v>
      </c>
      <c r="CB68" s="52">
        <v>101</v>
      </c>
      <c r="CG68" s="10">
        <v>2186</v>
      </c>
      <c r="CI68" s="10">
        <v>10</v>
      </c>
      <c r="CJ68" s="10">
        <v>10</v>
      </c>
      <c r="CK68" s="3">
        <v>0</v>
      </c>
      <c r="CM68" s="3">
        <v>0.7</v>
      </c>
      <c r="CN68" s="10">
        <v>57</v>
      </c>
      <c r="CP68" s="52">
        <v>4</v>
      </c>
      <c r="CQ68" s="3">
        <v>17.47</v>
      </c>
      <c r="CS68" s="10">
        <v>229</v>
      </c>
      <c r="CT68" s="10">
        <v>214</v>
      </c>
      <c r="CU68" s="59">
        <v>3</v>
      </c>
      <c r="CV68" s="10">
        <v>347</v>
      </c>
      <c r="CW68" s="10">
        <v>10</v>
      </c>
      <c r="CX68" s="60">
        <v>59.93</v>
      </c>
      <c r="CY68" s="3">
        <v>18.239999999999998</v>
      </c>
      <c r="CZ68" s="3">
        <v>5.51</v>
      </c>
      <c r="DC68" s="24">
        <v>45726.902777777781</v>
      </c>
      <c r="DD68" s="24">
        <v>45726.953472222223</v>
      </c>
      <c r="DF68" s="10">
        <v>264</v>
      </c>
      <c r="DG68" s="24">
        <v>45727.005555555559</v>
      </c>
      <c r="DI68" s="10">
        <v>240</v>
      </c>
      <c r="DJ68" s="58">
        <v>45727.054166666669</v>
      </c>
    </row>
    <row r="69" spans="2:114" x14ac:dyDescent="0.25">
      <c r="B69" s="1">
        <v>10152</v>
      </c>
      <c r="C69" s="12">
        <v>45728</v>
      </c>
      <c r="D69" s="2">
        <v>0.60833333333333328</v>
      </c>
      <c r="E69" s="2">
        <v>0.84513888888888877</v>
      </c>
      <c r="F69" s="61">
        <v>12.14</v>
      </c>
      <c r="G69" s="10">
        <v>17</v>
      </c>
      <c r="H69" s="61">
        <v>2.86</v>
      </c>
      <c r="I69" s="52">
        <v>79.7</v>
      </c>
      <c r="J69" s="10">
        <v>10</v>
      </c>
      <c r="L69" s="10">
        <v>6</v>
      </c>
      <c r="N69" s="10">
        <v>61</v>
      </c>
      <c r="O69" s="10">
        <v>25</v>
      </c>
      <c r="P69" s="10">
        <v>46.6</v>
      </c>
      <c r="Q69" s="61">
        <v>2.37</v>
      </c>
      <c r="R69" s="52">
        <v>46.3</v>
      </c>
      <c r="S69" s="10">
        <v>10</v>
      </c>
      <c r="T69" s="52">
        <v>65.099999999999994</v>
      </c>
      <c r="U69" s="10">
        <v>0</v>
      </c>
      <c r="V69" s="52">
        <v>65.5</v>
      </c>
      <c r="W69" s="10">
        <v>40</v>
      </c>
      <c r="Z69" s="52">
        <v>76</v>
      </c>
      <c r="AA69" s="10">
        <v>102</v>
      </c>
      <c r="AB69" s="10">
        <v>7</v>
      </c>
      <c r="AC69" s="52">
        <v>13.7</v>
      </c>
      <c r="AD69" s="3">
        <v>22.85</v>
      </c>
      <c r="AE69" s="3">
        <v>2.36</v>
      </c>
      <c r="AF69" s="3">
        <v>0.5</v>
      </c>
      <c r="AG69" s="10">
        <v>90</v>
      </c>
      <c r="AH69" s="10">
        <v>1</v>
      </c>
      <c r="AI69" s="10">
        <v>136</v>
      </c>
      <c r="AJ69" s="10">
        <v>260</v>
      </c>
      <c r="AK69" s="3">
        <v>16.23</v>
      </c>
      <c r="AL69" s="61">
        <v>84.47</v>
      </c>
      <c r="AM69" s="61">
        <v>52.31</v>
      </c>
      <c r="AO69" s="10">
        <v>83</v>
      </c>
      <c r="AP69" s="10">
        <v>123</v>
      </c>
      <c r="AQ69" s="52">
        <v>80.099999999999994</v>
      </c>
      <c r="BG69" s="10">
        <v>180</v>
      </c>
      <c r="BJ69" s="10">
        <v>267</v>
      </c>
      <c r="BK69" s="52">
        <v>100.7</v>
      </c>
      <c r="BM69" s="10">
        <v>30</v>
      </c>
      <c r="BN69" s="10">
        <v>45</v>
      </c>
      <c r="BO69" s="10">
        <v>75</v>
      </c>
      <c r="BS69" s="10">
        <v>5</v>
      </c>
      <c r="BT69" s="10">
        <v>10</v>
      </c>
      <c r="BV69" s="61">
        <v>7.87</v>
      </c>
      <c r="BW69" s="61">
        <v>0.13</v>
      </c>
      <c r="BZ69" s="61">
        <v>9.5500000000000007</v>
      </c>
      <c r="CA69" s="10">
        <v>0</v>
      </c>
      <c r="CB69" s="52">
        <v>101</v>
      </c>
      <c r="CG69" s="10">
        <v>2203</v>
      </c>
      <c r="CI69" s="10">
        <v>10</v>
      </c>
      <c r="CJ69" s="10">
        <v>10</v>
      </c>
      <c r="CK69" s="3">
        <v>0</v>
      </c>
      <c r="CM69" s="3">
        <v>0.5</v>
      </c>
      <c r="CN69" s="10">
        <v>52</v>
      </c>
      <c r="CO69" s="52">
        <v>10.5</v>
      </c>
      <c r="CP69" s="52">
        <v>3.5</v>
      </c>
      <c r="CQ69" s="3">
        <v>15.15</v>
      </c>
      <c r="CS69" s="10">
        <v>231</v>
      </c>
      <c r="CT69" s="10">
        <v>215</v>
      </c>
      <c r="CU69" s="59">
        <v>4</v>
      </c>
      <c r="CV69" s="10">
        <v>341</v>
      </c>
      <c r="CW69" s="10">
        <v>16</v>
      </c>
      <c r="CX69" s="60">
        <v>56.34</v>
      </c>
      <c r="CY69" s="3">
        <v>18.25</v>
      </c>
      <c r="CZ69" s="3">
        <v>5.48</v>
      </c>
      <c r="DC69" s="24">
        <v>45727.012499999997</v>
      </c>
      <c r="DD69" s="24">
        <v>45727.059027777781</v>
      </c>
      <c r="DF69" s="10">
        <v>267</v>
      </c>
      <c r="DG69" s="24">
        <v>45727.111111111109</v>
      </c>
      <c r="DI69" s="10">
        <v>242</v>
      </c>
      <c r="DJ69" s="58">
        <v>45727.160416666666</v>
      </c>
    </row>
    <row r="70" spans="2:114" x14ac:dyDescent="0.25">
      <c r="B70" s="1">
        <v>10153</v>
      </c>
      <c r="C70" s="12">
        <v>45728</v>
      </c>
      <c r="D70" s="2">
        <v>0.70833333333333337</v>
      </c>
      <c r="E70" s="2">
        <v>0.94444444444444442</v>
      </c>
      <c r="F70" s="61">
        <v>12.06</v>
      </c>
      <c r="G70" s="10">
        <v>18</v>
      </c>
      <c r="H70" s="61">
        <v>2.86</v>
      </c>
      <c r="I70" s="52">
        <v>79.5</v>
      </c>
      <c r="J70" s="10">
        <v>10</v>
      </c>
      <c r="L70" s="10">
        <v>8</v>
      </c>
      <c r="N70" s="10">
        <v>62</v>
      </c>
      <c r="O70" s="10">
        <v>25</v>
      </c>
      <c r="P70" s="10">
        <v>46.6</v>
      </c>
      <c r="Q70" s="61">
        <v>2.4300000000000002</v>
      </c>
      <c r="R70" s="52">
        <v>46.2</v>
      </c>
      <c r="S70" s="10">
        <v>10</v>
      </c>
      <c r="T70" s="52">
        <v>65.3</v>
      </c>
      <c r="U70" s="10">
        <v>0</v>
      </c>
      <c r="V70" s="52">
        <v>65.5</v>
      </c>
      <c r="W70" s="10">
        <v>40</v>
      </c>
      <c r="Z70" s="52">
        <v>76</v>
      </c>
      <c r="AA70" s="10">
        <v>101</v>
      </c>
      <c r="AB70" s="10">
        <v>8</v>
      </c>
      <c r="AC70" s="52">
        <v>13.5</v>
      </c>
      <c r="AD70" s="3">
        <v>22.15</v>
      </c>
      <c r="AE70" s="3">
        <v>2.25</v>
      </c>
      <c r="AF70" s="3">
        <v>0.82</v>
      </c>
      <c r="AG70" s="10">
        <v>90</v>
      </c>
      <c r="AH70" s="10">
        <v>0</v>
      </c>
      <c r="AI70" s="10">
        <v>136</v>
      </c>
      <c r="AJ70" s="10">
        <v>258</v>
      </c>
      <c r="AK70" s="3">
        <v>16.23</v>
      </c>
      <c r="AL70" s="61">
        <v>82.93</v>
      </c>
      <c r="AM70" s="61">
        <v>52.71</v>
      </c>
      <c r="AO70" s="10">
        <v>75</v>
      </c>
      <c r="AP70" s="10">
        <v>116</v>
      </c>
      <c r="AQ70" s="52">
        <v>80.099999999999994</v>
      </c>
      <c r="BG70" s="10">
        <v>180</v>
      </c>
      <c r="BJ70" s="10">
        <v>266</v>
      </c>
      <c r="BK70" s="52">
        <v>100.7</v>
      </c>
      <c r="BM70" s="10">
        <v>30</v>
      </c>
      <c r="BN70" s="10">
        <v>45</v>
      </c>
      <c r="BO70" s="10">
        <v>75</v>
      </c>
      <c r="BS70" s="10">
        <v>5</v>
      </c>
      <c r="BT70" s="10">
        <v>10</v>
      </c>
      <c r="BV70" s="61">
        <v>7.89</v>
      </c>
      <c r="BW70" s="61">
        <v>0.11</v>
      </c>
      <c r="BZ70" s="61">
        <v>9.59</v>
      </c>
      <c r="CA70" s="10">
        <v>0</v>
      </c>
      <c r="CB70" s="52">
        <v>101</v>
      </c>
      <c r="CG70" s="10">
        <v>2014</v>
      </c>
      <c r="CI70" s="10">
        <v>10</v>
      </c>
      <c r="CJ70" s="10">
        <v>10</v>
      </c>
      <c r="CK70" s="3">
        <v>0</v>
      </c>
      <c r="CM70" s="3">
        <v>0.5</v>
      </c>
      <c r="CN70" s="10">
        <v>51</v>
      </c>
      <c r="CO70" s="52">
        <v>10.5</v>
      </c>
      <c r="CP70" s="52">
        <v>3.6</v>
      </c>
      <c r="CQ70" s="3">
        <v>15.65</v>
      </c>
      <c r="CS70" s="10">
        <v>230</v>
      </c>
      <c r="CT70" s="10">
        <v>213</v>
      </c>
      <c r="CU70" s="59">
        <v>2</v>
      </c>
      <c r="CV70" s="10">
        <v>340</v>
      </c>
      <c r="CW70" s="10">
        <v>17</v>
      </c>
      <c r="CX70" s="60">
        <v>33.39</v>
      </c>
      <c r="CY70" s="3">
        <v>18.22</v>
      </c>
      <c r="CZ70" s="3">
        <v>5.49</v>
      </c>
      <c r="DC70" s="24">
        <v>45728.695833333331</v>
      </c>
      <c r="DD70" s="24">
        <v>45728.743055555555</v>
      </c>
      <c r="DF70" s="10">
        <v>267</v>
      </c>
      <c r="DG70" s="24">
        <v>45728.795138888891</v>
      </c>
      <c r="DI70" s="10">
        <v>246</v>
      </c>
      <c r="DJ70" s="58">
        <v>45728.845138888886</v>
      </c>
    </row>
    <row r="71" spans="2:114" x14ac:dyDescent="0.25">
      <c r="B71" s="1">
        <v>10154</v>
      </c>
      <c r="C71" s="12">
        <v>45728</v>
      </c>
      <c r="D71" s="2">
        <v>0.80902777777777779</v>
      </c>
      <c r="E71" s="2">
        <v>5.5555555555555552E-2</v>
      </c>
      <c r="F71" s="61">
        <v>12.76</v>
      </c>
      <c r="G71" s="10">
        <v>16</v>
      </c>
      <c r="H71" s="61">
        <v>2.88</v>
      </c>
      <c r="I71" s="52">
        <v>79.5</v>
      </c>
      <c r="J71" s="10">
        <v>10</v>
      </c>
      <c r="L71" s="10">
        <v>8</v>
      </c>
      <c r="N71" s="10">
        <v>58</v>
      </c>
      <c r="O71" s="10">
        <v>26</v>
      </c>
      <c r="P71" s="10">
        <v>46.6</v>
      </c>
      <c r="Q71" s="61">
        <v>2.4500000000000002</v>
      </c>
      <c r="R71" s="52">
        <v>46.7</v>
      </c>
      <c r="S71" s="10">
        <v>10</v>
      </c>
      <c r="T71" s="52">
        <v>63.5</v>
      </c>
      <c r="U71" s="10">
        <v>7</v>
      </c>
      <c r="V71" s="52">
        <v>65.3</v>
      </c>
      <c r="W71" s="10">
        <v>40</v>
      </c>
      <c r="Z71" s="52">
        <v>76.099999999999994</v>
      </c>
      <c r="AA71" s="10">
        <v>108</v>
      </c>
      <c r="AB71" s="10">
        <v>7</v>
      </c>
      <c r="AC71" s="52">
        <v>12.6</v>
      </c>
      <c r="AD71" s="3">
        <v>21.98</v>
      </c>
      <c r="AE71" s="3">
        <v>2.5499999999999998</v>
      </c>
      <c r="AF71" s="3">
        <v>0.76</v>
      </c>
      <c r="AG71" s="10">
        <v>90</v>
      </c>
      <c r="AH71" s="10">
        <v>1</v>
      </c>
      <c r="AI71" s="10">
        <v>136</v>
      </c>
      <c r="AJ71" s="10">
        <v>259</v>
      </c>
      <c r="AK71" s="3">
        <v>16.23</v>
      </c>
      <c r="AL71" s="61">
        <v>82.42</v>
      </c>
      <c r="AM71" s="61">
        <v>52.51</v>
      </c>
      <c r="AO71" s="10">
        <v>82</v>
      </c>
      <c r="AP71" s="10">
        <v>122</v>
      </c>
      <c r="AQ71" s="52">
        <v>80.099999999999994</v>
      </c>
      <c r="BG71" s="10">
        <v>180</v>
      </c>
      <c r="BJ71" s="10">
        <v>266</v>
      </c>
      <c r="BK71" s="52">
        <v>100.7</v>
      </c>
      <c r="BM71" s="10">
        <v>30</v>
      </c>
      <c r="BN71" s="10">
        <v>45</v>
      </c>
      <c r="BO71" s="10">
        <v>75</v>
      </c>
      <c r="BS71" s="10">
        <v>5</v>
      </c>
      <c r="BT71" s="10">
        <v>10</v>
      </c>
      <c r="BV71" s="61">
        <v>9.77</v>
      </c>
      <c r="BW71" s="61">
        <v>1.77</v>
      </c>
      <c r="BZ71" s="61">
        <v>10.71</v>
      </c>
      <c r="CA71" s="10">
        <v>0</v>
      </c>
      <c r="CB71" s="52">
        <v>101</v>
      </c>
      <c r="CG71" s="10">
        <v>2322</v>
      </c>
      <c r="CI71" s="10">
        <v>10</v>
      </c>
      <c r="CJ71" s="10">
        <v>10</v>
      </c>
      <c r="CK71" s="3">
        <v>0</v>
      </c>
      <c r="CM71" s="3">
        <v>0.51</v>
      </c>
      <c r="CN71" s="10">
        <v>58</v>
      </c>
      <c r="CO71" s="52">
        <v>10.6</v>
      </c>
      <c r="CP71" s="52">
        <v>3.4</v>
      </c>
      <c r="CQ71" s="3">
        <v>14.98</v>
      </c>
      <c r="CS71" s="10">
        <v>227</v>
      </c>
      <c r="CT71" s="10">
        <v>224</v>
      </c>
      <c r="CU71" s="59">
        <v>13</v>
      </c>
      <c r="CV71" s="10">
        <v>355</v>
      </c>
      <c r="CW71" s="10">
        <v>2</v>
      </c>
      <c r="CX71" s="60">
        <v>310.3</v>
      </c>
      <c r="CY71" s="3">
        <v>18.11</v>
      </c>
      <c r="CZ71" s="3">
        <v>5.5</v>
      </c>
      <c r="DC71" s="24">
        <v>45728.796527777777</v>
      </c>
      <c r="DD71" s="24">
        <v>45728.843055555553</v>
      </c>
      <c r="DF71" s="10">
        <v>266</v>
      </c>
      <c r="DG71" s="24">
        <v>45728.895138888889</v>
      </c>
      <c r="DI71" s="10">
        <v>245</v>
      </c>
      <c r="DJ71" s="58">
        <v>45728.944444444445</v>
      </c>
    </row>
    <row r="72" spans="2:114" x14ac:dyDescent="0.25">
      <c r="B72" s="1">
        <v>10155</v>
      </c>
      <c r="C72" s="12">
        <v>45728</v>
      </c>
      <c r="D72" s="2">
        <v>0.92013888888888884</v>
      </c>
      <c r="E72" s="2">
        <v>0.25625000000000003</v>
      </c>
      <c r="F72" s="61">
        <v>13.24</v>
      </c>
      <c r="G72" s="10">
        <v>17</v>
      </c>
      <c r="H72" s="61">
        <v>2.85</v>
      </c>
      <c r="I72" s="52">
        <v>79.7</v>
      </c>
      <c r="J72" s="10">
        <v>10</v>
      </c>
      <c r="L72" s="10">
        <v>4</v>
      </c>
      <c r="N72" s="10">
        <v>59</v>
      </c>
      <c r="O72" s="10">
        <v>25</v>
      </c>
      <c r="P72" s="10">
        <v>46.6</v>
      </c>
      <c r="Q72" s="61">
        <v>2.35</v>
      </c>
      <c r="R72" s="52">
        <v>46.6</v>
      </c>
      <c r="S72" s="10">
        <v>10</v>
      </c>
      <c r="T72" s="52">
        <v>64.5</v>
      </c>
      <c r="U72" s="10">
        <v>0</v>
      </c>
      <c r="V72" s="52">
        <v>65.400000000000006</v>
      </c>
      <c r="W72" s="10">
        <v>40</v>
      </c>
      <c r="Z72" s="52">
        <v>76.400000000000006</v>
      </c>
      <c r="AA72" s="10">
        <v>101</v>
      </c>
      <c r="AB72" s="10">
        <v>7</v>
      </c>
      <c r="AC72" s="52">
        <v>12.3</v>
      </c>
      <c r="AD72" s="3">
        <v>22.29</v>
      </c>
      <c r="AE72" s="3">
        <v>2.1</v>
      </c>
      <c r="AF72" s="3">
        <v>1.41</v>
      </c>
      <c r="AG72" s="10">
        <v>16</v>
      </c>
      <c r="AH72" s="10">
        <v>1</v>
      </c>
      <c r="AI72" s="10">
        <v>136</v>
      </c>
      <c r="AJ72" s="10">
        <v>259</v>
      </c>
      <c r="AK72" s="3">
        <v>16.23</v>
      </c>
      <c r="AL72" s="61">
        <v>84.47</v>
      </c>
      <c r="AM72" s="61">
        <v>52.51</v>
      </c>
      <c r="AO72" s="10">
        <v>91</v>
      </c>
      <c r="AP72" s="10">
        <v>112</v>
      </c>
      <c r="AQ72" s="52">
        <v>80.099999999999994</v>
      </c>
      <c r="BG72" s="10">
        <v>180</v>
      </c>
      <c r="BJ72" s="10">
        <v>266</v>
      </c>
      <c r="BK72" s="52">
        <v>100.7</v>
      </c>
      <c r="BM72" s="10">
        <v>30</v>
      </c>
      <c r="BN72" s="10">
        <v>45</v>
      </c>
      <c r="BO72" s="10">
        <v>75</v>
      </c>
      <c r="BS72" s="10">
        <v>5</v>
      </c>
      <c r="BT72" s="10">
        <v>10</v>
      </c>
      <c r="BV72" s="61">
        <v>9.02</v>
      </c>
      <c r="BW72" s="61">
        <v>1.02</v>
      </c>
      <c r="BZ72" s="61">
        <v>10.71</v>
      </c>
      <c r="CA72" s="10">
        <v>0</v>
      </c>
      <c r="CB72" s="52">
        <v>101</v>
      </c>
      <c r="CG72" s="10">
        <v>2250</v>
      </c>
      <c r="CI72" s="10">
        <v>10</v>
      </c>
      <c r="CJ72" s="10">
        <v>10</v>
      </c>
      <c r="CK72" s="3">
        <v>0</v>
      </c>
      <c r="CM72" s="3">
        <v>0.51</v>
      </c>
      <c r="CN72" s="10">
        <v>51</v>
      </c>
      <c r="CO72" s="52">
        <v>10.6</v>
      </c>
      <c r="CQ72" s="3">
        <v>0</v>
      </c>
      <c r="CS72" s="10">
        <v>227</v>
      </c>
      <c r="CT72" s="10">
        <v>359</v>
      </c>
      <c r="CU72" s="59">
        <v>148</v>
      </c>
      <c r="CV72" s="10">
        <v>484</v>
      </c>
      <c r="CW72" s="10">
        <v>127</v>
      </c>
      <c r="CX72" s="60">
        <v>1585.12</v>
      </c>
      <c r="CY72" s="3">
        <v>18.21</v>
      </c>
      <c r="CZ72" s="3">
        <v>5.52</v>
      </c>
      <c r="DC72" s="24">
        <v>45728.9</v>
      </c>
      <c r="DD72" s="24">
        <v>45728.949305555558</v>
      </c>
      <c r="DF72" s="10">
        <v>266</v>
      </c>
      <c r="DG72" s="24">
        <v>45729.001388888886</v>
      </c>
      <c r="DI72" s="10">
        <v>240</v>
      </c>
      <c r="DJ72" s="58">
        <v>45729.055555555555</v>
      </c>
    </row>
    <row r="73" spans="2:114" x14ac:dyDescent="0.25">
      <c r="B73" s="1">
        <v>10156</v>
      </c>
      <c r="C73" s="12">
        <v>45729</v>
      </c>
      <c r="D73" s="2">
        <v>0.13819444444444443</v>
      </c>
      <c r="E73" s="2">
        <v>0.37708333333333327</v>
      </c>
      <c r="F73" s="61">
        <v>13.26</v>
      </c>
      <c r="G73" s="10">
        <v>17</v>
      </c>
      <c r="H73" s="61">
        <v>2.82</v>
      </c>
      <c r="I73" s="52">
        <v>79.7</v>
      </c>
      <c r="J73" s="10">
        <v>10</v>
      </c>
      <c r="L73" s="10">
        <v>4</v>
      </c>
      <c r="N73" s="10">
        <v>59</v>
      </c>
      <c r="O73" s="10">
        <v>25</v>
      </c>
      <c r="P73" s="10">
        <v>46.6</v>
      </c>
      <c r="Q73" s="61">
        <v>2.36</v>
      </c>
      <c r="R73" s="52">
        <v>46</v>
      </c>
      <c r="S73" s="10">
        <v>10</v>
      </c>
      <c r="T73" s="52">
        <v>63.9</v>
      </c>
      <c r="U73" s="10">
        <v>7</v>
      </c>
      <c r="V73" s="52">
        <v>65.099999999999994</v>
      </c>
      <c r="W73" s="10">
        <v>40</v>
      </c>
      <c r="Z73" s="52">
        <v>76.3</v>
      </c>
      <c r="AA73" s="10">
        <v>99</v>
      </c>
      <c r="AB73" s="10">
        <v>7</v>
      </c>
      <c r="AC73" s="52">
        <v>11.5</v>
      </c>
      <c r="AD73" s="3">
        <v>22.06</v>
      </c>
      <c r="AE73" s="3">
        <v>2.25</v>
      </c>
      <c r="AF73" s="3">
        <v>0.4</v>
      </c>
      <c r="AG73" s="10">
        <v>90</v>
      </c>
      <c r="AH73" s="10">
        <v>1</v>
      </c>
      <c r="AI73" s="10">
        <v>136</v>
      </c>
      <c r="AJ73" s="10">
        <v>260</v>
      </c>
      <c r="AK73" s="3">
        <v>16.23</v>
      </c>
      <c r="AL73" s="61">
        <v>84.47</v>
      </c>
      <c r="AM73" s="61">
        <v>52.31</v>
      </c>
      <c r="AO73" s="10">
        <v>85</v>
      </c>
      <c r="AP73" s="10">
        <v>125</v>
      </c>
      <c r="AQ73" s="52">
        <v>80.099999999999994</v>
      </c>
      <c r="BG73" s="10">
        <v>180</v>
      </c>
      <c r="BJ73" s="10">
        <v>268</v>
      </c>
      <c r="BK73" s="52">
        <v>100.7</v>
      </c>
      <c r="BM73" s="10">
        <v>30</v>
      </c>
      <c r="BN73" s="10">
        <v>45</v>
      </c>
      <c r="BO73" s="10">
        <v>75</v>
      </c>
      <c r="BS73" s="10">
        <v>5</v>
      </c>
      <c r="BT73" s="10">
        <v>10</v>
      </c>
      <c r="BV73" s="61">
        <v>8.58</v>
      </c>
      <c r="BW73" s="61">
        <v>0.57999999999999996</v>
      </c>
      <c r="BZ73" s="61">
        <v>10.26</v>
      </c>
      <c r="CA73" s="10">
        <v>0</v>
      </c>
      <c r="CB73" s="52">
        <v>101</v>
      </c>
      <c r="CG73" s="10">
        <v>2097</v>
      </c>
      <c r="CI73" s="10">
        <v>10</v>
      </c>
      <c r="CJ73" s="10">
        <v>10</v>
      </c>
      <c r="CK73" s="3">
        <v>0</v>
      </c>
      <c r="CM73" s="3">
        <v>0.5</v>
      </c>
      <c r="CN73" s="10">
        <v>51</v>
      </c>
      <c r="CO73" s="52">
        <v>10.6</v>
      </c>
      <c r="CP73" s="52">
        <v>3.4</v>
      </c>
      <c r="CQ73" s="3">
        <v>14.78</v>
      </c>
      <c r="CS73" s="10">
        <v>230</v>
      </c>
      <c r="CT73" s="10">
        <v>221</v>
      </c>
      <c r="CU73" s="59">
        <v>10</v>
      </c>
      <c r="CV73" s="10">
        <v>344</v>
      </c>
      <c r="CW73" s="10">
        <v>13</v>
      </c>
      <c r="CX73" s="60">
        <v>161.07</v>
      </c>
      <c r="CY73" s="3">
        <v>17.899999999999999</v>
      </c>
      <c r="CZ73" s="3">
        <v>5.52</v>
      </c>
      <c r="DC73" s="24">
        <v>45729.006944444445</v>
      </c>
      <c r="DD73" s="24">
        <v>45729.154861111114</v>
      </c>
      <c r="DF73" s="10">
        <v>266</v>
      </c>
      <c r="DG73" s="24">
        <v>45729.206944444442</v>
      </c>
      <c r="DI73" s="10">
        <v>242</v>
      </c>
      <c r="DJ73" s="58">
        <v>45729.256249999999</v>
      </c>
    </row>
    <row r="74" spans="2:114" x14ac:dyDescent="0.25">
      <c r="B74" s="1">
        <v>10157</v>
      </c>
      <c r="C74" s="12">
        <v>45729</v>
      </c>
      <c r="D74" s="2">
        <v>0.23958333333333334</v>
      </c>
      <c r="E74" s="2">
        <v>0.4902777777777777</v>
      </c>
      <c r="F74" s="61">
        <v>13.22</v>
      </c>
      <c r="G74" s="10">
        <v>8</v>
      </c>
      <c r="H74" s="61">
        <v>2.79</v>
      </c>
      <c r="I74" s="52">
        <v>79.8</v>
      </c>
      <c r="J74" s="10">
        <v>10</v>
      </c>
      <c r="L74" s="10">
        <v>13</v>
      </c>
      <c r="N74" s="10">
        <v>57</v>
      </c>
      <c r="O74" s="10">
        <v>33</v>
      </c>
      <c r="P74" s="10">
        <v>46.6</v>
      </c>
      <c r="Q74" s="61">
        <v>2.36</v>
      </c>
      <c r="R74" s="52">
        <v>46.5</v>
      </c>
      <c r="S74" s="10">
        <v>10</v>
      </c>
      <c r="T74" s="52">
        <v>64</v>
      </c>
      <c r="U74" s="10">
        <v>0</v>
      </c>
      <c r="V74" s="52">
        <v>65.3</v>
      </c>
      <c r="W74" s="10">
        <v>40</v>
      </c>
      <c r="Z74" s="52">
        <v>76</v>
      </c>
      <c r="AA74" s="10">
        <v>129</v>
      </c>
      <c r="AB74" s="10">
        <v>8</v>
      </c>
      <c r="AC74" s="52">
        <v>9</v>
      </c>
      <c r="AD74" s="3">
        <v>22.15</v>
      </c>
      <c r="AE74" s="3">
        <v>2.5299999999999998</v>
      </c>
      <c r="AF74" s="3">
        <v>0.4</v>
      </c>
      <c r="AG74" s="10">
        <v>90</v>
      </c>
      <c r="AH74" s="10">
        <v>1</v>
      </c>
      <c r="AI74" s="10">
        <v>136</v>
      </c>
      <c r="AJ74" s="10">
        <v>260</v>
      </c>
      <c r="AK74" s="3">
        <v>16.23</v>
      </c>
      <c r="AL74" s="61">
        <v>84.47</v>
      </c>
      <c r="AM74" s="61">
        <v>52.31</v>
      </c>
      <c r="AO74" s="10">
        <v>84</v>
      </c>
      <c r="AP74" s="10">
        <v>126</v>
      </c>
      <c r="AQ74" s="52">
        <v>80.099999999999994</v>
      </c>
      <c r="BG74" s="10">
        <v>180</v>
      </c>
      <c r="BJ74" s="10">
        <v>268</v>
      </c>
      <c r="BK74" s="52">
        <v>100.7</v>
      </c>
      <c r="BM74" s="10">
        <v>30</v>
      </c>
      <c r="BN74" s="10">
        <v>45</v>
      </c>
      <c r="BO74" s="10">
        <v>75</v>
      </c>
      <c r="BS74" s="10">
        <v>5</v>
      </c>
      <c r="BT74" s="10">
        <v>10</v>
      </c>
      <c r="BV74" s="61">
        <v>9.33</v>
      </c>
      <c r="BW74" s="61">
        <v>1.33</v>
      </c>
      <c r="BZ74" s="61">
        <v>10.63</v>
      </c>
      <c r="CA74" s="10">
        <v>0</v>
      </c>
      <c r="CB74" s="52">
        <v>101</v>
      </c>
      <c r="CG74" s="10">
        <v>2122</v>
      </c>
      <c r="CI74" s="10">
        <v>10</v>
      </c>
      <c r="CJ74" s="10">
        <v>10</v>
      </c>
      <c r="CK74" s="3">
        <v>0</v>
      </c>
      <c r="CM74" s="3">
        <v>0.5</v>
      </c>
      <c r="CN74" s="10">
        <v>51</v>
      </c>
      <c r="CQ74" s="3">
        <v>0</v>
      </c>
      <c r="CS74" s="10">
        <v>229</v>
      </c>
      <c r="CT74" s="10">
        <v>216</v>
      </c>
      <c r="CU74" s="59">
        <v>5</v>
      </c>
      <c r="CV74" s="10">
        <v>361</v>
      </c>
      <c r="CW74" s="10">
        <v>4</v>
      </c>
      <c r="CX74" s="60">
        <v>185.7</v>
      </c>
      <c r="CY74" s="3">
        <v>18.2</v>
      </c>
      <c r="CZ74" s="3">
        <v>5.52</v>
      </c>
      <c r="DC74" s="24">
        <v>45729.223611111112</v>
      </c>
      <c r="DD74" s="24">
        <v>45729.275694444441</v>
      </c>
      <c r="DF74" s="10">
        <v>268</v>
      </c>
      <c r="DG74" s="24">
        <v>45729.327777777777</v>
      </c>
      <c r="DI74" s="10">
        <v>245</v>
      </c>
      <c r="DJ74" s="58">
        <v>45729.377083333333</v>
      </c>
    </row>
    <row r="75" spans="2:114" x14ac:dyDescent="0.25">
      <c r="B75" s="1">
        <v>10158</v>
      </c>
      <c r="C75" s="12">
        <v>45729</v>
      </c>
      <c r="D75" s="2">
        <v>0.38541666666666669</v>
      </c>
      <c r="E75" s="2">
        <v>0.62916666666666665</v>
      </c>
      <c r="F75" s="61">
        <v>13.33</v>
      </c>
      <c r="G75" s="10">
        <v>18</v>
      </c>
      <c r="H75" s="61">
        <v>2.81</v>
      </c>
      <c r="I75" s="52">
        <v>79.8</v>
      </c>
      <c r="J75" s="10">
        <v>10</v>
      </c>
      <c r="L75" s="10">
        <v>6</v>
      </c>
      <c r="N75" s="10">
        <v>61</v>
      </c>
      <c r="O75" s="10">
        <v>27</v>
      </c>
      <c r="P75" s="10">
        <v>46.6</v>
      </c>
      <c r="Q75" s="61">
        <v>2.4500000000000002</v>
      </c>
      <c r="R75" s="52">
        <v>46.2</v>
      </c>
      <c r="S75" s="10">
        <v>10</v>
      </c>
      <c r="T75" s="52">
        <v>63.8</v>
      </c>
      <c r="U75" s="10">
        <v>4</v>
      </c>
      <c r="V75" s="52">
        <v>65.099999999999994</v>
      </c>
      <c r="W75" s="10">
        <v>40</v>
      </c>
      <c r="Z75" s="52">
        <v>76</v>
      </c>
      <c r="AA75" s="10">
        <v>104</v>
      </c>
      <c r="AB75" s="10">
        <v>8</v>
      </c>
      <c r="AC75" s="52">
        <v>10</v>
      </c>
      <c r="AD75" s="3">
        <v>22.2</v>
      </c>
      <c r="AE75" s="3">
        <v>4</v>
      </c>
      <c r="AG75" s="10">
        <v>0</v>
      </c>
      <c r="AH75" s="10">
        <v>1</v>
      </c>
      <c r="AI75" s="10">
        <v>240</v>
      </c>
      <c r="AJ75" s="10">
        <v>260</v>
      </c>
      <c r="AK75" s="3">
        <v>16.23</v>
      </c>
      <c r="AL75" s="61">
        <v>143.71</v>
      </c>
      <c r="AM75" s="61">
        <v>92.31</v>
      </c>
      <c r="AO75" s="10">
        <v>84</v>
      </c>
      <c r="AP75" s="10">
        <v>102</v>
      </c>
      <c r="AQ75" s="52">
        <v>80.099999999999994</v>
      </c>
      <c r="BG75" s="10">
        <v>180</v>
      </c>
      <c r="BJ75" s="10">
        <v>267</v>
      </c>
      <c r="BK75" s="52">
        <v>100.7</v>
      </c>
      <c r="BM75" s="10">
        <v>30</v>
      </c>
      <c r="BN75" s="10">
        <v>45</v>
      </c>
      <c r="BO75" s="10">
        <v>75</v>
      </c>
      <c r="BS75" s="10">
        <v>5</v>
      </c>
      <c r="BT75" s="10">
        <v>10</v>
      </c>
      <c r="BV75" s="61">
        <v>8.24</v>
      </c>
      <c r="BW75" s="61">
        <v>0.24</v>
      </c>
      <c r="BZ75" s="61">
        <v>9.18</v>
      </c>
      <c r="CA75" s="10">
        <v>0</v>
      </c>
      <c r="CB75" s="52">
        <v>101</v>
      </c>
      <c r="CG75" s="10">
        <v>1895</v>
      </c>
      <c r="CI75" s="10">
        <v>10</v>
      </c>
      <c r="CJ75" s="10">
        <v>10</v>
      </c>
      <c r="CK75" s="3">
        <v>0</v>
      </c>
      <c r="CM75" s="3">
        <v>0.69</v>
      </c>
      <c r="CN75" s="10">
        <v>52</v>
      </c>
      <c r="CP75" s="52">
        <v>3.1</v>
      </c>
      <c r="CQ75" s="3">
        <v>13.36</v>
      </c>
      <c r="CS75" s="10">
        <v>232</v>
      </c>
      <c r="CT75" s="10">
        <v>221</v>
      </c>
      <c r="CU75" s="59">
        <v>10</v>
      </c>
      <c r="CV75" s="10">
        <v>351</v>
      </c>
      <c r="CW75" s="10">
        <v>6</v>
      </c>
      <c r="CX75" s="60">
        <v>126.83</v>
      </c>
      <c r="CY75" s="3">
        <v>17.79</v>
      </c>
      <c r="CZ75" s="3">
        <v>5.47</v>
      </c>
      <c r="DC75" s="24">
        <v>45729.340277777781</v>
      </c>
      <c r="DD75" s="24">
        <v>45729.388888888891</v>
      </c>
      <c r="DF75" s="10">
        <v>268</v>
      </c>
      <c r="DG75" s="24">
        <v>45729.440972222219</v>
      </c>
      <c r="DI75" s="10">
        <v>243</v>
      </c>
      <c r="DJ75" s="58">
        <v>45729.490277777775</v>
      </c>
    </row>
    <row r="76" spans="2:114" x14ac:dyDescent="0.25">
      <c r="B76" s="1">
        <v>10159</v>
      </c>
      <c r="C76" s="12">
        <v>45734</v>
      </c>
      <c r="D76" s="2">
        <v>0.72916666666666663</v>
      </c>
      <c r="E76" s="2">
        <v>0.98402777777777772</v>
      </c>
      <c r="F76" s="61">
        <v>13.07</v>
      </c>
      <c r="G76" s="10">
        <v>19</v>
      </c>
      <c r="H76" s="61">
        <v>2.78</v>
      </c>
      <c r="I76" s="52">
        <v>79.7</v>
      </c>
      <c r="J76" s="10">
        <v>10</v>
      </c>
      <c r="L76" s="10">
        <v>5</v>
      </c>
      <c r="N76" s="10">
        <v>63</v>
      </c>
      <c r="O76" s="10">
        <v>25</v>
      </c>
      <c r="P76" s="10">
        <v>46.6</v>
      </c>
      <c r="Q76" s="61">
        <v>2.3199999999999998</v>
      </c>
      <c r="R76" s="52">
        <v>46.1</v>
      </c>
      <c r="S76" s="10">
        <v>10</v>
      </c>
      <c r="T76" s="52">
        <v>63.7</v>
      </c>
      <c r="U76" s="10">
        <v>13</v>
      </c>
      <c r="V76" s="52">
        <v>65.5</v>
      </c>
      <c r="W76" s="10">
        <v>40</v>
      </c>
      <c r="Z76" s="52">
        <v>76</v>
      </c>
      <c r="AA76" s="10">
        <v>101</v>
      </c>
      <c r="AB76" s="10">
        <v>8</v>
      </c>
      <c r="AC76" s="52">
        <v>6.9</v>
      </c>
      <c r="AD76" s="3">
        <v>23.1</v>
      </c>
      <c r="AE76" s="3">
        <v>1.71</v>
      </c>
      <c r="AF76" s="3">
        <v>0.41</v>
      </c>
      <c r="AG76" s="10">
        <v>85</v>
      </c>
      <c r="AH76" s="10">
        <v>2</v>
      </c>
      <c r="AI76" s="10">
        <v>120</v>
      </c>
      <c r="AJ76" s="10">
        <v>259</v>
      </c>
      <c r="AK76" s="3">
        <v>16.23</v>
      </c>
      <c r="AL76" s="61">
        <v>74.53</v>
      </c>
      <c r="AM76" s="61">
        <v>46.33</v>
      </c>
      <c r="AO76" s="10">
        <v>87</v>
      </c>
      <c r="AP76" s="10">
        <v>128</v>
      </c>
      <c r="AQ76" s="52">
        <v>79.900000000000006</v>
      </c>
      <c r="BG76" s="10">
        <v>181</v>
      </c>
      <c r="BJ76" s="10">
        <v>260</v>
      </c>
      <c r="BK76" s="52">
        <v>100.7</v>
      </c>
      <c r="BM76" s="10">
        <v>30</v>
      </c>
      <c r="BN76" s="10">
        <v>45</v>
      </c>
      <c r="BO76" s="10">
        <v>75</v>
      </c>
      <c r="BS76" s="10">
        <v>5</v>
      </c>
      <c r="BT76" s="10">
        <v>10</v>
      </c>
      <c r="BV76" s="61">
        <v>5.77</v>
      </c>
      <c r="BW76" s="61">
        <v>2.23</v>
      </c>
      <c r="BZ76" s="61">
        <v>7.88</v>
      </c>
      <c r="CA76" s="10">
        <v>0</v>
      </c>
      <c r="CB76" s="52">
        <v>101</v>
      </c>
      <c r="CG76" s="10">
        <v>1928</v>
      </c>
      <c r="CI76" s="10">
        <v>10</v>
      </c>
      <c r="CJ76" s="10">
        <v>10</v>
      </c>
      <c r="CK76" s="3">
        <v>0</v>
      </c>
      <c r="CM76" s="3">
        <v>0.66</v>
      </c>
      <c r="CN76" s="10">
        <v>51</v>
      </c>
      <c r="CO76" s="52">
        <v>10.6</v>
      </c>
      <c r="CP76" s="52">
        <v>3.9</v>
      </c>
      <c r="CQ76" s="3">
        <v>17.03</v>
      </c>
      <c r="CS76" s="10">
        <v>229</v>
      </c>
      <c r="CT76" s="10">
        <v>239</v>
      </c>
      <c r="CU76" s="59">
        <v>28</v>
      </c>
      <c r="CV76" s="10">
        <v>367</v>
      </c>
      <c r="CW76" s="10">
        <v>10</v>
      </c>
      <c r="CX76" s="60">
        <v>505.94</v>
      </c>
      <c r="CY76" s="3">
        <v>17.899999999999999</v>
      </c>
      <c r="CZ76" s="3">
        <v>5.5</v>
      </c>
      <c r="DC76" s="24">
        <v>45734.818055555559</v>
      </c>
      <c r="DD76" s="24">
        <v>45734.882638888892</v>
      </c>
      <c r="DF76" s="10">
        <v>260</v>
      </c>
      <c r="DG76" s="24">
        <v>45734.93472222222</v>
      </c>
      <c r="DI76" s="10">
        <v>245</v>
      </c>
      <c r="DJ76" s="58">
        <v>45734.984027777777</v>
      </c>
    </row>
    <row r="77" spans="2:114" x14ac:dyDescent="0.25">
      <c r="B77" s="1">
        <v>10160</v>
      </c>
      <c r="C77" s="12">
        <v>45734</v>
      </c>
      <c r="D77" s="2">
        <v>0.88611111111111107</v>
      </c>
      <c r="E77" s="2">
        <v>0.12986111111111109</v>
      </c>
      <c r="F77" s="61">
        <v>12.93</v>
      </c>
      <c r="G77" s="10">
        <v>17</v>
      </c>
      <c r="H77" s="61">
        <v>2.79</v>
      </c>
      <c r="I77" s="52">
        <v>79.7</v>
      </c>
      <c r="J77" s="10">
        <v>10</v>
      </c>
      <c r="L77" s="10">
        <v>5</v>
      </c>
      <c r="N77" s="10">
        <v>59</v>
      </c>
      <c r="O77" s="10">
        <v>27</v>
      </c>
      <c r="P77" s="10">
        <v>46.6</v>
      </c>
      <c r="Q77" s="61">
        <v>2.3199999999999998</v>
      </c>
      <c r="R77" s="52">
        <v>46.6</v>
      </c>
      <c r="S77" s="10">
        <v>10</v>
      </c>
      <c r="T77" s="52">
        <v>64</v>
      </c>
      <c r="U77" s="10">
        <v>0</v>
      </c>
      <c r="V77" s="52">
        <v>65.2</v>
      </c>
      <c r="W77" s="10">
        <v>40</v>
      </c>
      <c r="Z77" s="52">
        <v>76</v>
      </c>
      <c r="AA77" s="10">
        <v>102</v>
      </c>
      <c r="AB77" s="10">
        <v>8</v>
      </c>
      <c r="AC77" s="52">
        <v>10</v>
      </c>
      <c r="AD77" s="3">
        <v>22.46</v>
      </c>
      <c r="AE77" s="3">
        <v>2.4</v>
      </c>
      <c r="AF77" s="3">
        <v>0.45</v>
      </c>
      <c r="AG77" s="10">
        <v>90</v>
      </c>
      <c r="AH77" s="10">
        <v>1</v>
      </c>
      <c r="AI77" s="10">
        <v>136</v>
      </c>
      <c r="AJ77" s="10">
        <v>260</v>
      </c>
      <c r="AK77" s="3">
        <v>16.23</v>
      </c>
      <c r="AL77" s="61">
        <v>84.47</v>
      </c>
      <c r="AM77" s="61">
        <v>52.31</v>
      </c>
      <c r="AO77" s="10">
        <v>80</v>
      </c>
      <c r="AP77" s="10">
        <v>122</v>
      </c>
      <c r="AQ77" s="52">
        <v>80</v>
      </c>
      <c r="BG77" s="10">
        <v>186</v>
      </c>
      <c r="BJ77" s="10">
        <v>266</v>
      </c>
      <c r="BK77" s="52">
        <v>100.7</v>
      </c>
      <c r="BM77" s="10">
        <v>30</v>
      </c>
      <c r="BN77" s="10">
        <v>45</v>
      </c>
      <c r="BO77" s="10">
        <v>75</v>
      </c>
      <c r="BS77" s="10">
        <v>5</v>
      </c>
      <c r="BT77" s="10">
        <v>10</v>
      </c>
      <c r="BV77" s="61">
        <v>7.89</v>
      </c>
      <c r="BW77" s="61">
        <v>0.11</v>
      </c>
      <c r="BZ77" s="61">
        <v>10.34</v>
      </c>
      <c r="CA77" s="10">
        <v>0</v>
      </c>
      <c r="CB77" s="52">
        <v>101</v>
      </c>
      <c r="CG77" s="10">
        <v>2285</v>
      </c>
      <c r="CI77" s="10">
        <v>10</v>
      </c>
      <c r="CJ77" s="10">
        <v>10</v>
      </c>
      <c r="CK77" s="3">
        <v>0</v>
      </c>
      <c r="CM77" s="3">
        <v>0.67</v>
      </c>
      <c r="CN77" s="10">
        <v>51</v>
      </c>
      <c r="CO77" s="52">
        <v>10.6</v>
      </c>
      <c r="CP77" s="52">
        <v>3.9</v>
      </c>
      <c r="CQ77" s="3">
        <v>17.11</v>
      </c>
      <c r="CS77" s="10">
        <v>228</v>
      </c>
      <c r="CT77" s="10">
        <v>224</v>
      </c>
      <c r="CU77" s="59">
        <v>13</v>
      </c>
      <c r="CV77" s="10">
        <v>351</v>
      </c>
      <c r="CW77" s="10">
        <v>6</v>
      </c>
      <c r="CX77" s="60">
        <v>143.38999999999999</v>
      </c>
      <c r="CY77" s="3">
        <v>18.21</v>
      </c>
      <c r="CZ77" s="3">
        <v>5.52</v>
      </c>
      <c r="DC77" s="24">
        <v>45734.974305555559</v>
      </c>
      <c r="DD77" s="24">
        <v>45735.02847222222</v>
      </c>
      <c r="DF77" s="10">
        <v>266</v>
      </c>
      <c r="DG77" s="24">
        <v>45735.080555555556</v>
      </c>
      <c r="DI77" s="10">
        <v>245</v>
      </c>
      <c r="DJ77" s="58">
        <v>45735.129861111112</v>
      </c>
    </row>
    <row r="78" spans="2:114" x14ac:dyDescent="0.25">
      <c r="B78" s="1">
        <v>10161</v>
      </c>
      <c r="C78" s="12">
        <v>45734</v>
      </c>
      <c r="D78" s="2">
        <v>0.98611111111111116</v>
      </c>
      <c r="E78" s="2">
        <v>0.22638888888888892</v>
      </c>
      <c r="F78" s="61">
        <v>12.92</v>
      </c>
      <c r="G78" s="10">
        <v>18</v>
      </c>
      <c r="H78" s="61">
        <v>2.74</v>
      </c>
      <c r="I78" s="52">
        <v>79.599999999999994</v>
      </c>
      <c r="J78" s="10">
        <v>10</v>
      </c>
      <c r="L78" s="10">
        <v>3</v>
      </c>
      <c r="N78" s="10">
        <v>59</v>
      </c>
      <c r="O78" s="10">
        <v>24</v>
      </c>
      <c r="P78" s="10">
        <v>46.6</v>
      </c>
      <c r="Q78" s="61">
        <v>2.38</v>
      </c>
      <c r="R78" s="52">
        <v>46.3</v>
      </c>
      <c r="S78" s="10">
        <v>10</v>
      </c>
      <c r="T78" s="52">
        <v>64.099999999999994</v>
      </c>
      <c r="U78" s="10">
        <v>0</v>
      </c>
      <c r="V78" s="52">
        <v>65.2</v>
      </c>
      <c r="W78" s="10">
        <v>40</v>
      </c>
      <c r="Z78" s="52">
        <v>76</v>
      </c>
      <c r="AA78" s="10">
        <v>100</v>
      </c>
      <c r="AB78" s="10">
        <v>8</v>
      </c>
      <c r="AC78" s="52">
        <v>7</v>
      </c>
      <c r="AD78" s="3">
        <v>22.32</v>
      </c>
      <c r="AE78" s="3">
        <v>1.87</v>
      </c>
      <c r="AG78" s="10">
        <v>90</v>
      </c>
      <c r="AH78" s="10">
        <v>1</v>
      </c>
      <c r="AI78" s="10">
        <v>136</v>
      </c>
      <c r="AJ78" s="10">
        <v>260</v>
      </c>
      <c r="AK78" s="3">
        <v>16.23</v>
      </c>
      <c r="AL78" s="61">
        <v>84.47</v>
      </c>
      <c r="AM78" s="61">
        <v>52.31</v>
      </c>
      <c r="AO78" s="10">
        <v>81</v>
      </c>
      <c r="AP78" s="10">
        <v>123</v>
      </c>
      <c r="AQ78" s="52">
        <v>80</v>
      </c>
      <c r="BG78" s="10">
        <v>190</v>
      </c>
      <c r="BJ78" s="10">
        <v>266</v>
      </c>
      <c r="BK78" s="52">
        <v>100.7</v>
      </c>
      <c r="BM78" s="10">
        <v>30</v>
      </c>
      <c r="BN78" s="10">
        <v>45</v>
      </c>
      <c r="BO78" s="10">
        <v>75</v>
      </c>
      <c r="BS78" s="10">
        <v>5</v>
      </c>
      <c r="BT78" s="10">
        <v>10</v>
      </c>
      <c r="BV78" s="61">
        <v>7.89</v>
      </c>
      <c r="BW78" s="61">
        <v>0.11</v>
      </c>
      <c r="BZ78" s="61">
        <v>9.2100000000000009</v>
      </c>
      <c r="CA78" s="10">
        <v>0</v>
      </c>
      <c r="CB78" s="52">
        <v>101</v>
      </c>
      <c r="CG78" s="10">
        <v>2176</v>
      </c>
      <c r="CI78" s="10">
        <v>10</v>
      </c>
      <c r="CJ78" s="10">
        <v>10</v>
      </c>
      <c r="CK78" s="3">
        <v>0</v>
      </c>
      <c r="CM78" s="3">
        <v>0.66</v>
      </c>
      <c r="CN78" s="10">
        <v>52</v>
      </c>
      <c r="CO78" s="52">
        <v>10.6</v>
      </c>
      <c r="CP78" s="52">
        <v>3.9</v>
      </c>
      <c r="CQ78" s="3">
        <v>16.88</v>
      </c>
      <c r="CS78" s="10">
        <v>231</v>
      </c>
      <c r="CT78" s="10">
        <v>220</v>
      </c>
      <c r="CU78" s="59">
        <v>9</v>
      </c>
      <c r="CV78" s="10">
        <v>346</v>
      </c>
      <c r="CW78" s="10">
        <v>11</v>
      </c>
      <c r="CX78" s="60">
        <v>103.39</v>
      </c>
      <c r="CY78" s="3">
        <v>17.97</v>
      </c>
      <c r="CZ78" s="3">
        <v>5.52</v>
      </c>
      <c r="DC78" s="24">
        <v>45735.073611111111</v>
      </c>
      <c r="DD78" s="24">
        <v>45735.124305555553</v>
      </c>
      <c r="DF78" s="10">
        <v>266</v>
      </c>
      <c r="DG78" s="24">
        <v>45735.176388888889</v>
      </c>
      <c r="DI78" s="10">
        <v>245</v>
      </c>
      <c r="DJ78" s="58">
        <v>45735.226388888892</v>
      </c>
    </row>
    <row r="79" spans="2:114" x14ac:dyDescent="0.25">
      <c r="B79" s="1">
        <v>10162</v>
      </c>
      <c r="C79" s="12">
        <v>45735</v>
      </c>
      <c r="D79" s="2">
        <v>9.7222222222222224E-2</v>
      </c>
      <c r="E79" s="2">
        <v>0.33958333333333324</v>
      </c>
      <c r="F79" s="61">
        <v>12.94</v>
      </c>
      <c r="G79" s="10">
        <v>18</v>
      </c>
      <c r="H79" s="61">
        <v>2.74</v>
      </c>
      <c r="I79" s="52">
        <v>79.7</v>
      </c>
      <c r="J79" s="10">
        <v>10</v>
      </c>
      <c r="L79" s="10">
        <v>4</v>
      </c>
      <c r="N79" s="10">
        <v>60</v>
      </c>
      <c r="O79" s="10">
        <v>25</v>
      </c>
      <c r="P79" s="10">
        <v>46.6</v>
      </c>
      <c r="Q79" s="61">
        <v>2.37</v>
      </c>
      <c r="R79" s="52">
        <v>46.3</v>
      </c>
      <c r="S79" s="10">
        <v>10</v>
      </c>
      <c r="T79" s="52">
        <v>64</v>
      </c>
      <c r="U79" s="10">
        <v>0</v>
      </c>
      <c r="V79" s="52">
        <v>65.3</v>
      </c>
      <c r="W79" s="10">
        <v>40</v>
      </c>
      <c r="Z79" s="52">
        <v>76</v>
      </c>
      <c r="AA79" s="10">
        <v>100</v>
      </c>
      <c r="AB79" s="10">
        <v>8</v>
      </c>
      <c r="AC79" s="52">
        <v>8</v>
      </c>
      <c r="AD79" s="3">
        <v>22.49</v>
      </c>
      <c r="AE79" s="3">
        <v>2.4900000000000002</v>
      </c>
      <c r="AG79" s="10">
        <v>0</v>
      </c>
      <c r="AH79" s="10">
        <v>1</v>
      </c>
      <c r="AI79" s="10">
        <v>136</v>
      </c>
      <c r="AJ79" s="10">
        <v>261</v>
      </c>
      <c r="AK79" s="3">
        <v>16.23</v>
      </c>
      <c r="AL79" s="61">
        <v>84.47</v>
      </c>
      <c r="AM79" s="61">
        <v>52.11</v>
      </c>
      <c r="AO79" s="10">
        <v>81</v>
      </c>
      <c r="AP79" s="10">
        <v>99</v>
      </c>
      <c r="AQ79" s="52">
        <v>80</v>
      </c>
      <c r="BG79" s="10">
        <v>180</v>
      </c>
      <c r="BJ79" s="10">
        <v>266</v>
      </c>
      <c r="BK79" s="52">
        <v>100.7</v>
      </c>
      <c r="BM79" s="10">
        <v>30</v>
      </c>
      <c r="BN79" s="10">
        <v>45</v>
      </c>
      <c r="BO79" s="10">
        <v>75</v>
      </c>
      <c r="BS79" s="10">
        <v>5</v>
      </c>
      <c r="BT79" s="10">
        <v>10</v>
      </c>
      <c r="BV79" s="61">
        <v>7.14</v>
      </c>
      <c r="BW79" s="61">
        <v>0.86</v>
      </c>
      <c r="BZ79" s="61">
        <v>8.83</v>
      </c>
      <c r="CA79" s="10">
        <v>0</v>
      </c>
      <c r="CB79" s="52">
        <v>101</v>
      </c>
      <c r="CG79" s="10">
        <v>2376</v>
      </c>
      <c r="CI79" s="10">
        <v>10</v>
      </c>
      <c r="CJ79" s="10">
        <v>10</v>
      </c>
      <c r="CK79" s="3">
        <v>0</v>
      </c>
      <c r="CM79" s="3">
        <v>0.66</v>
      </c>
      <c r="CN79" s="10">
        <v>52</v>
      </c>
      <c r="CO79" s="52">
        <v>10.6</v>
      </c>
      <c r="CQ79" s="3">
        <v>0</v>
      </c>
      <c r="CS79" s="10">
        <v>232</v>
      </c>
      <c r="CT79" s="10">
        <v>223</v>
      </c>
      <c r="CU79" s="59">
        <v>12</v>
      </c>
      <c r="CV79" s="10">
        <v>349</v>
      </c>
      <c r="CW79" s="10">
        <v>8</v>
      </c>
      <c r="CX79" s="60">
        <v>208.57</v>
      </c>
      <c r="CY79" s="3">
        <v>18.12</v>
      </c>
      <c r="CZ79" s="3">
        <v>5.51</v>
      </c>
      <c r="DC79" s="24">
        <v>45735.18472222222</v>
      </c>
      <c r="DD79" s="24">
        <v>45735.237500000003</v>
      </c>
      <c r="DF79" s="10">
        <v>266</v>
      </c>
      <c r="DG79" s="24">
        <v>45735.289583333331</v>
      </c>
      <c r="DI79" s="10">
        <v>247</v>
      </c>
      <c r="DJ79" s="58">
        <v>45735.339583333334</v>
      </c>
    </row>
    <row r="80" spans="2:114" x14ac:dyDescent="0.25">
      <c r="B80" s="1">
        <v>10163</v>
      </c>
      <c r="C80" s="12">
        <v>45741</v>
      </c>
      <c r="D80" s="2">
        <v>0.625</v>
      </c>
      <c r="E80" s="2">
        <v>0.87708333333333333</v>
      </c>
      <c r="F80" s="61">
        <v>12.46</v>
      </c>
      <c r="G80" s="10">
        <v>17</v>
      </c>
      <c r="H80" s="61">
        <v>2.77</v>
      </c>
      <c r="I80" s="52">
        <v>79.8</v>
      </c>
      <c r="J80" s="10">
        <v>10</v>
      </c>
      <c r="L80" s="10">
        <v>3</v>
      </c>
      <c r="N80" s="10">
        <v>64</v>
      </c>
      <c r="O80" s="10">
        <v>25</v>
      </c>
      <c r="P80" s="10">
        <v>46.4</v>
      </c>
      <c r="Q80" s="61">
        <v>2.3199999999999998</v>
      </c>
      <c r="R80" s="52">
        <v>45.6</v>
      </c>
      <c r="S80" s="10">
        <v>10</v>
      </c>
      <c r="T80" s="52">
        <v>63.3</v>
      </c>
      <c r="U80" s="10">
        <v>21</v>
      </c>
      <c r="V80" s="52">
        <v>65.400000000000006</v>
      </c>
      <c r="W80" s="10">
        <v>40</v>
      </c>
      <c r="Z80" s="52">
        <v>75.900000000000006</v>
      </c>
      <c r="AA80" s="10">
        <v>111</v>
      </c>
      <c r="AB80" s="10">
        <v>8</v>
      </c>
      <c r="AC80" s="52">
        <v>9</v>
      </c>
      <c r="AD80" s="3">
        <v>23.44</v>
      </c>
      <c r="AE80" s="3">
        <v>1.6</v>
      </c>
      <c r="AF80" s="3">
        <v>0.3</v>
      </c>
      <c r="AG80" s="10">
        <v>80</v>
      </c>
      <c r="AH80" s="10">
        <v>2</v>
      </c>
      <c r="AI80" s="10">
        <v>125</v>
      </c>
      <c r="AJ80" s="10">
        <v>260</v>
      </c>
      <c r="AK80" s="3">
        <v>16.559999999999999</v>
      </c>
      <c r="AL80" s="61">
        <v>77.64</v>
      </c>
      <c r="AM80" s="61">
        <v>48.08</v>
      </c>
      <c r="AO80" s="10">
        <v>85</v>
      </c>
      <c r="AP80" s="10">
        <v>124</v>
      </c>
      <c r="AQ80" s="52">
        <v>80</v>
      </c>
      <c r="BG80" s="10">
        <v>183</v>
      </c>
      <c r="BJ80" s="10">
        <v>264</v>
      </c>
      <c r="BK80" s="52">
        <v>101</v>
      </c>
      <c r="BM80" s="10">
        <v>30</v>
      </c>
      <c r="BN80" s="10">
        <v>45</v>
      </c>
      <c r="BO80" s="10">
        <v>75</v>
      </c>
      <c r="BS80" s="10">
        <v>5</v>
      </c>
      <c r="BT80" s="10">
        <v>10</v>
      </c>
      <c r="BV80" s="61">
        <v>7.2</v>
      </c>
      <c r="BW80" s="61">
        <v>0.8</v>
      </c>
      <c r="BZ80" s="61">
        <v>8.9</v>
      </c>
      <c r="CA80" s="10">
        <v>0</v>
      </c>
      <c r="CB80" s="52">
        <v>101.2</v>
      </c>
      <c r="CG80" s="10">
        <v>1816</v>
      </c>
      <c r="CI80" s="10">
        <v>10</v>
      </c>
      <c r="CJ80" s="10">
        <v>10</v>
      </c>
      <c r="CK80" s="3">
        <v>0</v>
      </c>
      <c r="CM80" s="3">
        <v>0.66</v>
      </c>
      <c r="CN80" s="10">
        <v>51</v>
      </c>
      <c r="CO80" s="52">
        <v>10.5</v>
      </c>
      <c r="CP80" s="52">
        <v>3.8</v>
      </c>
      <c r="CQ80" s="3">
        <v>16.52</v>
      </c>
      <c r="CS80" s="10">
        <v>230</v>
      </c>
      <c r="CT80" s="10">
        <v>227</v>
      </c>
      <c r="CU80" s="59">
        <v>16</v>
      </c>
      <c r="CV80" s="10">
        <v>363</v>
      </c>
      <c r="CW80" s="10">
        <v>6</v>
      </c>
      <c r="CX80" s="60">
        <v>243.16</v>
      </c>
      <c r="CY80" s="3">
        <v>18.2</v>
      </c>
      <c r="CZ80" s="3">
        <v>5.52</v>
      </c>
      <c r="DC80" s="24">
        <v>45741.719444444447</v>
      </c>
      <c r="DD80" s="24">
        <v>45741.775694444441</v>
      </c>
      <c r="DF80" s="10">
        <v>264</v>
      </c>
      <c r="DG80" s="24">
        <v>45741.827777777777</v>
      </c>
      <c r="DI80" s="10">
        <v>245</v>
      </c>
      <c r="DJ80" s="58">
        <v>45741.877083333333</v>
      </c>
    </row>
    <row r="81" spans="2:114" x14ac:dyDescent="0.25">
      <c r="B81" s="1">
        <v>10164</v>
      </c>
      <c r="C81" s="12">
        <v>45741</v>
      </c>
      <c r="D81" s="2">
        <v>0.72569444444444442</v>
      </c>
      <c r="E81" s="2">
        <v>0.96250000000000002</v>
      </c>
      <c r="F81" s="61">
        <v>13.65</v>
      </c>
      <c r="G81" s="10">
        <v>17</v>
      </c>
      <c r="H81" s="61">
        <v>2.87</v>
      </c>
      <c r="I81" s="52">
        <v>79.5</v>
      </c>
      <c r="J81" s="10">
        <v>10</v>
      </c>
      <c r="L81" s="10">
        <v>4</v>
      </c>
      <c r="N81" s="10">
        <v>58</v>
      </c>
      <c r="O81" s="10">
        <v>25</v>
      </c>
      <c r="P81" s="10">
        <v>45.9</v>
      </c>
      <c r="Q81" s="61">
        <v>2.27</v>
      </c>
      <c r="R81" s="52">
        <v>46</v>
      </c>
      <c r="S81" s="10">
        <v>10</v>
      </c>
      <c r="T81" s="52">
        <v>64.3</v>
      </c>
      <c r="U81" s="10">
        <v>0</v>
      </c>
      <c r="V81" s="52">
        <v>65.400000000000006</v>
      </c>
      <c r="W81" s="10">
        <v>40</v>
      </c>
      <c r="Z81" s="52">
        <v>75.900000000000006</v>
      </c>
      <c r="AA81" s="10">
        <v>102</v>
      </c>
      <c r="AB81" s="10">
        <v>8</v>
      </c>
      <c r="AC81" s="52">
        <v>9</v>
      </c>
      <c r="AD81" s="3">
        <v>22.6</v>
      </c>
      <c r="AE81" s="3">
        <v>2.61</v>
      </c>
      <c r="AF81" s="3">
        <v>0.31</v>
      </c>
      <c r="AG81" s="10">
        <v>90</v>
      </c>
      <c r="AH81" s="10">
        <v>2</v>
      </c>
      <c r="AI81" s="10">
        <v>136</v>
      </c>
      <c r="AJ81" s="10">
        <v>260</v>
      </c>
      <c r="AK81" s="3">
        <v>16.47</v>
      </c>
      <c r="AL81" s="61">
        <v>84.47</v>
      </c>
      <c r="AM81" s="61">
        <v>52.31</v>
      </c>
      <c r="AO81" s="10">
        <v>86</v>
      </c>
      <c r="AP81" s="10">
        <v>128</v>
      </c>
      <c r="AQ81" s="52">
        <v>80</v>
      </c>
      <c r="BG81" s="10">
        <v>182</v>
      </c>
      <c r="BJ81" s="10">
        <v>266</v>
      </c>
      <c r="BK81" s="52">
        <v>100.7</v>
      </c>
      <c r="BM81" s="10">
        <v>30</v>
      </c>
      <c r="BN81" s="10">
        <v>45</v>
      </c>
      <c r="BO81" s="10">
        <v>75</v>
      </c>
      <c r="BS81" s="10">
        <v>5</v>
      </c>
      <c r="BT81" s="10">
        <v>10</v>
      </c>
      <c r="BV81" s="61">
        <v>7.89</v>
      </c>
      <c r="BW81" s="61">
        <v>0.11</v>
      </c>
      <c r="BZ81" s="61">
        <v>9.59</v>
      </c>
      <c r="CA81" s="10">
        <v>0</v>
      </c>
      <c r="CB81" s="52">
        <v>101.1</v>
      </c>
      <c r="CG81" s="10">
        <v>2262</v>
      </c>
      <c r="CI81" s="10">
        <v>10</v>
      </c>
      <c r="CJ81" s="10">
        <v>10</v>
      </c>
      <c r="CK81" s="3">
        <v>0</v>
      </c>
      <c r="CM81" s="3">
        <v>0.66</v>
      </c>
      <c r="CN81" s="10">
        <v>51</v>
      </c>
      <c r="CO81" s="52">
        <v>10.5</v>
      </c>
      <c r="CP81" s="52">
        <v>3.5</v>
      </c>
      <c r="CQ81" s="3">
        <v>15.22</v>
      </c>
      <c r="CS81" s="10">
        <v>230</v>
      </c>
      <c r="CT81" s="10">
        <v>214</v>
      </c>
      <c r="CU81" s="59">
        <v>3</v>
      </c>
      <c r="CV81" s="10">
        <v>341</v>
      </c>
      <c r="CW81" s="10">
        <v>16</v>
      </c>
      <c r="CX81" s="60">
        <v>43.39</v>
      </c>
      <c r="CY81" s="3">
        <v>18.18</v>
      </c>
      <c r="CZ81" s="3">
        <v>5.49</v>
      </c>
      <c r="DC81" s="24">
        <v>45741.813888888886</v>
      </c>
      <c r="DD81" s="24">
        <v>45741.861111111109</v>
      </c>
      <c r="DF81" s="10">
        <v>266</v>
      </c>
      <c r="DG81" s="24">
        <v>45741.913194444445</v>
      </c>
      <c r="DI81" s="10">
        <v>245</v>
      </c>
      <c r="DJ81" s="58">
        <v>45741.962500000001</v>
      </c>
    </row>
    <row r="82" spans="2:114" x14ac:dyDescent="0.25">
      <c r="B82" s="1">
        <v>10165</v>
      </c>
      <c r="C82" s="12">
        <v>45741</v>
      </c>
      <c r="D82" s="2">
        <v>0.83680555555555558</v>
      </c>
      <c r="E82" s="2">
        <v>1.0736111111111111</v>
      </c>
      <c r="F82" s="61">
        <v>12.51</v>
      </c>
      <c r="G82" s="10">
        <v>17</v>
      </c>
      <c r="H82" s="61">
        <v>2.78</v>
      </c>
      <c r="I82" s="52">
        <v>79.599999999999994</v>
      </c>
      <c r="J82" s="10">
        <v>10</v>
      </c>
      <c r="L82" s="10">
        <v>5</v>
      </c>
      <c r="N82" s="10">
        <v>59</v>
      </c>
      <c r="O82" s="10">
        <v>26</v>
      </c>
      <c r="P82" s="10">
        <v>45.8</v>
      </c>
      <c r="Q82" s="61">
        <v>2.36</v>
      </c>
      <c r="R82" s="52">
        <v>46.4</v>
      </c>
      <c r="S82" s="10">
        <v>10</v>
      </c>
      <c r="T82" s="52">
        <v>64.3</v>
      </c>
      <c r="U82" s="10">
        <v>0</v>
      </c>
      <c r="V82" s="52">
        <v>65.3</v>
      </c>
      <c r="W82" s="10">
        <v>40</v>
      </c>
      <c r="Z82" s="52">
        <v>76</v>
      </c>
      <c r="AA82" s="10">
        <v>102</v>
      </c>
      <c r="AB82" s="10">
        <v>5</v>
      </c>
      <c r="AC82" s="52">
        <v>12.1</v>
      </c>
      <c r="AD82" s="3">
        <v>22.5</v>
      </c>
      <c r="AE82" s="3">
        <v>2.4900000000000002</v>
      </c>
      <c r="AF82" s="3">
        <v>0.48</v>
      </c>
      <c r="AG82" s="10">
        <v>90</v>
      </c>
      <c r="AH82" s="10">
        <v>1</v>
      </c>
      <c r="AI82" s="10">
        <v>136</v>
      </c>
      <c r="AJ82" s="10">
        <v>259</v>
      </c>
      <c r="AK82" s="3">
        <v>16.399999999999999</v>
      </c>
      <c r="AL82" s="61">
        <v>84.47</v>
      </c>
      <c r="AM82" s="61">
        <v>52.51</v>
      </c>
      <c r="AO82" s="10">
        <v>82</v>
      </c>
      <c r="AP82" s="10">
        <v>121</v>
      </c>
      <c r="AQ82" s="52">
        <v>79.900000000000006</v>
      </c>
      <c r="BG82" s="10">
        <v>180</v>
      </c>
      <c r="BJ82" s="10">
        <v>266</v>
      </c>
      <c r="BK82" s="52">
        <v>100.8</v>
      </c>
      <c r="BM82" s="10">
        <v>30</v>
      </c>
      <c r="BN82" s="10">
        <v>45</v>
      </c>
      <c r="BO82" s="10">
        <v>75</v>
      </c>
      <c r="BS82" s="10">
        <v>5</v>
      </c>
      <c r="BT82" s="10">
        <v>10</v>
      </c>
      <c r="BV82" s="61">
        <v>7.89</v>
      </c>
      <c r="BW82" s="61">
        <v>0.11</v>
      </c>
      <c r="BZ82" s="61">
        <v>9.9600000000000009</v>
      </c>
      <c r="CA82" s="10">
        <v>0</v>
      </c>
      <c r="CB82" s="52">
        <v>101</v>
      </c>
      <c r="CG82" s="10">
        <v>2259</v>
      </c>
      <c r="CI82" s="10">
        <v>10</v>
      </c>
      <c r="CJ82" s="10">
        <v>10</v>
      </c>
      <c r="CK82" s="3">
        <v>0</v>
      </c>
      <c r="CM82" s="3">
        <v>0.66</v>
      </c>
      <c r="CN82" s="10">
        <v>51</v>
      </c>
      <c r="CO82" s="52">
        <v>10.5</v>
      </c>
      <c r="CP82" s="52">
        <v>3.5</v>
      </c>
      <c r="CQ82" s="3">
        <v>15.28</v>
      </c>
      <c r="CS82" s="10">
        <v>229</v>
      </c>
      <c r="CT82" s="10">
        <v>217</v>
      </c>
      <c r="CU82" s="59">
        <v>6</v>
      </c>
      <c r="CV82" s="10">
        <v>341</v>
      </c>
      <c r="CW82" s="10">
        <v>16</v>
      </c>
      <c r="CX82" s="60">
        <v>73.39</v>
      </c>
      <c r="CY82" s="3">
        <v>18.2</v>
      </c>
      <c r="CZ82" s="3">
        <v>5.49</v>
      </c>
      <c r="DC82" s="24">
        <v>45741.92291666667</v>
      </c>
      <c r="DD82" s="24">
        <v>45741.972222222219</v>
      </c>
      <c r="DF82" s="10">
        <v>266</v>
      </c>
      <c r="DG82" s="24">
        <v>45742.024305555555</v>
      </c>
      <c r="DI82" s="10">
        <v>245</v>
      </c>
      <c r="DJ82" s="58">
        <v>45742.073611111111</v>
      </c>
    </row>
    <row r="83" spans="2:114" x14ac:dyDescent="0.25">
      <c r="B83" s="1">
        <v>10166</v>
      </c>
      <c r="C83" s="12">
        <v>45741</v>
      </c>
      <c r="D83" s="2">
        <v>0.9375</v>
      </c>
      <c r="E83" s="2">
        <v>0.17500000000000002</v>
      </c>
      <c r="F83" s="61">
        <v>12.73</v>
      </c>
      <c r="G83" s="10">
        <v>17</v>
      </c>
      <c r="H83" s="61">
        <v>2.85</v>
      </c>
      <c r="I83" s="52">
        <v>79.5</v>
      </c>
      <c r="J83" s="10">
        <v>10</v>
      </c>
      <c r="L83" s="10">
        <v>7</v>
      </c>
      <c r="N83" s="10">
        <v>60</v>
      </c>
      <c r="O83" s="10">
        <v>25</v>
      </c>
      <c r="P83" s="10">
        <v>46.3</v>
      </c>
      <c r="Q83" s="61">
        <v>2.4</v>
      </c>
      <c r="R83" s="52">
        <v>46</v>
      </c>
      <c r="S83" s="10">
        <v>10</v>
      </c>
      <c r="T83" s="52">
        <v>64</v>
      </c>
      <c r="U83" s="10">
        <v>0</v>
      </c>
      <c r="V83" s="52">
        <v>65.2</v>
      </c>
      <c r="W83" s="10">
        <v>40</v>
      </c>
      <c r="Z83" s="52">
        <v>76</v>
      </c>
      <c r="AA83" s="10">
        <v>101</v>
      </c>
      <c r="AB83" s="10">
        <v>8</v>
      </c>
      <c r="AC83" s="52">
        <v>12.7</v>
      </c>
      <c r="AD83" s="3">
        <v>22.21</v>
      </c>
      <c r="AE83" s="3">
        <v>2.13</v>
      </c>
      <c r="AF83" s="3">
        <v>0.6</v>
      </c>
      <c r="AG83" s="10">
        <v>90</v>
      </c>
      <c r="AH83" s="10">
        <v>1</v>
      </c>
      <c r="AI83" s="10">
        <v>136</v>
      </c>
      <c r="AJ83" s="10">
        <v>259</v>
      </c>
      <c r="AK83" s="3">
        <v>16.309999999999999</v>
      </c>
      <c r="AL83" s="61">
        <v>84.47</v>
      </c>
      <c r="AM83" s="61">
        <v>52.51</v>
      </c>
      <c r="AO83" s="10">
        <v>81</v>
      </c>
      <c r="AP83" s="10">
        <v>122</v>
      </c>
      <c r="AQ83" s="52">
        <v>79.900000000000006</v>
      </c>
      <c r="BG83" s="10">
        <v>180</v>
      </c>
      <c r="BJ83" s="10">
        <v>265</v>
      </c>
      <c r="BK83" s="52">
        <v>100.8</v>
      </c>
      <c r="BM83" s="10">
        <v>30</v>
      </c>
      <c r="BN83" s="10">
        <v>45</v>
      </c>
      <c r="BO83" s="10">
        <v>75</v>
      </c>
      <c r="BS83" s="10">
        <v>5</v>
      </c>
      <c r="BT83" s="10">
        <v>10</v>
      </c>
      <c r="BV83" s="61">
        <v>6.79</v>
      </c>
      <c r="BW83" s="61">
        <v>1.21</v>
      </c>
      <c r="BZ83" s="61">
        <v>8.8699999999999992</v>
      </c>
      <c r="CA83" s="10">
        <v>0</v>
      </c>
      <c r="CB83" s="52">
        <v>101</v>
      </c>
      <c r="CG83" s="10">
        <v>2194</v>
      </c>
      <c r="CI83" s="10">
        <v>10</v>
      </c>
      <c r="CJ83" s="10">
        <v>10</v>
      </c>
      <c r="CK83" s="3">
        <v>0</v>
      </c>
      <c r="CM83" s="3">
        <v>0.66</v>
      </c>
      <c r="CN83" s="10">
        <v>52</v>
      </c>
      <c r="CO83" s="52">
        <v>10.5</v>
      </c>
      <c r="CP83" s="52">
        <v>3.4</v>
      </c>
      <c r="CQ83" s="3">
        <v>14.72</v>
      </c>
      <c r="CS83" s="10">
        <v>231</v>
      </c>
      <c r="CT83" s="10">
        <v>216</v>
      </c>
      <c r="CU83" s="59">
        <v>5</v>
      </c>
      <c r="CV83" s="10">
        <v>342</v>
      </c>
      <c r="CW83" s="10">
        <v>15</v>
      </c>
      <c r="CX83" s="60">
        <v>173.61</v>
      </c>
      <c r="CY83" s="3">
        <v>17.850000000000001</v>
      </c>
      <c r="CZ83" s="3">
        <v>5.47</v>
      </c>
      <c r="DC83" s="24">
        <v>45742.025000000001</v>
      </c>
      <c r="DD83" s="24">
        <v>45742.072916666664</v>
      </c>
      <c r="DF83" s="10">
        <v>265</v>
      </c>
      <c r="DG83" s="24">
        <v>45742.125</v>
      </c>
      <c r="DI83" s="10">
        <v>247</v>
      </c>
      <c r="DJ83" s="58">
        <v>45742.175000000003</v>
      </c>
    </row>
    <row r="84" spans="2:114" x14ac:dyDescent="0.25">
      <c r="B84" s="1">
        <v>10167</v>
      </c>
      <c r="C84" s="12">
        <v>45742</v>
      </c>
      <c r="D84" s="2">
        <v>4.8611111111111112E-2</v>
      </c>
      <c r="E84" s="2">
        <v>0.28541666666666665</v>
      </c>
      <c r="F84" s="61">
        <v>13.36</v>
      </c>
      <c r="G84" s="10">
        <v>16</v>
      </c>
      <c r="H84" s="61">
        <v>2.84</v>
      </c>
      <c r="I84" s="52">
        <v>79.5</v>
      </c>
      <c r="J84" s="10">
        <v>10</v>
      </c>
      <c r="L84" s="10">
        <v>4</v>
      </c>
      <c r="N84" s="10">
        <v>59</v>
      </c>
      <c r="O84" s="10">
        <v>25</v>
      </c>
      <c r="P84" s="10">
        <v>46.3</v>
      </c>
      <c r="Q84" s="61">
        <v>2.4300000000000002</v>
      </c>
      <c r="R84" s="52">
        <v>46.1</v>
      </c>
      <c r="S84" s="10">
        <v>10</v>
      </c>
      <c r="T84" s="52">
        <v>64.2</v>
      </c>
      <c r="U84" s="10">
        <v>0</v>
      </c>
      <c r="V84" s="52">
        <v>65.2</v>
      </c>
      <c r="W84" s="10">
        <v>40</v>
      </c>
      <c r="Z84" s="52">
        <v>76.3</v>
      </c>
      <c r="AA84" s="10">
        <v>100</v>
      </c>
      <c r="AB84" s="10">
        <v>9</v>
      </c>
      <c r="AC84" s="52">
        <v>11.5</v>
      </c>
      <c r="AD84" s="3">
        <v>22.15</v>
      </c>
      <c r="AE84" s="3">
        <v>2.58</v>
      </c>
      <c r="AF84" s="3">
        <v>0.49</v>
      </c>
      <c r="AG84" s="10">
        <v>90</v>
      </c>
      <c r="AH84" s="10">
        <v>1</v>
      </c>
      <c r="AI84" s="10">
        <v>136</v>
      </c>
      <c r="AJ84" s="10">
        <v>257</v>
      </c>
      <c r="AK84" s="3">
        <v>16.440000000000001</v>
      </c>
      <c r="AL84" s="61">
        <v>83.95</v>
      </c>
      <c r="AM84" s="61">
        <v>52.92</v>
      </c>
      <c r="AO84" s="10">
        <v>80</v>
      </c>
      <c r="AP84" s="10">
        <v>122</v>
      </c>
      <c r="AQ84" s="52">
        <v>80.2</v>
      </c>
      <c r="BG84" s="10">
        <v>180</v>
      </c>
      <c r="BJ84" s="10">
        <v>264</v>
      </c>
      <c r="BK84" s="52">
        <v>101</v>
      </c>
      <c r="BM84" s="10">
        <v>30</v>
      </c>
      <c r="BN84" s="10">
        <v>45</v>
      </c>
      <c r="BO84" s="10">
        <v>75</v>
      </c>
      <c r="BS84" s="10">
        <v>5</v>
      </c>
      <c r="BT84" s="10">
        <v>10</v>
      </c>
      <c r="BV84" s="61">
        <v>8.33</v>
      </c>
      <c r="BW84" s="61">
        <v>0.33</v>
      </c>
      <c r="BZ84" s="61">
        <v>10.8</v>
      </c>
      <c r="CA84" s="10">
        <v>0</v>
      </c>
      <c r="CB84" s="52">
        <v>100.9</v>
      </c>
      <c r="CG84" s="10">
        <v>2573</v>
      </c>
      <c r="CI84" s="10">
        <v>10</v>
      </c>
      <c r="CJ84" s="10">
        <v>10</v>
      </c>
      <c r="CK84" s="3">
        <v>0</v>
      </c>
      <c r="CM84" s="3">
        <v>0.68</v>
      </c>
      <c r="CN84" s="10">
        <v>50</v>
      </c>
      <c r="CO84" s="52">
        <v>10.3</v>
      </c>
      <c r="CP84" s="52">
        <v>3.4</v>
      </c>
      <c r="CQ84" s="3">
        <v>15.11</v>
      </c>
      <c r="CS84" s="10">
        <v>225</v>
      </c>
      <c r="CT84" s="10">
        <v>216</v>
      </c>
      <c r="CU84" s="59">
        <v>5</v>
      </c>
      <c r="CV84" s="10">
        <v>341</v>
      </c>
      <c r="CW84" s="10">
        <v>16</v>
      </c>
      <c r="CX84" s="60">
        <v>86.19</v>
      </c>
      <c r="CY84" s="3">
        <v>18.239999999999998</v>
      </c>
      <c r="CZ84" s="3">
        <v>5.49</v>
      </c>
      <c r="DC84" s="24">
        <v>45742.135416666664</v>
      </c>
      <c r="DD84" s="24">
        <v>45742.18472222222</v>
      </c>
      <c r="DF84" s="10">
        <v>264</v>
      </c>
      <c r="DG84" s="24">
        <v>45742.236805555556</v>
      </c>
      <c r="DI84" s="10">
        <v>242</v>
      </c>
      <c r="DJ84" s="58">
        <v>45742.285416666666</v>
      </c>
    </row>
    <row r="85" spans="2:114" x14ac:dyDescent="0.25">
      <c r="B85" s="1">
        <v>10168</v>
      </c>
      <c r="C85" s="12">
        <v>45742</v>
      </c>
      <c r="D85" s="2">
        <v>0.14930555555555555</v>
      </c>
      <c r="E85" s="2">
        <v>0.38750000000000001</v>
      </c>
      <c r="F85" s="61">
        <v>12.24</v>
      </c>
      <c r="G85" s="10">
        <v>16</v>
      </c>
      <c r="H85" s="61">
        <v>2.87</v>
      </c>
      <c r="I85" s="52">
        <v>79.5</v>
      </c>
      <c r="J85" s="10">
        <v>10</v>
      </c>
      <c r="L85" s="10">
        <v>5</v>
      </c>
      <c r="N85" s="10">
        <v>59</v>
      </c>
      <c r="O85" s="10">
        <v>25</v>
      </c>
      <c r="P85" s="10">
        <v>46.4</v>
      </c>
      <c r="Q85" s="61">
        <v>2.4</v>
      </c>
      <c r="R85" s="52">
        <v>46.1</v>
      </c>
      <c r="S85" s="10">
        <v>10</v>
      </c>
      <c r="T85" s="52">
        <v>64.5</v>
      </c>
      <c r="U85" s="10">
        <v>0</v>
      </c>
      <c r="V85" s="52">
        <v>65.2</v>
      </c>
      <c r="W85" s="10">
        <v>40</v>
      </c>
      <c r="Z85" s="52">
        <v>76</v>
      </c>
      <c r="AA85" s="10">
        <v>100</v>
      </c>
      <c r="AB85" s="10">
        <v>9</v>
      </c>
      <c r="AC85" s="52">
        <v>7.6</v>
      </c>
      <c r="AD85" s="3">
        <v>22.19</v>
      </c>
      <c r="AE85" s="3">
        <v>2.4</v>
      </c>
      <c r="AF85" s="3">
        <v>1.02</v>
      </c>
      <c r="AG85" s="10">
        <v>47</v>
      </c>
      <c r="AH85" s="10">
        <v>1</v>
      </c>
      <c r="AI85" s="10">
        <v>136</v>
      </c>
      <c r="AJ85" s="10">
        <v>260</v>
      </c>
      <c r="AK85" s="3">
        <v>16.62</v>
      </c>
      <c r="AL85" s="61">
        <v>84.47</v>
      </c>
      <c r="AM85" s="61">
        <v>52.31</v>
      </c>
      <c r="AO85" s="10">
        <v>83</v>
      </c>
      <c r="AP85" s="10">
        <v>113</v>
      </c>
      <c r="AQ85" s="52">
        <v>80.099999999999994</v>
      </c>
      <c r="BG85" s="10">
        <v>180</v>
      </c>
      <c r="BJ85" s="10">
        <v>267</v>
      </c>
      <c r="BK85" s="52">
        <v>100.7</v>
      </c>
      <c r="BM85" s="10">
        <v>30</v>
      </c>
      <c r="BN85" s="10">
        <v>45</v>
      </c>
      <c r="BO85" s="10">
        <v>75</v>
      </c>
      <c r="BS85" s="10">
        <v>5</v>
      </c>
      <c r="BT85" s="10">
        <v>10</v>
      </c>
      <c r="BV85" s="61">
        <v>8.24</v>
      </c>
      <c r="BW85" s="61">
        <v>0.24</v>
      </c>
      <c r="BZ85" s="61">
        <v>9.93</v>
      </c>
      <c r="CA85" s="10">
        <v>0</v>
      </c>
      <c r="CB85" s="52">
        <v>101</v>
      </c>
      <c r="CG85" s="10">
        <v>2186</v>
      </c>
      <c r="CI85" s="10">
        <v>10</v>
      </c>
      <c r="CJ85" s="10">
        <v>10</v>
      </c>
      <c r="CK85" s="3">
        <v>0</v>
      </c>
      <c r="CM85" s="3">
        <v>0.66</v>
      </c>
      <c r="CN85" s="10">
        <v>54</v>
      </c>
      <c r="CO85" s="52">
        <v>10.199999999999999</v>
      </c>
      <c r="CP85" s="52">
        <v>3.3</v>
      </c>
      <c r="CQ85" s="3">
        <v>14.35</v>
      </c>
      <c r="CS85" s="10">
        <v>230</v>
      </c>
      <c r="CT85" s="10">
        <v>218</v>
      </c>
      <c r="CU85" s="59">
        <v>7</v>
      </c>
      <c r="CV85" s="10">
        <v>343</v>
      </c>
      <c r="CW85" s="10">
        <v>14</v>
      </c>
      <c r="CX85" s="60">
        <v>96.83</v>
      </c>
      <c r="CY85" s="3">
        <v>18.09</v>
      </c>
      <c r="CZ85" s="3">
        <v>5.52</v>
      </c>
      <c r="DC85" s="24">
        <v>45742.236111111109</v>
      </c>
      <c r="DD85" s="24">
        <v>45742.28402777778</v>
      </c>
      <c r="DF85" s="10">
        <v>267</v>
      </c>
      <c r="DG85" s="24">
        <v>45742.336111111108</v>
      </c>
      <c r="DI85" s="10">
        <v>245</v>
      </c>
      <c r="DJ85" s="58">
        <v>45742.387499999997</v>
      </c>
    </row>
    <row r="86" spans="2:114" x14ac:dyDescent="0.25">
      <c r="B86" s="1">
        <v>10169</v>
      </c>
      <c r="C86" s="12">
        <v>45742</v>
      </c>
      <c r="D86" s="2">
        <v>0.26041666666666669</v>
      </c>
      <c r="E86" s="2">
        <v>0.49652777777777768</v>
      </c>
      <c r="F86" s="61">
        <v>13.55</v>
      </c>
      <c r="G86" s="10">
        <v>18</v>
      </c>
      <c r="H86" s="61">
        <v>2.88</v>
      </c>
      <c r="I86" s="52">
        <v>79.7</v>
      </c>
      <c r="J86" s="10">
        <v>10</v>
      </c>
      <c r="L86" s="10">
        <v>3</v>
      </c>
      <c r="N86" s="10">
        <v>59</v>
      </c>
      <c r="O86" s="10">
        <v>24</v>
      </c>
      <c r="P86" s="10">
        <v>46.1</v>
      </c>
      <c r="Q86" s="61">
        <v>2.38</v>
      </c>
      <c r="R86" s="52">
        <v>46.2</v>
      </c>
      <c r="S86" s="10">
        <v>10</v>
      </c>
      <c r="T86" s="52">
        <v>63.8</v>
      </c>
      <c r="U86" s="10">
        <v>3</v>
      </c>
      <c r="V86" s="52">
        <v>65.3</v>
      </c>
      <c r="W86" s="10">
        <v>40</v>
      </c>
      <c r="Z86" s="52">
        <v>75.900000000000006</v>
      </c>
      <c r="AA86" s="10">
        <v>100</v>
      </c>
      <c r="AB86" s="10">
        <v>7</v>
      </c>
      <c r="AC86" s="52">
        <v>16.2</v>
      </c>
      <c r="AD86" s="3">
        <v>22.3</v>
      </c>
      <c r="AE86" s="3">
        <v>3.23</v>
      </c>
      <c r="AG86" s="10">
        <v>0</v>
      </c>
      <c r="AH86" s="10">
        <v>1</v>
      </c>
      <c r="AI86" s="10">
        <v>136</v>
      </c>
      <c r="AJ86" s="10">
        <v>260</v>
      </c>
      <c r="AK86" s="3">
        <v>16.600000000000001</v>
      </c>
      <c r="AL86" s="61">
        <v>84.47</v>
      </c>
      <c r="AM86" s="61">
        <v>52.31</v>
      </c>
      <c r="AO86" s="10">
        <v>87</v>
      </c>
      <c r="AP86" s="10">
        <v>104</v>
      </c>
      <c r="AQ86" s="52">
        <v>80.099999999999994</v>
      </c>
      <c r="BG86" s="10">
        <v>180</v>
      </c>
      <c r="BJ86" s="10">
        <v>266</v>
      </c>
      <c r="BK86" s="52">
        <v>101.1</v>
      </c>
      <c r="BM86" s="10">
        <v>30</v>
      </c>
      <c r="BN86" s="10">
        <v>45</v>
      </c>
      <c r="BO86" s="10">
        <v>75</v>
      </c>
      <c r="BS86" s="10">
        <v>5</v>
      </c>
      <c r="BT86" s="10">
        <v>10</v>
      </c>
      <c r="BV86" s="61">
        <v>7.89</v>
      </c>
      <c r="BW86" s="61">
        <v>0.11</v>
      </c>
      <c r="BZ86" s="61">
        <v>96.05</v>
      </c>
      <c r="CA86" s="10">
        <v>0</v>
      </c>
      <c r="CB86" s="52">
        <v>101.2</v>
      </c>
      <c r="CG86" s="10">
        <v>2541</v>
      </c>
      <c r="CI86" s="10">
        <v>10</v>
      </c>
      <c r="CJ86" s="10">
        <v>10</v>
      </c>
      <c r="CK86" s="3">
        <v>0</v>
      </c>
      <c r="CM86" s="3">
        <v>0</v>
      </c>
      <c r="CN86" s="10">
        <v>50</v>
      </c>
      <c r="CO86" s="52">
        <v>10.3</v>
      </c>
      <c r="CT86" s="10">
        <v>215</v>
      </c>
      <c r="CU86" s="59">
        <v>4</v>
      </c>
      <c r="CV86" s="10">
        <v>340</v>
      </c>
      <c r="CW86" s="10">
        <v>17</v>
      </c>
      <c r="CX86" s="60">
        <v>53.39</v>
      </c>
      <c r="CY86" s="3">
        <v>18.18</v>
      </c>
      <c r="CZ86" s="3">
        <v>5.48</v>
      </c>
      <c r="DC86" s="24">
        <v>45742.347222222219</v>
      </c>
      <c r="DD86" s="24">
        <v>45742.395833333336</v>
      </c>
      <c r="DF86" s="10">
        <v>266</v>
      </c>
      <c r="DG86" s="24">
        <v>45742.447916666664</v>
      </c>
      <c r="DI86" s="10">
        <v>245</v>
      </c>
      <c r="DJ86" s="58">
        <v>45742.496527777781</v>
      </c>
    </row>
    <row r="87" spans="2:114" x14ac:dyDescent="0.25">
      <c r="B87" s="1">
        <v>10170</v>
      </c>
      <c r="C87" s="12">
        <v>45751</v>
      </c>
      <c r="D87" s="2">
        <v>0.3576388888888889</v>
      </c>
      <c r="E87" s="2">
        <v>0.61041666666666661</v>
      </c>
      <c r="F87" s="61">
        <v>13.58</v>
      </c>
      <c r="G87" s="10">
        <v>17</v>
      </c>
      <c r="H87" s="61">
        <v>2.8</v>
      </c>
      <c r="I87" s="52">
        <v>79.900000000000006</v>
      </c>
      <c r="J87" s="10">
        <v>10</v>
      </c>
      <c r="L87" s="10">
        <v>3</v>
      </c>
      <c r="N87" s="10">
        <v>61</v>
      </c>
      <c r="O87" s="10">
        <v>25</v>
      </c>
      <c r="P87" s="10">
        <v>46.4</v>
      </c>
      <c r="Q87" s="61">
        <v>2.2799999999999998</v>
      </c>
      <c r="R87" s="52">
        <v>45.1</v>
      </c>
      <c r="S87" s="10">
        <v>10</v>
      </c>
      <c r="T87" s="52">
        <v>61.3</v>
      </c>
      <c r="U87" s="10">
        <v>72</v>
      </c>
      <c r="V87" s="52">
        <v>65.400000000000006</v>
      </c>
      <c r="W87" s="10">
        <v>35</v>
      </c>
      <c r="Z87" s="52">
        <v>76</v>
      </c>
      <c r="AA87" s="10">
        <v>108</v>
      </c>
      <c r="AB87" s="10">
        <v>8</v>
      </c>
      <c r="AC87" s="52">
        <v>9</v>
      </c>
      <c r="AD87" s="3">
        <v>23.4</v>
      </c>
      <c r="AE87" s="3">
        <v>2</v>
      </c>
      <c r="AF87" s="3">
        <v>0.35</v>
      </c>
      <c r="AG87" s="10">
        <v>78</v>
      </c>
      <c r="AH87" s="10">
        <v>3</v>
      </c>
      <c r="AI87" s="10">
        <v>115</v>
      </c>
      <c r="AJ87" s="10">
        <v>260</v>
      </c>
      <c r="AK87" s="3">
        <v>16.55</v>
      </c>
      <c r="AL87" s="61">
        <v>71.430000000000007</v>
      </c>
      <c r="AM87" s="61">
        <v>44.23</v>
      </c>
      <c r="AO87" s="10">
        <v>96</v>
      </c>
      <c r="AP87" s="10">
        <v>135</v>
      </c>
      <c r="AQ87" s="52">
        <v>80</v>
      </c>
      <c r="BG87" s="10">
        <v>187</v>
      </c>
      <c r="BJ87" s="10">
        <v>261</v>
      </c>
      <c r="BK87" s="52">
        <v>100.8</v>
      </c>
      <c r="BM87" s="10">
        <v>30</v>
      </c>
      <c r="BN87" s="10">
        <v>45</v>
      </c>
      <c r="BO87" s="10">
        <v>75</v>
      </c>
      <c r="BS87" s="10">
        <v>5</v>
      </c>
      <c r="BT87" s="10">
        <v>10</v>
      </c>
      <c r="BV87" s="61">
        <v>6.9</v>
      </c>
      <c r="BW87" s="61">
        <v>1.1000000000000001</v>
      </c>
      <c r="BZ87" s="61">
        <v>9.39</v>
      </c>
      <c r="CA87" s="10">
        <v>0</v>
      </c>
      <c r="CB87" s="52">
        <v>101</v>
      </c>
      <c r="CG87" s="10">
        <v>1734</v>
      </c>
      <c r="CI87" s="10">
        <v>10</v>
      </c>
      <c r="CJ87" s="10">
        <v>10</v>
      </c>
      <c r="CK87" s="3">
        <v>0</v>
      </c>
      <c r="CM87" s="3">
        <v>0.54</v>
      </c>
      <c r="CN87" s="10">
        <v>50</v>
      </c>
      <c r="CO87" s="52">
        <v>10.5</v>
      </c>
      <c r="CP87" s="52">
        <v>3.9</v>
      </c>
      <c r="CQ87" s="3">
        <v>17.260000000000002</v>
      </c>
      <c r="CS87" s="10">
        <v>226</v>
      </c>
      <c r="CT87" s="10">
        <v>231</v>
      </c>
      <c r="CU87" s="59">
        <v>20</v>
      </c>
      <c r="CV87" s="10">
        <v>364</v>
      </c>
      <c r="CW87" s="10">
        <v>7</v>
      </c>
      <c r="CX87" s="60">
        <v>313.2</v>
      </c>
      <c r="CY87" s="3">
        <v>18.25</v>
      </c>
      <c r="CZ87" s="3">
        <v>5.5</v>
      </c>
      <c r="DC87" s="24">
        <v>45751.45</v>
      </c>
      <c r="DD87" s="24">
        <v>45751.509722222225</v>
      </c>
      <c r="DF87" s="10">
        <v>261</v>
      </c>
      <c r="DG87" s="24">
        <v>45751.561805555553</v>
      </c>
      <c r="DI87" s="10">
        <v>243</v>
      </c>
      <c r="DJ87" s="58">
        <v>45751.61041666667</v>
      </c>
    </row>
    <row r="88" spans="2:114" x14ac:dyDescent="0.25">
      <c r="B88" s="1">
        <v>10171</v>
      </c>
      <c r="C88" s="12">
        <v>45751</v>
      </c>
      <c r="D88" s="2">
        <v>0.45833333333333331</v>
      </c>
      <c r="E88" s="2">
        <v>0.71805555555555556</v>
      </c>
      <c r="F88" s="61">
        <v>13.53</v>
      </c>
      <c r="G88" s="10">
        <v>18</v>
      </c>
      <c r="H88" s="61">
        <v>2.85</v>
      </c>
      <c r="I88" s="52">
        <v>79.599999999999994</v>
      </c>
      <c r="J88" s="10">
        <v>10</v>
      </c>
      <c r="L88" s="10">
        <v>0</v>
      </c>
      <c r="N88" s="10">
        <v>77</v>
      </c>
      <c r="O88" s="10">
        <v>25</v>
      </c>
      <c r="P88" s="10">
        <v>46.1</v>
      </c>
      <c r="Q88" s="61">
        <v>2.29</v>
      </c>
      <c r="R88" s="52">
        <v>45.8</v>
      </c>
      <c r="S88" s="10">
        <v>27</v>
      </c>
      <c r="T88" s="52">
        <v>63.9</v>
      </c>
      <c r="U88" s="10">
        <v>6</v>
      </c>
      <c r="V88" s="52">
        <v>65.5</v>
      </c>
      <c r="W88" s="10">
        <v>42</v>
      </c>
      <c r="Z88" s="52">
        <v>76.5</v>
      </c>
      <c r="AA88" s="10">
        <v>127</v>
      </c>
      <c r="AB88" s="10">
        <v>8</v>
      </c>
      <c r="AC88" s="52">
        <v>8</v>
      </c>
      <c r="AD88" s="3">
        <v>22.5</v>
      </c>
      <c r="AE88" s="3">
        <v>1.8</v>
      </c>
      <c r="AF88" s="3">
        <v>0.3</v>
      </c>
      <c r="AG88" s="10">
        <v>90</v>
      </c>
      <c r="AH88" s="10">
        <v>1</v>
      </c>
      <c r="AI88" s="10">
        <v>136</v>
      </c>
      <c r="AJ88" s="10">
        <v>261</v>
      </c>
      <c r="AK88" s="3">
        <v>16.510000000000002</v>
      </c>
      <c r="AL88" s="61">
        <v>84.47</v>
      </c>
      <c r="AM88" s="61">
        <v>52.11</v>
      </c>
      <c r="AO88" s="10">
        <v>82</v>
      </c>
      <c r="AP88" s="10">
        <v>124</v>
      </c>
      <c r="AQ88" s="52">
        <v>80.3</v>
      </c>
      <c r="BG88" s="10">
        <v>180</v>
      </c>
      <c r="BJ88" s="10">
        <v>267</v>
      </c>
      <c r="BK88" s="52">
        <v>101.1</v>
      </c>
      <c r="BM88" s="10">
        <v>30</v>
      </c>
      <c r="BN88" s="10">
        <v>45</v>
      </c>
      <c r="BO88" s="10">
        <v>75</v>
      </c>
      <c r="BS88" s="10">
        <v>5</v>
      </c>
      <c r="BT88" s="10">
        <v>10</v>
      </c>
      <c r="BV88" s="61">
        <v>7.49</v>
      </c>
      <c r="BW88" s="61">
        <v>0.51</v>
      </c>
      <c r="BZ88" s="61">
        <v>9.5500000000000007</v>
      </c>
      <c r="CA88" s="10">
        <v>0</v>
      </c>
      <c r="CB88" s="52">
        <v>101</v>
      </c>
      <c r="CG88" s="10">
        <v>2009</v>
      </c>
      <c r="CI88" s="10">
        <v>10</v>
      </c>
      <c r="CJ88" s="10">
        <v>10</v>
      </c>
      <c r="CK88" s="3">
        <v>0</v>
      </c>
      <c r="CM88" s="3">
        <v>0.53</v>
      </c>
      <c r="CN88" s="10">
        <v>52</v>
      </c>
      <c r="CO88" s="52">
        <v>10.5</v>
      </c>
      <c r="CP88" s="52">
        <v>3.9</v>
      </c>
      <c r="CQ88" s="3">
        <v>16.88</v>
      </c>
      <c r="CS88" s="10">
        <v>231</v>
      </c>
      <c r="CT88" s="10">
        <v>221</v>
      </c>
      <c r="CU88" s="59">
        <v>10</v>
      </c>
      <c r="CV88" s="10">
        <v>374</v>
      </c>
      <c r="CW88" s="10">
        <v>17</v>
      </c>
      <c r="CX88" s="60">
        <v>153.80000000000001</v>
      </c>
      <c r="CY88" s="3">
        <v>18.05</v>
      </c>
      <c r="CZ88" s="3">
        <v>5.51</v>
      </c>
      <c r="DC88" s="24">
        <v>45751.564583333333</v>
      </c>
      <c r="DD88" s="24">
        <v>45751.615972222222</v>
      </c>
      <c r="DF88" s="10">
        <v>267</v>
      </c>
      <c r="DG88" s="24">
        <v>45751.668055555558</v>
      </c>
      <c r="DI88" s="10">
        <v>247</v>
      </c>
      <c r="DJ88" s="58">
        <v>45751.718055555553</v>
      </c>
    </row>
    <row r="89" spans="2:114" x14ac:dyDescent="0.25">
      <c r="B89" s="1">
        <v>10172</v>
      </c>
      <c r="C89" s="12">
        <v>45751</v>
      </c>
      <c r="D89" s="2">
        <v>0.58333333333333337</v>
      </c>
      <c r="E89" s="2">
        <v>0.84583333333333333</v>
      </c>
      <c r="F89" s="61">
        <v>13.63</v>
      </c>
      <c r="G89" s="10">
        <v>19</v>
      </c>
      <c r="H89" s="61">
        <v>2.87</v>
      </c>
      <c r="I89" s="52">
        <v>80.5</v>
      </c>
      <c r="J89" s="10">
        <v>10</v>
      </c>
      <c r="L89" s="10">
        <v>6</v>
      </c>
      <c r="N89" s="10">
        <v>64</v>
      </c>
      <c r="O89" s="10">
        <v>27</v>
      </c>
      <c r="P89" s="10">
        <v>46.5</v>
      </c>
      <c r="Q89" s="61">
        <v>2.39</v>
      </c>
      <c r="R89" s="52">
        <v>46.4</v>
      </c>
      <c r="S89" s="10">
        <v>9</v>
      </c>
      <c r="T89" s="52">
        <v>64</v>
      </c>
      <c r="U89" s="10">
        <v>0</v>
      </c>
      <c r="V89" s="52">
        <v>65.400000000000006</v>
      </c>
      <c r="W89" s="10">
        <v>42</v>
      </c>
      <c r="Z89" s="52">
        <v>76</v>
      </c>
      <c r="AA89" s="10">
        <v>109</v>
      </c>
      <c r="AB89" s="10">
        <v>6</v>
      </c>
      <c r="AC89" s="52">
        <v>10</v>
      </c>
      <c r="AD89" s="3">
        <v>22.1</v>
      </c>
      <c r="AE89" s="3">
        <v>2.8</v>
      </c>
      <c r="AG89" s="10">
        <v>0</v>
      </c>
      <c r="AH89" s="10">
        <v>1</v>
      </c>
      <c r="AI89" s="10">
        <v>136</v>
      </c>
      <c r="AJ89" s="10">
        <v>262</v>
      </c>
      <c r="AK89" s="3">
        <v>16.52</v>
      </c>
      <c r="AL89" s="61">
        <v>83.44</v>
      </c>
      <c r="AM89" s="61">
        <v>51.91</v>
      </c>
      <c r="AO89" s="10">
        <v>85</v>
      </c>
      <c r="AP89" s="10">
        <v>101</v>
      </c>
      <c r="AQ89" s="52">
        <v>80.099999999999994</v>
      </c>
      <c r="BG89" s="10">
        <v>180</v>
      </c>
      <c r="BJ89" s="10">
        <v>269</v>
      </c>
      <c r="BK89" s="52">
        <v>101.1</v>
      </c>
      <c r="BM89" s="10">
        <v>30</v>
      </c>
      <c r="BN89" s="10">
        <v>45</v>
      </c>
      <c r="BO89" s="10">
        <v>75</v>
      </c>
      <c r="BS89" s="10">
        <v>5</v>
      </c>
      <c r="BT89" s="10">
        <v>10</v>
      </c>
      <c r="BV89" s="61">
        <v>9.2899999999999991</v>
      </c>
      <c r="BW89" s="61">
        <v>1.29</v>
      </c>
      <c r="BZ89" s="61">
        <v>9.85</v>
      </c>
      <c r="CA89" s="10">
        <v>0</v>
      </c>
      <c r="CB89" s="52">
        <v>101.1</v>
      </c>
      <c r="CG89" s="10">
        <v>2664</v>
      </c>
      <c r="CI89" s="10">
        <v>10</v>
      </c>
      <c r="CJ89" s="10">
        <v>10</v>
      </c>
      <c r="CK89" s="3">
        <v>0</v>
      </c>
      <c r="CM89" s="3">
        <v>0.52</v>
      </c>
      <c r="CN89" s="10">
        <v>68</v>
      </c>
      <c r="CO89" s="52">
        <v>10.3</v>
      </c>
      <c r="CP89" s="52">
        <v>3.8</v>
      </c>
      <c r="CQ89" s="3">
        <v>16.38</v>
      </c>
      <c r="CS89" s="10">
        <v>232</v>
      </c>
      <c r="CT89" s="10">
        <v>244</v>
      </c>
      <c r="CU89" s="59">
        <v>33</v>
      </c>
      <c r="CV89" s="10">
        <v>378</v>
      </c>
      <c r="CW89" s="10">
        <v>21</v>
      </c>
      <c r="CX89" s="60">
        <v>462.23</v>
      </c>
      <c r="CY89" s="3">
        <v>18.02</v>
      </c>
      <c r="CZ89" s="3">
        <v>5.52</v>
      </c>
      <c r="DC89" s="24">
        <v>45751.676388888889</v>
      </c>
      <c r="DD89" s="24">
        <v>45751.732638888891</v>
      </c>
      <c r="DF89" s="10">
        <v>269</v>
      </c>
      <c r="DG89" s="24">
        <v>45751.784722222219</v>
      </c>
      <c r="DI89" s="10">
        <v>244</v>
      </c>
      <c r="DJ89" s="58">
        <v>45751.845833333333</v>
      </c>
    </row>
    <row r="90" spans="2:114" x14ac:dyDescent="0.25">
      <c r="B90" s="1">
        <v>10180</v>
      </c>
      <c r="C90" s="12">
        <v>45759</v>
      </c>
      <c r="D90" s="2">
        <v>2.0833333333333332E-2</v>
      </c>
      <c r="E90" s="2">
        <v>0.27986111111111112</v>
      </c>
      <c r="F90" s="61">
        <v>12.64</v>
      </c>
      <c r="G90" s="10">
        <v>17</v>
      </c>
      <c r="H90" s="61">
        <v>2.8</v>
      </c>
      <c r="I90" s="52">
        <v>79.5</v>
      </c>
      <c r="J90" s="10">
        <v>10</v>
      </c>
      <c r="L90" s="10">
        <v>7</v>
      </c>
      <c r="N90" s="10">
        <v>64</v>
      </c>
      <c r="O90" s="10">
        <v>23</v>
      </c>
      <c r="P90" s="10">
        <v>46.6</v>
      </c>
      <c r="Q90" s="61">
        <v>2.35</v>
      </c>
      <c r="R90" s="52">
        <v>45.1</v>
      </c>
      <c r="S90" s="10">
        <v>10</v>
      </c>
      <c r="T90" s="52">
        <v>63.8</v>
      </c>
      <c r="U90" s="10">
        <v>46</v>
      </c>
      <c r="V90" s="52">
        <v>65.3</v>
      </c>
      <c r="W90" s="10">
        <v>40</v>
      </c>
      <c r="Z90" s="52">
        <v>75.8</v>
      </c>
      <c r="AA90" s="10">
        <v>109</v>
      </c>
      <c r="AB90" s="10">
        <v>8</v>
      </c>
      <c r="AC90" s="52">
        <v>8</v>
      </c>
      <c r="AD90" s="3">
        <v>24</v>
      </c>
      <c r="AE90" s="3">
        <v>2.4300000000000002</v>
      </c>
      <c r="AH90" s="10">
        <v>3</v>
      </c>
      <c r="AI90" s="10">
        <v>120</v>
      </c>
      <c r="AK90" s="3">
        <v>16.48</v>
      </c>
      <c r="AL90" s="61">
        <v>74.53</v>
      </c>
      <c r="AO90" s="10">
        <v>109</v>
      </c>
      <c r="AP90" s="10">
        <v>127</v>
      </c>
      <c r="AQ90" s="52">
        <v>80.099999999999994</v>
      </c>
      <c r="BG90" s="10">
        <v>180</v>
      </c>
      <c r="BJ90" s="10">
        <v>264</v>
      </c>
      <c r="BK90" s="52">
        <v>100.8</v>
      </c>
      <c r="BM90" s="10">
        <v>30</v>
      </c>
      <c r="BN90" s="10">
        <v>45</v>
      </c>
      <c r="BO90" s="10">
        <v>75</v>
      </c>
      <c r="BS90" s="10">
        <v>5</v>
      </c>
      <c r="BT90" s="10">
        <v>10</v>
      </c>
      <c r="BV90" s="61">
        <v>8.33</v>
      </c>
      <c r="BW90" s="61">
        <v>0.33</v>
      </c>
      <c r="BZ90" s="61">
        <v>8.14</v>
      </c>
      <c r="CA90" s="10">
        <v>0</v>
      </c>
      <c r="CB90" s="52">
        <v>101.2</v>
      </c>
      <c r="CG90" s="10">
        <v>2090</v>
      </c>
      <c r="CI90" s="10">
        <v>10</v>
      </c>
      <c r="CJ90" s="10">
        <v>10</v>
      </c>
      <c r="CK90" s="3">
        <v>0</v>
      </c>
      <c r="CM90" s="3">
        <v>0.69</v>
      </c>
      <c r="CN90" s="10">
        <v>52</v>
      </c>
      <c r="CQ90" s="3">
        <v>0</v>
      </c>
      <c r="CS90" s="10">
        <v>232</v>
      </c>
      <c r="CT90" s="10">
        <v>239</v>
      </c>
      <c r="CU90" s="59">
        <v>28</v>
      </c>
      <c r="CV90" s="10">
        <v>373</v>
      </c>
      <c r="CW90" s="10">
        <v>16</v>
      </c>
      <c r="CX90" s="60">
        <v>316.19</v>
      </c>
      <c r="CY90" s="3">
        <v>17.78</v>
      </c>
      <c r="CZ90" s="3">
        <v>5.51</v>
      </c>
      <c r="DC90" s="24">
        <v>45759.113888888889</v>
      </c>
      <c r="DD90" s="24">
        <v>45759.177777777775</v>
      </c>
      <c r="DF90" s="10">
        <v>264</v>
      </c>
      <c r="DG90" s="24">
        <v>45759.229861111111</v>
      </c>
      <c r="DI90" s="10">
        <v>242</v>
      </c>
      <c r="DJ90" s="58">
        <v>45759.279861111114</v>
      </c>
    </row>
    <row r="91" spans="2:114" x14ac:dyDescent="0.25">
      <c r="B91" s="1">
        <v>10181</v>
      </c>
      <c r="C91" s="12">
        <v>45759</v>
      </c>
      <c r="D91" s="2">
        <v>0.15694444444444444</v>
      </c>
      <c r="E91" s="2">
        <v>0.40902777777777766</v>
      </c>
      <c r="F91" s="61">
        <v>12.89</v>
      </c>
      <c r="G91" s="10">
        <v>28</v>
      </c>
      <c r="H91" s="61">
        <v>3.69</v>
      </c>
      <c r="I91" s="52">
        <v>79.8</v>
      </c>
      <c r="J91" s="10">
        <v>10</v>
      </c>
      <c r="L91" s="10">
        <v>1</v>
      </c>
      <c r="N91" s="10">
        <v>62</v>
      </c>
      <c r="O91" s="10">
        <v>27</v>
      </c>
      <c r="P91" s="10">
        <v>45.9</v>
      </c>
      <c r="Q91" s="61">
        <v>2.36</v>
      </c>
      <c r="R91" s="52">
        <v>46.1</v>
      </c>
      <c r="S91" s="10">
        <v>1</v>
      </c>
      <c r="T91" s="52">
        <v>64.5</v>
      </c>
      <c r="U91" s="10">
        <v>0</v>
      </c>
      <c r="V91" s="52">
        <v>66</v>
      </c>
      <c r="W91" s="10">
        <v>40</v>
      </c>
      <c r="Z91" s="52">
        <v>76</v>
      </c>
      <c r="AA91" s="10">
        <v>92</v>
      </c>
      <c r="AB91" s="10">
        <v>14</v>
      </c>
      <c r="AC91" s="52">
        <v>11.7</v>
      </c>
      <c r="AD91" s="3">
        <v>19.579999999999998</v>
      </c>
      <c r="AE91" s="3">
        <v>2.4700000000000002</v>
      </c>
      <c r="AF91" s="3">
        <v>0.44</v>
      </c>
      <c r="AG91" s="10">
        <v>90</v>
      </c>
      <c r="AH91" s="10">
        <v>1</v>
      </c>
      <c r="AI91" s="10">
        <v>140</v>
      </c>
      <c r="AJ91" s="10">
        <v>258</v>
      </c>
      <c r="AK91" s="3">
        <v>16.48</v>
      </c>
      <c r="AL91" s="61">
        <v>77.349999999999994</v>
      </c>
      <c r="AM91" s="61">
        <v>54.26</v>
      </c>
      <c r="AO91" s="10">
        <v>83</v>
      </c>
      <c r="AP91" s="10">
        <v>131</v>
      </c>
      <c r="AQ91" s="52">
        <v>79.900000000000006</v>
      </c>
      <c r="BG91" s="10">
        <v>180</v>
      </c>
      <c r="BJ91" s="10">
        <v>263</v>
      </c>
      <c r="BK91" s="52">
        <v>100.7</v>
      </c>
      <c r="BM91" s="10">
        <v>30</v>
      </c>
      <c r="BN91" s="10">
        <v>45</v>
      </c>
      <c r="BO91" s="10">
        <v>75</v>
      </c>
      <c r="BS91" s="10">
        <v>5</v>
      </c>
      <c r="BT91" s="10">
        <v>10</v>
      </c>
      <c r="BV91" s="61">
        <v>6.84</v>
      </c>
      <c r="BW91" s="61">
        <v>1.1599999999999999</v>
      </c>
      <c r="BZ91" s="61">
        <v>8.17</v>
      </c>
      <c r="CA91" s="10">
        <v>0</v>
      </c>
      <c r="CB91" s="52">
        <v>100.9</v>
      </c>
      <c r="CG91" s="10">
        <v>2114</v>
      </c>
      <c r="CI91" s="10">
        <v>10</v>
      </c>
      <c r="CJ91" s="10">
        <v>10</v>
      </c>
      <c r="CK91" s="3">
        <v>0</v>
      </c>
      <c r="CM91" s="3">
        <v>0.53</v>
      </c>
      <c r="CN91" s="10">
        <v>52</v>
      </c>
      <c r="CO91" s="52">
        <v>10.7</v>
      </c>
      <c r="CP91" s="52">
        <v>3.6</v>
      </c>
      <c r="CQ91" s="3">
        <v>15.58</v>
      </c>
      <c r="CS91" s="10">
        <v>231</v>
      </c>
      <c r="CT91" s="10">
        <v>229</v>
      </c>
      <c r="CU91" s="59">
        <v>18</v>
      </c>
      <c r="CV91" s="10">
        <v>363</v>
      </c>
      <c r="CW91" s="10">
        <v>6</v>
      </c>
      <c r="CX91" s="60">
        <v>298.45</v>
      </c>
      <c r="CY91" s="3">
        <v>17.829999999999998</v>
      </c>
      <c r="CZ91" s="3">
        <v>5.49</v>
      </c>
      <c r="DC91" s="24">
        <v>45761.119444444441</v>
      </c>
      <c r="DD91" s="24">
        <v>45761.168055555558</v>
      </c>
      <c r="DF91" s="10">
        <v>267</v>
      </c>
      <c r="DG91" s="24">
        <v>45761.220138888886</v>
      </c>
      <c r="DI91" s="10">
        <v>243</v>
      </c>
      <c r="DJ91" s="58">
        <v>45761.269444444442</v>
      </c>
    </row>
    <row r="92" spans="2:114" x14ac:dyDescent="0.25">
      <c r="B92" s="1">
        <v>10182</v>
      </c>
      <c r="C92" s="12">
        <v>45759</v>
      </c>
      <c r="D92" s="2">
        <v>0.2638888888888889</v>
      </c>
      <c r="E92" s="2">
        <v>0.50555555555555542</v>
      </c>
      <c r="F92" s="61">
        <v>12.72</v>
      </c>
      <c r="G92" s="10">
        <v>16</v>
      </c>
      <c r="H92" s="61">
        <v>2.81</v>
      </c>
      <c r="I92" s="52">
        <v>79.5</v>
      </c>
      <c r="J92" s="10">
        <v>10</v>
      </c>
      <c r="L92" s="10">
        <v>6</v>
      </c>
      <c r="N92" s="10">
        <v>60</v>
      </c>
      <c r="O92" s="10">
        <v>26</v>
      </c>
      <c r="P92" s="10">
        <v>46</v>
      </c>
      <c r="Q92" s="61">
        <v>2.5</v>
      </c>
      <c r="R92" s="52">
        <v>46</v>
      </c>
      <c r="S92" s="10">
        <v>10</v>
      </c>
      <c r="T92" s="52">
        <v>63.8</v>
      </c>
      <c r="U92" s="10">
        <v>7</v>
      </c>
      <c r="V92" s="52">
        <v>65.400000000000006</v>
      </c>
      <c r="W92" s="10">
        <v>40</v>
      </c>
      <c r="AA92" s="10">
        <v>100</v>
      </c>
      <c r="AB92" s="10">
        <v>7</v>
      </c>
      <c r="AC92" s="52">
        <v>12.2</v>
      </c>
      <c r="AD92" s="3">
        <v>22.1</v>
      </c>
      <c r="AE92" s="3">
        <v>2.4500000000000002</v>
      </c>
      <c r="AF92" s="3">
        <v>0.54</v>
      </c>
      <c r="AG92" s="10">
        <v>90</v>
      </c>
      <c r="AH92" s="10">
        <v>1</v>
      </c>
      <c r="AI92" s="10">
        <v>140</v>
      </c>
      <c r="AJ92" s="10">
        <v>258</v>
      </c>
      <c r="AK92" s="3">
        <v>16.579999999999998</v>
      </c>
      <c r="AL92" s="61">
        <v>84.85</v>
      </c>
      <c r="AM92" s="61">
        <v>54.26</v>
      </c>
      <c r="AO92" s="10">
        <v>81</v>
      </c>
      <c r="AP92" s="10">
        <v>121</v>
      </c>
      <c r="AQ92" s="52">
        <v>80</v>
      </c>
      <c r="BG92" s="10">
        <v>180</v>
      </c>
      <c r="BJ92" s="10">
        <v>265</v>
      </c>
      <c r="BK92" s="52">
        <v>100.8</v>
      </c>
      <c r="BM92" s="10">
        <v>30</v>
      </c>
      <c r="BN92" s="10">
        <v>45</v>
      </c>
      <c r="BO92" s="10">
        <v>75</v>
      </c>
      <c r="BS92" s="10">
        <v>5</v>
      </c>
      <c r="BT92" s="10">
        <v>10</v>
      </c>
      <c r="BV92" s="61">
        <v>6.79</v>
      </c>
      <c r="BW92" s="61">
        <v>1.21</v>
      </c>
      <c r="BZ92" s="61">
        <v>10.38</v>
      </c>
      <c r="CA92" s="10">
        <v>0</v>
      </c>
      <c r="CB92" s="52">
        <v>100.9</v>
      </c>
      <c r="CG92" s="10">
        <v>2344</v>
      </c>
      <c r="CI92" s="10">
        <v>10</v>
      </c>
      <c r="CJ92" s="10">
        <v>10</v>
      </c>
      <c r="CK92" s="3">
        <v>0</v>
      </c>
      <c r="CM92" s="3">
        <v>0.54</v>
      </c>
      <c r="CN92" s="10">
        <v>51</v>
      </c>
      <c r="CO92" s="52">
        <v>10.7</v>
      </c>
      <c r="CP92" s="52">
        <v>3.5</v>
      </c>
      <c r="CQ92" s="3">
        <v>15.42</v>
      </c>
      <c r="CS92" s="10">
        <v>227</v>
      </c>
      <c r="CT92" s="10">
        <v>225</v>
      </c>
      <c r="CU92" s="59">
        <v>14</v>
      </c>
      <c r="CV92" s="10">
        <v>348</v>
      </c>
      <c r="CW92" s="10">
        <v>9</v>
      </c>
      <c r="CX92" s="60">
        <v>263.61</v>
      </c>
      <c r="CY92" s="3">
        <v>18.23</v>
      </c>
      <c r="CZ92" s="3">
        <v>5.47</v>
      </c>
      <c r="DC92" s="24">
        <v>45759.25</v>
      </c>
      <c r="DD92" s="24">
        <v>45759.306944444441</v>
      </c>
      <c r="DF92" s="10">
        <v>263</v>
      </c>
      <c r="DG92" s="24">
        <v>45759.359027777777</v>
      </c>
      <c r="DI92" s="10">
        <v>245</v>
      </c>
      <c r="DJ92" s="58">
        <v>45759.40902777778</v>
      </c>
    </row>
    <row r="93" spans="2:114" x14ac:dyDescent="0.25">
      <c r="B93" s="1">
        <v>10183</v>
      </c>
      <c r="C93" s="12">
        <v>45759</v>
      </c>
      <c r="D93" s="2">
        <v>0.36458333333333331</v>
      </c>
      <c r="E93" s="2">
        <v>0.60069444444444431</v>
      </c>
      <c r="F93" s="61">
        <v>0</v>
      </c>
      <c r="G93" s="10">
        <v>16</v>
      </c>
      <c r="H93" s="61">
        <v>3.19</v>
      </c>
      <c r="I93" s="52">
        <v>79.7</v>
      </c>
      <c r="J93" s="10">
        <v>10</v>
      </c>
      <c r="L93" s="10">
        <v>5</v>
      </c>
      <c r="N93" s="10">
        <v>59</v>
      </c>
      <c r="O93" s="10">
        <v>25</v>
      </c>
      <c r="P93" s="10">
        <v>46.6</v>
      </c>
      <c r="Q93" s="61">
        <v>2.4500000000000002</v>
      </c>
      <c r="R93" s="52">
        <v>46</v>
      </c>
      <c r="S93" s="10">
        <v>10</v>
      </c>
      <c r="T93" s="52">
        <v>64.400000000000006</v>
      </c>
      <c r="U93" s="10">
        <v>0</v>
      </c>
      <c r="V93" s="52">
        <v>65.400000000000006</v>
      </c>
      <c r="W93" s="10">
        <v>40</v>
      </c>
      <c r="AA93" s="10">
        <v>102</v>
      </c>
      <c r="AB93" s="10">
        <v>7</v>
      </c>
      <c r="AC93" s="52">
        <v>13.2</v>
      </c>
      <c r="AD93" s="3">
        <v>22.53</v>
      </c>
      <c r="AE93" s="3">
        <v>2.4</v>
      </c>
      <c r="AF93" s="3">
        <v>0.47</v>
      </c>
      <c r="AG93" s="10">
        <v>90</v>
      </c>
      <c r="AH93" s="10">
        <v>1</v>
      </c>
      <c r="AI93" s="10">
        <v>136</v>
      </c>
      <c r="AJ93" s="10">
        <v>259</v>
      </c>
      <c r="AK93" s="3">
        <v>16.46</v>
      </c>
      <c r="AL93" s="61">
        <v>83.95</v>
      </c>
      <c r="AM93" s="61">
        <v>52.51</v>
      </c>
      <c r="AO93" s="10">
        <v>82</v>
      </c>
      <c r="AP93" s="10">
        <v>122</v>
      </c>
      <c r="AQ93" s="52">
        <v>79.8</v>
      </c>
      <c r="BG93" s="10">
        <v>180</v>
      </c>
      <c r="BJ93" s="10">
        <v>265</v>
      </c>
      <c r="BK93" s="52">
        <v>100.8</v>
      </c>
      <c r="BM93" s="10">
        <v>30</v>
      </c>
      <c r="BN93" s="10">
        <v>45</v>
      </c>
      <c r="BO93" s="10">
        <v>75</v>
      </c>
      <c r="BS93" s="10">
        <v>5</v>
      </c>
      <c r="BT93" s="10">
        <v>10</v>
      </c>
      <c r="BV93" s="61">
        <v>7.17</v>
      </c>
      <c r="BW93" s="61">
        <v>0.83</v>
      </c>
      <c r="BZ93" s="61">
        <v>9.25</v>
      </c>
      <c r="CA93" s="10">
        <v>0</v>
      </c>
      <c r="CB93" s="52">
        <v>101.1</v>
      </c>
      <c r="CG93" s="10">
        <v>2411</v>
      </c>
      <c r="CI93" s="10">
        <v>10</v>
      </c>
      <c r="CJ93" s="10">
        <v>10</v>
      </c>
      <c r="CK93" s="3">
        <v>0</v>
      </c>
      <c r="CM93" s="3">
        <v>0.53</v>
      </c>
      <c r="CN93" s="10">
        <v>51</v>
      </c>
      <c r="CO93" s="52">
        <v>10.7</v>
      </c>
      <c r="CP93" s="52">
        <v>3.8</v>
      </c>
      <c r="CQ93" s="3">
        <v>16.52</v>
      </c>
      <c r="CS93" s="10">
        <v>230</v>
      </c>
      <c r="CT93" s="10">
        <v>215</v>
      </c>
      <c r="CU93" s="59">
        <v>4</v>
      </c>
      <c r="CV93" s="10">
        <v>340</v>
      </c>
      <c r="CW93" s="10">
        <v>17</v>
      </c>
      <c r="CX93" s="60">
        <v>125.88</v>
      </c>
      <c r="CY93" s="3">
        <v>18.22</v>
      </c>
      <c r="CZ93" s="3">
        <v>5.48</v>
      </c>
      <c r="DC93" s="24">
        <v>45759.349305555559</v>
      </c>
      <c r="DD93" s="24">
        <v>45759.404166666667</v>
      </c>
      <c r="DF93" s="10">
        <v>265</v>
      </c>
      <c r="DG93" s="24">
        <v>45759.456250000003</v>
      </c>
      <c r="DI93" s="10">
        <v>247</v>
      </c>
      <c r="DJ93" s="58">
        <v>45759.505555555559</v>
      </c>
    </row>
    <row r="94" spans="2:114" x14ac:dyDescent="0.25">
      <c r="B94" s="1">
        <v>10184</v>
      </c>
      <c r="C94" s="12">
        <v>45759</v>
      </c>
      <c r="D94" s="2">
        <v>0.46180555555555558</v>
      </c>
      <c r="E94" s="2">
        <v>0.70347222222222217</v>
      </c>
      <c r="F94" s="61">
        <v>12.09</v>
      </c>
      <c r="G94" s="10">
        <v>16</v>
      </c>
      <c r="H94" s="61">
        <v>2.87</v>
      </c>
      <c r="I94" s="52">
        <v>79.7</v>
      </c>
      <c r="J94" s="10">
        <v>10</v>
      </c>
      <c r="L94" s="10">
        <v>5</v>
      </c>
      <c r="N94" s="10">
        <v>64</v>
      </c>
      <c r="O94" s="10">
        <v>25</v>
      </c>
      <c r="P94" s="10">
        <v>46.2</v>
      </c>
      <c r="Q94" s="61">
        <v>2.4500000000000002</v>
      </c>
      <c r="R94" s="52">
        <v>46.5</v>
      </c>
      <c r="S94" s="10">
        <v>10</v>
      </c>
      <c r="T94" s="52">
        <v>64.400000000000006</v>
      </c>
      <c r="U94" s="10">
        <v>0</v>
      </c>
      <c r="V94" s="52">
        <v>65.400000000000006</v>
      </c>
      <c r="W94" s="10">
        <v>40</v>
      </c>
      <c r="Z94" s="52">
        <v>75.900000000000006</v>
      </c>
      <c r="AA94" s="10">
        <v>107</v>
      </c>
      <c r="AB94" s="10">
        <v>9</v>
      </c>
      <c r="AC94" s="52">
        <v>12.5</v>
      </c>
      <c r="AD94" s="3">
        <v>22.26</v>
      </c>
      <c r="AE94" s="3">
        <v>2.21</v>
      </c>
      <c r="AF94" s="3">
        <v>0.42</v>
      </c>
      <c r="AG94" s="10">
        <v>88</v>
      </c>
      <c r="AH94" s="10">
        <v>1</v>
      </c>
      <c r="AI94" s="10">
        <v>136</v>
      </c>
      <c r="AJ94" s="10">
        <v>261</v>
      </c>
      <c r="AK94" s="3">
        <v>16.440000000000001</v>
      </c>
      <c r="AL94" s="61">
        <v>83.95</v>
      </c>
      <c r="AM94" s="61">
        <v>52.11</v>
      </c>
      <c r="AO94" s="10">
        <v>82</v>
      </c>
      <c r="AP94" s="10">
        <v>124</v>
      </c>
      <c r="AQ94" s="52">
        <v>79.900000000000006</v>
      </c>
      <c r="BG94" s="10">
        <v>180</v>
      </c>
      <c r="BJ94" s="10">
        <v>268</v>
      </c>
      <c r="BK94" s="52">
        <v>100.8</v>
      </c>
      <c r="BM94" s="10">
        <v>30</v>
      </c>
      <c r="BN94" s="10">
        <v>45</v>
      </c>
      <c r="BO94" s="10">
        <v>75</v>
      </c>
      <c r="BS94" s="10">
        <v>5</v>
      </c>
      <c r="BT94" s="10">
        <v>10</v>
      </c>
      <c r="BV94" s="61">
        <v>7.84</v>
      </c>
      <c r="BW94" s="61">
        <v>0.16</v>
      </c>
      <c r="BZ94" s="61">
        <v>9.51</v>
      </c>
      <c r="CA94" s="10">
        <v>0</v>
      </c>
      <c r="CB94" s="52">
        <v>101</v>
      </c>
      <c r="CG94" s="10">
        <v>2391</v>
      </c>
      <c r="CI94" s="10">
        <v>10</v>
      </c>
      <c r="CJ94" s="10">
        <v>10</v>
      </c>
      <c r="CK94" s="3">
        <v>0</v>
      </c>
      <c r="CM94" s="3">
        <v>0.52</v>
      </c>
      <c r="CN94" s="10">
        <v>52</v>
      </c>
      <c r="CO94" s="52">
        <v>10.7</v>
      </c>
      <c r="CP94" s="52">
        <v>3.9</v>
      </c>
      <c r="CQ94" s="3">
        <v>16.809999999999999</v>
      </c>
      <c r="CS94" s="10">
        <v>232</v>
      </c>
      <c r="CT94" s="10">
        <v>216</v>
      </c>
      <c r="CU94" s="59">
        <v>5</v>
      </c>
      <c r="CV94" s="10">
        <v>348</v>
      </c>
      <c r="CW94" s="10">
        <v>9</v>
      </c>
      <c r="CX94" s="60">
        <v>69.28</v>
      </c>
      <c r="CY94" s="3">
        <v>18.05</v>
      </c>
      <c r="CZ94" s="3">
        <v>5.51</v>
      </c>
      <c r="DC94" s="24">
        <v>45759.451388888891</v>
      </c>
      <c r="DD94" s="24">
        <v>45759.499305555553</v>
      </c>
      <c r="DF94" s="10">
        <v>265</v>
      </c>
      <c r="DG94" s="24">
        <v>45759.551388888889</v>
      </c>
      <c r="DI94" s="10">
        <v>246</v>
      </c>
      <c r="DJ94" s="58">
        <v>45759.600694444445</v>
      </c>
    </row>
    <row r="95" spans="2:114" x14ac:dyDescent="0.25">
      <c r="B95" s="1">
        <v>10185</v>
      </c>
      <c r="C95" s="12">
        <v>45759</v>
      </c>
      <c r="D95" s="2">
        <v>0.55902777777777779</v>
      </c>
      <c r="E95" s="2">
        <v>0.7993055555555556</v>
      </c>
      <c r="F95" s="61">
        <v>13.1</v>
      </c>
      <c r="G95" s="10">
        <v>17</v>
      </c>
      <c r="H95" s="61">
        <v>2.83</v>
      </c>
      <c r="I95" s="52">
        <v>79.7</v>
      </c>
      <c r="J95" s="10">
        <v>10</v>
      </c>
      <c r="L95" s="10">
        <v>6</v>
      </c>
      <c r="N95" s="10">
        <v>60</v>
      </c>
      <c r="O95" s="10">
        <v>24</v>
      </c>
      <c r="P95" s="10">
        <v>45.9</v>
      </c>
      <c r="Q95" s="61">
        <v>2.42</v>
      </c>
      <c r="R95" s="52">
        <v>46.6</v>
      </c>
      <c r="S95" s="10">
        <v>10</v>
      </c>
      <c r="T95" s="52">
        <v>64.2</v>
      </c>
      <c r="U95" s="10">
        <v>0</v>
      </c>
      <c r="V95" s="52">
        <v>65.7</v>
      </c>
      <c r="W95" s="10">
        <v>40</v>
      </c>
      <c r="Z95" s="52">
        <v>75.900000000000006</v>
      </c>
      <c r="AA95" s="10">
        <v>106</v>
      </c>
      <c r="AB95" s="10">
        <v>6</v>
      </c>
      <c r="AC95" s="52">
        <v>19.8</v>
      </c>
      <c r="AD95" s="3">
        <v>22.2</v>
      </c>
      <c r="AE95" s="3">
        <v>2.2400000000000002</v>
      </c>
      <c r="AF95" s="3">
        <v>0.4</v>
      </c>
      <c r="AG95" s="10">
        <v>88</v>
      </c>
      <c r="AH95" s="10">
        <v>1</v>
      </c>
      <c r="AI95" s="10">
        <v>136</v>
      </c>
      <c r="AJ95" s="10">
        <v>261</v>
      </c>
      <c r="AK95" s="3">
        <v>16.260000000000002</v>
      </c>
      <c r="AL95" s="61">
        <v>84.47</v>
      </c>
      <c r="AM95" s="61">
        <v>52.11</v>
      </c>
      <c r="AO95" s="10">
        <v>82</v>
      </c>
      <c r="AP95" s="10">
        <v>122</v>
      </c>
      <c r="AQ95" s="52">
        <v>80.2</v>
      </c>
      <c r="BG95" s="10">
        <v>180</v>
      </c>
      <c r="BJ95" s="10">
        <v>267</v>
      </c>
      <c r="BK95" s="52">
        <v>101</v>
      </c>
      <c r="BM95" s="10">
        <v>30</v>
      </c>
      <c r="BN95" s="10">
        <v>45</v>
      </c>
      <c r="BO95" s="10">
        <v>75</v>
      </c>
      <c r="BS95" s="10">
        <v>5</v>
      </c>
      <c r="BT95" s="10">
        <v>10</v>
      </c>
      <c r="BV95" s="61">
        <v>7.49</v>
      </c>
      <c r="BW95" s="61">
        <v>0.51</v>
      </c>
      <c r="BZ95" s="61">
        <v>9.5500000000000007</v>
      </c>
      <c r="CA95" s="10">
        <v>0</v>
      </c>
      <c r="CB95" s="52">
        <v>101.2</v>
      </c>
      <c r="CG95" s="10">
        <v>2253</v>
      </c>
      <c r="CI95" s="10">
        <v>10</v>
      </c>
      <c r="CJ95" s="10">
        <v>10</v>
      </c>
      <c r="CK95" s="3">
        <v>0</v>
      </c>
      <c r="CM95" s="3">
        <v>0.53</v>
      </c>
      <c r="CN95" s="10">
        <v>52</v>
      </c>
      <c r="CO95" s="52">
        <v>10.6</v>
      </c>
      <c r="CP95" s="52">
        <v>3.8</v>
      </c>
      <c r="CQ95" s="3">
        <v>16.45</v>
      </c>
      <c r="CS95" s="10">
        <v>231</v>
      </c>
      <c r="CT95" s="10">
        <v>217</v>
      </c>
      <c r="CU95" s="59">
        <v>6</v>
      </c>
      <c r="CV95" s="10">
        <v>346</v>
      </c>
      <c r="CW95" s="10">
        <v>11</v>
      </c>
      <c r="CX95" s="60">
        <v>113.8</v>
      </c>
      <c r="CY95" s="3">
        <v>18.010000000000002</v>
      </c>
      <c r="CZ95" s="3">
        <v>5.52</v>
      </c>
      <c r="DC95" s="24">
        <v>45759.553472222222</v>
      </c>
      <c r="DD95" s="24">
        <v>45759.601388888892</v>
      </c>
      <c r="DF95" s="10">
        <v>268</v>
      </c>
      <c r="DG95" s="24">
        <v>45759.65347222222</v>
      </c>
      <c r="DI95" s="10">
        <v>247</v>
      </c>
      <c r="DJ95" s="58">
        <v>45759.703472222223</v>
      </c>
    </row>
    <row r="96" spans="2:114" x14ac:dyDescent="0.25">
      <c r="B96" s="1">
        <v>10186</v>
      </c>
      <c r="C96" s="12">
        <v>45759</v>
      </c>
      <c r="D96" s="2">
        <v>0.67013888888888884</v>
      </c>
      <c r="E96" s="2">
        <v>0.91249999999999998</v>
      </c>
      <c r="F96" s="61">
        <v>13.26</v>
      </c>
      <c r="G96" s="10">
        <v>19</v>
      </c>
      <c r="H96" s="61">
        <v>2.82</v>
      </c>
      <c r="I96" s="52">
        <v>79.7</v>
      </c>
      <c r="J96" s="10">
        <v>10</v>
      </c>
      <c r="L96" s="10">
        <v>6</v>
      </c>
      <c r="N96" s="10">
        <v>63</v>
      </c>
      <c r="O96" s="10">
        <v>26</v>
      </c>
      <c r="P96" s="10">
        <v>46.1</v>
      </c>
      <c r="Q96" s="61">
        <v>2.4900000000000002</v>
      </c>
      <c r="R96" s="52">
        <v>47</v>
      </c>
      <c r="S96" s="10">
        <v>10</v>
      </c>
      <c r="T96" s="52">
        <v>64.3</v>
      </c>
      <c r="U96" s="10">
        <v>0</v>
      </c>
      <c r="V96" s="52">
        <v>65.400000000000006</v>
      </c>
      <c r="W96" s="10">
        <v>40</v>
      </c>
      <c r="Z96" s="52">
        <v>76</v>
      </c>
      <c r="AA96" s="10">
        <v>106</v>
      </c>
      <c r="AB96" s="10">
        <v>8</v>
      </c>
      <c r="AC96" s="52">
        <v>12.6</v>
      </c>
      <c r="AD96" s="3">
        <v>21.91</v>
      </c>
      <c r="AE96" s="3">
        <v>2.72</v>
      </c>
      <c r="AF96" s="3">
        <v>0.56000000000000005</v>
      </c>
      <c r="AG96" s="10">
        <v>88</v>
      </c>
      <c r="AH96" s="10">
        <v>1</v>
      </c>
      <c r="AI96" s="10">
        <v>138</v>
      </c>
      <c r="AJ96" s="10">
        <v>261</v>
      </c>
      <c r="AK96" s="3">
        <v>16.32</v>
      </c>
      <c r="AL96" s="61">
        <v>84.66</v>
      </c>
      <c r="AM96" s="61">
        <v>52.87</v>
      </c>
      <c r="AO96" s="10">
        <v>80</v>
      </c>
      <c r="AP96" s="10">
        <v>122</v>
      </c>
      <c r="AQ96" s="52">
        <v>79.8</v>
      </c>
      <c r="BG96" s="10">
        <v>180</v>
      </c>
      <c r="BJ96" s="10">
        <v>266</v>
      </c>
      <c r="BK96" s="52">
        <v>101</v>
      </c>
      <c r="BM96" s="10">
        <v>30</v>
      </c>
      <c r="BN96" s="10">
        <v>45</v>
      </c>
      <c r="BO96" s="10">
        <v>75</v>
      </c>
      <c r="BS96" s="10">
        <v>5</v>
      </c>
      <c r="BT96" s="10">
        <v>10</v>
      </c>
      <c r="BV96" s="61">
        <v>7.89</v>
      </c>
      <c r="BW96" s="61">
        <v>0.11</v>
      </c>
      <c r="BZ96" s="61">
        <v>9.9600000000000009</v>
      </c>
      <c r="CA96" s="10">
        <v>0</v>
      </c>
      <c r="CB96" s="52">
        <v>101.1</v>
      </c>
      <c r="CG96" s="10">
        <v>2289</v>
      </c>
      <c r="CI96" s="10">
        <v>10</v>
      </c>
      <c r="CJ96" s="10">
        <v>10</v>
      </c>
      <c r="CK96" s="3">
        <v>0</v>
      </c>
      <c r="CM96" s="3">
        <v>0.53</v>
      </c>
      <c r="CN96" s="10">
        <v>53</v>
      </c>
      <c r="CO96" s="52">
        <v>10.5</v>
      </c>
      <c r="CP96" s="52">
        <v>3.8</v>
      </c>
      <c r="CQ96" s="3">
        <v>16.59</v>
      </c>
      <c r="CS96" s="10">
        <v>229</v>
      </c>
      <c r="CT96" s="10">
        <v>216</v>
      </c>
      <c r="CU96" s="59">
        <v>5</v>
      </c>
      <c r="CV96" s="10">
        <v>349</v>
      </c>
      <c r="CW96" s="10">
        <v>8</v>
      </c>
      <c r="CX96" s="60">
        <v>63.39</v>
      </c>
      <c r="CY96" s="3">
        <v>17.8</v>
      </c>
      <c r="CZ96" s="3">
        <v>5.49</v>
      </c>
      <c r="DC96" s="24">
        <v>45759.648611111108</v>
      </c>
      <c r="DD96" s="24">
        <v>45759.697222222225</v>
      </c>
      <c r="DF96" s="10">
        <v>267</v>
      </c>
      <c r="DG96" s="24">
        <v>45759.749305555553</v>
      </c>
      <c r="DI96" s="10">
        <v>247</v>
      </c>
      <c r="DJ96" s="58">
        <v>45759.799305555556</v>
      </c>
    </row>
    <row r="97" spans="1:114" x14ac:dyDescent="0.25">
      <c r="B97" s="1">
        <v>10187</v>
      </c>
      <c r="C97" s="12">
        <v>45759</v>
      </c>
      <c r="D97" s="2">
        <v>0.79166666666666663</v>
      </c>
      <c r="E97" s="2">
        <v>1.0361111111111112</v>
      </c>
      <c r="F97" s="61">
        <v>13.36</v>
      </c>
      <c r="G97" s="10">
        <v>18</v>
      </c>
      <c r="H97" s="61">
        <v>3.06</v>
      </c>
      <c r="I97" s="52">
        <v>79.599999999999994</v>
      </c>
      <c r="J97" s="10">
        <v>10</v>
      </c>
      <c r="L97" s="10">
        <v>5</v>
      </c>
      <c r="N97" s="10">
        <v>60</v>
      </c>
      <c r="O97" s="10">
        <v>25</v>
      </c>
      <c r="P97" s="10">
        <v>46.4</v>
      </c>
      <c r="Q97" s="61">
        <v>2.2999999999999998</v>
      </c>
      <c r="R97" s="52">
        <v>47</v>
      </c>
      <c r="S97" s="10">
        <v>9</v>
      </c>
      <c r="T97" s="52">
        <v>64.7</v>
      </c>
      <c r="U97" s="10">
        <v>0</v>
      </c>
      <c r="V97" s="52">
        <v>66.099999999999994</v>
      </c>
      <c r="W97" s="10">
        <v>40</v>
      </c>
      <c r="Z97" s="52">
        <v>75.7</v>
      </c>
      <c r="AA97" s="10">
        <v>102</v>
      </c>
      <c r="AB97" s="10">
        <v>8</v>
      </c>
      <c r="AC97" s="52">
        <v>15.3</v>
      </c>
      <c r="AD97" s="3">
        <v>22.3</v>
      </c>
      <c r="AE97" s="3">
        <v>2.2000000000000002</v>
      </c>
      <c r="AG97" s="10">
        <v>90</v>
      </c>
      <c r="AH97" s="10">
        <v>1</v>
      </c>
      <c r="AI97" s="10">
        <v>136</v>
      </c>
      <c r="AJ97" s="10">
        <v>260</v>
      </c>
      <c r="AK97" s="3">
        <v>16.420000000000002</v>
      </c>
      <c r="AL97" s="61">
        <v>84.47</v>
      </c>
      <c r="AM97" s="61">
        <v>52.31</v>
      </c>
      <c r="AO97" s="10">
        <v>80</v>
      </c>
      <c r="AP97" s="10">
        <v>122</v>
      </c>
      <c r="AQ97" s="52">
        <v>80.2</v>
      </c>
      <c r="BG97" s="10">
        <v>185</v>
      </c>
      <c r="BJ97" s="10">
        <v>267</v>
      </c>
      <c r="BK97" s="52">
        <v>100.9</v>
      </c>
      <c r="BM97" s="10">
        <v>30</v>
      </c>
      <c r="BN97" s="10">
        <v>45</v>
      </c>
      <c r="BO97" s="10">
        <v>75</v>
      </c>
      <c r="BS97" s="10">
        <v>5</v>
      </c>
      <c r="BT97" s="10">
        <v>10</v>
      </c>
      <c r="BV97" s="61">
        <v>8.99</v>
      </c>
      <c r="BW97" s="61">
        <v>0.99</v>
      </c>
      <c r="BZ97" s="61">
        <v>9.5500000000000007</v>
      </c>
      <c r="CA97" s="10">
        <v>0</v>
      </c>
      <c r="CB97" s="52">
        <v>101</v>
      </c>
      <c r="CG97" s="10">
        <v>2356</v>
      </c>
      <c r="CI97" s="10">
        <v>10</v>
      </c>
      <c r="CJ97" s="10">
        <v>10</v>
      </c>
      <c r="CK97" s="3">
        <v>0</v>
      </c>
      <c r="CM97" s="3">
        <v>0.53</v>
      </c>
      <c r="CN97" s="10">
        <v>52</v>
      </c>
      <c r="CO97" s="52">
        <v>10.6</v>
      </c>
      <c r="CP97" s="52">
        <v>3.7</v>
      </c>
      <c r="CQ97" s="3">
        <v>16.02</v>
      </c>
      <c r="CS97" s="10">
        <v>231</v>
      </c>
      <c r="CT97" s="10">
        <v>224</v>
      </c>
      <c r="CU97" s="59">
        <v>13</v>
      </c>
      <c r="CV97" s="10">
        <v>352</v>
      </c>
      <c r="CW97" s="10">
        <v>5</v>
      </c>
      <c r="CX97" s="60">
        <v>231.74</v>
      </c>
      <c r="CY97" s="3">
        <v>17.78</v>
      </c>
      <c r="CZ97" s="3">
        <v>5.52</v>
      </c>
      <c r="DC97" s="24">
        <v>45759.762499999997</v>
      </c>
      <c r="DD97" s="24">
        <v>45759.80972222222</v>
      </c>
      <c r="DF97" s="10">
        <v>266</v>
      </c>
      <c r="DG97" s="24">
        <v>45759.861805555556</v>
      </c>
      <c r="DI97" s="10">
        <v>245</v>
      </c>
      <c r="DJ97" s="58">
        <v>45759.912499999999</v>
      </c>
    </row>
    <row r="98" spans="1:114" x14ac:dyDescent="0.25">
      <c r="B98" s="1">
        <v>10188</v>
      </c>
      <c r="C98" s="12">
        <v>45759</v>
      </c>
      <c r="D98" s="2">
        <v>0.88888888888888884</v>
      </c>
      <c r="E98" s="2">
        <v>0.12986111111111109</v>
      </c>
      <c r="F98" s="61">
        <v>12.53</v>
      </c>
      <c r="G98" s="10">
        <v>19</v>
      </c>
      <c r="H98" s="61">
        <v>2.9</v>
      </c>
      <c r="I98" s="52">
        <v>79.599999999999994</v>
      </c>
      <c r="J98" s="10">
        <v>10</v>
      </c>
      <c r="N98" s="10">
        <v>62</v>
      </c>
      <c r="O98" s="10">
        <v>26</v>
      </c>
      <c r="P98" s="10">
        <v>46.6</v>
      </c>
      <c r="Q98" s="61">
        <v>2.41</v>
      </c>
      <c r="R98" s="52">
        <v>47</v>
      </c>
      <c r="S98" s="10">
        <v>10</v>
      </c>
      <c r="T98" s="52">
        <v>64</v>
      </c>
      <c r="U98" s="10">
        <v>0</v>
      </c>
      <c r="V98" s="52">
        <v>65.5</v>
      </c>
      <c r="W98" s="10">
        <v>40</v>
      </c>
      <c r="Z98" s="52">
        <v>76</v>
      </c>
      <c r="AA98" s="10">
        <v>103</v>
      </c>
      <c r="AB98" s="10">
        <v>8</v>
      </c>
      <c r="AC98" s="52">
        <v>8</v>
      </c>
      <c r="AD98" s="3">
        <v>22.4</v>
      </c>
      <c r="AE98" s="3">
        <v>2.25</v>
      </c>
      <c r="AF98" s="3">
        <v>0.35</v>
      </c>
      <c r="AG98" s="10">
        <v>90</v>
      </c>
      <c r="AH98" s="10">
        <v>1</v>
      </c>
      <c r="AI98" s="10">
        <v>136</v>
      </c>
      <c r="AJ98" s="10">
        <v>260</v>
      </c>
      <c r="AK98" s="3">
        <v>16.579999999999998</v>
      </c>
      <c r="AL98" s="61">
        <v>84.47</v>
      </c>
      <c r="AM98" s="61">
        <v>52.31</v>
      </c>
      <c r="AO98" s="10">
        <v>82</v>
      </c>
      <c r="AP98" s="10">
        <v>124</v>
      </c>
      <c r="AQ98" s="52">
        <v>79.8</v>
      </c>
      <c r="BG98" s="10">
        <v>180</v>
      </c>
      <c r="BJ98" s="10">
        <v>267</v>
      </c>
      <c r="BK98" s="52">
        <v>100.8</v>
      </c>
      <c r="BM98" s="10">
        <v>30</v>
      </c>
      <c r="BN98" s="10">
        <v>45</v>
      </c>
      <c r="BO98" s="10">
        <v>75</v>
      </c>
      <c r="BS98" s="10">
        <v>5</v>
      </c>
      <c r="BT98" s="10">
        <v>10</v>
      </c>
      <c r="BV98" s="61">
        <v>8.24</v>
      </c>
      <c r="BW98" s="61">
        <v>0.24</v>
      </c>
      <c r="BZ98" s="61">
        <v>9.93</v>
      </c>
      <c r="CA98" s="10">
        <v>0</v>
      </c>
      <c r="CB98" s="52">
        <v>100.9</v>
      </c>
      <c r="CG98" s="10">
        <v>2266</v>
      </c>
      <c r="CI98" s="10">
        <v>10</v>
      </c>
      <c r="CJ98" s="10">
        <v>10</v>
      </c>
      <c r="CK98" s="3">
        <v>0</v>
      </c>
      <c r="CM98" s="3">
        <v>0.53</v>
      </c>
      <c r="CN98" s="10">
        <v>51</v>
      </c>
      <c r="CO98" s="52">
        <v>10.5</v>
      </c>
      <c r="CP98" s="52">
        <v>3.9</v>
      </c>
      <c r="CQ98" s="3">
        <v>16.96</v>
      </c>
      <c r="CS98" s="10">
        <v>230</v>
      </c>
      <c r="CT98" s="10">
        <v>217</v>
      </c>
      <c r="CU98" s="59">
        <v>6</v>
      </c>
      <c r="CV98" s="10">
        <v>347</v>
      </c>
      <c r="CW98" s="10">
        <v>10</v>
      </c>
      <c r="CX98" s="60">
        <v>86.83</v>
      </c>
      <c r="CY98" s="3">
        <v>17.86</v>
      </c>
      <c r="CZ98" s="3">
        <v>5.53</v>
      </c>
      <c r="DC98" s="24">
        <v>45759.880555555559</v>
      </c>
      <c r="DD98" s="24">
        <v>45759.934027777781</v>
      </c>
      <c r="DF98" s="10">
        <v>267</v>
      </c>
      <c r="DG98" s="24">
        <v>45759.986111111109</v>
      </c>
      <c r="DI98" s="10">
        <v>243</v>
      </c>
      <c r="DJ98" s="58">
        <v>45760.036111111112</v>
      </c>
    </row>
    <row r="99" spans="1:114" x14ac:dyDescent="0.25">
      <c r="B99" s="1">
        <v>10189</v>
      </c>
      <c r="C99" s="12">
        <v>45759</v>
      </c>
      <c r="D99" s="2">
        <v>0.98611111111111116</v>
      </c>
      <c r="E99" s="2">
        <v>0.23888888888888893</v>
      </c>
      <c r="F99" s="61">
        <v>13.18</v>
      </c>
      <c r="G99" s="10">
        <v>24</v>
      </c>
      <c r="H99" s="61">
        <v>3.34</v>
      </c>
      <c r="I99" s="52">
        <v>79.8</v>
      </c>
      <c r="J99" s="10">
        <v>10</v>
      </c>
      <c r="L99" s="10">
        <v>12</v>
      </c>
      <c r="N99" s="10">
        <v>70</v>
      </c>
      <c r="O99" s="10">
        <v>33</v>
      </c>
      <c r="P99" s="10">
        <v>46.5</v>
      </c>
      <c r="Q99" s="61">
        <v>2.38</v>
      </c>
      <c r="R99" s="52">
        <v>46.5</v>
      </c>
      <c r="S99" s="10">
        <v>7</v>
      </c>
      <c r="T99" s="52">
        <v>64.5</v>
      </c>
      <c r="U99" s="10">
        <v>0</v>
      </c>
      <c r="V99" s="52">
        <v>66</v>
      </c>
      <c r="W99" s="10">
        <v>40</v>
      </c>
      <c r="Z99" s="52">
        <v>76</v>
      </c>
      <c r="AA99" s="10">
        <v>116</v>
      </c>
      <c r="AB99" s="10">
        <v>8</v>
      </c>
      <c r="AC99" s="52">
        <v>10</v>
      </c>
      <c r="AD99" s="3">
        <v>21.85</v>
      </c>
      <c r="AE99" s="3">
        <v>2.95</v>
      </c>
      <c r="AF99" s="3">
        <v>0.4</v>
      </c>
      <c r="AG99" s="10">
        <v>90</v>
      </c>
      <c r="AH99" s="10">
        <v>1</v>
      </c>
      <c r="AI99" s="10">
        <v>146</v>
      </c>
      <c r="AJ99" s="10">
        <v>260</v>
      </c>
      <c r="AK99" s="3">
        <v>16.579999999999998</v>
      </c>
      <c r="AL99" s="61">
        <v>84.88</v>
      </c>
      <c r="AM99" s="61">
        <v>56.15</v>
      </c>
      <c r="AO99" s="10">
        <v>81</v>
      </c>
      <c r="AP99" s="10">
        <v>123</v>
      </c>
      <c r="AQ99" s="52">
        <v>80.3</v>
      </c>
      <c r="BG99" s="10">
        <v>180</v>
      </c>
      <c r="BJ99" s="10">
        <v>267</v>
      </c>
      <c r="BK99" s="52">
        <v>100.8</v>
      </c>
      <c r="BM99" s="10">
        <v>30</v>
      </c>
      <c r="BN99" s="10">
        <v>45</v>
      </c>
      <c r="BO99" s="10">
        <v>75</v>
      </c>
      <c r="BS99" s="10">
        <v>5</v>
      </c>
      <c r="BT99" s="10">
        <v>10</v>
      </c>
      <c r="BV99" s="61">
        <v>8.24</v>
      </c>
      <c r="BW99" s="61">
        <v>0.24</v>
      </c>
      <c r="BZ99" s="61">
        <v>9.93</v>
      </c>
      <c r="CA99" s="10">
        <v>0</v>
      </c>
      <c r="CB99" s="52">
        <v>101.2</v>
      </c>
      <c r="CG99" s="10">
        <v>2211</v>
      </c>
      <c r="CI99" s="10">
        <v>10</v>
      </c>
      <c r="CJ99" s="10">
        <v>10</v>
      </c>
      <c r="CK99" s="3">
        <v>0</v>
      </c>
      <c r="CM99" s="3">
        <v>0.53</v>
      </c>
      <c r="CN99" s="10">
        <v>51</v>
      </c>
      <c r="CO99" s="52">
        <v>10.5</v>
      </c>
      <c r="CP99" s="52">
        <v>4</v>
      </c>
      <c r="CQ99" s="3">
        <v>17.39</v>
      </c>
      <c r="CS99" s="10">
        <v>230</v>
      </c>
      <c r="CT99" s="10">
        <v>216</v>
      </c>
      <c r="CU99" s="59">
        <v>5</v>
      </c>
      <c r="CV99" s="10">
        <v>364</v>
      </c>
      <c r="CW99" s="10">
        <v>7</v>
      </c>
      <c r="CX99" s="60">
        <v>76.83</v>
      </c>
      <c r="CY99" s="3">
        <v>18.2</v>
      </c>
      <c r="CZ99" s="3">
        <v>5.51</v>
      </c>
      <c r="DC99" s="24">
        <v>45759.979166666664</v>
      </c>
      <c r="DD99" s="24">
        <v>45760.02847222222</v>
      </c>
      <c r="DF99" s="10">
        <v>267</v>
      </c>
      <c r="DG99" s="24">
        <v>45760.080555555556</v>
      </c>
      <c r="DI99" s="10">
        <v>245</v>
      </c>
      <c r="DJ99" s="58">
        <v>45760.129861111112</v>
      </c>
    </row>
    <row r="100" spans="1:114" x14ac:dyDescent="0.25">
      <c r="B100" s="1">
        <v>10190</v>
      </c>
      <c r="C100" s="12">
        <v>45760</v>
      </c>
      <c r="D100" s="2">
        <v>9.0277777777777776E-2</v>
      </c>
      <c r="E100" s="2">
        <v>0.33541666666666659</v>
      </c>
      <c r="F100" s="61">
        <v>12.51</v>
      </c>
      <c r="G100" s="10">
        <v>17</v>
      </c>
      <c r="H100" s="61">
        <v>2.78</v>
      </c>
      <c r="I100" s="52">
        <v>79.599999999999994</v>
      </c>
      <c r="J100" s="10">
        <v>10</v>
      </c>
      <c r="L100" s="10">
        <v>4</v>
      </c>
      <c r="N100" s="10">
        <v>60</v>
      </c>
      <c r="O100" s="10">
        <v>25</v>
      </c>
      <c r="P100" s="10">
        <v>46</v>
      </c>
      <c r="Q100" s="61">
        <v>2.38</v>
      </c>
      <c r="R100" s="52">
        <v>46.6</v>
      </c>
      <c r="S100" s="10">
        <v>10</v>
      </c>
      <c r="T100" s="52">
        <v>64</v>
      </c>
      <c r="U100" s="10">
        <v>0</v>
      </c>
      <c r="V100" s="52">
        <v>65.5</v>
      </c>
      <c r="W100" s="10">
        <v>40</v>
      </c>
      <c r="Z100" s="52">
        <v>75.8</v>
      </c>
      <c r="AA100" s="10">
        <v>110</v>
      </c>
      <c r="AB100" s="10">
        <v>8</v>
      </c>
      <c r="AC100" s="52">
        <v>10</v>
      </c>
      <c r="AD100" s="3">
        <v>22.3</v>
      </c>
      <c r="AE100" s="3">
        <v>2.7</v>
      </c>
      <c r="AG100" s="10">
        <v>90</v>
      </c>
      <c r="AH100" s="10">
        <v>1</v>
      </c>
      <c r="AI100" s="10">
        <v>136</v>
      </c>
      <c r="AJ100" s="10">
        <v>261</v>
      </c>
      <c r="AK100" s="3">
        <v>16.32</v>
      </c>
      <c r="AL100" s="61">
        <v>84.47</v>
      </c>
      <c r="AM100" s="61">
        <v>52.11</v>
      </c>
      <c r="AO100" s="10">
        <v>82</v>
      </c>
      <c r="AP100" s="10">
        <v>124</v>
      </c>
      <c r="AQ100" s="52">
        <v>80</v>
      </c>
      <c r="BG100" s="10">
        <v>181</v>
      </c>
      <c r="BJ100" s="10">
        <v>269</v>
      </c>
      <c r="BK100" s="52">
        <v>100.9</v>
      </c>
      <c r="BM100" s="10">
        <v>30</v>
      </c>
      <c r="BN100" s="10">
        <v>45</v>
      </c>
      <c r="BO100" s="10">
        <v>75</v>
      </c>
      <c r="BS100" s="10">
        <v>5</v>
      </c>
      <c r="BT100" s="10">
        <v>10</v>
      </c>
      <c r="BV100" s="61">
        <v>8.18</v>
      </c>
      <c r="BW100" s="61">
        <v>0.18</v>
      </c>
      <c r="BZ100" s="61">
        <v>9.85</v>
      </c>
      <c r="CA100" s="10">
        <v>0</v>
      </c>
      <c r="CB100" s="52">
        <v>101.2</v>
      </c>
      <c r="CG100" s="10">
        <v>2293</v>
      </c>
      <c r="CI100" s="10">
        <v>10</v>
      </c>
      <c r="CJ100" s="10">
        <v>10</v>
      </c>
      <c r="CK100" s="3">
        <v>0</v>
      </c>
      <c r="CM100" s="3">
        <v>0.52</v>
      </c>
      <c r="CN100" s="10">
        <v>52</v>
      </c>
      <c r="CO100" s="52">
        <v>10.5</v>
      </c>
      <c r="CP100" s="52">
        <v>3.9</v>
      </c>
      <c r="CQ100" s="3">
        <v>16.809999999999999</v>
      </c>
      <c r="CS100" s="10">
        <v>232</v>
      </c>
      <c r="CT100" s="10">
        <v>218</v>
      </c>
      <c r="CU100" s="59">
        <v>7</v>
      </c>
      <c r="CV100" s="10">
        <v>353</v>
      </c>
      <c r="CW100" s="10">
        <v>4</v>
      </c>
      <c r="CX100" s="60">
        <v>90.7</v>
      </c>
      <c r="CY100" s="3">
        <v>18.12</v>
      </c>
      <c r="CZ100" s="3">
        <v>5.47</v>
      </c>
      <c r="DC100" s="24">
        <v>45760.088888888888</v>
      </c>
      <c r="DD100" s="24">
        <v>45760.137499999997</v>
      </c>
      <c r="DF100" s="10">
        <v>267</v>
      </c>
      <c r="DG100" s="24">
        <v>45760.189583333333</v>
      </c>
      <c r="DI100" s="10">
        <v>245</v>
      </c>
      <c r="DJ100" s="58">
        <v>45760.238888888889</v>
      </c>
    </row>
    <row r="101" spans="1:114" x14ac:dyDescent="0.25">
      <c r="B101" s="1">
        <v>10191</v>
      </c>
      <c r="C101" s="12">
        <v>45760</v>
      </c>
      <c r="D101" s="2">
        <v>0.18958333333333333</v>
      </c>
      <c r="E101" s="2">
        <v>0.43055555555555547</v>
      </c>
      <c r="F101" s="61">
        <v>0</v>
      </c>
      <c r="G101" s="10">
        <v>17</v>
      </c>
      <c r="H101" s="61">
        <v>3.13</v>
      </c>
      <c r="I101" s="52">
        <v>79.900000000000006</v>
      </c>
      <c r="J101" s="10">
        <v>10</v>
      </c>
      <c r="L101" s="10">
        <v>5</v>
      </c>
      <c r="N101" s="10">
        <v>59</v>
      </c>
      <c r="O101" s="10">
        <v>25</v>
      </c>
      <c r="P101" s="10">
        <v>46.5</v>
      </c>
      <c r="Q101" s="61">
        <v>2.38</v>
      </c>
      <c r="R101" s="52">
        <v>46.8</v>
      </c>
      <c r="S101" s="10">
        <v>10</v>
      </c>
      <c r="T101" s="52">
        <v>64.400000000000006</v>
      </c>
      <c r="U101" s="10">
        <v>0</v>
      </c>
      <c r="V101" s="52">
        <v>65.5</v>
      </c>
      <c r="W101" s="10">
        <v>40</v>
      </c>
      <c r="Z101" s="52">
        <v>76</v>
      </c>
      <c r="AA101" s="10">
        <v>105</v>
      </c>
      <c r="AB101" s="10">
        <v>6</v>
      </c>
      <c r="AC101" s="52">
        <v>13.8</v>
      </c>
      <c r="AD101" s="3">
        <v>22.46</v>
      </c>
      <c r="AE101" s="3">
        <v>2.4500000000000002</v>
      </c>
      <c r="AF101" s="3">
        <v>0.6</v>
      </c>
      <c r="AG101" s="10">
        <v>90</v>
      </c>
      <c r="AH101" s="10">
        <v>1</v>
      </c>
      <c r="AI101" s="10">
        <v>136</v>
      </c>
      <c r="AJ101" s="10">
        <v>261</v>
      </c>
      <c r="AK101" s="3">
        <v>16.27</v>
      </c>
      <c r="AL101" s="61">
        <v>84.47</v>
      </c>
      <c r="AM101" s="61">
        <v>52.11</v>
      </c>
      <c r="AO101" s="10">
        <v>84</v>
      </c>
      <c r="AP101" s="10">
        <v>124</v>
      </c>
      <c r="AQ101" s="52">
        <v>80</v>
      </c>
      <c r="BG101" s="10">
        <v>180</v>
      </c>
      <c r="BJ101" s="10">
        <v>269</v>
      </c>
      <c r="BK101" s="52">
        <v>101.1</v>
      </c>
      <c r="BM101" s="10">
        <v>30</v>
      </c>
      <c r="BN101" s="10">
        <v>45</v>
      </c>
      <c r="BO101" s="10">
        <v>75</v>
      </c>
      <c r="BS101" s="10">
        <v>5</v>
      </c>
      <c r="BT101" s="10">
        <v>10</v>
      </c>
      <c r="BV101" s="61">
        <v>7.43</v>
      </c>
      <c r="BW101" s="61">
        <v>0.56999999999999995</v>
      </c>
      <c r="BZ101" s="61">
        <v>8.36</v>
      </c>
      <c r="CA101" s="10">
        <v>0</v>
      </c>
      <c r="CB101" s="52">
        <v>101</v>
      </c>
      <c r="CG101" s="10">
        <v>2142</v>
      </c>
      <c r="CI101" s="10">
        <v>10</v>
      </c>
      <c r="CJ101" s="10">
        <v>10</v>
      </c>
      <c r="CK101" s="3">
        <v>0</v>
      </c>
      <c r="CM101" s="3">
        <v>0.52</v>
      </c>
      <c r="CN101" s="10">
        <v>53</v>
      </c>
      <c r="CO101" s="52">
        <v>10.5</v>
      </c>
      <c r="CP101" s="52">
        <v>3.7</v>
      </c>
      <c r="CQ101" s="3">
        <v>15.68</v>
      </c>
      <c r="CS101" s="10">
        <v>236</v>
      </c>
      <c r="CT101" s="10">
        <v>219</v>
      </c>
      <c r="CU101" s="59">
        <v>8</v>
      </c>
      <c r="CV101" s="10">
        <v>347</v>
      </c>
      <c r="CW101" s="10">
        <v>10</v>
      </c>
      <c r="CX101" s="60">
        <v>139.37</v>
      </c>
      <c r="CY101" s="3">
        <v>17.78</v>
      </c>
      <c r="CZ101" s="3">
        <v>5.47</v>
      </c>
      <c r="DC101" s="24">
        <v>45760.184027777781</v>
      </c>
      <c r="DD101" s="24">
        <v>45760.23333333333</v>
      </c>
      <c r="DF101" s="10">
        <v>269</v>
      </c>
      <c r="DG101" s="24">
        <v>45760.285416666666</v>
      </c>
      <c r="DI101" s="10">
        <v>247</v>
      </c>
      <c r="DJ101" s="58">
        <v>45760.335416666669</v>
      </c>
    </row>
    <row r="102" spans="1:114" x14ac:dyDescent="0.25">
      <c r="A102" s="75"/>
      <c r="B102" s="1">
        <v>10192</v>
      </c>
      <c r="C102" s="12">
        <v>45760</v>
      </c>
      <c r="D102" s="2">
        <v>0.30208333333333331</v>
      </c>
      <c r="E102" s="2">
        <v>0.55416666666666659</v>
      </c>
      <c r="F102" s="61">
        <v>0</v>
      </c>
      <c r="G102" s="10">
        <v>25</v>
      </c>
      <c r="H102" s="61">
        <v>3.24</v>
      </c>
      <c r="I102" s="52">
        <v>79.7</v>
      </c>
      <c r="J102" s="10">
        <v>10</v>
      </c>
      <c r="L102" s="10">
        <v>11</v>
      </c>
      <c r="N102" s="10">
        <v>71</v>
      </c>
      <c r="O102" s="10">
        <v>30</v>
      </c>
      <c r="P102" s="10">
        <v>46.4</v>
      </c>
      <c r="Q102" s="61">
        <v>2.4700000000000002</v>
      </c>
      <c r="R102" s="52">
        <v>46.3</v>
      </c>
      <c r="S102" s="10">
        <v>10</v>
      </c>
      <c r="T102" s="52">
        <v>64.2</v>
      </c>
      <c r="U102" s="10">
        <v>0</v>
      </c>
      <c r="V102" s="52">
        <v>65.099999999999994</v>
      </c>
      <c r="W102" s="10">
        <v>40</v>
      </c>
      <c r="Z102" s="52">
        <v>76</v>
      </c>
      <c r="AA102" s="10">
        <v>108</v>
      </c>
      <c r="AB102" s="10">
        <v>9</v>
      </c>
      <c r="AC102" s="52">
        <v>11</v>
      </c>
      <c r="AD102" s="3">
        <v>22.24</v>
      </c>
      <c r="AE102" s="3">
        <v>2.5</v>
      </c>
      <c r="AF102" s="3">
        <v>0.7</v>
      </c>
      <c r="AG102" s="10">
        <v>90</v>
      </c>
      <c r="AH102" s="10">
        <v>1</v>
      </c>
      <c r="AI102" s="10">
        <v>136</v>
      </c>
      <c r="AJ102" s="10">
        <v>260</v>
      </c>
      <c r="AK102" s="3">
        <v>16.309999999999999</v>
      </c>
      <c r="AL102" s="61">
        <v>83.44</v>
      </c>
      <c r="AM102" s="61">
        <v>52.31</v>
      </c>
      <c r="AO102" s="10">
        <v>82</v>
      </c>
      <c r="AP102" s="10">
        <v>124</v>
      </c>
      <c r="AQ102" s="52">
        <v>80.2</v>
      </c>
      <c r="BG102" s="10">
        <v>180</v>
      </c>
      <c r="BJ102" s="10">
        <v>267</v>
      </c>
      <c r="BK102" s="52">
        <v>100.7</v>
      </c>
      <c r="BM102" s="10">
        <v>30</v>
      </c>
      <c r="BN102" s="10">
        <v>45</v>
      </c>
      <c r="BO102" s="10">
        <v>75</v>
      </c>
      <c r="BS102" s="10">
        <v>5</v>
      </c>
      <c r="BT102" s="10">
        <v>10</v>
      </c>
      <c r="BV102" s="61">
        <v>7.49</v>
      </c>
      <c r="BW102" s="61">
        <v>0.51</v>
      </c>
      <c r="BZ102" s="61">
        <v>9.18</v>
      </c>
      <c r="CA102" s="10">
        <v>0</v>
      </c>
      <c r="CB102" s="52">
        <v>101.2</v>
      </c>
      <c r="CG102" s="10">
        <v>2156</v>
      </c>
      <c r="CI102" s="10">
        <v>10</v>
      </c>
      <c r="CJ102" s="10">
        <v>10</v>
      </c>
      <c r="CK102" s="3">
        <v>0</v>
      </c>
      <c r="CM102" s="3">
        <v>0.52</v>
      </c>
      <c r="CN102" s="10">
        <v>52</v>
      </c>
      <c r="CO102" s="52">
        <v>10.5</v>
      </c>
      <c r="CP102" s="52">
        <v>3.8</v>
      </c>
      <c r="CQ102" s="3">
        <v>16.38</v>
      </c>
      <c r="CS102" s="10">
        <v>232</v>
      </c>
      <c r="CT102" s="10">
        <v>221</v>
      </c>
      <c r="CU102" s="59">
        <v>10</v>
      </c>
      <c r="CV102" s="10">
        <v>363</v>
      </c>
      <c r="CW102" s="10">
        <v>6</v>
      </c>
      <c r="CX102" s="60">
        <v>153.80000000000001</v>
      </c>
      <c r="CY102" s="3">
        <v>17.98</v>
      </c>
      <c r="CZ102" s="3">
        <v>5.48</v>
      </c>
      <c r="DC102" s="24">
        <v>45760.27847222222</v>
      </c>
      <c r="DD102" s="24">
        <v>45760.327777777777</v>
      </c>
      <c r="DF102" s="10">
        <v>269</v>
      </c>
      <c r="DG102" s="24">
        <v>45760.379861111112</v>
      </c>
      <c r="DI102" s="10">
        <v>249</v>
      </c>
      <c r="DJ102" s="58">
        <v>45760.430555555555</v>
      </c>
    </row>
    <row r="103" spans="1:114" x14ac:dyDescent="0.25">
      <c r="B103" s="1">
        <v>10193</v>
      </c>
      <c r="C103" s="12">
        <v>45760</v>
      </c>
      <c r="D103" s="2">
        <v>0.42708333333333331</v>
      </c>
      <c r="E103" s="2">
        <v>0.71319444444444446</v>
      </c>
      <c r="F103" s="61">
        <v>12.8</v>
      </c>
      <c r="G103" s="10">
        <v>16</v>
      </c>
      <c r="H103" s="61">
        <v>2.85</v>
      </c>
      <c r="I103" s="52">
        <v>79.7</v>
      </c>
      <c r="J103" s="10">
        <v>10</v>
      </c>
      <c r="L103" s="10">
        <v>5</v>
      </c>
      <c r="N103" s="10">
        <v>57</v>
      </c>
      <c r="O103" s="10">
        <v>25</v>
      </c>
      <c r="P103" s="10">
        <v>46.2</v>
      </c>
      <c r="Q103" s="61">
        <v>2.4700000000000002</v>
      </c>
      <c r="R103" s="52">
        <v>46.4</v>
      </c>
      <c r="S103" s="10">
        <v>10</v>
      </c>
      <c r="T103" s="52">
        <v>63.2</v>
      </c>
      <c r="U103" s="10">
        <v>21</v>
      </c>
      <c r="V103" s="52">
        <v>65.8</v>
      </c>
      <c r="W103" s="10">
        <v>40</v>
      </c>
      <c r="Z103" s="52">
        <v>76</v>
      </c>
      <c r="AA103" s="10">
        <v>103</v>
      </c>
      <c r="AB103" s="10">
        <v>8</v>
      </c>
      <c r="AC103" s="52">
        <v>13.4</v>
      </c>
      <c r="AD103" s="3">
        <v>22.58</v>
      </c>
      <c r="AE103" s="3">
        <v>2.48</v>
      </c>
      <c r="AF103" s="3">
        <v>0.48</v>
      </c>
      <c r="AG103" s="10">
        <v>90</v>
      </c>
      <c r="AH103" s="10">
        <v>1</v>
      </c>
      <c r="AI103" s="10">
        <v>136</v>
      </c>
      <c r="AJ103" s="10">
        <v>260</v>
      </c>
      <c r="AK103" s="3">
        <v>16.3</v>
      </c>
      <c r="AL103" s="61">
        <v>83.44</v>
      </c>
      <c r="AM103" s="61">
        <v>52.31</v>
      </c>
      <c r="AO103" s="10">
        <v>82</v>
      </c>
      <c r="AP103" s="10">
        <v>123</v>
      </c>
      <c r="AQ103" s="52">
        <v>79.8</v>
      </c>
      <c r="BG103" s="10">
        <v>180</v>
      </c>
      <c r="BJ103" s="10">
        <v>266</v>
      </c>
      <c r="BK103" s="52">
        <v>100.8</v>
      </c>
      <c r="BM103" s="10">
        <v>30</v>
      </c>
      <c r="BN103" s="10">
        <v>45</v>
      </c>
      <c r="BO103" s="10">
        <v>75</v>
      </c>
      <c r="BS103" s="10">
        <v>5</v>
      </c>
      <c r="BT103" s="10">
        <v>10</v>
      </c>
      <c r="BV103" s="61">
        <v>7.14</v>
      </c>
      <c r="BW103" s="61">
        <v>0.86</v>
      </c>
      <c r="BZ103" s="61">
        <v>8.83</v>
      </c>
      <c r="CA103" s="10">
        <v>0</v>
      </c>
      <c r="CB103" s="52">
        <v>101</v>
      </c>
      <c r="CG103" s="10">
        <v>2206</v>
      </c>
      <c r="CI103" s="10">
        <v>10</v>
      </c>
      <c r="CJ103" s="10">
        <v>10</v>
      </c>
      <c r="CK103" s="3">
        <v>0</v>
      </c>
      <c r="CM103" s="3">
        <v>0.52</v>
      </c>
      <c r="CN103" s="10">
        <v>92</v>
      </c>
      <c r="CO103" s="52">
        <v>10.6</v>
      </c>
      <c r="CP103" s="52">
        <v>3.6</v>
      </c>
      <c r="CQ103" s="3">
        <v>15.52</v>
      </c>
      <c r="CS103" s="10">
        <v>232</v>
      </c>
      <c r="CT103" s="10">
        <v>285</v>
      </c>
      <c r="CU103" s="59">
        <v>74</v>
      </c>
      <c r="CV103" s="10">
        <v>412</v>
      </c>
      <c r="CW103" s="10">
        <v>55</v>
      </c>
      <c r="CX103" s="60">
        <v>828.57</v>
      </c>
      <c r="CY103" s="3">
        <v>18.04</v>
      </c>
      <c r="CZ103" s="3">
        <v>5.52</v>
      </c>
      <c r="DC103" s="24">
        <v>45760.400694444441</v>
      </c>
      <c r="DD103" s="24">
        <v>45760.45208333333</v>
      </c>
      <c r="DF103" s="10">
        <v>267</v>
      </c>
      <c r="DG103" s="24">
        <v>45760.504166666666</v>
      </c>
      <c r="DI103" s="10">
        <v>247</v>
      </c>
      <c r="DJ103" s="58">
        <v>45760.554166666669</v>
      </c>
    </row>
    <row r="104" spans="1:114" x14ac:dyDescent="0.25">
      <c r="B104" s="1">
        <v>10194</v>
      </c>
      <c r="C104" s="12">
        <v>45760</v>
      </c>
      <c r="D104" s="2">
        <v>0.52430555555555558</v>
      </c>
      <c r="E104" s="2">
        <v>0.76874999999999993</v>
      </c>
      <c r="F104" s="61">
        <v>13.38</v>
      </c>
      <c r="G104" s="10">
        <v>16</v>
      </c>
      <c r="H104" s="61">
        <v>2.86</v>
      </c>
      <c r="I104" s="52">
        <v>79.7</v>
      </c>
      <c r="J104" s="10">
        <v>10</v>
      </c>
      <c r="L104" s="10">
        <v>6</v>
      </c>
      <c r="N104" s="10">
        <v>59</v>
      </c>
      <c r="O104" s="10">
        <v>25</v>
      </c>
      <c r="P104" s="10">
        <v>46.6</v>
      </c>
      <c r="Q104" s="61">
        <v>2.42</v>
      </c>
      <c r="R104" s="52">
        <v>46.5</v>
      </c>
      <c r="S104" s="10">
        <v>10</v>
      </c>
      <c r="T104" s="52">
        <v>64.400000000000006</v>
      </c>
      <c r="U104" s="10">
        <v>0</v>
      </c>
      <c r="V104" s="52">
        <v>65.8</v>
      </c>
      <c r="W104" s="10">
        <v>40</v>
      </c>
      <c r="Z104" s="52">
        <v>76</v>
      </c>
      <c r="AA104" s="10">
        <v>104</v>
      </c>
      <c r="AB104" s="10">
        <v>9</v>
      </c>
      <c r="AC104" s="52">
        <v>12.8</v>
      </c>
      <c r="AD104" s="3">
        <v>22.27</v>
      </c>
      <c r="AE104" s="3">
        <v>2.62</v>
      </c>
      <c r="AF104" s="3">
        <v>0.44</v>
      </c>
      <c r="AG104" s="10">
        <v>88</v>
      </c>
      <c r="AH104" s="10">
        <v>1</v>
      </c>
      <c r="AI104" s="10">
        <v>136</v>
      </c>
      <c r="AJ104" s="10">
        <v>260</v>
      </c>
      <c r="AK104" s="3">
        <v>16.329999999999998</v>
      </c>
      <c r="AL104" s="61">
        <v>84.47</v>
      </c>
      <c r="AM104" s="61">
        <v>52.31</v>
      </c>
      <c r="AO104" s="10">
        <v>82</v>
      </c>
      <c r="AP104" s="10">
        <v>125</v>
      </c>
      <c r="AQ104" s="52">
        <v>79.8</v>
      </c>
      <c r="BG104" s="10">
        <v>180</v>
      </c>
      <c r="BJ104" s="10">
        <v>267</v>
      </c>
      <c r="BK104" s="52">
        <v>100.8</v>
      </c>
      <c r="BM104" s="10">
        <v>30</v>
      </c>
      <c r="BN104" s="10">
        <v>45</v>
      </c>
      <c r="BO104" s="10">
        <v>75</v>
      </c>
      <c r="BS104" s="10">
        <v>5</v>
      </c>
      <c r="BT104" s="10">
        <v>10</v>
      </c>
      <c r="BV104" s="61">
        <v>7.49</v>
      </c>
      <c r="BW104" s="61">
        <v>0.51</v>
      </c>
      <c r="BZ104" s="61">
        <v>9.18</v>
      </c>
      <c r="CA104" s="10">
        <v>0</v>
      </c>
      <c r="CB104" s="52">
        <v>101</v>
      </c>
      <c r="CG104" s="10">
        <v>2418</v>
      </c>
      <c r="CI104" s="10">
        <v>10</v>
      </c>
      <c r="CJ104" s="10">
        <v>10</v>
      </c>
      <c r="CK104" s="3">
        <v>0</v>
      </c>
      <c r="CM104" s="3">
        <v>0.52</v>
      </c>
      <c r="CN104" s="10">
        <v>52</v>
      </c>
      <c r="CO104" s="52">
        <v>10.6</v>
      </c>
      <c r="CP104" s="52">
        <v>3.7</v>
      </c>
      <c r="CQ104" s="3">
        <v>15.95</v>
      </c>
      <c r="CS104" s="10">
        <v>232</v>
      </c>
      <c r="CT104" s="10">
        <v>223</v>
      </c>
      <c r="CU104" s="59">
        <v>12</v>
      </c>
      <c r="CV104" s="10">
        <v>352</v>
      </c>
      <c r="CW104" s="10">
        <v>5</v>
      </c>
      <c r="CX104" s="60">
        <v>173.8</v>
      </c>
      <c r="CY104" s="3">
        <v>18.04</v>
      </c>
      <c r="CZ104" s="3">
        <v>5.51</v>
      </c>
      <c r="DC104" s="24">
        <v>45760.515277777777</v>
      </c>
      <c r="DD104" s="24">
        <v>45760.583333333336</v>
      </c>
      <c r="DF104" s="10">
        <v>266</v>
      </c>
      <c r="DG104" s="24">
        <v>45760.635416666664</v>
      </c>
      <c r="DI104" s="10">
        <v>247</v>
      </c>
      <c r="DJ104" s="58">
        <v>45760.713194444441</v>
      </c>
    </row>
    <row r="105" spans="1:114" x14ac:dyDescent="0.25">
      <c r="B105" s="1">
        <v>10195</v>
      </c>
      <c r="C105" s="12">
        <v>45760</v>
      </c>
      <c r="D105" s="2">
        <v>0.62152777777777779</v>
      </c>
      <c r="E105" s="2">
        <v>0.86249999999999993</v>
      </c>
      <c r="F105" s="61">
        <v>12.88</v>
      </c>
      <c r="G105" s="10">
        <v>18</v>
      </c>
      <c r="H105" s="61">
        <v>2.78</v>
      </c>
      <c r="I105" s="52">
        <v>79.599999999999994</v>
      </c>
      <c r="J105" s="10">
        <v>10</v>
      </c>
      <c r="L105" s="10">
        <v>5</v>
      </c>
      <c r="N105" s="10">
        <v>62</v>
      </c>
      <c r="O105" s="10">
        <v>25</v>
      </c>
      <c r="P105" s="10">
        <v>46</v>
      </c>
      <c r="Q105" s="61">
        <v>2.44</v>
      </c>
      <c r="R105" s="52">
        <v>46.7</v>
      </c>
      <c r="S105" s="10">
        <v>10</v>
      </c>
      <c r="T105" s="52">
        <v>64.8</v>
      </c>
      <c r="U105" s="10">
        <v>0</v>
      </c>
      <c r="V105" s="52">
        <v>65.8</v>
      </c>
      <c r="W105" s="10">
        <v>40</v>
      </c>
      <c r="Z105" s="52">
        <v>76</v>
      </c>
      <c r="AA105" s="10">
        <v>103</v>
      </c>
      <c r="AB105" s="10">
        <v>7</v>
      </c>
      <c r="AC105" s="52">
        <v>17.2</v>
      </c>
      <c r="AD105" s="3">
        <v>22.14</v>
      </c>
      <c r="AE105" s="3">
        <v>2.48</v>
      </c>
      <c r="AF105" s="3">
        <v>0.4</v>
      </c>
      <c r="AG105" s="10">
        <v>88</v>
      </c>
      <c r="AH105" s="10">
        <v>1</v>
      </c>
      <c r="AI105" s="10">
        <v>136</v>
      </c>
      <c r="AJ105" s="10">
        <v>260</v>
      </c>
      <c r="AK105" s="3">
        <v>16.440000000000001</v>
      </c>
      <c r="AL105" s="61">
        <v>84.47</v>
      </c>
      <c r="AM105" s="61">
        <v>52.31</v>
      </c>
      <c r="AO105" s="10">
        <v>84</v>
      </c>
      <c r="AP105" s="10">
        <v>125</v>
      </c>
      <c r="AQ105" s="52">
        <v>79.7</v>
      </c>
      <c r="BG105" s="10">
        <v>180</v>
      </c>
      <c r="BJ105" s="10">
        <v>266</v>
      </c>
      <c r="BK105" s="52">
        <v>101.1</v>
      </c>
      <c r="BM105" s="10">
        <v>30</v>
      </c>
      <c r="BN105" s="10">
        <v>45</v>
      </c>
      <c r="BO105" s="10">
        <v>75</v>
      </c>
      <c r="BS105" s="10">
        <v>5</v>
      </c>
      <c r="BT105" s="10">
        <v>10</v>
      </c>
      <c r="BV105" s="61">
        <v>7.14</v>
      </c>
      <c r="BW105" s="61">
        <v>0.86</v>
      </c>
      <c r="BZ105" s="61">
        <v>8.4600000000000009</v>
      </c>
      <c r="CA105" s="10">
        <v>0</v>
      </c>
      <c r="CB105" s="52">
        <v>101.1</v>
      </c>
      <c r="CG105" s="10">
        <v>2319</v>
      </c>
      <c r="CI105" s="10">
        <v>10</v>
      </c>
      <c r="CJ105" s="10">
        <v>10</v>
      </c>
      <c r="CK105" s="3">
        <v>0</v>
      </c>
      <c r="CM105" s="3">
        <v>0.52</v>
      </c>
      <c r="CN105" s="10">
        <v>52</v>
      </c>
      <c r="CO105" s="52">
        <v>10.5</v>
      </c>
      <c r="CP105" s="52">
        <v>3.5</v>
      </c>
      <c r="CQ105" s="3">
        <v>15.02</v>
      </c>
      <c r="CS105" s="10">
        <v>233</v>
      </c>
      <c r="CT105" s="10">
        <v>219</v>
      </c>
      <c r="CU105" s="59">
        <v>8</v>
      </c>
      <c r="CV105" s="10">
        <v>347</v>
      </c>
      <c r="CW105" s="10">
        <v>10</v>
      </c>
      <c r="CX105" s="60">
        <v>168.57</v>
      </c>
      <c r="CY105" s="3">
        <v>17.809999999999999</v>
      </c>
      <c r="CZ105" s="3">
        <v>5.53</v>
      </c>
      <c r="DC105" s="24">
        <v>45760.613888888889</v>
      </c>
      <c r="DD105" s="24">
        <v>45760.666666666664</v>
      </c>
      <c r="DF105" s="10">
        <v>267</v>
      </c>
      <c r="DG105" s="24">
        <v>45760.71875</v>
      </c>
      <c r="DI105" s="10">
        <v>247</v>
      </c>
      <c r="DJ105" s="58">
        <v>45760.768750000003</v>
      </c>
    </row>
    <row r="106" spans="1:114" x14ac:dyDescent="0.25">
      <c r="B106" s="1">
        <v>10196</v>
      </c>
      <c r="C106" s="12">
        <v>45760</v>
      </c>
      <c r="D106" s="2">
        <v>0.71875</v>
      </c>
      <c r="E106" s="2">
        <v>0.96527777777777779</v>
      </c>
      <c r="F106" s="61">
        <v>13.44</v>
      </c>
      <c r="G106" s="10">
        <v>18</v>
      </c>
      <c r="H106" s="61">
        <v>2.86</v>
      </c>
      <c r="I106" s="52">
        <v>79.7</v>
      </c>
      <c r="J106" s="10">
        <v>10</v>
      </c>
      <c r="L106" s="10">
        <v>5</v>
      </c>
      <c r="N106" s="10">
        <v>61</v>
      </c>
      <c r="O106" s="10">
        <v>25</v>
      </c>
      <c r="P106" s="10">
        <v>46.2</v>
      </c>
      <c r="Q106" s="61">
        <v>2.42</v>
      </c>
      <c r="R106" s="52">
        <v>46.7</v>
      </c>
      <c r="S106" s="10">
        <v>10</v>
      </c>
      <c r="T106" s="52">
        <v>64.599999999999994</v>
      </c>
      <c r="U106" s="10">
        <v>0</v>
      </c>
      <c r="V106" s="52">
        <v>65.7</v>
      </c>
      <c r="W106" s="10">
        <v>40</v>
      </c>
      <c r="Z106" s="52">
        <v>75.8</v>
      </c>
      <c r="AA106" s="10">
        <v>104</v>
      </c>
      <c r="AB106" s="10">
        <v>7</v>
      </c>
      <c r="AC106" s="52">
        <v>11.7</v>
      </c>
      <c r="AD106" s="3">
        <v>22.1</v>
      </c>
      <c r="AE106" s="3">
        <v>2.56</v>
      </c>
      <c r="AF106" s="3">
        <v>0.53</v>
      </c>
      <c r="AG106" s="10">
        <v>75</v>
      </c>
      <c r="AH106" s="10">
        <v>1</v>
      </c>
      <c r="AI106" s="10">
        <v>136</v>
      </c>
      <c r="AJ106" s="10">
        <v>259</v>
      </c>
      <c r="AK106" s="3">
        <v>16.489999999999998</v>
      </c>
      <c r="AL106" s="61">
        <v>84.47</v>
      </c>
      <c r="AM106" s="61">
        <v>52.51</v>
      </c>
      <c r="AO106" s="10">
        <v>86</v>
      </c>
      <c r="AP106" s="10">
        <v>123</v>
      </c>
      <c r="AQ106" s="52">
        <v>79.900000000000006</v>
      </c>
      <c r="BG106" s="10">
        <v>180</v>
      </c>
      <c r="BJ106" s="10">
        <v>267</v>
      </c>
      <c r="BK106" s="52">
        <v>101</v>
      </c>
      <c r="BM106" s="10">
        <v>30</v>
      </c>
      <c r="BN106" s="10">
        <v>45</v>
      </c>
      <c r="BO106" s="10">
        <v>75</v>
      </c>
      <c r="BS106" s="10">
        <v>5</v>
      </c>
      <c r="BT106" s="10">
        <v>10</v>
      </c>
      <c r="BV106" s="61">
        <v>7.12</v>
      </c>
      <c r="BW106" s="61">
        <v>0.88</v>
      </c>
      <c r="BZ106" s="61">
        <v>8.8000000000000007</v>
      </c>
      <c r="CA106" s="10">
        <v>0</v>
      </c>
      <c r="CB106" s="52">
        <v>101.2</v>
      </c>
      <c r="CG106" s="10">
        <v>2576</v>
      </c>
      <c r="CI106" s="10">
        <v>10</v>
      </c>
      <c r="CJ106" s="10">
        <v>10</v>
      </c>
      <c r="CK106" s="3">
        <v>0</v>
      </c>
      <c r="CM106" s="3">
        <v>0.52</v>
      </c>
      <c r="CN106" s="10">
        <v>55</v>
      </c>
      <c r="CO106" s="52">
        <v>10.5</v>
      </c>
      <c r="CQ106" s="3">
        <v>0</v>
      </c>
      <c r="CS106" s="10">
        <v>233</v>
      </c>
      <c r="CT106" s="10">
        <v>226</v>
      </c>
      <c r="CU106" s="59">
        <v>15</v>
      </c>
      <c r="CV106" s="10">
        <v>355</v>
      </c>
      <c r="CW106" s="10">
        <v>2</v>
      </c>
      <c r="CX106" s="60">
        <v>241.25</v>
      </c>
      <c r="CY106" s="3">
        <v>17.75</v>
      </c>
      <c r="CZ106" s="3">
        <v>5.51</v>
      </c>
      <c r="DC106" s="24">
        <v>45760.710416666669</v>
      </c>
      <c r="DD106" s="24">
        <v>45760.760416666664</v>
      </c>
      <c r="DF106" s="10">
        <v>266</v>
      </c>
      <c r="DG106" s="24">
        <v>45760.8125</v>
      </c>
      <c r="DI106" s="10">
        <v>247</v>
      </c>
      <c r="DJ106" s="58">
        <v>45760.862500000003</v>
      </c>
    </row>
    <row r="107" spans="1:114" x14ac:dyDescent="0.25">
      <c r="B107" s="1">
        <v>10197</v>
      </c>
      <c r="C107" s="12">
        <v>45760</v>
      </c>
      <c r="D107" s="2">
        <v>0.81597222222222221</v>
      </c>
      <c r="E107" s="2">
        <v>1.0541666666666667</v>
      </c>
      <c r="F107" s="61">
        <v>12.68</v>
      </c>
      <c r="G107" s="10">
        <v>17</v>
      </c>
      <c r="H107" s="61">
        <v>2.76</v>
      </c>
      <c r="I107" s="52">
        <v>79.8</v>
      </c>
      <c r="J107" s="10">
        <v>10</v>
      </c>
      <c r="L107" s="10">
        <v>4</v>
      </c>
      <c r="N107" s="10">
        <v>58</v>
      </c>
      <c r="O107" s="10">
        <v>26</v>
      </c>
      <c r="P107" s="10">
        <v>46.6</v>
      </c>
      <c r="Q107" s="61">
        <v>2.4500000000000002</v>
      </c>
      <c r="R107" s="52">
        <v>46.5</v>
      </c>
      <c r="S107" s="10">
        <v>8</v>
      </c>
      <c r="T107" s="52">
        <v>64.599999999999994</v>
      </c>
      <c r="U107" s="10">
        <v>0</v>
      </c>
      <c r="V107" s="52">
        <v>65.8</v>
      </c>
      <c r="W107" s="10">
        <v>40</v>
      </c>
      <c r="Z107" s="52">
        <v>75.8</v>
      </c>
      <c r="AA107" s="10">
        <v>105</v>
      </c>
      <c r="AB107" s="10">
        <v>6</v>
      </c>
      <c r="AC107" s="52">
        <v>18.399999999999999</v>
      </c>
      <c r="AD107" s="3">
        <v>22.09</v>
      </c>
      <c r="AE107" s="3">
        <v>2.6</v>
      </c>
      <c r="AF107" s="3">
        <v>0.7</v>
      </c>
      <c r="AG107" s="10">
        <v>90</v>
      </c>
      <c r="AH107" s="10">
        <v>1</v>
      </c>
      <c r="AI107" s="10">
        <v>136</v>
      </c>
      <c r="AJ107" s="10">
        <v>257</v>
      </c>
      <c r="AK107" s="3">
        <v>16.45</v>
      </c>
      <c r="AL107" s="61">
        <v>84.47</v>
      </c>
      <c r="AM107" s="61">
        <v>52.92</v>
      </c>
      <c r="AO107" s="10">
        <v>80</v>
      </c>
      <c r="AP107" s="10">
        <v>120</v>
      </c>
      <c r="AQ107" s="52">
        <v>79.900000000000006</v>
      </c>
      <c r="BG107" s="10">
        <v>181</v>
      </c>
      <c r="BJ107" s="10">
        <v>264</v>
      </c>
      <c r="BK107" s="52">
        <v>100.7</v>
      </c>
      <c r="BM107" s="10">
        <v>30</v>
      </c>
      <c r="BN107" s="10">
        <v>45</v>
      </c>
      <c r="BO107" s="10">
        <v>75</v>
      </c>
      <c r="BS107" s="10">
        <v>5</v>
      </c>
      <c r="BT107" s="10">
        <v>10</v>
      </c>
      <c r="BV107" s="61">
        <v>7.95</v>
      </c>
      <c r="BW107" s="61">
        <v>0.05</v>
      </c>
      <c r="BZ107" s="61">
        <v>9.66</v>
      </c>
      <c r="CA107" s="10">
        <v>0</v>
      </c>
      <c r="CB107" s="52">
        <v>101</v>
      </c>
      <c r="CG107" s="10">
        <v>1302</v>
      </c>
      <c r="CI107" s="10">
        <v>10</v>
      </c>
      <c r="CJ107" s="10">
        <v>10</v>
      </c>
      <c r="CK107" s="3">
        <v>0</v>
      </c>
      <c r="CM107" s="3">
        <v>0.53</v>
      </c>
      <c r="CN107" s="10">
        <v>51</v>
      </c>
      <c r="CQ107" s="3">
        <v>0</v>
      </c>
      <c r="CS107" s="10">
        <v>228</v>
      </c>
      <c r="CT107" s="10">
        <v>215</v>
      </c>
      <c r="CU107" s="59">
        <v>4</v>
      </c>
      <c r="CV107" s="10">
        <v>343</v>
      </c>
      <c r="CW107" s="10">
        <v>14</v>
      </c>
      <c r="CX107" s="60">
        <v>47.41</v>
      </c>
      <c r="CY107" s="3">
        <v>17.95</v>
      </c>
      <c r="CZ107" s="3">
        <v>5.52</v>
      </c>
      <c r="DC107" s="24">
        <v>45760.808333333334</v>
      </c>
      <c r="DD107" s="24">
        <v>45760.861111111109</v>
      </c>
      <c r="DF107" s="10">
        <v>267</v>
      </c>
      <c r="DG107" s="24">
        <v>45760.913194444445</v>
      </c>
      <c r="DI107" s="10">
        <v>248</v>
      </c>
      <c r="DJ107" s="58">
        <v>45760.965277777781</v>
      </c>
    </row>
    <row r="108" spans="1:114" x14ac:dyDescent="0.25">
      <c r="B108" s="1">
        <v>10198</v>
      </c>
      <c r="C108" s="12">
        <v>45760</v>
      </c>
      <c r="D108" s="2">
        <v>0.92708333333333326</v>
      </c>
      <c r="E108" s="2">
        <v>0.16666666666666669</v>
      </c>
      <c r="F108" s="61">
        <v>12.99</v>
      </c>
      <c r="G108" s="10">
        <v>17</v>
      </c>
      <c r="H108" s="61">
        <v>2.75</v>
      </c>
      <c r="I108" s="52">
        <v>79.599999999999994</v>
      </c>
      <c r="J108" s="10">
        <v>10</v>
      </c>
      <c r="L108" s="10">
        <v>6</v>
      </c>
      <c r="N108" s="10">
        <v>60</v>
      </c>
      <c r="O108" s="10">
        <v>26</v>
      </c>
      <c r="P108" s="10">
        <v>45.8</v>
      </c>
      <c r="Q108" s="61">
        <v>2.4300000000000002</v>
      </c>
      <c r="R108" s="52">
        <v>46.6</v>
      </c>
      <c r="S108" s="10">
        <v>10</v>
      </c>
      <c r="T108" s="52">
        <v>64</v>
      </c>
      <c r="U108" s="10">
        <v>0</v>
      </c>
      <c r="V108" s="52">
        <v>65.400000000000006</v>
      </c>
      <c r="W108" s="10">
        <v>40</v>
      </c>
      <c r="Z108" s="52">
        <v>75.8</v>
      </c>
      <c r="AA108" s="10">
        <v>106</v>
      </c>
      <c r="AB108" s="10">
        <v>8</v>
      </c>
      <c r="AC108" s="52">
        <v>10</v>
      </c>
      <c r="AD108" s="3">
        <v>22.2</v>
      </c>
      <c r="AE108" s="3">
        <v>2.65</v>
      </c>
      <c r="AF108" s="3">
        <v>0.61</v>
      </c>
      <c r="AG108" s="10">
        <v>90</v>
      </c>
      <c r="AH108" s="10">
        <v>1</v>
      </c>
      <c r="AI108" s="10">
        <v>136</v>
      </c>
      <c r="AJ108" s="10">
        <v>260</v>
      </c>
      <c r="AK108" s="3">
        <v>16.329999999999998</v>
      </c>
      <c r="AL108" s="61">
        <v>84.47</v>
      </c>
      <c r="AM108" s="61">
        <v>52.31</v>
      </c>
      <c r="AO108" s="10">
        <v>79</v>
      </c>
      <c r="AP108" s="10">
        <v>121</v>
      </c>
      <c r="AQ108" s="52">
        <v>79.7</v>
      </c>
      <c r="BG108" s="10">
        <v>181</v>
      </c>
      <c r="BJ108" s="10">
        <v>268</v>
      </c>
      <c r="BK108" s="52">
        <v>101</v>
      </c>
      <c r="BM108" s="10">
        <v>30</v>
      </c>
      <c r="BN108" s="10">
        <v>45</v>
      </c>
      <c r="BO108" s="10">
        <v>75</v>
      </c>
      <c r="BS108" s="10">
        <v>5</v>
      </c>
      <c r="BT108" s="10">
        <v>10</v>
      </c>
      <c r="BV108" s="61">
        <v>7.84</v>
      </c>
      <c r="BW108" s="61">
        <v>0.16</v>
      </c>
      <c r="BZ108" s="61">
        <v>9.89</v>
      </c>
      <c r="CA108" s="10">
        <v>0</v>
      </c>
      <c r="CB108" s="52">
        <v>101.1</v>
      </c>
      <c r="CG108" s="10">
        <v>2274</v>
      </c>
      <c r="CI108" s="10">
        <v>10</v>
      </c>
      <c r="CJ108" s="10">
        <v>10</v>
      </c>
      <c r="CK108" s="3">
        <v>0</v>
      </c>
      <c r="CM108" s="3">
        <v>0.53</v>
      </c>
      <c r="CN108" s="10">
        <v>52</v>
      </c>
      <c r="CO108" s="52">
        <v>10.5</v>
      </c>
      <c r="CQ108" s="3">
        <v>0</v>
      </c>
      <c r="CS108" s="10">
        <v>231</v>
      </c>
      <c r="CT108" s="10">
        <v>214</v>
      </c>
      <c r="CU108" s="59">
        <v>3</v>
      </c>
      <c r="CV108" s="10">
        <v>345</v>
      </c>
      <c r="CW108" s="10">
        <v>12</v>
      </c>
      <c r="CX108" s="60">
        <v>49.28</v>
      </c>
      <c r="CY108" s="3">
        <v>17.8</v>
      </c>
      <c r="CZ108" s="3">
        <v>5.52</v>
      </c>
      <c r="DC108" s="24">
        <v>45760.904861111114</v>
      </c>
      <c r="DD108" s="24">
        <v>45760.952777777777</v>
      </c>
      <c r="DF108" s="10">
        <v>264</v>
      </c>
      <c r="DG108" s="24">
        <v>45761.004861111112</v>
      </c>
      <c r="DI108" s="10">
        <v>243</v>
      </c>
      <c r="DJ108" s="58">
        <v>45761.054166666669</v>
      </c>
    </row>
    <row r="109" spans="1:114" x14ac:dyDescent="0.25">
      <c r="B109" s="1">
        <v>10199</v>
      </c>
      <c r="C109" s="12">
        <v>45761</v>
      </c>
      <c r="D109" s="2">
        <v>2.7777777777777776E-2</v>
      </c>
      <c r="E109" s="2">
        <v>0.26944444444444449</v>
      </c>
      <c r="F109" s="61">
        <v>12.61</v>
      </c>
      <c r="G109" s="10">
        <v>18</v>
      </c>
      <c r="H109" s="61">
        <v>2.68</v>
      </c>
      <c r="I109" s="52">
        <v>79.599999999999994</v>
      </c>
      <c r="J109" s="10">
        <v>10</v>
      </c>
      <c r="L109" s="10">
        <v>5</v>
      </c>
      <c r="N109" s="10">
        <v>63</v>
      </c>
      <c r="O109" s="10">
        <v>27</v>
      </c>
      <c r="P109" s="10">
        <v>46.2</v>
      </c>
      <c r="Q109" s="61">
        <v>2.4500000000000002</v>
      </c>
      <c r="R109" s="52">
        <v>46.5</v>
      </c>
      <c r="S109" s="10">
        <v>10</v>
      </c>
      <c r="T109" s="52">
        <v>64.5</v>
      </c>
      <c r="U109" s="10">
        <v>0</v>
      </c>
      <c r="V109" s="52">
        <v>66</v>
      </c>
      <c r="W109" s="10">
        <v>40</v>
      </c>
      <c r="Z109" s="52">
        <v>76</v>
      </c>
      <c r="AA109" s="10">
        <v>106</v>
      </c>
      <c r="AB109" s="10">
        <v>8</v>
      </c>
      <c r="AC109" s="52">
        <v>10</v>
      </c>
      <c r="AD109" s="3">
        <v>22.33</v>
      </c>
      <c r="AE109" s="3">
        <v>3.4</v>
      </c>
      <c r="AG109" s="10">
        <v>0</v>
      </c>
      <c r="AH109" s="10">
        <v>1</v>
      </c>
      <c r="AI109" s="10">
        <v>136</v>
      </c>
      <c r="AJ109" s="10">
        <v>260</v>
      </c>
      <c r="AK109" s="3">
        <v>16.48</v>
      </c>
      <c r="AL109" s="61">
        <v>84.47</v>
      </c>
      <c r="AM109" s="61">
        <v>52.31</v>
      </c>
      <c r="AO109" s="10">
        <v>81</v>
      </c>
      <c r="AP109" s="10">
        <v>99</v>
      </c>
      <c r="AQ109" s="52">
        <v>80.2</v>
      </c>
      <c r="BG109" s="10">
        <v>184</v>
      </c>
      <c r="BJ109" s="10">
        <v>267</v>
      </c>
      <c r="BK109" s="52">
        <v>101.1</v>
      </c>
      <c r="BM109" s="10">
        <v>30</v>
      </c>
      <c r="BN109" s="10">
        <v>45</v>
      </c>
      <c r="BO109" s="10">
        <v>75</v>
      </c>
      <c r="BS109" s="10">
        <v>5</v>
      </c>
      <c r="BT109" s="10">
        <v>10</v>
      </c>
      <c r="BV109" s="61">
        <v>8.99</v>
      </c>
      <c r="BW109" s="61">
        <v>0.99</v>
      </c>
      <c r="BZ109" s="61">
        <v>10.67</v>
      </c>
      <c r="CA109" s="10">
        <v>0</v>
      </c>
      <c r="CB109" s="52">
        <v>101.2</v>
      </c>
      <c r="CG109" s="10">
        <v>2353</v>
      </c>
      <c r="CI109" s="10">
        <v>10</v>
      </c>
      <c r="CJ109" s="10">
        <v>10</v>
      </c>
      <c r="CK109" s="3">
        <v>0</v>
      </c>
      <c r="CM109" s="3">
        <v>0.7</v>
      </c>
      <c r="CN109" s="10">
        <v>51</v>
      </c>
      <c r="CP109" s="52">
        <v>4.4000000000000004</v>
      </c>
      <c r="CQ109" s="3">
        <v>19.3</v>
      </c>
      <c r="CS109" s="10">
        <v>228</v>
      </c>
      <c r="CT109" s="10">
        <v>216</v>
      </c>
      <c r="CU109" s="59">
        <v>5</v>
      </c>
      <c r="CV109" s="10">
        <v>348</v>
      </c>
      <c r="CW109" s="10">
        <v>9</v>
      </c>
      <c r="CX109" s="60">
        <v>151.74</v>
      </c>
      <c r="CY109" s="3">
        <v>18.25</v>
      </c>
      <c r="CZ109" s="3">
        <v>5.52</v>
      </c>
      <c r="DC109" s="24">
        <v>45761.018055555556</v>
      </c>
      <c r="DD109" s="24">
        <v>45761.064583333333</v>
      </c>
      <c r="DF109" s="10">
        <v>268</v>
      </c>
      <c r="DG109" s="24">
        <v>45761.116666666669</v>
      </c>
      <c r="DI109" s="10">
        <v>247</v>
      </c>
      <c r="DJ109" s="58">
        <v>45761.166666666664</v>
      </c>
    </row>
    <row r="110" spans="1:114" x14ac:dyDescent="0.25">
      <c r="B110" s="1">
        <v>10200</v>
      </c>
      <c r="C110" s="12">
        <v>45767</v>
      </c>
      <c r="D110" s="2">
        <v>0.125</v>
      </c>
      <c r="E110" s="2">
        <v>0.37152777777777768</v>
      </c>
      <c r="F110" s="61">
        <v>12.96</v>
      </c>
      <c r="G110" s="10">
        <v>18</v>
      </c>
      <c r="H110" s="61">
        <v>2.86</v>
      </c>
      <c r="I110" s="52">
        <v>79.900000000000006</v>
      </c>
      <c r="J110" s="10">
        <v>10</v>
      </c>
      <c r="L110" s="10">
        <v>7</v>
      </c>
      <c r="N110" s="10">
        <v>62</v>
      </c>
      <c r="O110" s="10">
        <v>25</v>
      </c>
      <c r="P110" s="10">
        <v>45.8</v>
      </c>
      <c r="Q110" s="61">
        <v>2.4700000000000002</v>
      </c>
      <c r="R110" s="52">
        <v>46.5</v>
      </c>
      <c r="S110" s="10">
        <v>10</v>
      </c>
      <c r="T110" s="52">
        <v>63.5</v>
      </c>
      <c r="U110" s="10">
        <v>46</v>
      </c>
      <c r="V110" s="52">
        <v>65.400000000000006</v>
      </c>
      <c r="W110" s="10">
        <v>40</v>
      </c>
      <c r="Z110" s="52">
        <v>75.8</v>
      </c>
      <c r="AA110" s="10">
        <v>106</v>
      </c>
      <c r="AB110" s="10">
        <v>8</v>
      </c>
      <c r="AC110" s="52">
        <v>11.9</v>
      </c>
      <c r="AD110" s="3">
        <v>22.7</v>
      </c>
      <c r="AE110" s="3">
        <v>1.61</v>
      </c>
      <c r="AF110" s="3">
        <v>0.47</v>
      </c>
      <c r="AG110" s="10">
        <v>78</v>
      </c>
      <c r="AH110" s="10">
        <v>1</v>
      </c>
      <c r="AI110" s="10">
        <v>120</v>
      </c>
      <c r="AJ110" s="10">
        <v>259</v>
      </c>
      <c r="AK110" s="3">
        <v>16.53</v>
      </c>
      <c r="AL110" s="61">
        <v>73.17</v>
      </c>
      <c r="AM110" s="61">
        <v>46.33</v>
      </c>
      <c r="AO110" s="10">
        <v>82</v>
      </c>
      <c r="AP110" s="10">
        <v>120</v>
      </c>
      <c r="AQ110" s="52">
        <v>79.7</v>
      </c>
      <c r="BG110" s="10">
        <v>180</v>
      </c>
      <c r="BJ110" s="10">
        <v>265</v>
      </c>
      <c r="BK110" s="52">
        <v>100.7</v>
      </c>
      <c r="BM110" s="10">
        <v>30</v>
      </c>
      <c r="BN110" s="10">
        <v>45</v>
      </c>
      <c r="BO110" s="10">
        <v>75</v>
      </c>
      <c r="BS110" s="10">
        <v>5</v>
      </c>
      <c r="BT110" s="10">
        <v>10</v>
      </c>
      <c r="BV110" s="61">
        <v>7.55</v>
      </c>
      <c r="BW110" s="61">
        <v>0.45</v>
      </c>
      <c r="BZ110" s="61">
        <v>9.25</v>
      </c>
      <c r="CA110" s="10">
        <v>0</v>
      </c>
      <c r="CB110" s="52">
        <v>101.1</v>
      </c>
      <c r="CG110" s="10">
        <v>2189</v>
      </c>
      <c r="CI110" s="10">
        <v>10</v>
      </c>
      <c r="CJ110" s="10">
        <v>10</v>
      </c>
      <c r="CK110" s="3">
        <v>0</v>
      </c>
      <c r="CM110" s="3">
        <v>0.66</v>
      </c>
      <c r="CN110" s="10">
        <v>51</v>
      </c>
      <c r="CO110" s="52">
        <v>10.3</v>
      </c>
      <c r="CP110" s="52">
        <v>3.4</v>
      </c>
      <c r="CQ110" s="3">
        <v>14.78</v>
      </c>
      <c r="CS110" s="10">
        <v>230</v>
      </c>
      <c r="CT110" s="10">
        <v>223</v>
      </c>
      <c r="CU110" s="59">
        <v>12</v>
      </c>
      <c r="CV110" s="10">
        <v>355</v>
      </c>
      <c r="CW110" s="10">
        <v>2</v>
      </c>
      <c r="CX110" s="60">
        <v>168.14</v>
      </c>
      <c r="CY110" s="3">
        <v>17.77</v>
      </c>
      <c r="CZ110" s="3">
        <v>5.53</v>
      </c>
      <c r="DC110" s="24">
        <v>45767.216666666667</v>
      </c>
      <c r="DD110" s="24">
        <v>45767.270138888889</v>
      </c>
      <c r="DF110" s="10">
        <v>265</v>
      </c>
      <c r="DG110" s="24">
        <v>45767.322222222225</v>
      </c>
      <c r="DI110" s="10">
        <v>245</v>
      </c>
      <c r="DJ110" s="58">
        <v>45767.371527777781</v>
      </c>
    </row>
    <row r="111" spans="1:114" x14ac:dyDescent="0.25">
      <c r="B111" s="1">
        <v>10201</v>
      </c>
      <c r="C111" s="12">
        <v>45767</v>
      </c>
      <c r="D111" s="2">
        <v>0.22222222222222221</v>
      </c>
      <c r="E111" s="2">
        <v>0.47361111111111104</v>
      </c>
      <c r="F111" s="61">
        <v>12.4</v>
      </c>
      <c r="G111" s="10">
        <v>16</v>
      </c>
      <c r="H111" s="61">
        <v>2.88</v>
      </c>
      <c r="I111" s="52">
        <v>79.599999999999994</v>
      </c>
      <c r="J111" s="10">
        <v>10</v>
      </c>
      <c r="L111" s="10">
        <v>5</v>
      </c>
      <c r="N111" s="10">
        <v>59</v>
      </c>
      <c r="O111" s="10">
        <v>25</v>
      </c>
      <c r="P111" s="10">
        <v>46</v>
      </c>
      <c r="Q111" s="61">
        <v>2.41</v>
      </c>
      <c r="R111" s="52">
        <v>46</v>
      </c>
      <c r="S111" s="10">
        <v>10</v>
      </c>
      <c r="T111" s="52">
        <v>64.3</v>
      </c>
      <c r="U111" s="10">
        <v>0</v>
      </c>
      <c r="V111" s="52">
        <v>65.3</v>
      </c>
      <c r="W111" s="10">
        <v>40</v>
      </c>
      <c r="Z111" s="52">
        <v>75.7</v>
      </c>
      <c r="AA111" s="10">
        <v>113</v>
      </c>
      <c r="AB111" s="10">
        <v>6</v>
      </c>
      <c r="AC111" s="52">
        <v>13.6</v>
      </c>
      <c r="AD111" s="3">
        <v>22.32</v>
      </c>
      <c r="AE111" s="3">
        <v>1.93</v>
      </c>
      <c r="AF111" s="3">
        <v>0.33</v>
      </c>
      <c r="AG111" s="10">
        <v>88</v>
      </c>
      <c r="AH111" s="10">
        <v>1</v>
      </c>
      <c r="AI111" s="10">
        <v>136</v>
      </c>
      <c r="AJ111" s="10">
        <v>258</v>
      </c>
      <c r="AK111" s="3">
        <v>16.34</v>
      </c>
      <c r="AL111" s="61">
        <v>83.95</v>
      </c>
      <c r="AM111" s="61">
        <v>52.71</v>
      </c>
      <c r="AO111" s="10">
        <v>82</v>
      </c>
      <c r="AP111" s="10">
        <v>122</v>
      </c>
      <c r="AQ111" s="52">
        <v>79.900000000000006</v>
      </c>
      <c r="BG111" s="10">
        <v>180</v>
      </c>
      <c r="BJ111" s="10">
        <v>262</v>
      </c>
      <c r="BK111" s="52">
        <v>100.8</v>
      </c>
      <c r="BM111" s="10">
        <v>30</v>
      </c>
      <c r="BN111" s="10">
        <v>45</v>
      </c>
      <c r="BO111" s="10">
        <v>75</v>
      </c>
      <c r="BS111" s="10">
        <v>5</v>
      </c>
      <c r="BT111" s="10">
        <v>10</v>
      </c>
      <c r="BV111" s="61">
        <v>6.49</v>
      </c>
      <c r="BW111" s="61">
        <v>1.51</v>
      </c>
      <c r="BZ111" s="61">
        <v>8.2100000000000009</v>
      </c>
      <c r="CA111" s="10">
        <v>0</v>
      </c>
      <c r="CB111" s="52">
        <v>101.1</v>
      </c>
      <c r="CG111" s="10">
        <v>2511</v>
      </c>
      <c r="CI111" s="10">
        <v>10</v>
      </c>
      <c r="CJ111" s="10">
        <v>10</v>
      </c>
      <c r="CK111" s="3">
        <v>0</v>
      </c>
      <c r="CM111" s="3">
        <v>0.66</v>
      </c>
      <c r="CN111" s="10">
        <v>51</v>
      </c>
      <c r="CO111" s="52">
        <v>10.4</v>
      </c>
      <c r="CP111" s="52">
        <v>3.7</v>
      </c>
      <c r="CQ111" s="3">
        <v>16.09</v>
      </c>
      <c r="CS111" s="10">
        <v>230</v>
      </c>
      <c r="CT111" s="10">
        <v>227</v>
      </c>
      <c r="CU111" s="59">
        <v>16</v>
      </c>
      <c r="CV111" s="10">
        <v>362</v>
      </c>
      <c r="CW111" s="10">
        <v>5</v>
      </c>
      <c r="CX111" s="60">
        <v>314.01</v>
      </c>
      <c r="CY111" s="3">
        <v>18.010000000000002</v>
      </c>
      <c r="CZ111" s="3">
        <v>5.51</v>
      </c>
      <c r="DC111" s="24">
        <v>45767.315972222219</v>
      </c>
      <c r="DD111" s="24">
        <v>45767.37222222222</v>
      </c>
      <c r="DF111" s="10">
        <v>262</v>
      </c>
      <c r="DG111" s="24">
        <v>45767.424305555556</v>
      </c>
      <c r="DI111" s="10">
        <v>245</v>
      </c>
      <c r="DJ111" s="58">
        <v>45767.473611111112</v>
      </c>
    </row>
    <row r="112" spans="1:114" x14ac:dyDescent="0.25">
      <c r="B112" s="1">
        <v>10202</v>
      </c>
      <c r="C112" s="12">
        <v>45767</v>
      </c>
      <c r="D112" s="2">
        <v>0.3263888888888889</v>
      </c>
      <c r="E112" s="2">
        <v>0.56666666666666654</v>
      </c>
      <c r="F112" s="61">
        <v>13.06</v>
      </c>
      <c r="G112" s="10">
        <v>18</v>
      </c>
      <c r="H112" s="61">
        <v>2.84</v>
      </c>
      <c r="I112" s="52">
        <v>79.7</v>
      </c>
      <c r="J112" s="10">
        <v>10</v>
      </c>
      <c r="L112" s="10">
        <v>4</v>
      </c>
      <c r="N112" s="10">
        <v>59</v>
      </c>
      <c r="O112" s="10">
        <v>25</v>
      </c>
      <c r="P112" s="10">
        <v>46</v>
      </c>
      <c r="Q112" s="61">
        <v>2.41</v>
      </c>
      <c r="R112" s="52">
        <v>46.7</v>
      </c>
      <c r="S112" s="10">
        <v>9</v>
      </c>
      <c r="T112" s="52">
        <v>64.2</v>
      </c>
      <c r="U112" s="10">
        <v>0</v>
      </c>
      <c r="V112" s="52">
        <v>65.5</v>
      </c>
      <c r="W112" s="10">
        <v>40</v>
      </c>
      <c r="Z112" s="52">
        <v>75.8</v>
      </c>
      <c r="AA112" s="10">
        <v>103</v>
      </c>
      <c r="AB112" s="10">
        <v>6</v>
      </c>
      <c r="AC112" s="52">
        <v>11.2</v>
      </c>
      <c r="AD112" s="3">
        <v>22.16</v>
      </c>
      <c r="AE112" s="3">
        <v>2.34</v>
      </c>
      <c r="AF112" s="3">
        <v>0.41</v>
      </c>
      <c r="AG112" s="10">
        <v>88</v>
      </c>
      <c r="AH112" s="10">
        <v>1</v>
      </c>
      <c r="AI112" s="10">
        <v>136</v>
      </c>
      <c r="AJ112" s="10">
        <v>259</v>
      </c>
      <c r="AK112" s="3">
        <v>16.41</v>
      </c>
      <c r="AL112" s="61">
        <v>84.47</v>
      </c>
      <c r="AM112" s="61">
        <v>52.51</v>
      </c>
      <c r="AO112" s="10">
        <v>82</v>
      </c>
      <c r="AP112" s="10">
        <v>122</v>
      </c>
      <c r="AQ112" s="52">
        <v>80.2</v>
      </c>
      <c r="BG112" s="10">
        <v>180</v>
      </c>
      <c r="BJ112" s="10">
        <v>265</v>
      </c>
      <c r="BK112" s="52">
        <v>100.7</v>
      </c>
      <c r="BM112" s="10">
        <v>30</v>
      </c>
      <c r="BN112" s="10">
        <v>45</v>
      </c>
      <c r="BO112" s="10">
        <v>75</v>
      </c>
      <c r="BS112" s="10">
        <v>5</v>
      </c>
      <c r="BT112" s="10">
        <v>10</v>
      </c>
      <c r="BV112" s="61">
        <v>7.55</v>
      </c>
      <c r="BW112" s="61">
        <v>0.45</v>
      </c>
      <c r="BZ112" s="61">
        <v>9.6199999999999992</v>
      </c>
      <c r="CA112" s="10">
        <v>0</v>
      </c>
      <c r="CB112" s="52">
        <v>101.2</v>
      </c>
      <c r="CG112" s="10">
        <v>2402</v>
      </c>
      <c r="CI112" s="10">
        <v>10</v>
      </c>
      <c r="CJ112" s="10">
        <v>10</v>
      </c>
      <c r="CK112" s="3">
        <v>0</v>
      </c>
      <c r="CM112" s="3">
        <v>0.66</v>
      </c>
      <c r="CN112" s="10">
        <v>51</v>
      </c>
      <c r="CO112" s="52">
        <v>10.6</v>
      </c>
      <c r="CP112" s="52">
        <v>3.3</v>
      </c>
      <c r="CQ112" s="3">
        <v>14.41</v>
      </c>
      <c r="CS112" s="10">
        <v>229</v>
      </c>
      <c r="CT112" s="10">
        <v>219</v>
      </c>
      <c r="CU112" s="59">
        <v>8</v>
      </c>
      <c r="CV112" s="10">
        <v>346</v>
      </c>
      <c r="CW112" s="10">
        <v>11</v>
      </c>
      <c r="CX112" s="60">
        <v>128.13999999999999</v>
      </c>
      <c r="CY112" s="3">
        <v>17.93</v>
      </c>
      <c r="CZ112" s="3">
        <v>5.48</v>
      </c>
      <c r="DC112" s="24">
        <v>45767.414583333331</v>
      </c>
      <c r="DD112" s="24">
        <v>45767.465277777781</v>
      </c>
      <c r="DF112" s="10">
        <v>265</v>
      </c>
      <c r="DG112" s="24">
        <v>45767.517361111109</v>
      </c>
      <c r="DI112" s="10">
        <v>245</v>
      </c>
      <c r="DJ112" s="58">
        <v>45767.566666666666</v>
      </c>
    </row>
    <row r="113" spans="2:114" x14ac:dyDescent="0.25">
      <c r="B113" s="1">
        <v>10203</v>
      </c>
      <c r="C113" s="12">
        <v>45767</v>
      </c>
      <c r="D113" s="2">
        <v>0.43402777777777779</v>
      </c>
      <c r="E113" s="2">
        <v>0.67499999999999993</v>
      </c>
      <c r="F113" s="61">
        <v>13.08</v>
      </c>
      <c r="G113" s="10">
        <v>17</v>
      </c>
      <c r="H113" s="61">
        <v>2.88</v>
      </c>
      <c r="I113" s="52">
        <v>79.599999999999994</v>
      </c>
      <c r="J113" s="10">
        <v>10</v>
      </c>
      <c r="L113" s="10">
        <v>4</v>
      </c>
      <c r="N113" s="10">
        <v>58</v>
      </c>
      <c r="O113" s="10">
        <v>25</v>
      </c>
      <c r="P113" s="10">
        <v>46</v>
      </c>
      <c r="Q113" s="61">
        <v>2.4300000000000002</v>
      </c>
      <c r="R113" s="52">
        <v>46.7</v>
      </c>
      <c r="S113" s="10">
        <v>9</v>
      </c>
      <c r="T113" s="52">
        <v>64.400000000000006</v>
      </c>
      <c r="U113" s="10">
        <v>0</v>
      </c>
      <c r="V113" s="52">
        <v>65.400000000000006</v>
      </c>
      <c r="W113" s="10">
        <v>40</v>
      </c>
      <c r="Z113" s="52">
        <v>75.8</v>
      </c>
      <c r="AA113" s="10">
        <v>107</v>
      </c>
      <c r="AB113" s="10">
        <v>7</v>
      </c>
      <c r="AC113" s="52">
        <v>16.399999999999999</v>
      </c>
      <c r="AD113" s="3">
        <v>22.11</v>
      </c>
      <c r="AE113" s="3">
        <v>2.99</v>
      </c>
      <c r="AG113" s="10">
        <v>0</v>
      </c>
      <c r="AH113" s="10">
        <v>1</v>
      </c>
      <c r="AI113" s="10">
        <v>136</v>
      </c>
      <c r="AJ113" s="10">
        <v>261</v>
      </c>
      <c r="AK113" s="3">
        <v>16.239999999999998</v>
      </c>
      <c r="AL113" s="61">
        <v>84.47</v>
      </c>
      <c r="AM113" s="61">
        <v>52.11</v>
      </c>
      <c r="AO113" s="10">
        <v>81</v>
      </c>
      <c r="AP113" s="10">
        <v>98</v>
      </c>
      <c r="AQ113" s="52">
        <v>80.3</v>
      </c>
      <c r="BG113" s="10">
        <v>180</v>
      </c>
      <c r="BJ113" s="10">
        <v>267</v>
      </c>
      <c r="BK113" s="52">
        <v>101.1</v>
      </c>
      <c r="BM113" s="10">
        <v>30</v>
      </c>
      <c r="BN113" s="10">
        <v>45</v>
      </c>
      <c r="BO113" s="10">
        <v>75</v>
      </c>
      <c r="BS113" s="10">
        <v>5</v>
      </c>
      <c r="BT113" s="10">
        <v>10</v>
      </c>
      <c r="BV113" s="61">
        <v>7.49</v>
      </c>
      <c r="BW113" s="61">
        <v>0.51</v>
      </c>
      <c r="BZ113" s="61">
        <v>9.5500000000000007</v>
      </c>
      <c r="CA113" s="10">
        <v>0</v>
      </c>
      <c r="CB113" s="52">
        <v>101.1</v>
      </c>
      <c r="CG113" s="10">
        <v>2471</v>
      </c>
      <c r="CI113" s="10">
        <v>10</v>
      </c>
      <c r="CJ113" s="10">
        <v>10</v>
      </c>
      <c r="CK113" s="3">
        <v>0</v>
      </c>
      <c r="CM113" s="3">
        <v>0.66</v>
      </c>
      <c r="CN113" s="10">
        <v>52</v>
      </c>
      <c r="CO113" s="52">
        <v>10.5</v>
      </c>
      <c r="CP113" s="52">
        <v>3.6</v>
      </c>
      <c r="CQ113" s="3">
        <v>15.58</v>
      </c>
      <c r="CS113" s="10">
        <v>231</v>
      </c>
      <c r="CT113" s="10">
        <v>216</v>
      </c>
      <c r="CU113" s="59">
        <v>5</v>
      </c>
      <c r="CV113" s="10">
        <v>347</v>
      </c>
      <c r="CW113" s="10">
        <v>10</v>
      </c>
      <c r="CX113" s="60">
        <v>103.8</v>
      </c>
      <c r="CY113" s="3">
        <v>17.75</v>
      </c>
      <c r="CZ113" s="3">
        <v>5.52</v>
      </c>
      <c r="DC113" s="24">
        <v>45767.525000000001</v>
      </c>
      <c r="DD113" s="24">
        <v>45767.572916666664</v>
      </c>
      <c r="DF113" s="10">
        <v>267</v>
      </c>
      <c r="DG113" s="24">
        <v>45767.625</v>
      </c>
      <c r="DI113" s="10">
        <v>247</v>
      </c>
      <c r="DJ113" s="58">
        <v>45767.675000000003</v>
      </c>
    </row>
    <row r="114" spans="2:114" x14ac:dyDescent="0.25">
      <c r="B114" s="1">
        <v>10204</v>
      </c>
      <c r="C114" s="12">
        <v>45773</v>
      </c>
      <c r="D114" s="2">
        <v>0.66666666666666663</v>
      </c>
      <c r="E114" s="2">
        <v>0.92499999999999993</v>
      </c>
      <c r="F114" s="61">
        <v>13.59</v>
      </c>
      <c r="G114" s="10">
        <v>18</v>
      </c>
      <c r="H114" s="61">
        <v>2.84</v>
      </c>
      <c r="I114" s="52">
        <v>79.599999999999994</v>
      </c>
      <c r="J114" s="10">
        <v>10</v>
      </c>
      <c r="L114" s="10">
        <v>7</v>
      </c>
      <c r="N114" s="10">
        <v>64</v>
      </c>
      <c r="O114" s="10">
        <v>25</v>
      </c>
      <c r="P114" s="10">
        <v>46.4</v>
      </c>
      <c r="Q114" s="61">
        <v>2.31</v>
      </c>
      <c r="R114" s="52">
        <v>46.5</v>
      </c>
      <c r="S114" s="10">
        <v>10</v>
      </c>
      <c r="T114" s="52">
        <v>64.599999999999994</v>
      </c>
      <c r="U114" s="10">
        <v>0</v>
      </c>
      <c r="V114" s="52">
        <v>65.400000000000006</v>
      </c>
      <c r="W114" s="10">
        <v>40</v>
      </c>
      <c r="Z114" s="52">
        <v>75.8</v>
      </c>
      <c r="AA114" s="10">
        <v>107</v>
      </c>
      <c r="AB114" s="10">
        <v>9</v>
      </c>
      <c r="AC114" s="52">
        <v>14.6</v>
      </c>
      <c r="AD114" s="3">
        <v>23.93</v>
      </c>
      <c r="AE114" s="3">
        <v>1.92</v>
      </c>
      <c r="AF114" s="3">
        <v>0.56000000000000005</v>
      </c>
      <c r="AG114" s="10">
        <v>40</v>
      </c>
      <c r="AH114" s="10">
        <v>3</v>
      </c>
      <c r="AI114" s="10">
        <v>120</v>
      </c>
      <c r="AJ114" s="10">
        <v>261</v>
      </c>
      <c r="AK114" s="3">
        <v>16.57</v>
      </c>
      <c r="AL114" s="61">
        <v>74.53</v>
      </c>
      <c r="AM114" s="61">
        <v>45.98</v>
      </c>
      <c r="AO114" s="10">
        <v>95</v>
      </c>
      <c r="AP114" s="10">
        <v>123</v>
      </c>
      <c r="AQ114" s="52">
        <v>80.2</v>
      </c>
      <c r="BG114" s="10">
        <v>180</v>
      </c>
      <c r="BJ114" s="10">
        <v>262</v>
      </c>
      <c r="BK114" s="52">
        <v>100.7</v>
      </c>
      <c r="BM114" s="10">
        <v>30</v>
      </c>
      <c r="BN114" s="10">
        <v>45</v>
      </c>
      <c r="BO114" s="10">
        <v>75</v>
      </c>
      <c r="BS114" s="10">
        <v>5</v>
      </c>
      <c r="BT114" s="10">
        <v>10</v>
      </c>
      <c r="BV114" s="61">
        <v>7.25</v>
      </c>
      <c r="BW114" s="61">
        <v>0.75</v>
      </c>
      <c r="BZ114" s="61">
        <v>8.9700000000000006</v>
      </c>
      <c r="CA114" s="10">
        <v>0</v>
      </c>
      <c r="CB114" s="52">
        <v>101.2</v>
      </c>
      <c r="CG114" s="10">
        <v>2156</v>
      </c>
      <c r="CI114" s="10">
        <v>10</v>
      </c>
      <c r="CJ114" s="10">
        <v>10</v>
      </c>
      <c r="CK114" s="3">
        <v>0</v>
      </c>
      <c r="CM114" s="3">
        <v>0.67</v>
      </c>
      <c r="CN114" s="10">
        <v>51</v>
      </c>
      <c r="CO114" s="52">
        <v>10.5</v>
      </c>
      <c r="CS114" s="10">
        <v>228</v>
      </c>
      <c r="CT114" s="10">
        <v>238</v>
      </c>
      <c r="CU114" s="59">
        <v>27</v>
      </c>
      <c r="CV114" s="10">
        <v>372</v>
      </c>
      <c r="CW114" s="10">
        <v>15</v>
      </c>
      <c r="CX114" s="60">
        <v>347.67</v>
      </c>
      <c r="CY114" s="3">
        <v>18.239999999999998</v>
      </c>
      <c r="CZ114" s="3">
        <v>5.58</v>
      </c>
      <c r="DC114" s="24">
        <v>45773.759722222225</v>
      </c>
      <c r="DD114" s="24">
        <v>45773.823611111111</v>
      </c>
      <c r="DF114" s="10">
        <v>262</v>
      </c>
      <c r="DG114" s="24">
        <v>45773.875694444447</v>
      </c>
      <c r="DI114" s="10">
        <v>243</v>
      </c>
      <c r="DJ114" s="58">
        <v>45773.925000000003</v>
      </c>
    </row>
    <row r="115" spans="2:114" x14ac:dyDescent="0.25">
      <c r="B115" s="1">
        <v>10205</v>
      </c>
      <c r="C115" s="12">
        <v>45773</v>
      </c>
      <c r="D115" s="2">
        <v>0.76736111111111116</v>
      </c>
      <c r="E115" s="2">
        <v>1.2499999999999999E-2</v>
      </c>
      <c r="F115" s="61">
        <v>13.48</v>
      </c>
      <c r="G115" s="10">
        <v>16</v>
      </c>
      <c r="H115" s="61">
        <v>2.87</v>
      </c>
      <c r="I115" s="52">
        <v>79.7</v>
      </c>
      <c r="J115" s="10">
        <v>10</v>
      </c>
      <c r="L115" s="10">
        <v>6</v>
      </c>
      <c r="N115" s="10">
        <v>62</v>
      </c>
      <c r="O115" s="10">
        <v>25</v>
      </c>
      <c r="P115" s="10">
        <v>46.6</v>
      </c>
      <c r="Q115" s="61">
        <v>2.34</v>
      </c>
      <c r="R115" s="52">
        <v>46.7</v>
      </c>
      <c r="S115" s="10">
        <v>10</v>
      </c>
      <c r="T115" s="52">
        <v>64.2</v>
      </c>
      <c r="U115" s="10">
        <v>0</v>
      </c>
      <c r="V115" s="52">
        <v>65.3</v>
      </c>
      <c r="W115" s="10">
        <v>40</v>
      </c>
      <c r="Z115" s="52">
        <v>75.7</v>
      </c>
      <c r="AA115" s="10">
        <v>110</v>
      </c>
      <c r="AB115" s="10">
        <v>6</v>
      </c>
      <c r="AC115" s="52">
        <v>14.3</v>
      </c>
      <c r="AD115" s="3">
        <v>22.88</v>
      </c>
      <c r="AE115" s="3">
        <v>2.27</v>
      </c>
      <c r="AF115" s="3">
        <v>0.47</v>
      </c>
      <c r="AG115" s="10">
        <v>88</v>
      </c>
      <c r="AH115" s="10">
        <v>2</v>
      </c>
      <c r="AI115" s="10">
        <v>120</v>
      </c>
      <c r="AJ115" s="10">
        <v>261</v>
      </c>
      <c r="AK115" s="3">
        <v>16.43</v>
      </c>
      <c r="AL115" s="61">
        <v>74.53</v>
      </c>
      <c r="AM115" s="61">
        <v>45.98</v>
      </c>
      <c r="AO115" s="10">
        <v>88</v>
      </c>
      <c r="AP115" s="10">
        <v>127</v>
      </c>
      <c r="AQ115" s="52">
        <v>79.900000000000006</v>
      </c>
      <c r="BG115" s="10">
        <v>180</v>
      </c>
      <c r="BJ115" s="10">
        <v>266</v>
      </c>
      <c r="BK115" s="52">
        <v>100.8</v>
      </c>
      <c r="BM115" s="10">
        <v>30</v>
      </c>
      <c r="BN115" s="10">
        <v>45</v>
      </c>
      <c r="BO115" s="10">
        <v>75</v>
      </c>
      <c r="BS115" s="10">
        <v>5</v>
      </c>
      <c r="BT115" s="10">
        <v>10</v>
      </c>
      <c r="BV115" s="61">
        <v>7.14</v>
      </c>
      <c r="BW115" s="61">
        <v>0.86</v>
      </c>
      <c r="BZ115" s="61">
        <v>9.59</v>
      </c>
      <c r="CA115" s="10">
        <v>0</v>
      </c>
      <c r="CB115" s="52">
        <v>101.1</v>
      </c>
      <c r="CG115" s="10">
        <v>2422</v>
      </c>
      <c r="CI115" s="10">
        <v>10</v>
      </c>
      <c r="CJ115" s="10">
        <v>10</v>
      </c>
      <c r="CK115" s="3">
        <v>0</v>
      </c>
      <c r="CM115" s="3">
        <v>0.66</v>
      </c>
      <c r="CN115" s="10">
        <v>55</v>
      </c>
      <c r="CO115" s="52">
        <v>10.6</v>
      </c>
      <c r="CP115" s="52">
        <v>3.2</v>
      </c>
      <c r="CQ115" s="3">
        <v>13.91</v>
      </c>
      <c r="CS115" s="10">
        <v>230</v>
      </c>
      <c r="CT115" s="10">
        <v>221</v>
      </c>
      <c r="CU115" s="59">
        <v>10</v>
      </c>
      <c r="CV115" s="10">
        <v>353</v>
      </c>
      <c r="CW115" s="10">
        <v>4</v>
      </c>
      <c r="CX115" s="60">
        <v>188.57</v>
      </c>
      <c r="CY115" s="3">
        <v>18.239999999999998</v>
      </c>
      <c r="CZ115" s="3">
        <v>5.27</v>
      </c>
      <c r="DC115" s="24">
        <v>45773.859027777777</v>
      </c>
      <c r="DD115" s="24">
        <v>45773.908333333333</v>
      </c>
      <c r="DF115" s="10">
        <v>266</v>
      </c>
      <c r="DG115" s="24">
        <v>45773.960416666669</v>
      </c>
      <c r="DI115" s="10">
        <v>247</v>
      </c>
      <c r="DJ115" s="58">
        <v>45774.012499999997</v>
      </c>
    </row>
    <row r="116" spans="2:114" x14ac:dyDescent="0.25">
      <c r="B116" s="1">
        <v>10206</v>
      </c>
      <c r="C116" s="12">
        <v>45773</v>
      </c>
      <c r="D116" s="2">
        <v>0.875</v>
      </c>
      <c r="E116" s="2">
        <v>0.12152777777777779</v>
      </c>
      <c r="F116" s="61">
        <v>0</v>
      </c>
      <c r="G116" s="10">
        <v>16</v>
      </c>
      <c r="H116" s="61">
        <v>3.11</v>
      </c>
      <c r="I116" s="52">
        <v>79.7</v>
      </c>
      <c r="J116" s="10">
        <v>10</v>
      </c>
      <c r="L116" s="10">
        <v>5</v>
      </c>
      <c r="N116" s="10">
        <v>58</v>
      </c>
      <c r="O116" s="10">
        <v>25</v>
      </c>
      <c r="P116" s="10">
        <v>46.6</v>
      </c>
      <c r="Q116" s="61">
        <v>2.42</v>
      </c>
      <c r="R116" s="52">
        <v>46.5</v>
      </c>
      <c r="S116" s="10">
        <v>10</v>
      </c>
      <c r="T116" s="52">
        <v>64.400000000000006</v>
      </c>
      <c r="U116" s="10">
        <v>0</v>
      </c>
      <c r="V116" s="52">
        <v>65.599999999999994</v>
      </c>
      <c r="W116" s="10">
        <v>40</v>
      </c>
      <c r="Z116" s="52">
        <v>75.8</v>
      </c>
      <c r="AA116" s="10">
        <v>111</v>
      </c>
      <c r="AB116" s="10">
        <v>6</v>
      </c>
      <c r="AC116" s="52">
        <v>11.6</v>
      </c>
      <c r="AD116" s="3">
        <v>22.37</v>
      </c>
      <c r="AE116" s="3">
        <v>2.9</v>
      </c>
      <c r="AF116" s="3">
        <v>0.63</v>
      </c>
      <c r="AG116" s="10">
        <v>88</v>
      </c>
      <c r="AH116" s="10">
        <v>2</v>
      </c>
      <c r="AI116" s="10">
        <v>136</v>
      </c>
      <c r="AJ116" s="10">
        <v>262</v>
      </c>
      <c r="AK116" s="3">
        <v>16.62</v>
      </c>
      <c r="AL116" s="61">
        <v>84.47</v>
      </c>
      <c r="AM116" s="61">
        <v>51.91</v>
      </c>
      <c r="AO116" s="10">
        <v>89</v>
      </c>
      <c r="AP116" s="10">
        <v>136</v>
      </c>
      <c r="AQ116" s="52">
        <v>80</v>
      </c>
      <c r="BG116" s="10">
        <v>180</v>
      </c>
      <c r="BJ116" s="10">
        <v>268</v>
      </c>
      <c r="BK116" s="52">
        <v>100.8</v>
      </c>
      <c r="BM116" s="10">
        <v>30</v>
      </c>
      <c r="BN116" s="10">
        <v>45</v>
      </c>
      <c r="BO116" s="10">
        <v>75</v>
      </c>
      <c r="BS116" s="10">
        <v>5</v>
      </c>
      <c r="BT116" s="10">
        <v>10</v>
      </c>
      <c r="BV116" s="61">
        <v>8.58</v>
      </c>
      <c r="BW116" s="61">
        <v>0.57999999999999996</v>
      </c>
      <c r="BZ116" s="61">
        <v>9.51</v>
      </c>
      <c r="CA116" s="10">
        <v>0</v>
      </c>
      <c r="CB116" s="52">
        <v>101</v>
      </c>
      <c r="CG116" s="10">
        <v>2524</v>
      </c>
      <c r="CI116" s="10">
        <v>10</v>
      </c>
      <c r="CJ116" s="10">
        <v>10</v>
      </c>
      <c r="CK116" s="3">
        <v>0</v>
      </c>
      <c r="CM116" s="3">
        <v>0.66</v>
      </c>
      <c r="CN116" s="10">
        <v>52</v>
      </c>
      <c r="CO116" s="52">
        <v>10.4</v>
      </c>
      <c r="CP116" s="52">
        <v>3.6</v>
      </c>
      <c r="CQ116" s="3">
        <v>15.52</v>
      </c>
      <c r="CS116" s="10">
        <v>232</v>
      </c>
      <c r="CT116" s="10">
        <v>222</v>
      </c>
      <c r="CU116" s="59">
        <v>11</v>
      </c>
      <c r="CV116" s="10">
        <v>355</v>
      </c>
      <c r="CW116" s="10">
        <v>2</v>
      </c>
      <c r="CX116" s="60">
        <v>171.07</v>
      </c>
      <c r="CY116" s="3">
        <v>18.170000000000002</v>
      </c>
      <c r="CZ116" s="3">
        <v>5.25</v>
      </c>
      <c r="DC116" s="24">
        <v>45773.967361111114</v>
      </c>
      <c r="DD116" s="24">
        <v>45774.019444444442</v>
      </c>
      <c r="DF116" s="10">
        <v>268</v>
      </c>
      <c r="DG116" s="24">
        <v>45774.071527777778</v>
      </c>
      <c r="DI116" s="10">
        <v>245</v>
      </c>
      <c r="DJ116" s="58">
        <v>45774.121527777781</v>
      </c>
    </row>
    <row r="117" spans="2:114" x14ac:dyDescent="0.25">
      <c r="B117" s="1">
        <v>10207</v>
      </c>
      <c r="C117" s="12">
        <v>45773</v>
      </c>
      <c r="D117" s="2">
        <v>0.97569444444444453</v>
      </c>
      <c r="E117" s="2">
        <v>0.22708333333333333</v>
      </c>
      <c r="F117" s="61">
        <v>13.01</v>
      </c>
      <c r="G117" s="10">
        <v>17</v>
      </c>
      <c r="H117" s="61">
        <v>2.77</v>
      </c>
      <c r="I117" s="52">
        <v>79.900000000000006</v>
      </c>
      <c r="J117" s="10">
        <v>10</v>
      </c>
      <c r="L117" s="10">
        <v>4</v>
      </c>
      <c r="N117" s="10">
        <v>65</v>
      </c>
      <c r="O117" s="10">
        <v>25</v>
      </c>
      <c r="P117" s="10">
        <v>46.3</v>
      </c>
      <c r="Q117" s="61">
        <v>2.38</v>
      </c>
      <c r="R117" s="52">
        <v>46.8</v>
      </c>
      <c r="S117" s="10">
        <v>10</v>
      </c>
      <c r="T117" s="52">
        <v>64.5</v>
      </c>
      <c r="U117" s="10">
        <v>0</v>
      </c>
      <c r="V117" s="52">
        <v>65.8</v>
      </c>
      <c r="W117" s="10">
        <v>40</v>
      </c>
      <c r="Z117" s="52">
        <v>75.8</v>
      </c>
      <c r="AA117" s="10">
        <v>112</v>
      </c>
      <c r="AB117" s="10">
        <v>7</v>
      </c>
      <c r="AC117" s="52">
        <v>17.399999999999999</v>
      </c>
      <c r="AD117" s="3">
        <v>22.66</v>
      </c>
      <c r="AE117" s="3">
        <v>2.58</v>
      </c>
      <c r="AF117" s="3">
        <v>0.43</v>
      </c>
      <c r="AG117" s="10">
        <v>86</v>
      </c>
      <c r="AH117" s="10">
        <v>2</v>
      </c>
      <c r="AI117" s="10">
        <v>136</v>
      </c>
      <c r="AJ117" s="10">
        <v>264</v>
      </c>
      <c r="AK117" s="3">
        <v>16.57</v>
      </c>
      <c r="AL117" s="61">
        <v>84.47</v>
      </c>
      <c r="AM117" s="61">
        <v>51.52</v>
      </c>
      <c r="AO117" s="10">
        <v>95</v>
      </c>
      <c r="AP117" s="10">
        <v>135</v>
      </c>
      <c r="AQ117" s="52">
        <v>79.7</v>
      </c>
      <c r="BG117" s="10">
        <v>180</v>
      </c>
      <c r="BJ117" s="10">
        <v>270</v>
      </c>
      <c r="BK117" s="52">
        <v>101.1</v>
      </c>
      <c r="BM117" s="10">
        <v>30</v>
      </c>
      <c r="BN117" s="10">
        <v>45</v>
      </c>
      <c r="BO117" s="10">
        <v>75</v>
      </c>
      <c r="BS117" s="10">
        <v>5</v>
      </c>
      <c r="BT117" s="10">
        <v>10</v>
      </c>
      <c r="BV117" s="61">
        <v>7.41</v>
      </c>
      <c r="BW117" s="61">
        <v>0.59</v>
      </c>
      <c r="BZ117" s="61">
        <v>9.07</v>
      </c>
      <c r="CA117" s="10">
        <v>0</v>
      </c>
      <c r="CB117" s="52">
        <v>100.9</v>
      </c>
      <c r="CG117" s="10">
        <v>2453</v>
      </c>
      <c r="CI117" s="10">
        <v>10</v>
      </c>
      <c r="CJ117" s="10">
        <v>10</v>
      </c>
      <c r="CK117" s="3">
        <v>0</v>
      </c>
      <c r="CM117" s="3">
        <v>0.65</v>
      </c>
      <c r="CN117" s="10">
        <v>50</v>
      </c>
      <c r="CO117" s="52">
        <v>10.6</v>
      </c>
      <c r="CP117" s="52">
        <v>3.4</v>
      </c>
      <c r="CQ117" s="3">
        <v>14.47</v>
      </c>
      <c r="CS117" s="10">
        <v>235</v>
      </c>
      <c r="CT117" s="10">
        <v>226</v>
      </c>
      <c r="CU117" s="59">
        <v>15</v>
      </c>
      <c r="CV117" s="10">
        <v>362</v>
      </c>
      <c r="CW117" s="10">
        <v>5</v>
      </c>
      <c r="CX117" s="60">
        <v>212.12</v>
      </c>
      <c r="CY117" s="3">
        <v>18.2</v>
      </c>
      <c r="CZ117" s="3">
        <v>5.26</v>
      </c>
      <c r="DC117" s="24">
        <v>45774.070138888892</v>
      </c>
      <c r="DD117" s="24">
        <v>45774.126388888886</v>
      </c>
      <c r="DF117" s="10">
        <v>270</v>
      </c>
      <c r="DG117" s="24">
        <v>45774.178472222222</v>
      </c>
      <c r="DI117" s="10">
        <v>250</v>
      </c>
      <c r="DJ117" s="58">
        <v>45774.227083333331</v>
      </c>
    </row>
    <row r="118" spans="2:114" x14ac:dyDescent="0.25">
      <c r="B118" s="1">
        <v>10208</v>
      </c>
      <c r="C118" s="12">
        <v>45774</v>
      </c>
      <c r="D118" s="2">
        <v>1.0729166666666667</v>
      </c>
      <c r="E118" s="2">
        <v>0.32361111111111107</v>
      </c>
      <c r="F118" s="61">
        <v>13.15</v>
      </c>
      <c r="G118" s="10">
        <v>19</v>
      </c>
      <c r="H118" s="61">
        <v>2.77</v>
      </c>
      <c r="I118" s="52">
        <v>79.7</v>
      </c>
      <c r="J118" s="10">
        <v>10</v>
      </c>
      <c r="L118" s="10">
        <v>3</v>
      </c>
      <c r="N118" s="10">
        <v>67</v>
      </c>
      <c r="O118" s="10">
        <v>24</v>
      </c>
      <c r="P118" s="10">
        <v>46.6</v>
      </c>
      <c r="Q118" s="61">
        <v>2.42</v>
      </c>
      <c r="R118" s="52">
        <v>46.5</v>
      </c>
      <c r="S118" s="10">
        <v>10</v>
      </c>
      <c r="T118" s="52">
        <v>64.5</v>
      </c>
      <c r="U118" s="10">
        <v>0</v>
      </c>
      <c r="V118" s="52">
        <v>65.5</v>
      </c>
      <c r="W118" s="10">
        <v>40</v>
      </c>
      <c r="Z118" s="52">
        <v>75.7</v>
      </c>
      <c r="AA118" s="10">
        <v>120</v>
      </c>
      <c r="AB118" s="10">
        <v>8</v>
      </c>
      <c r="AC118" s="52">
        <v>13.1</v>
      </c>
      <c r="AD118" s="3">
        <v>22.72</v>
      </c>
      <c r="AE118" s="3">
        <v>2.62</v>
      </c>
      <c r="AF118" s="3">
        <v>0.4</v>
      </c>
      <c r="AG118" s="10">
        <v>88</v>
      </c>
      <c r="AH118" s="10">
        <v>2</v>
      </c>
      <c r="AI118" s="10">
        <v>136</v>
      </c>
      <c r="AJ118" s="10">
        <v>265</v>
      </c>
      <c r="AK118" s="3">
        <v>16.510000000000002</v>
      </c>
      <c r="AL118" s="61">
        <v>84.47</v>
      </c>
      <c r="AM118" s="61">
        <v>51.32</v>
      </c>
      <c r="AO118" s="10">
        <v>88</v>
      </c>
      <c r="AP118" s="10">
        <v>130</v>
      </c>
      <c r="AQ118" s="52">
        <v>80.3</v>
      </c>
      <c r="BG118" s="10">
        <v>180</v>
      </c>
      <c r="BJ118" s="10">
        <v>270</v>
      </c>
      <c r="BK118" s="52">
        <v>101.1</v>
      </c>
      <c r="BM118" s="10">
        <v>30</v>
      </c>
      <c r="BN118" s="10">
        <v>45</v>
      </c>
      <c r="BO118" s="10">
        <v>75</v>
      </c>
      <c r="BS118" s="10">
        <v>5</v>
      </c>
      <c r="BT118" s="10">
        <v>10</v>
      </c>
      <c r="BV118" s="61">
        <v>7.41</v>
      </c>
      <c r="BW118" s="61">
        <v>0.59</v>
      </c>
      <c r="BZ118" s="61">
        <v>8.6999999999999993</v>
      </c>
      <c r="CA118" s="10">
        <v>0</v>
      </c>
      <c r="CB118" s="52">
        <v>101</v>
      </c>
      <c r="CG118" s="10">
        <v>2474</v>
      </c>
      <c r="CI118" s="10">
        <v>10</v>
      </c>
      <c r="CJ118" s="10">
        <v>10</v>
      </c>
      <c r="CK118" s="3">
        <v>0</v>
      </c>
      <c r="CM118" s="3">
        <v>0.64</v>
      </c>
      <c r="CN118" s="10">
        <v>53</v>
      </c>
      <c r="CO118" s="52">
        <v>10.5</v>
      </c>
      <c r="CP118" s="52">
        <v>3.2</v>
      </c>
      <c r="CQ118" s="3">
        <v>13.56</v>
      </c>
      <c r="CS118" s="10">
        <v>236</v>
      </c>
      <c r="CT118" s="10">
        <v>214</v>
      </c>
      <c r="CU118" s="59">
        <v>3</v>
      </c>
      <c r="CV118" s="10">
        <v>361</v>
      </c>
      <c r="CW118" s="10">
        <v>4</v>
      </c>
      <c r="CX118" s="60">
        <v>92.12</v>
      </c>
      <c r="CY118" s="3">
        <v>17.88</v>
      </c>
      <c r="CZ118" s="3">
        <v>5.25</v>
      </c>
      <c r="DC118" s="24">
        <v>45775.175000000003</v>
      </c>
      <c r="DD118" s="24">
        <v>45775.220833333333</v>
      </c>
      <c r="DF118" s="10">
        <v>270</v>
      </c>
      <c r="DG118" s="24">
        <v>45775.272916666669</v>
      </c>
      <c r="DI118" s="10">
        <v>250</v>
      </c>
      <c r="DJ118" s="58">
        <v>45775.323611111111</v>
      </c>
    </row>
    <row r="119" spans="2:114" x14ac:dyDescent="0.25">
      <c r="B119" s="1">
        <v>10209</v>
      </c>
      <c r="C119" s="12">
        <v>45774</v>
      </c>
      <c r="D119" s="2">
        <v>0.1875</v>
      </c>
      <c r="E119" s="2">
        <v>0.42708333333333326</v>
      </c>
      <c r="F119" s="61">
        <v>13.33</v>
      </c>
      <c r="G119" s="10">
        <v>18</v>
      </c>
      <c r="H119" s="61">
        <v>2.81</v>
      </c>
      <c r="I119" s="52">
        <v>79.599999999999994</v>
      </c>
      <c r="J119" s="10">
        <v>10</v>
      </c>
      <c r="L119" s="10">
        <v>2</v>
      </c>
      <c r="N119" s="10">
        <v>60</v>
      </c>
      <c r="O119" s="10">
        <v>24</v>
      </c>
      <c r="P119" s="10">
        <v>46.6</v>
      </c>
      <c r="Q119" s="61">
        <v>2.4300000000000002</v>
      </c>
      <c r="R119" s="52">
        <v>46.5</v>
      </c>
      <c r="S119" s="10">
        <v>10</v>
      </c>
      <c r="T119" s="52">
        <v>64.5</v>
      </c>
      <c r="U119" s="10">
        <v>0</v>
      </c>
      <c r="V119" s="52">
        <v>65.5</v>
      </c>
      <c r="W119" s="10">
        <v>40</v>
      </c>
      <c r="Z119" s="52">
        <v>75.8</v>
      </c>
      <c r="AA119" s="10">
        <v>102</v>
      </c>
      <c r="AB119" s="10">
        <v>8</v>
      </c>
      <c r="AC119" s="52">
        <v>8</v>
      </c>
      <c r="AD119" s="3">
        <v>22.65</v>
      </c>
      <c r="AE119" s="3">
        <v>3.1</v>
      </c>
      <c r="AG119" s="10">
        <v>0</v>
      </c>
      <c r="AH119" s="10">
        <v>1</v>
      </c>
      <c r="AI119" s="10">
        <v>136</v>
      </c>
      <c r="AJ119" s="10">
        <v>262</v>
      </c>
      <c r="AK119" s="3">
        <v>16.52</v>
      </c>
      <c r="AL119" s="61">
        <v>84.47</v>
      </c>
      <c r="AM119" s="61">
        <v>51.91</v>
      </c>
      <c r="AO119" s="10">
        <v>82</v>
      </c>
      <c r="AP119" s="10">
        <v>100</v>
      </c>
      <c r="AQ119" s="52">
        <v>79.7</v>
      </c>
      <c r="BG119" s="10">
        <v>183</v>
      </c>
      <c r="BJ119" s="10">
        <v>271</v>
      </c>
      <c r="BK119" s="52">
        <v>101.1</v>
      </c>
      <c r="BM119" s="10">
        <v>30</v>
      </c>
      <c r="BN119" s="10">
        <v>45</v>
      </c>
      <c r="BO119" s="10">
        <v>75</v>
      </c>
      <c r="BS119" s="10">
        <v>5</v>
      </c>
      <c r="BT119" s="10">
        <v>10</v>
      </c>
      <c r="BV119" s="61">
        <v>7.75</v>
      </c>
      <c r="BW119" s="61">
        <v>0.25</v>
      </c>
      <c r="BZ119" s="61">
        <v>9.41</v>
      </c>
      <c r="CA119" s="10">
        <v>0</v>
      </c>
      <c r="CB119" s="52">
        <v>100.9</v>
      </c>
      <c r="CG119" s="10">
        <v>2474</v>
      </c>
      <c r="CI119" s="10">
        <v>10</v>
      </c>
      <c r="CJ119" s="10">
        <v>10</v>
      </c>
      <c r="CK119" s="3">
        <v>0</v>
      </c>
      <c r="CM119" s="3">
        <v>0.65</v>
      </c>
      <c r="CN119" s="10">
        <v>52</v>
      </c>
      <c r="CO119" s="52">
        <v>10.5</v>
      </c>
      <c r="CP119" s="52">
        <v>3.6</v>
      </c>
      <c r="CQ119" s="3">
        <v>15.32</v>
      </c>
      <c r="CS119" s="10">
        <v>235</v>
      </c>
      <c r="CT119" s="10">
        <v>217</v>
      </c>
      <c r="CU119" s="59">
        <v>6</v>
      </c>
      <c r="CV119" s="10">
        <v>345</v>
      </c>
      <c r="CW119" s="10">
        <v>12</v>
      </c>
      <c r="CX119" s="60">
        <v>87.95</v>
      </c>
      <c r="CY119" s="3">
        <v>18.05</v>
      </c>
      <c r="CZ119" s="3">
        <v>5.26</v>
      </c>
      <c r="DC119" s="24">
        <v>45774.276388888888</v>
      </c>
      <c r="DD119" s="24">
        <v>45774.324999999997</v>
      </c>
      <c r="DF119" s="10">
        <v>271</v>
      </c>
      <c r="DG119" s="24">
        <v>45774.377083333333</v>
      </c>
      <c r="DI119" s="10">
        <v>250</v>
      </c>
      <c r="DJ119" s="58">
        <v>45774.427083333336</v>
      </c>
    </row>
    <row r="120" spans="2:114" x14ac:dyDescent="0.25">
      <c r="B120" s="1">
        <v>10210</v>
      </c>
      <c r="C120" s="12">
        <v>45780</v>
      </c>
      <c r="D120" s="2">
        <v>0.99027777777777781</v>
      </c>
      <c r="E120" s="2">
        <v>0.27500000000000002</v>
      </c>
      <c r="F120" s="61">
        <v>11.14</v>
      </c>
      <c r="G120" s="10">
        <v>16</v>
      </c>
      <c r="H120" s="61">
        <v>2.76</v>
      </c>
      <c r="I120" s="52">
        <v>79.599999999999994</v>
      </c>
      <c r="J120" s="10">
        <v>10</v>
      </c>
      <c r="L120" s="10">
        <v>5</v>
      </c>
      <c r="N120" s="10">
        <v>59</v>
      </c>
      <c r="O120" s="10">
        <v>26</v>
      </c>
      <c r="P120" s="10">
        <v>45.8</v>
      </c>
      <c r="Q120" s="61">
        <v>2.4</v>
      </c>
      <c r="R120" s="52">
        <v>45</v>
      </c>
      <c r="S120" s="10">
        <v>10</v>
      </c>
      <c r="T120" s="52">
        <v>60.2</v>
      </c>
      <c r="U120" s="10">
        <v>81</v>
      </c>
      <c r="V120" s="52">
        <v>65.400000000000006</v>
      </c>
      <c r="W120" s="10">
        <v>40</v>
      </c>
      <c r="Z120" s="52">
        <v>76</v>
      </c>
      <c r="AA120" s="10">
        <v>113</v>
      </c>
      <c r="AB120" s="10">
        <v>40</v>
      </c>
      <c r="AC120" s="52">
        <v>6</v>
      </c>
      <c r="AD120" s="3">
        <v>22.6</v>
      </c>
      <c r="AE120" s="3">
        <v>1.8</v>
      </c>
      <c r="AF120" s="3">
        <v>0.3</v>
      </c>
      <c r="AG120" s="10">
        <v>82</v>
      </c>
      <c r="AH120" s="10">
        <v>2</v>
      </c>
      <c r="AI120" s="10">
        <v>115</v>
      </c>
      <c r="AJ120" s="10">
        <v>259</v>
      </c>
      <c r="AK120" s="3">
        <v>16.329999999999998</v>
      </c>
      <c r="AL120" s="61">
        <v>70.55</v>
      </c>
      <c r="AM120" s="61">
        <v>44.4</v>
      </c>
      <c r="AO120" s="10">
        <v>83</v>
      </c>
      <c r="AP120" s="10">
        <v>155</v>
      </c>
      <c r="AQ120" s="52">
        <v>79.8</v>
      </c>
      <c r="BG120" s="10">
        <v>180</v>
      </c>
      <c r="BJ120" s="10">
        <v>265</v>
      </c>
      <c r="BK120" s="52">
        <v>100.9</v>
      </c>
      <c r="BM120" s="10">
        <v>30</v>
      </c>
      <c r="BN120" s="10">
        <v>45</v>
      </c>
      <c r="BO120" s="10">
        <v>75</v>
      </c>
      <c r="BS120" s="10">
        <v>5</v>
      </c>
      <c r="BT120" s="10">
        <v>10</v>
      </c>
      <c r="BV120" s="61">
        <v>7.55</v>
      </c>
      <c r="BW120" s="61">
        <v>0.45</v>
      </c>
      <c r="BZ120" s="61">
        <v>9.6199999999999992</v>
      </c>
      <c r="CA120" s="10">
        <v>0</v>
      </c>
      <c r="CB120" s="52">
        <v>101</v>
      </c>
      <c r="CG120" s="10">
        <v>2096</v>
      </c>
      <c r="CI120" s="10">
        <v>10</v>
      </c>
      <c r="CJ120" s="10">
        <v>10</v>
      </c>
      <c r="CK120" s="3">
        <v>0</v>
      </c>
      <c r="CM120" s="3">
        <v>0.53</v>
      </c>
      <c r="CN120" s="10">
        <v>51</v>
      </c>
      <c r="CO120" s="52">
        <v>10.5</v>
      </c>
      <c r="CQ120" s="3">
        <v>0</v>
      </c>
      <c r="CS120" s="10">
        <v>229</v>
      </c>
      <c r="CT120" s="10">
        <v>241</v>
      </c>
      <c r="CU120" s="59">
        <v>30</v>
      </c>
      <c r="CV120" s="10">
        <v>410</v>
      </c>
      <c r="CW120" s="10">
        <v>53</v>
      </c>
      <c r="CX120" s="60">
        <v>348.14</v>
      </c>
      <c r="CY120" s="3">
        <v>17.89</v>
      </c>
      <c r="CZ120" s="3">
        <v>5.27</v>
      </c>
      <c r="DC120" s="24">
        <v>45781.107638888891</v>
      </c>
      <c r="DD120" s="24">
        <v>45781.173611111109</v>
      </c>
      <c r="DF120" s="10">
        <v>265</v>
      </c>
      <c r="DG120" s="24">
        <v>45781.225694444445</v>
      </c>
      <c r="DI120" s="10">
        <v>245</v>
      </c>
      <c r="DJ120" s="58">
        <v>45781.275000000001</v>
      </c>
    </row>
    <row r="121" spans="2:114" x14ac:dyDescent="0.25">
      <c r="B121" s="1">
        <v>10211</v>
      </c>
      <c r="C121" s="12">
        <v>45781</v>
      </c>
      <c r="D121" s="2">
        <v>0.1423611111111111</v>
      </c>
      <c r="E121" s="2">
        <v>0.38055555555555548</v>
      </c>
      <c r="F121" s="61">
        <v>12.88</v>
      </c>
      <c r="G121" s="10">
        <v>17</v>
      </c>
      <c r="H121" s="61">
        <v>2.73</v>
      </c>
      <c r="I121" s="52">
        <v>79.8</v>
      </c>
      <c r="J121" s="10">
        <v>10</v>
      </c>
      <c r="L121" s="10">
        <v>5</v>
      </c>
      <c r="N121" s="10">
        <v>61</v>
      </c>
      <c r="O121" s="10">
        <v>27</v>
      </c>
      <c r="P121" s="10">
        <v>46</v>
      </c>
      <c r="Q121" s="61">
        <v>2.4700000000000002</v>
      </c>
      <c r="R121" s="52">
        <v>45.6</v>
      </c>
      <c r="S121" s="10">
        <v>10</v>
      </c>
      <c r="T121" s="52">
        <v>63.8</v>
      </c>
      <c r="U121" s="10">
        <v>30</v>
      </c>
      <c r="V121" s="52">
        <v>65.400000000000006</v>
      </c>
      <c r="W121" s="10">
        <v>40</v>
      </c>
      <c r="Z121" s="52">
        <v>76</v>
      </c>
      <c r="AA121" s="10">
        <v>107</v>
      </c>
      <c r="AB121" s="10">
        <v>8</v>
      </c>
      <c r="AC121" s="52">
        <v>8</v>
      </c>
      <c r="AD121" s="3">
        <v>21.87</v>
      </c>
      <c r="AE121" s="3">
        <v>2.4700000000000002</v>
      </c>
      <c r="AG121" s="10">
        <v>90</v>
      </c>
      <c r="AH121" s="10">
        <v>1</v>
      </c>
      <c r="AI121" s="10">
        <v>136</v>
      </c>
      <c r="AJ121" s="10">
        <v>259</v>
      </c>
      <c r="AK121" s="3">
        <v>16.510000000000002</v>
      </c>
      <c r="AL121" s="61">
        <v>82.42</v>
      </c>
      <c r="AM121" s="61">
        <v>52.51</v>
      </c>
      <c r="AO121" s="10">
        <v>79</v>
      </c>
      <c r="AP121" s="10">
        <v>121</v>
      </c>
      <c r="AQ121" s="52">
        <v>79.900000000000006</v>
      </c>
      <c r="BG121" s="10">
        <v>180</v>
      </c>
      <c r="BJ121" s="10">
        <v>264</v>
      </c>
      <c r="BK121" s="52">
        <v>100.7</v>
      </c>
      <c r="BM121" s="10">
        <v>30</v>
      </c>
      <c r="BN121" s="10">
        <v>45</v>
      </c>
      <c r="BO121" s="10">
        <v>75</v>
      </c>
      <c r="BS121" s="10">
        <v>5</v>
      </c>
      <c r="BT121" s="10">
        <v>10</v>
      </c>
      <c r="BV121" s="61">
        <v>8.33</v>
      </c>
      <c r="BW121" s="61">
        <v>0.33</v>
      </c>
      <c r="BZ121" s="61">
        <v>10.039999999999999</v>
      </c>
      <c r="CA121" s="10">
        <v>0</v>
      </c>
      <c r="CB121" s="52">
        <v>100.9</v>
      </c>
      <c r="CG121" s="10">
        <v>2267</v>
      </c>
      <c r="CI121" s="10">
        <v>10</v>
      </c>
      <c r="CJ121" s="10">
        <v>10</v>
      </c>
      <c r="CK121" s="3">
        <v>0</v>
      </c>
      <c r="CM121" s="3">
        <v>0.54</v>
      </c>
      <c r="CN121" s="10">
        <v>51</v>
      </c>
      <c r="CO121" s="52">
        <v>10.5</v>
      </c>
      <c r="CQ121" s="3">
        <v>0</v>
      </c>
      <c r="CS121" s="10">
        <v>227</v>
      </c>
      <c r="CT121" s="10">
        <v>211</v>
      </c>
      <c r="CU121" s="59">
        <v>0</v>
      </c>
      <c r="CV121" s="10">
        <v>343</v>
      </c>
      <c r="CW121" s="10">
        <v>14</v>
      </c>
      <c r="CX121" s="60">
        <v>36.19</v>
      </c>
      <c r="CY121" s="3">
        <v>17.87</v>
      </c>
      <c r="CZ121" s="3">
        <v>5.28</v>
      </c>
      <c r="DC121" s="24">
        <v>45781.234027777777</v>
      </c>
      <c r="DD121" s="24">
        <v>45781.279166666667</v>
      </c>
      <c r="DF121" s="10">
        <v>264</v>
      </c>
      <c r="DG121" s="24">
        <v>45781.331250000003</v>
      </c>
      <c r="DI121" s="10">
        <v>242</v>
      </c>
      <c r="DJ121" s="58">
        <v>45781.380555555559</v>
      </c>
    </row>
    <row r="122" spans="2:114" x14ac:dyDescent="0.25">
      <c r="B122" s="1">
        <v>10212</v>
      </c>
      <c r="C122" s="12">
        <v>45781</v>
      </c>
      <c r="D122" s="2">
        <v>0.24444444444444444</v>
      </c>
      <c r="E122" s="2">
        <v>0.48680555555555549</v>
      </c>
      <c r="F122" s="61">
        <v>13.16</v>
      </c>
      <c r="G122" s="10">
        <v>18</v>
      </c>
      <c r="H122" s="61">
        <v>2.78</v>
      </c>
      <c r="I122" s="52">
        <v>79.599999999999994</v>
      </c>
      <c r="J122" s="10">
        <v>10</v>
      </c>
      <c r="L122" s="10">
        <v>7</v>
      </c>
      <c r="N122" s="10">
        <v>63</v>
      </c>
      <c r="O122" s="10">
        <v>27</v>
      </c>
      <c r="P122" s="10">
        <v>46.2</v>
      </c>
      <c r="Q122" s="61">
        <v>2.56</v>
      </c>
      <c r="R122" s="52">
        <v>46.1</v>
      </c>
      <c r="S122" s="10">
        <v>10</v>
      </c>
      <c r="T122" s="52">
        <v>0</v>
      </c>
      <c r="U122" s="10">
        <v>64.099999999999994</v>
      </c>
      <c r="V122" s="52">
        <v>65.3</v>
      </c>
      <c r="W122" s="10">
        <v>40</v>
      </c>
      <c r="Z122" s="52">
        <v>75.7</v>
      </c>
      <c r="AA122" s="10">
        <v>106</v>
      </c>
      <c r="AB122" s="10">
        <v>8</v>
      </c>
      <c r="AC122" s="52">
        <v>12.7</v>
      </c>
      <c r="AD122" s="3">
        <v>21.55</v>
      </c>
      <c r="AE122" s="3">
        <v>2.11</v>
      </c>
      <c r="AF122" s="3">
        <v>0.44</v>
      </c>
      <c r="AG122" s="10">
        <v>90</v>
      </c>
      <c r="AH122" s="10">
        <v>0</v>
      </c>
      <c r="AI122" s="10">
        <v>142</v>
      </c>
      <c r="AJ122" s="10">
        <v>259</v>
      </c>
      <c r="AK122" s="3">
        <v>16.23</v>
      </c>
      <c r="AL122" s="61">
        <v>85.03</v>
      </c>
      <c r="AM122" s="61">
        <v>54.83</v>
      </c>
      <c r="AO122" s="10">
        <v>77</v>
      </c>
      <c r="AP122" s="10">
        <v>118</v>
      </c>
      <c r="AQ122" s="52">
        <v>79.900000000000006</v>
      </c>
      <c r="BG122" s="10">
        <v>180</v>
      </c>
      <c r="BJ122" s="10">
        <v>267</v>
      </c>
      <c r="BK122" s="52">
        <v>101</v>
      </c>
      <c r="BM122" s="10">
        <v>30</v>
      </c>
      <c r="BN122" s="10">
        <v>45</v>
      </c>
      <c r="BO122" s="10">
        <v>75</v>
      </c>
      <c r="BS122" s="10">
        <v>5</v>
      </c>
      <c r="BT122" s="10">
        <v>10</v>
      </c>
      <c r="BV122" s="61">
        <v>8.24</v>
      </c>
      <c r="BW122" s="61">
        <v>0.24</v>
      </c>
      <c r="BZ122" s="61">
        <v>10.3</v>
      </c>
      <c r="CA122" s="10">
        <v>0</v>
      </c>
      <c r="CB122" s="52">
        <v>101.2</v>
      </c>
      <c r="CG122" s="10">
        <v>2410</v>
      </c>
      <c r="CI122" s="10">
        <v>10</v>
      </c>
      <c r="CJ122" s="10">
        <v>10</v>
      </c>
      <c r="CK122" s="3">
        <v>0</v>
      </c>
      <c r="CM122" s="3">
        <v>0.53</v>
      </c>
      <c r="CN122" s="10">
        <v>51</v>
      </c>
      <c r="CO122" s="52">
        <v>10.5</v>
      </c>
      <c r="CP122" s="52">
        <v>3.2</v>
      </c>
      <c r="CQ122" s="3">
        <v>13.97</v>
      </c>
      <c r="CS122" s="10">
        <v>229</v>
      </c>
      <c r="CT122" s="10">
        <v>217</v>
      </c>
      <c r="CU122" s="59">
        <v>6</v>
      </c>
      <c r="CV122" s="10">
        <v>349</v>
      </c>
      <c r="CW122" s="10">
        <v>8</v>
      </c>
      <c r="CX122" s="60">
        <v>86.83</v>
      </c>
      <c r="CY122" s="3">
        <v>18.170000000000002</v>
      </c>
      <c r="CZ122" s="3">
        <v>5.28</v>
      </c>
      <c r="DC122" s="24">
        <v>45781.336111111108</v>
      </c>
      <c r="DD122" s="24">
        <v>45781.385416666664</v>
      </c>
      <c r="DF122" s="10">
        <v>267</v>
      </c>
      <c r="DG122" s="24">
        <v>45781.4375</v>
      </c>
      <c r="DI122" s="10">
        <v>245</v>
      </c>
      <c r="DJ122" s="58">
        <v>45781.486805555556</v>
      </c>
    </row>
    <row r="123" spans="2:114" x14ac:dyDescent="0.25">
      <c r="B123" s="1">
        <v>10213</v>
      </c>
      <c r="C123" s="12">
        <v>45781</v>
      </c>
      <c r="D123" s="2">
        <v>0.35416666666666669</v>
      </c>
      <c r="E123" s="2">
        <v>0.59374999999999989</v>
      </c>
      <c r="G123" s="10">
        <v>16</v>
      </c>
      <c r="H123" s="61">
        <v>3.09</v>
      </c>
      <c r="I123" s="52">
        <v>79.7</v>
      </c>
      <c r="J123" s="10">
        <v>10</v>
      </c>
      <c r="L123" s="10">
        <v>6</v>
      </c>
      <c r="N123" s="10">
        <v>60</v>
      </c>
      <c r="O123" s="10">
        <v>26</v>
      </c>
      <c r="P123" s="10">
        <v>45.9</v>
      </c>
      <c r="Q123" s="61">
        <v>2.4900000000000002</v>
      </c>
      <c r="R123" s="52">
        <v>46.3</v>
      </c>
      <c r="S123" s="10">
        <v>10</v>
      </c>
      <c r="T123" s="52">
        <v>64.099999999999994</v>
      </c>
      <c r="U123" s="10">
        <v>0</v>
      </c>
      <c r="V123" s="52">
        <v>65.2</v>
      </c>
      <c r="W123" s="10">
        <v>40</v>
      </c>
      <c r="Z123" s="52">
        <v>75.7</v>
      </c>
      <c r="AA123" s="10">
        <v>105</v>
      </c>
      <c r="AB123" s="10">
        <v>9</v>
      </c>
      <c r="AC123" s="52">
        <v>12.1</v>
      </c>
      <c r="AD123" s="3">
        <v>22.6</v>
      </c>
      <c r="AG123" s="10">
        <v>0</v>
      </c>
      <c r="AH123" s="10">
        <v>1</v>
      </c>
      <c r="AI123" s="10">
        <v>136</v>
      </c>
      <c r="AJ123" s="10">
        <v>260</v>
      </c>
      <c r="AK123" s="3">
        <v>16.25</v>
      </c>
      <c r="AL123" s="61">
        <v>83.95</v>
      </c>
      <c r="AM123" s="61">
        <v>52.31</v>
      </c>
      <c r="AO123" s="10">
        <v>79</v>
      </c>
      <c r="AP123" s="10">
        <v>97</v>
      </c>
      <c r="AQ123" s="52">
        <v>79.8</v>
      </c>
      <c r="BG123" s="10">
        <v>180</v>
      </c>
      <c r="BJ123" s="10">
        <v>267</v>
      </c>
      <c r="BK123" s="52">
        <v>101.1</v>
      </c>
      <c r="BM123" s="10">
        <v>30</v>
      </c>
      <c r="BN123" s="10">
        <v>45</v>
      </c>
      <c r="BO123" s="10">
        <v>75</v>
      </c>
      <c r="BS123" s="10">
        <v>5</v>
      </c>
      <c r="BT123" s="10">
        <v>10</v>
      </c>
      <c r="BV123" s="61">
        <v>8.24</v>
      </c>
      <c r="BW123" s="61">
        <v>0.24</v>
      </c>
      <c r="BZ123" s="61">
        <v>10.3</v>
      </c>
      <c r="CA123" s="10">
        <v>0</v>
      </c>
      <c r="CB123" s="52">
        <v>101.2</v>
      </c>
      <c r="CG123" s="10">
        <v>2243</v>
      </c>
      <c r="CI123" s="10">
        <v>10</v>
      </c>
      <c r="CJ123" s="10">
        <v>10</v>
      </c>
      <c r="CK123" s="3">
        <v>0</v>
      </c>
      <c r="CM123" s="3">
        <v>0.53</v>
      </c>
      <c r="CN123" s="10">
        <v>51</v>
      </c>
      <c r="CO123" s="52">
        <v>10.5</v>
      </c>
      <c r="CP123" s="52">
        <v>3.4</v>
      </c>
      <c r="CQ123" s="3">
        <v>14.85</v>
      </c>
      <c r="CS123" s="10">
        <v>229</v>
      </c>
      <c r="CT123" s="10">
        <v>215</v>
      </c>
      <c r="CU123" s="59">
        <v>4</v>
      </c>
      <c r="CV123" s="10">
        <v>345</v>
      </c>
      <c r="CW123" s="10">
        <v>12</v>
      </c>
      <c r="CX123" s="60">
        <v>66.83</v>
      </c>
      <c r="CY123" s="3">
        <v>18.2</v>
      </c>
      <c r="CZ123" s="3">
        <v>5.28</v>
      </c>
      <c r="DC123" s="24">
        <v>45781.444444444445</v>
      </c>
      <c r="DD123" s="24">
        <v>45781.492361111108</v>
      </c>
      <c r="DF123" s="10">
        <v>267</v>
      </c>
      <c r="DG123" s="24">
        <v>45781.544444444444</v>
      </c>
      <c r="DI123" s="10">
        <v>245</v>
      </c>
      <c r="DJ123" s="58">
        <v>45781.59375</v>
      </c>
    </row>
    <row r="124" spans="2:114" x14ac:dyDescent="0.25">
      <c r="B124" s="1">
        <v>10221</v>
      </c>
      <c r="C124" s="12">
        <v>45789</v>
      </c>
      <c r="D124" s="2">
        <v>0.4375</v>
      </c>
      <c r="E124" s="2">
        <v>0.70208333333333328</v>
      </c>
      <c r="F124" s="61">
        <v>11.55</v>
      </c>
      <c r="G124" s="10">
        <v>19</v>
      </c>
      <c r="H124" s="61">
        <v>2.88</v>
      </c>
      <c r="I124" s="52">
        <v>80.099999999999994</v>
      </c>
      <c r="J124" s="10">
        <v>10</v>
      </c>
      <c r="L124" s="10">
        <v>1</v>
      </c>
      <c r="N124" s="10">
        <v>70</v>
      </c>
      <c r="O124" s="10">
        <v>26</v>
      </c>
      <c r="P124" s="10">
        <v>45.9</v>
      </c>
      <c r="Q124" s="61">
        <v>2.33</v>
      </c>
      <c r="R124" s="52">
        <v>45</v>
      </c>
      <c r="S124" s="10">
        <v>17</v>
      </c>
      <c r="T124" s="52">
        <v>63.8</v>
      </c>
      <c r="U124" s="10">
        <v>10</v>
      </c>
      <c r="V124" s="52">
        <v>65</v>
      </c>
      <c r="W124" s="10">
        <v>40</v>
      </c>
      <c r="Z124" s="52">
        <v>76.400000000000006</v>
      </c>
      <c r="AA124" s="10">
        <v>111</v>
      </c>
      <c r="AB124" s="10">
        <v>6</v>
      </c>
      <c r="AC124" s="52">
        <v>5.0999999999999996</v>
      </c>
      <c r="AD124" s="3">
        <v>22.66</v>
      </c>
      <c r="AE124" s="3">
        <v>2.4700000000000002</v>
      </c>
      <c r="AF124" s="3">
        <v>0.4</v>
      </c>
      <c r="AG124" s="10">
        <v>80</v>
      </c>
      <c r="AH124" s="10">
        <v>2</v>
      </c>
      <c r="AI124" s="10">
        <v>126</v>
      </c>
      <c r="AJ124" s="10">
        <v>259</v>
      </c>
      <c r="AK124" s="3">
        <v>16.57</v>
      </c>
      <c r="AL124" s="61">
        <v>78.260000000000005</v>
      </c>
      <c r="AM124" s="61">
        <v>48.65</v>
      </c>
      <c r="AO124" s="10">
        <v>88</v>
      </c>
      <c r="AP124" s="10">
        <v>125</v>
      </c>
      <c r="AQ124" s="52">
        <v>79.8</v>
      </c>
      <c r="BG124" s="10">
        <v>180</v>
      </c>
      <c r="BJ124" s="10">
        <v>262</v>
      </c>
      <c r="BK124" s="52">
        <v>101.1</v>
      </c>
      <c r="BM124" s="10">
        <v>30</v>
      </c>
      <c r="BN124" s="10">
        <v>45</v>
      </c>
      <c r="BO124" s="10">
        <v>75</v>
      </c>
      <c r="BS124" s="10">
        <v>5</v>
      </c>
      <c r="BT124" s="10">
        <v>10</v>
      </c>
      <c r="BV124" s="61">
        <v>5.73</v>
      </c>
      <c r="BW124" s="61">
        <v>2.27</v>
      </c>
      <c r="BZ124" s="61">
        <v>8.2100000000000009</v>
      </c>
      <c r="CA124" s="10">
        <v>0</v>
      </c>
      <c r="CB124" s="52">
        <v>100.9</v>
      </c>
      <c r="CG124" s="10">
        <v>2708</v>
      </c>
      <c r="CI124" s="10">
        <v>10</v>
      </c>
      <c r="CJ124" s="10">
        <v>10</v>
      </c>
      <c r="CK124" s="3">
        <v>0</v>
      </c>
      <c r="CM124" s="3">
        <v>0.7</v>
      </c>
      <c r="CN124" s="10">
        <v>71</v>
      </c>
      <c r="CP124" s="52">
        <v>5.5</v>
      </c>
      <c r="CQ124" s="3">
        <v>23.91</v>
      </c>
      <c r="CS124" s="10">
        <v>230</v>
      </c>
      <c r="CT124" s="10">
        <v>245</v>
      </c>
      <c r="CU124" s="59">
        <v>34</v>
      </c>
      <c r="CV124" s="10">
        <v>381</v>
      </c>
      <c r="CW124" s="10">
        <v>24</v>
      </c>
      <c r="CX124" s="60">
        <v>377.48</v>
      </c>
      <c r="CY124" s="3">
        <v>17.75</v>
      </c>
      <c r="CZ124" s="3">
        <v>5.33</v>
      </c>
      <c r="DC124" s="24">
        <v>45789.531944444447</v>
      </c>
      <c r="DD124" s="24">
        <v>45789.586805555555</v>
      </c>
      <c r="DG124" s="24">
        <v>45790</v>
      </c>
      <c r="DJ124" s="58">
        <v>45790</v>
      </c>
    </row>
    <row r="125" spans="2:114" x14ac:dyDescent="0.25">
      <c r="B125" s="1">
        <v>10222</v>
      </c>
      <c r="C125" s="12">
        <v>45789</v>
      </c>
      <c r="D125" s="2">
        <v>0.54166666666666663</v>
      </c>
      <c r="E125" s="2">
        <v>0.78611111111111109</v>
      </c>
      <c r="F125" s="61">
        <v>12.226066897347174</v>
      </c>
      <c r="G125" s="10">
        <v>17.000000000000099</v>
      </c>
      <c r="H125" s="61">
        <v>2.8263103802672149</v>
      </c>
      <c r="I125" s="52">
        <v>79.5</v>
      </c>
      <c r="J125" s="10">
        <v>9.9999999999999645</v>
      </c>
      <c r="L125" s="10">
        <v>5.9999999999999787</v>
      </c>
      <c r="N125" s="10">
        <v>58.99999999999995</v>
      </c>
      <c r="O125" s="10">
        <v>24.999999999999911</v>
      </c>
      <c r="P125" s="10">
        <v>46.5</v>
      </c>
      <c r="Q125" s="61">
        <v>2.3039215686274512</v>
      </c>
      <c r="R125" s="52">
        <v>46.5</v>
      </c>
      <c r="S125" s="10">
        <v>10.000000000000124</v>
      </c>
      <c r="T125" s="52">
        <v>64.2</v>
      </c>
      <c r="U125" s="10">
        <v>0</v>
      </c>
      <c r="V125" s="52">
        <v>65.3</v>
      </c>
      <c r="W125" s="10">
        <v>40.000000000000014</v>
      </c>
      <c r="Z125" s="52">
        <v>75.8</v>
      </c>
      <c r="AA125" s="10">
        <v>103.99999999999994</v>
      </c>
      <c r="AB125" s="10">
        <v>7.9999999999999716</v>
      </c>
      <c r="AC125" s="52">
        <v>8</v>
      </c>
      <c r="AD125" s="3">
        <v>22.9</v>
      </c>
      <c r="AE125" s="3">
        <v>2.4500000000000002</v>
      </c>
      <c r="AF125" s="3">
        <v>0.4</v>
      </c>
      <c r="AG125" s="10">
        <v>88</v>
      </c>
      <c r="AH125" s="10">
        <v>2</v>
      </c>
      <c r="AI125" s="10">
        <v>136</v>
      </c>
      <c r="AJ125" s="10">
        <v>259</v>
      </c>
      <c r="AK125" s="3">
        <v>16.510000000000002</v>
      </c>
      <c r="AL125" s="61">
        <v>84.472049689440993</v>
      </c>
      <c r="AM125" s="61">
        <v>52.509652509652504</v>
      </c>
      <c r="AO125" s="10">
        <v>1407</v>
      </c>
      <c r="AP125" s="10">
        <v>8.999999999999968</v>
      </c>
      <c r="AQ125" s="52">
        <v>79.8</v>
      </c>
      <c r="BG125" s="10">
        <v>180</v>
      </c>
      <c r="BJ125" s="10">
        <v>264</v>
      </c>
      <c r="BK125" s="52">
        <v>101</v>
      </c>
      <c r="BM125" s="10">
        <v>30.000000000000053</v>
      </c>
      <c r="BN125" s="10">
        <v>45</v>
      </c>
      <c r="BO125" s="10">
        <v>75.000000000000057</v>
      </c>
      <c r="BS125" s="10">
        <v>5</v>
      </c>
      <c r="BT125" s="10">
        <v>10</v>
      </c>
      <c r="BV125" s="61">
        <v>7.1969696969696972</v>
      </c>
      <c r="BW125" s="61">
        <v>0.80303030303029854</v>
      </c>
      <c r="BZ125" s="61">
        <v>8.9015151515151523</v>
      </c>
      <c r="CA125" s="10">
        <v>0</v>
      </c>
      <c r="CB125" s="52">
        <v>101</v>
      </c>
      <c r="CG125" s="10">
        <v>3016</v>
      </c>
      <c r="CI125" s="10">
        <v>9.9999999999999645</v>
      </c>
      <c r="CJ125" s="10">
        <v>9.9999999999999645</v>
      </c>
      <c r="CK125" s="3">
        <v>-3.5527136788005009E-14</v>
      </c>
      <c r="CM125" s="3">
        <v>0.52869565217391301</v>
      </c>
      <c r="CN125" s="10">
        <v>50.999999999999979</v>
      </c>
      <c r="CO125" s="52">
        <v>10.5</v>
      </c>
      <c r="CP125" s="52">
        <v>3.1</v>
      </c>
      <c r="CQ125" s="3">
        <v>13.478260869565217</v>
      </c>
      <c r="CS125" s="10">
        <v>230</v>
      </c>
      <c r="CT125" s="10">
        <v>223</v>
      </c>
      <c r="CU125" s="59">
        <v>12</v>
      </c>
      <c r="CV125" s="10">
        <v>352</v>
      </c>
      <c r="CW125" s="10">
        <v>4.9999999999999822</v>
      </c>
      <c r="CX125" s="60">
        <v>150.30303030302954</v>
      </c>
      <c r="CY125" s="3">
        <v>18.25</v>
      </c>
      <c r="CZ125" s="3">
        <v>5.28</v>
      </c>
      <c r="DC125" s="24">
        <v>45791.227083333331</v>
      </c>
      <c r="DD125" s="24">
        <v>45791.277083333334</v>
      </c>
      <c r="DG125" s="24">
        <v>45792</v>
      </c>
      <c r="DJ125" s="58">
        <v>45792</v>
      </c>
    </row>
    <row r="126" spans="2:114" x14ac:dyDescent="0.25">
      <c r="B126" s="1">
        <v>10223</v>
      </c>
      <c r="C126" s="12">
        <v>45790</v>
      </c>
      <c r="D126" s="2">
        <v>0.69791666666666663</v>
      </c>
      <c r="E126" s="2">
        <v>0.93472222222222223</v>
      </c>
      <c r="F126" s="61">
        <v>12.85634432643935</v>
      </c>
      <c r="G126" s="10">
        <v>17.000000000000099</v>
      </c>
      <c r="H126" s="61">
        <v>2.7241208519068847</v>
      </c>
      <c r="I126" s="52">
        <v>79.8</v>
      </c>
      <c r="J126" s="10">
        <v>9.9999999999999645</v>
      </c>
      <c r="L126" s="10">
        <v>3.9999999999999858</v>
      </c>
      <c r="N126" s="10">
        <v>61.000000000000099</v>
      </c>
      <c r="O126" s="10">
        <v>27.999999999999901</v>
      </c>
      <c r="P126" s="10">
        <v>46.3</v>
      </c>
      <c r="Q126" s="61">
        <v>2.555583950932788</v>
      </c>
      <c r="R126" s="52">
        <v>46.5</v>
      </c>
      <c r="S126" s="10">
        <v>5.9999999999999787</v>
      </c>
      <c r="T126" s="52">
        <v>64</v>
      </c>
      <c r="U126" s="10">
        <v>0</v>
      </c>
      <c r="V126" s="52">
        <v>65.3</v>
      </c>
      <c r="W126" s="10">
        <v>35.000000000000036</v>
      </c>
      <c r="Z126" s="52">
        <v>76</v>
      </c>
      <c r="AA126" s="10">
        <v>98.999999999999972</v>
      </c>
      <c r="AB126" s="10">
        <v>7.9999999999999716</v>
      </c>
      <c r="AC126" s="52">
        <v>8</v>
      </c>
      <c r="AD126" s="3">
        <v>22.56</v>
      </c>
      <c r="AE126" s="3">
        <v>2.7</v>
      </c>
      <c r="AF126" s="3">
        <v>0.39</v>
      </c>
      <c r="AG126" s="10">
        <v>90</v>
      </c>
      <c r="AH126" s="10">
        <v>1</v>
      </c>
      <c r="AI126" s="10">
        <v>136</v>
      </c>
      <c r="AJ126" s="10">
        <v>261</v>
      </c>
      <c r="AK126" s="3">
        <v>16.43</v>
      </c>
      <c r="AL126" s="61">
        <v>81.437125748502993</v>
      </c>
      <c r="AM126" s="61">
        <v>52.107279693486589</v>
      </c>
      <c r="AO126" s="10">
        <v>83.000000000000028</v>
      </c>
      <c r="AP126" s="10">
        <v>125.00000000000003</v>
      </c>
      <c r="AQ126" s="52">
        <v>80.3</v>
      </c>
      <c r="BG126" s="10">
        <v>180</v>
      </c>
      <c r="BJ126" s="10">
        <v>267</v>
      </c>
      <c r="BK126" s="52">
        <v>101</v>
      </c>
      <c r="BM126" s="10">
        <v>30.000000000000053</v>
      </c>
      <c r="BN126" s="10">
        <v>45</v>
      </c>
      <c r="BO126" s="10">
        <v>75.000000000000057</v>
      </c>
      <c r="BS126" s="10">
        <v>5</v>
      </c>
      <c r="BT126" s="10">
        <v>10</v>
      </c>
      <c r="BV126" s="61">
        <v>7.4906367041198507</v>
      </c>
      <c r="BW126" s="61">
        <v>0.50936329588015394</v>
      </c>
      <c r="BZ126" s="61">
        <v>9.1760299625468171</v>
      </c>
      <c r="CA126" s="10">
        <v>0</v>
      </c>
      <c r="CB126" s="52">
        <v>101</v>
      </c>
      <c r="CG126" s="10">
        <v>2326</v>
      </c>
      <c r="CI126" s="10">
        <v>9.9999999999999645</v>
      </c>
      <c r="CJ126" s="10">
        <v>9.9999999999999645</v>
      </c>
      <c r="CK126" s="3">
        <v>-3.5527136788005009E-14</v>
      </c>
      <c r="CM126" s="3">
        <v>0.5241379310344827</v>
      </c>
      <c r="CN126" s="10">
        <v>51.999999999999972</v>
      </c>
      <c r="CO126" s="52">
        <v>10.5</v>
      </c>
      <c r="CP126" s="52">
        <v>3.4</v>
      </c>
      <c r="CQ126" s="3">
        <v>14.655172413793103</v>
      </c>
      <c r="CS126" s="10">
        <v>232</v>
      </c>
      <c r="CT126" s="10">
        <v>217.00000000000003</v>
      </c>
      <c r="CU126" s="59">
        <v>6.0000000000000284</v>
      </c>
      <c r="CV126" s="10">
        <v>341.00000000000006</v>
      </c>
      <c r="CW126" s="10">
        <v>15.999999999999943</v>
      </c>
      <c r="CX126" s="60">
        <v>180.9363295880151</v>
      </c>
      <c r="CY126" s="3">
        <v>17.829999999999998</v>
      </c>
      <c r="CZ126" s="3">
        <v>5.26</v>
      </c>
      <c r="DC126" s="24">
        <v>45789.631249999999</v>
      </c>
      <c r="DD126" s="24">
        <v>45789.68472222222</v>
      </c>
      <c r="DG126" s="24">
        <v>45790</v>
      </c>
      <c r="DJ126" s="58">
        <v>45790</v>
      </c>
    </row>
    <row r="127" spans="2:114" x14ac:dyDescent="0.25">
      <c r="B127" s="1">
        <v>10224</v>
      </c>
      <c r="C127" s="12">
        <v>45789</v>
      </c>
      <c r="D127" s="2">
        <v>0.75347222222222221</v>
      </c>
      <c r="E127" s="2">
        <v>1.0048611111111112</v>
      </c>
      <c r="F127" s="61">
        <v>12.994350282485875</v>
      </c>
      <c r="G127" s="10">
        <v>18.000000000000096</v>
      </c>
      <c r="H127" s="61">
        <v>2.75</v>
      </c>
      <c r="I127" s="52">
        <v>79.8</v>
      </c>
      <c r="J127" s="10">
        <v>9.9999999999999645</v>
      </c>
      <c r="L127" s="10">
        <v>4.9999999999999822</v>
      </c>
      <c r="N127" s="10">
        <v>64.000000000000085</v>
      </c>
      <c r="O127" s="10">
        <v>24.999999999999911</v>
      </c>
      <c r="P127" s="10">
        <v>45.9</v>
      </c>
      <c r="Q127" s="61">
        <v>2.3797468354430378</v>
      </c>
      <c r="R127" s="52">
        <v>46.5</v>
      </c>
      <c r="S127" s="10">
        <v>9.9999999999999645</v>
      </c>
      <c r="T127" s="52">
        <v>64</v>
      </c>
      <c r="U127" s="10">
        <v>0</v>
      </c>
      <c r="V127" s="52">
        <v>65.599999999999994</v>
      </c>
      <c r="W127" s="10">
        <v>40.000000000000014</v>
      </c>
      <c r="Z127" s="52">
        <v>76</v>
      </c>
      <c r="AA127" s="10">
        <v>105.99999999999994</v>
      </c>
      <c r="AB127" s="10">
        <v>7.9999999999999716</v>
      </c>
      <c r="AC127" s="52">
        <v>8</v>
      </c>
      <c r="AD127" s="3">
        <v>22.52</v>
      </c>
      <c r="AE127" s="3">
        <v>2.57</v>
      </c>
      <c r="AF127" s="3">
        <v>0.49</v>
      </c>
      <c r="AG127" s="10">
        <v>90</v>
      </c>
      <c r="AH127" s="10">
        <v>1</v>
      </c>
      <c r="AI127" s="10">
        <v>136</v>
      </c>
      <c r="AJ127" s="10">
        <v>261</v>
      </c>
      <c r="AK127" s="3">
        <v>16.57</v>
      </c>
      <c r="AL127" s="61">
        <v>84.472049689440993</v>
      </c>
      <c r="AM127" s="61">
        <v>52.107279693486589</v>
      </c>
      <c r="AO127" s="10">
        <v>86.000000000000014</v>
      </c>
      <c r="AP127" s="10">
        <v>128.00000000000003</v>
      </c>
      <c r="AQ127" s="52">
        <v>80.099999999999994</v>
      </c>
      <c r="BG127" s="10">
        <v>180</v>
      </c>
      <c r="BJ127" s="10">
        <v>266</v>
      </c>
      <c r="BK127" s="52">
        <v>101.1</v>
      </c>
      <c r="BM127" s="10">
        <v>30.000000000000053</v>
      </c>
      <c r="BN127" s="10">
        <v>45</v>
      </c>
      <c r="BO127" s="10">
        <v>75.000000000000057</v>
      </c>
      <c r="BS127" s="10">
        <v>5</v>
      </c>
      <c r="BT127" s="10">
        <v>10</v>
      </c>
      <c r="BV127" s="61">
        <v>6.7669172932330826</v>
      </c>
      <c r="BW127" s="61">
        <v>1.2330827067669123</v>
      </c>
      <c r="BZ127" s="61">
        <v>8.0827067669172923</v>
      </c>
      <c r="CA127" s="10">
        <v>0</v>
      </c>
      <c r="CB127" s="52">
        <v>101.2</v>
      </c>
      <c r="CG127" s="10">
        <v>2464</v>
      </c>
      <c r="CI127" s="10">
        <v>9.9999999999999645</v>
      </c>
      <c r="CJ127" s="10">
        <v>9.9999999999999645</v>
      </c>
      <c r="CK127" s="3">
        <v>-3.5527136788005009E-14</v>
      </c>
      <c r="CM127" s="3">
        <v>0.51965811965811959</v>
      </c>
      <c r="CN127" s="10">
        <v>52.000000000000135</v>
      </c>
      <c r="CO127" s="52">
        <v>10.5</v>
      </c>
      <c r="CP127" s="52">
        <v>3.4</v>
      </c>
      <c r="CQ127" s="3">
        <v>14.52991452991453</v>
      </c>
      <c r="CS127" s="10">
        <v>234</v>
      </c>
      <c r="CT127" s="10">
        <v>230.00000000000014</v>
      </c>
      <c r="CU127" s="59">
        <v>19.000000000000142</v>
      </c>
      <c r="CV127" s="10">
        <v>362.00000000000017</v>
      </c>
      <c r="CW127" s="10">
        <v>5.0000000000001421</v>
      </c>
      <c r="CX127" s="60">
        <v>123.30827067669263</v>
      </c>
      <c r="CY127" s="3">
        <v>18.239999999999998</v>
      </c>
      <c r="CZ127" s="3">
        <v>5.28</v>
      </c>
      <c r="DC127" s="24">
        <v>45790.78402777778</v>
      </c>
      <c r="DD127" s="24">
        <v>45790.832638888889</v>
      </c>
      <c r="DG127" s="24">
        <v>45791</v>
      </c>
      <c r="DJ127" s="58">
        <v>45791</v>
      </c>
    </row>
    <row r="128" spans="2:114" x14ac:dyDescent="0.25">
      <c r="B128" s="1">
        <v>10226</v>
      </c>
      <c r="C128" s="12">
        <v>45789</v>
      </c>
      <c r="D128" s="2">
        <v>0.95138888888888884</v>
      </c>
      <c r="E128" s="2">
        <v>0.19097222222222221</v>
      </c>
      <c r="F128" s="61">
        <v>12.693854106835154</v>
      </c>
      <c r="G128" s="10">
        <v>27.000000000000224</v>
      </c>
      <c r="H128" s="61">
        <v>2.8032619775739041</v>
      </c>
      <c r="I128" s="52">
        <v>79.7</v>
      </c>
      <c r="J128" s="10">
        <v>9.9999999999999645</v>
      </c>
      <c r="L128" s="10">
        <v>5.9999999999998188</v>
      </c>
      <c r="N128" s="10">
        <v>63.999999999999929</v>
      </c>
      <c r="O128" s="10">
        <v>14.999999999999947</v>
      </c>
      <c r="P128" s="10">
        <v>46.2</v>
      </c>
      <c r="Q128" s="61">
        <v>2.4459320288362516</v>
      </c>
      <c r="R128" s="52">
        <v>46.6</v>
      </c>
      <c r="S128" s="10">
        <v>9.9999999999998046</v>
      </c>
      <c r="T128" s="52">
        <v>64.900000000000006</v>
      </c>
      <c r="U128" s="10">
        <v>0</v>
      </c>
      <c r="V128" s="52">
        <v>65.5</v>
      </c>
      <c r="W128" s="10">
        <v>34.999999999999872</v>
      </c>
      <c r="Z128" s="52">
        <v>75.7</v>
      </c>
      <c r="AA128" s="10">
        <v>92.999999999999986</v>
      </c>
      <c r="AB128" s="10">
        <v>8.9999999999999982</v>
      </c>
      <c r="AC128" s="52">
        <v>12.7</v>
      </c>
      <c r="AD128" s="3">
        <v>22.54</v>
      </c>
      <c r="AE128" s="3">
        <v>2.06</v>
      </c>
      <c r="AF128" s="3">
        <v>0.6</v>
      </c>
      <c r="AG128" s="10">
        <v>90</v>
      </c>
      <c r="AH128" s="10">
        <v>1</v>
      </c>
      <c r="AI128" s="10">
        <v>136</v>
      </c>
      <c r="AJ128" s="10">
        <v>261</v>
      </c>
      <c r="AK128" s="3">
        <v>16.579999999999998</v>
      </c>
      <c r="AL128" s="61">
        <v>83.950617283950606</v>
      </c>
      <c r="AM128" s="61">
        <v>52.107279693486589</v>
      </c>
      <c r="AO128" s="10">
        <v>47.000000000000007</v>
      </c>
      <c r="AQ128" s="52">
        <v>80.3</v>
      </c>
      <c r="BG128" s="10">
        <v>180</v>
      </c>
      <c r="BJ128" s="10">
        <v>267</v>
      </c>
      <c r="BK128" s="52">
        <v>100.8</v>
      </c>
      <c r="BM128" s="10">
        <v>29.999999999999993</v>
      </c>
      <c r="BN128" s="10">
        <v>45</v>
      </c>
      <c r="BO128" s="10">
        <v>75</v>
      </c>
      <c r="BS128" s="10">
        <v>5</v>
      </c>
      <c r="BT128" s="10">
        <v>10</v>
      </c>
      <c r="BV128" s="61">
        <v>7.4906367041198507</v>
      </c>
      <c r="BW128" s="61">
        <v>0.50936329588015394</v>
      </c>
      <c r="BZ128" s="61">
        <v>8.4269662921348321</v>
      </c>
      <c r="CA128" s="10">
        <v>0</v>
      </c>
      <c r="CB128" s="52">
        <v>101.2</v>
      </c>
      <c r="CG128" s="10">
        <v>2557</v>
      </c>
      <c r="CI128" s="10">
        <v>10.000000000000004</v>
      </c>
      <c r="CJ128" s="10">
        <v>10.000000000000004</v>
      </c>
      <c r="CK128" s="3">
        <v>0</v>
      </c>
      <c r="CM128" s="3">
        <v>0.51965811965811959</v>
      </c>
      <c r="CN128" s="10">
        <v>51.999999999999972</v>
      </c>
      <c r="CO128" s="52">
        <v>10.5</v>
      </c>
      <c r="CP128" s="52">
        <v>3.3</v>
      </c>
      <c r="CQ128" s="3">
        <v>14.102564102564102</v>
      </c>
      <c r="CS128" s="10">
        <v>234</v>
      </c>
      <c r="CT128" s="10">
        <v>215.99999999999997</v>
      </c>
      <c r="CU128" s="59">
        <v>4.9999999999999716</v>
      </c>
      <c r="CV128" s="10">
        <v>345.00000000000023</v>
      </c>
      <c r="CW128" s="10">
        <v>11.999999999999797</v>
      </c>
      <c r="CX128" s="60">
        <v>190.93632958801538</v>
      </c>
      <c r="CY128" s="3">
        <v>17.87</v>
      </c>
      <c r="CZ128" s="3">
        <v>5.26</v>
      </c>
      <c r="DC128" s="24">
        <v>45789.845138888886</v>
      </c>
      <c r="DD128" s="24">
        <v>45789.902777777781</v>
      </c>
      <c r="DG128" s="24">
        <v>45790</v>
      </c>
      <c r="DJ128" s="58">
        <v>45790</v>
      </c>
    </row>
    <row r="129" spans="2:114" x14ac:dyDescent="0.25">
      <c r="B129" s="1">
        <v>10227</v>
      </c>
      <c r="C129" s="12">
        <v>45790</v>
      </c>
      <c r="D129" s="2">
        <v>6.25E-2</v>
      </c>
      <c r="E129" s="2">
        <v>0.30624999999999991</v>
      </c>
      <c r="F129" s="61">
        <v>12.846199175014734</v>
      </c>
      <c r="G129" s="10">
        <v>16.000000000000004</v>
      </c>
      <c r="H129" s="61">
        <v>2.8720626631853787</v>
      </c>
      <c r="I129" s="52">
        <v>79.5</v>
      </c>
      <c r="J129" s="10">
        <v>10.000000000000004</v>
      </c>
      <c r="L129" s="10">
        <v>5.0000000000000018</v>
      </c>
      <c r="N129" s="10">
        <v>61.999999999999993</v>
      </c>
      <c r="O129" s="10">
        <v>26.000000000000007</v>
      </c>
      <c r="P129" s="10">
        <v>46.1</v>
      </c>
      <c r="Q129" s="61">
        <v>2.394612122723871</v>
      </c>
      <c r="R129" s="52">
        <v>46.5</v>
      </c>
      <c r="S129" s="10">
        <v>9.999999999999984</v>
      </c>
      <c r="T129" s="52">
        <v>64.7</v>
      </c>
      <c r="U129" s="10">
        <v>0</v>
      </c>
      <c r="V129" s="52">
        <v>65.3</v>
      </c>
      <c r="W129" s="10">
        <v>40</v>
      </c>
      <c r="Z129" s="52">
        <v>75.7</v>
      </c>
      <c r="AA129" s="10">
        <v>101.99999999999999</v>
      </c>
      <c r="AB129" s="10">
        <v>9.0000000000000071</v>
      </c>
      <c r="AC129" s="52">
        <v>12.4</v>
      </c>
      <c r="AD129" s="3">
        <v>22.59</v>
      </c>
      <c r="AE129" s="3">
        <v>2.42</v>
      </c>
      <c r="AG129" s="10">
        <v>90</v>
      </c>
      <c r="AH129" s="10">
        <v>1</v>
      </c>
      <c r="AI129" s="10">
        <v>136</v>
      </c>
      <c r="AJ129" s="10">
        <v>261</v>
      </c>
      <c r="AK129" s="3">
        <v>16.329999999999998</v>
      </c>
      <c r="AL129" s="61">
        <v>83.435582822085891</v>
      </c>
      <c r="AM129" s="61">
        <v>52.107279693486589</v>
      </c>
      <c r="AO129" s="10">
        <v>82.000000000000028</v>
      </c>
      <c r="AP129" s="10">
        <v>123.99999999999999</v>
      </c>
      <c r="AQ129" s="52">
        <v>79.8</v>
      </c>
      <c r="BG129" s="10">
        <v>180</v>
      </c>
      <c r="BJ129" s="10">
        <v>267</v>
      </c>
      <c r="BK129" s="52">
        <v>101</v>
      </c>
      <c r="BM129" s="10">
        <v>30.000000000000014</v>
      </c>
      <c r="BN129" s="10">
        <v>44.999999999999957</v>
      </c>
      <c r="BO129" s="10">
        <v>74.999999999999972</v>
      </c>
      <c r="BS129" s="10">
        <v>5</v>
      </c>
      <c r="BT129" s="10">
        <v>10</v>
      </c>
      <c r="BV129" s="61">
        <v>7.1161048689138573</v>
      </c>
      <c r="BW129" s="61">
        <v>0.88389513108614737</v>
      </c>
      <c r="BZ129" s="61">
        <v>8.4269662921348321</v>
      </c>
      <c r="CA129" s="10">
        <v>0</v>
      </c>
      <c r="CB129" s="52">
        <v>100.9</v>
      </c>
      <c r="CG129" s="10">
        <v>2704</v>
      </c>
      <c r="CI129" s="10">
        <v>9.9999999999999645</v>
      </c>
      <c r="CJ129" s="10">
        <v>9.9999999999999645</v>
      </c>
      <c r="CK129" s="3">
        <v>-3.5527136788005009E-14</v>
      </c>
      <c r="CM129" s="3">
        <v>0.51965811965811959</v>
      </c>
      <c r="CN129" s="10">
        <v>51.999999999999972</v>
      </c>
      <c r="CO129" s="52">
        <v>10.5</v>
      </c>
      <c r="CP129" s="52">
        <v>3.4</v>
      </c>
      <c r="CQ129" s="3">
        <v>14.52991452991453</v>
      </c>
      <c r="CS129" s="10">
        <v>234</v>
      </c>
      <c r="CT129" s="10">
        <v>223.99999999999989</v>
      </c>
      <c r="CU129" s="59">
        <v>12.999999999999886</v>
      </c>
      <c r="CV129" s="10">
        <v>350.99999999999989</v>
      </c>
      <c r="CW129" s="10">
        <v>6.0000000000001386</v>
      </c>
      <c r="CX129" s="60">
        <v>148.38951310861586</v>
      </c>
      <c r="CY129" s="3">
        <v>18.100000000000001</v>
      </c>
      <c r="CZ129" s="3">
        <v>5.28</v>
      </c>
      <c r="DC129" s="24">
        <v>45790.040972222225</v>
      </c>
      <c r="DD129" s="24">
        <v>45790.088888888888</v>
      </c>
      <c r="DG129" s="24">
        <v>45790</v>
      </c>
      <c r="DJ129" s="58">
        <v>45790</v>
      </c>
    </row>
    <row r="130" spans="2:114" x14ac:dyDescent="0.25">
      <c r="B130" s="1">
        <v>10228</v>
      </c>
      <c r="C130" s="12">
        <v>45790</v>
      </c>
      <c r="D130" s="2">
        <v>0.1875</v>
      </c>
      <c r="E130" s="2">
        <v>0.4326388888888888</v>
      </c>
      <c r="F130" s="61">
        <v>13.056036972848064</v>
      </c>
      <c r="G130" s="10">
        <v>17.000000000000021</v>
      </c>
      <c r="H130" s="61">
        <v>2.810424118548799</v>
      </c>
      <c r="I130" s="52">
        <v>79.5</v>
      </c>
      <c r="J130" s="10">
        <v>10.000000000000004</v>
      </c>
      <c r="L130" s="10">
        <v>6.0000000000000187</v>
      </c>
      <c r="N130" s="10">
        <v>60.999999999999986</v>
      </c>
      <c r="O130" s="10">
        <v>25.999999999999986</v>
      </c>
      <c r="P130" s="10">
        <v>46</v>
      </c>
      <c r="Q130" s="61">
        <v>2.4502297090352223</v>
      </c>
      <c r="R130" s="52">
        <v>46.3</v>
      </c>
      <c r="S130" s="10">
        <v>10.000000000000004</v>
      </c>
      <c r="T130" s="52">
        <v>64.2</v>
      </c>
      <c r="U130" s="10">
        <v>0</v>
      </c>
      <c r="V130" s="52">
        <v>65.5</v>
      </c>
      <c r="W130" s="10">
        <v>34.999999999999993</v>
      </c>
      <c r="Z130" s="52">
        <v>75.8</v>
      </c>
      <c r="AA130" s="10">
        <v>100.99999999999996</v>
      </c>
      <c r="AB130" s="10">
        <v>7.9999999999999716</v>
      </c>
      <c r="AC130" s="52">
        <v>12.2</v>
      </c>
      <c r="AD130" s="3">
        <v>22.63</v>
      </c>
      <c r="AE130" s="3">
        <v>2.08</v>
      </c>
      <c r="AF130" s="3">
        <v>0.42</v>
      </c>
      <c r="AG130" s="10">
        <v>88</v>
      </c>
      <c r="AH130" s="10">
        <v>1</v>
      </c>
      <c r="AI130" s="10">
        <v>136</v>
      </c>
      <c r="AJ130" s="10">
        <v>261</v>
      </c>
      <c r="AK130" s="3">
        <v>16.45</v>
      </c>
      <c r="AL130" s="61">
        <v>83.435582822085891</v>
      </c>
      <c r="AM130" s="61">
        <v>52.107279693486589</v>
      </c>
      <c r="AO130" s="10">
        <v>84.000000000000028</v>
      </c>
      <c r="AP130" s="10">
        <v>125.99999999999996</v>
      </c>
      <c r="AQ130" s="52">
        <v>79.900000000000006</v>
      </c>
      <c r="BG130" s="10">
        <v>180</v>
      </c>
      <c r="BJ130" s="10">
        <v>266</v>
      </c>
      <c r="BK130" s="52">
        <v>100.8</v>
      </c>
      <c r="BM130" s="10">
        <v>29.999999999999972</v>
      </c>
      <c r="BN130" s="10">
        <v>45</v>
      </c>
      <c r="BO130" s="10">
        <v>74.999999999999972</v>
      </c>
      <c r="BS130" s="10">
        <v>5</v>
      </c>
      <c r="BT130" s="10">
        <v>10</v>
      </c>
      <c r="BV130" s="61">
        <v>7.8947368421052628</v>
      </c>
      <c r="BW130" s="61">
        <v>0.10526315789473467</v>
      </c>
      <c r="BZ130" s="61">
        <v>9.5864661654135332</v>
      </c>
      <c r="CA130" s="10">
        <v>0</v>
      </c>
      <c r="CB130" s="52">
        <v>101</v>
      </c>
      <c r="CG130" s="10">
        <v>2859</v>
      </c>
      <c r="CI130" s="10">
        <v>9.9999999999999645</v>
      </c>
      <c r="CJ130" s="10">
        <v>9.9999999999999645</v>
      </c>
      <c r="CK130" s="3">
        <v>-3.5527136788005009E-14</v>
      </c>
      <c r="CM130" s="3">
        <v>0.52869565217391301</v>
      </c>
      <c r="CN130" s="10">
        <v>50.999999999999979</v>
      </c>
      <c r="CO130" s="52">
        <v>10.8</v>
      </c>
      <c r="CP130" s="52">
        <v>3.3</v>
      </c>
      <c r="CQ130" s="3">
        <v>14.347826086956522</v>
      </c>
      <c r="CS130" s="10">
        <v>230</v>
      </c>
      <c r="CT130" s="10">
        <v>226.99999999999991</v>
      </c>
      <c r="CU130" s="59">
        <v>15.999999999999915</v>
      </c>
      <c r="CV130" s="10">
        <v>352.99999999999989</v>
      </c>
      <c r="CW130" s="10">
        <v>4.0000000000001457</v>
      </c>
      <c r="CX130" s="60">
        <v>40.526315789474019</v>
      </c>
      <c r="CY130" s="3">
        <v>18.25</v>
      </c>
      <c r="CZ130" s="3">
        <v>5.25</v>
      </c>
      <c r="DC130" s="24">
        <v>45790.150694444441</v>
      </c>
      <c r="DD130" s="24">
        <v>45790.20416666667</v>
      </c>
      <c r="DG130" s="24">
        <v>45791</v>
      </c>
      <c r="DJ130" s="58">
        <v>45791</v>
      </c>
    </row>
    <row r="131" spans="2:114" x14ac:dyDescent="0.25">
      <c r="B131" s="1">
        <v>10229</v>
      </c>
      <c r="C131" s="12">
        <v>45790</v>
      </c>
      <c r="D131" s="2">
        <v>0.28472222222222221</v>
      </c>
      <c r="E131" s="2">
        <v>0.52430555555555547</v>
      </c>
      <c r="F131" s="61">
        <v>12.845622119815669</v>
      </c>
      <c r="G131" s="10">
        <v>18.000000000000014</v>
      </c>
      <c r="H131" s="61">
        <v>2.807554874936192</v>
      </c>
      <c r="I131" s="52">
        <v>79.8</v>
      </c>
      <c r="J131" s="10">
        <v>9.9999999999999645</v>
      </c>
      <c r="L131" s="10">
        <v>5.0000000000000622</v>
      </c>
      <c r="N131" s="10">
        <v>61.000000000000021</v>
      </c>
      <c r="O131" s="10">
        <v>25.999999999999986</v>
      </c>
      <c r="P131" s="10">
        <v>46.1</v>
      </c>
      <c r="Q131" s="61">
        <v>2.4053224155578303</v>
      </c>
      <c r="R131" s="52">
        <v>46.3</v>
      </c>
      <c r="S131" s="10">
        <v>9.000000000000048</v>
      </c>
      <c r="T131" s="52">
        <v>64.2</v>
      </c>
      <c r="U131" s="10">
        <v>0</v>
      </c>
      <c r="V131" s="52">
        <v>65.3</v>
      </c>
      <c r="W131" s="10">
        <v>35.000000000000036</v>
      </c>
      <c r="Z131" s="52">
        <v>75.8</v>
      </c>
      <c r="AA131" s="10">
        <v>102.99999999999996</v>
      </c>
      <c r="AB131" s="10">
        <v>9.000000000000048</v>
      </c>
      <c r="AC131" s="52">
        <v>12.3</v>
      </c>
      <c r="AD131" s="3">
        <v>22.65</v>
      </c>
      <c r="AE131" s="3">
        <v>2.08</v>
      </c>
      <c r="AF131" s="3">
        <v>0.44</v>
      </c>
      <c r="AG131" s="10">
        <v>88</v>
      </c>
      <c r="AH131" s="10">
        <v>1</v>
      </c>
      <c r="AI131" s="10">
        <v>136</v>
      </c>
      <c r="AJ131" s="10">
        <v>261</v>
      </c>
      <c r="AK131" s="3">
        <v>16.239999999999998</v>
      </c>
      <c r="AL131" s="61">
        <v>84.472049689440993</v>
      </c>
      <c r="AM131" s="61">
        <v>52.107279693486589</v>
      </c>
      <c r="AO131" s="10">
        <v>82.000000000000028</v>
      </c>
      <c r="AP131" s="10">
        <v>125.00000000000003</v>
      </c>
      <c r="AQ131" s="52">
        <v>80.099999999999994</v>
      </c>
      <c r="BG131" s="10">
        <v>179</v>
      </c>
      <c r="BJ131" s="10">
        <v>266</v>
      </c>
      <c r="BK131" s="52">
        <v>101</v>
      </c>
      <c r="BM131" s="10">
        <v>29.999999999999972</v>
      </c>
      <c r="BN131" s="10">
        <v>45</v>
      </c>
      <c r="BO131" s="10">
        <v>74.999999999999972</v>
      </c>
      <c r="BS131" s="10">
        <v>5</v>
      </c>
      <c r="BT131" s="10">
        <v>10</v>
      </c>
      <c r="BV131" s="61">
        <v>6.7669172932330826</v>
      </c>
      <c r="BW131" s="61">
        <v>1.2330827067669123</v>
      </c>
      <c r="BZ131" s="61">
        <v>8.0827067669172923</v>
      </c>
      <c r="CA131" s="10">
        <v>0</v>
      </c>
      <c r="CB131" s="52">
        <v>101</v>
      </c>
      <c r="CG131" s="10">
        <v>2367</v>
      </c>
      <c r="CI131" s="10">
        <v>9.9999999999999645</v>
      </c>
      <c r="CJ131" s="10">
        <v>9.9999999999999645</v>
      </c>
      <c r="CK131" s="3">
        <v>-3.5527136788005009E-14</v>
      </c>
      <c r="CM131" s="3">
        <v>0.51965811965811959</v>
      </c>
      <c r="CN131" s="10">
        <v>51.999999999999972</v>
      </c>
      <c r="CO131" s="52">
        <v>10.6</v>
      </c>
      <c r="CP131" s="52">
        <v>3.4</v>
      </c>
      <c r="CQ131" s="3">
        <v>14.52991452991453</v>
      </c>
      <c r="CS131" s="10">
        <v>234</v>
      </c>
      <c r="CT131" s="10">
        <v>214.99999999999989</v>
      </c>
      <c r="CU131" s="59">
        <v>3.9999999999998863</v>
      </c>
      <c r="CV131" s="10">
        <v>344.99999999999989</v>
      </c>
      <c r="CW131" s="10">
        <v>12.000000000000117</v>
      </c>
      <c r="CX131" s="60">
        <v>273.30827067669236</v>
      </c>
      <c r="CY131" s="3">
        <v>17.970000000000002</v>
      </c>
      <c r="CZ131" s="3">
        <v>5.26</v>
      </c>
      <c r="DC131" s="24">
        <v>45790.275000000001</v>
      </c>
      <c r="DD131" s="24">
        <v>45790.331250000003</v>
      </c>
      <c r="DG131" s="24">
        <v>45791</v>
      </c>
      <c r="DJ131" s="58">
        <v>45791</v>
      </c>
    </row>
    <row r="132" spans="2:114" x14ac:dyDescent="0.25">
      <c r="B132" s="1">
        <v>10230</v>
      </c>
      <c r="C132" s="12">
        <v>45790</v>
      </c>
      <c r="D132" s="2">
        <v>0.39583333333333331</v>
      </c>
      <c r="E132" s="2">
        <v>0.6381944444444444</v>
      </c>
      <c r="F132" s="61">
        <v>12.792689891490577</v>
      </c>
      <c r="G132" s="10">
        <v>17.000000000000021</v>
      </c>
      <c r="H132" s="61">
        <v>2.7848101265822782</v>
      </c>
      <c r="I132" s="52">
        <v>79.599999999999994</v>
      </c>
      <c r="J132" s="10">
        <v>9.9999999999999645</v>
      </c>
      <c r="L132" s="10">
        <v>5.0000000000000622</v>
      </c>
      <c r="N132" s="10">
        <v>61.000000000000099</v>
      </c>
      <c r="O132" s="10">
        <v>24.999999999999993</v>
      </c>
      <c r="P132" s="10">
        <v>46.6</v>
      </c>
      <c r="Q132" s="61">
        <v>2.4053224155578303</v>
      </c>
      <c r="R132" s="52">
        <v>46.8</v>
      </c>
      <c r="S132" s="10">
        <v>10.000000000000044</v>
      </c>
      <c r="T132" s="52">
        <v>65</v>
      </c>
      <c r="U132" s="10">
        <v>0</v>
      </c>
      <c r="V132" s="52">
        <v>65.5</v>
      </c>
      <c r="W132" s="10">
        <v>35.000000000000036</v>
      </c>
      <c r="Z132" s="52">
        <v>75.8</v>
      </c>
      <c r="AA132" s="10">
        <v>99.000000000000043</v>
      </c>
      <c r="AB132" s="10">
        <v>7.9999999999999716</v>
      </c>
      <c r="AC132" s="52">
        <v>11.6</v>
      </c>
      <c r="AD132" s="3">
        <v>22.71</v>
      </c>
      <c r="AE132" s="3">
        <v>2.38</v>
      </c>
      <c r="AF132" s="3">
        <v>0.52</v>
      </c>
      <c r="AG132" s="10">
        <v>88</v>
      </c>
      <c r="AH132" s="10">
        <v>1</v>
      </c>
      <c r="AI132" s="10">
        <v>136</v>
      </c>
      <c r="AJ132" s="10">
        <v>261</v>
      </c>
      <c r="AK132" s="3">
        <v>16.350000000000001</v>
      </c>
      <c r="AL132" s="61">
        <v>84.472049689440993</v>
      </c>
      <c r="AM132" s="61">
        <v>52.107279693486589</v>
      </c>
      <c r="AO132" s="10">
        <v>82.999999999999943</v>
      </c>
      <c r="AP132" s="10">
        <v>124.99999999999996</v>
      </c>
      <c r="AQ132" s="52">
        <v>80</v>
      </c>
      <c r="BG132" s="10">
        <v>181</v>
      </c>
      <c r="BJ132" s="10">
        <v>267</v>
      </c>
      <c r="BK132" s="52">
        <v>100.9</v>
      </c>
      <c r="BM132" s="10">
        <v>30.000000000000053</v>
      </c>
      <c r="BN132" s="10">
        <v>45</v>
      </c>
      <c r="BO132" s="10">
        <v>75.000000000000057</v>
      </c>
      <c r="BS132" s="10">
        <v>5</v>
      </c>
      <c r="BT132" s="10">
        <v>10</v>
      </c>
      <c r="BV132" s="61">
        <v>8.239700374531834</v>
      </c>
      <c r="BW132" s="61">
        <v>0.23970037453183296</v>
      </c>
      <c r="BZ132" s="61">
        <v>8.8014981273408246</v>
      </c>
      <c r="CA132" s="10">
        <v>0</v>
      </c>
      <c r="CB132" s="52">
        <v>101.1</v>
      </c>
      <c r="CG132" s="10">
        <v>2976</v>
      </c>
      <c r="CI132" s="10">
        <v>9.9999999999999645</v>
      </c>
      <c r="CJ132" s="10">
        <v>9.9999999999999645</v>
      </c>
      <c r="CK132" s="3">
        <v>-3.5527136788005009E-14</v>
      </c>
      <c r="CM132" s="3">
        <v>0.5218884120171674</v>
      </c>
      <c r="CN132" s="10">
        <v>51.999999999999972</v>
      </c>
      <c r="CO132" s="52">
        <v>10.5</v>
      </c>
      <c r="CP132" s="52">
        <v>3.4</v>
      </c>
      <c r="CQ132" s="3">
        <v>14.592274678111588</v>
      </c>
      <c r="CS132" s="10">
        <v>233</v>
      </c>
      <c r="CT132" s="10">
        <v>224.99999999999991</v>
      </c>
      <c r="CU132" s="59">
        <v>13.999999999999915</v>
      </c>
      <c r="CV132" s="10">
        <v>349</v>
      </c>
      <c r="CW132" s="10">
        <v>8.0000000000000249</v>
      </c>
      <c r="CX132" s="60">
        <v>73.970037453184077</v>
      </c>
      <c r="CY132" s="3">
        <v>18.149999999999999</v>
      </c>
      <c r="CZ132" s="3">
        <v>5.27</v>
      </c>
      <c r="DC132" s="24">
        <v>45790.375</v>
      </c>
      <c r="DD132" s="24">
        <v>45790.422222222223</v>
      </c>
      <c r="DG132" s="24">
        <v>45791</v>
      </c>
      <c r="DJ132" s="58">
        <v>45791</v>
      </c>
    </row>
    <row r="133" spans="2:114" x14ac:dyDescent="0.25">
      <c r="B133" s="1">
        <v>10231</v>
      </c>
      <c r="C133" s="12">
        <v>45790</v>
      </c>
      <c r="D133" s="2">
        <v>0.49305555555555558</v>
      </c>
      <c r="E133" s="2">
        <v>0.73541666666666661</v>
      </c>
      <c r="F133" s="61">
        <v>12.75395033860045</v>
      </c>
      <c r="G133" s="10">
        <v>17.999999999999936</v>
      </c>
      <c r="H133" s="61">
        <v>2.7527527527527527</v>
      </c>
      <c r="I133" s="52">
        <v>79.599999999999994</v>
      </c>
      <c r="J133" s="10">
        <v>9.9999999999999645</v>
      </c>
      <c r="L133" s="10">
        <v>5.9999999999999787</v>
      </c>
      <c r="N133" s="10">
        <v>64.999999999999929</v>
      </c>
      <c r="O133" s="10">
        <v>26.000000000000068</v>
      </c>
      <c r="P133" s="10">
        <v>46.3</v>
      </c>
      <c r="Q133" s="61">
        <v>2.3997957620628032</v>
      </c>
      <c r="R133" s="52">
        <v>47</v>
      </c>
      <c r="S133" s="10">
        <v>8.999999999999968</v>
      </c>
      <c r="T133" s="52">
        <v>65.099999999999994</v>
      </c>
      <c r="U133" s="10">
        <v>0</v>
      </c>
      <c r="V133" s="52">
        <v>65.599999999999994</v>
      </c>
      <c r="W133" s="10">
        <v>35.000000000000036</v>
      </c>
      <c r="Z133" s="52">
        <v>75.8</v>
      </c>
      <c r="AA133" s="10">
        <v>102.00000000000011</v>
      </c>
      <c r="AB133" s="10">
        <v>7.9999999999999716</v>
      </c>
      <c r="AC133" s="52">
        <v>11.1</v>
      </c>
      <c r="AD133" s="3">
        <v>22.9</v>
      </c>
      <c r="AE133" s="3">
        <v>2.35</v>
      </c>
      <c r="AF133" s="3">
        <v>0.38</v>
      </c>
      <c r="AG133" s="10">
        <v>90</v>
      </c>
      <c r="AH133" s="10">
        <v>1</v>
      </c>
      <c r="AI133" s="10">
        <v>136</v>
      </c>
      <c r="AJ133" s="10">
        <v>261</v>
      </c>
      <c r="AK133" s="3">
        <v>16.43</v>
      </c>
      <c r="AL133" s="61">
        <v>84.472049689440993</v>
      </c>
      <c r="AM133" s="61">
        <v>52.107279693486589</v>
      </c>
      <c r="AO133" s="10">
        <v>81.999999999999872</v>
      </c>
      <c r="AP133" s="10">
        <v>124.00000000000004</v>
      </c>
      <c r="AQ133" s="52">
        <v>79.8</v>
      </c>
      <c r="BG133" s="10">
        <v>180</v>
      </c>
      <c r="BJ133" s="10">
        <v>266</v>
      </c>
      <c r="BK133" s="52">
        <v>100.8</v>
      </c>
      <c r="BM133" s="10">
        <v>30.000000000000053</v>
      </c>
      <c r="BN133" s="10">
        <v>45</v>
      </c>
      <c r="BO133" s="10">
        <v>75.000000000000057</v>
      </c>
      <c r="BS133" s="10">
        <v>5</v>
      </c>
      <c r="BT133" s="10">
        <v>10</v>
      </c>
      <c r="BV133" s="61">
        <v>7.8947368421052628</v>
      </c>
      <c r="BW133" s="61">
        <v>0.10526315789473467</v>
      </c>
      <c r="BZ133" s="61">
        <v>8.8345864661654137</v>
      </c>
      <c r="CA133" s="10">
        <v>0</v>
      </c>
      <c r="CB133" s="52">
        <v>101.1</v>
      </c>
      <c r="CG133" s="10">
        <v>2633</v>
      </c>
      <c r="CI133" s="10">
        <v>9.9999999999999645</v>
      </c>
      <c r="CJ133" s="10">
        <v>9.9999999999999645</v>
      </c>
      <c r="CK133" s="3">
        <v>-3.5527136788005009E-14</v>
      </c>
      <c r="CM133" s="3">
        <v>0.5241379310344827</v>
      </c>
      <c r="CN133" s="10">
        <v>51.999999999999972</v>
      </c>
      <c r="CO133" s="52">
        <v>10.5</v>
      </c>
      <c r="CP133" s="52">
        <v>3.4</v>
      </c>
      <c r="CQ133" s="3">
        <v>14.655172413793103</v>
      </c>
      <c r="CS133" s="10">
        <v>232</v>
      </c>
      <c r="CT133" s="10">
        <v>220.99999999999986</v>
      </c>
      <c r="CU133" s="59">
        <v>9.9999999999998579</v>
      </c>
      <c r="CV133" s="10">
        <v>348.99999999999989</v>
      </c>
      <c r="CW133" s="10">
        <v>8.0000000000001315</v>
      </c>
      <c r="CX133" s="60">
        <v>100.52631578947515</v>
      </c>
      <c r="CY133" s="3">
        <v>18</v>
      </c>
      <c r="CZ133" s="3">
        <v>5.26</v>
      </c>
      <c r="DC133" s="24">
        <v>45790.481944444444</v>
      </c>
      <c r="DD133" s="24">
        <v>45790.536111111112</v>
      </c>
      <c r="DG133" s="24">
        <v>45791</v>
      </c>
      <c r="DJ133" s="58">
        <v>45791</v>
      </c>
    </row>
    <row r="134" spans="2:114" x14ac:dyDescent="0.25">
      <c r="B134" s="1">
        <v>10232</v>
      </c>
      <c r="C134" s="12">
        <v>45790</v>
      </c>
      <c r="D134" s="2">
        <v>0.59027777777777779</v>
      </c>
      <c r="E134" s="2">
        <v>0.82777777777777772</v>
      </c>
      <c r="F134" s="61">
        <v>12.899607403252944</v>
      </c>
      <c r="G134" s="10">
        <v>17.999999999999936</v>
      </c>
      <c r="H134" s="61">
        <v>2.7322404371584699</v>
      </c>
      <c r="I134" s="52">
        <v>79.7</v>
      </c>
      <c r="J134" s="10">
        <v>9.9999999999999645</v>
      </c>
      <c r="L134" s="10">
        <v>5.9999999999999787</v>
      </c>
      <c r="N134" s="10">
        <v>62.999999999999936</v>
      </c>
      <c r="O134" s="10">
        <v>25.000000000000071</v>
      </c>
      <c r="P134" s="10">
        <v>46.5</v>
      </c>
      <c r="Q134" s="61">
        <v>2.5523226135783563</v>
      </c>
      <c r="R134" s="52">
        <v>47</v>
      </c>
      <c r="S134" s="10">
        <v>9.9999999999999645</v>
      </c>
      <c r="T134" s="52">
        <v>64.099999999999994</v>
      </c>
      <c r="U134" s="10">
        <v>0</v>
      </c>
      <c r="V134" s="52">
        <v>65.3</v>
      </c>
      <c r="W134" s="10">
        <v>35.000000000000036</v>
      </c>
      <c r="Z134" s="52">
        <v>76</v>
      </c>
      <c r="AA134" s="10">
        <v>103.00000000000011</v>
      </c>
      <c r="AB134" s="10">
        <v>7.9999999999999716</v>
      </c>
      <c r="AC134" s="52">
        <v>8</v>
      </c>
      <c r="AD134" s="3">
        <v>22.17</v>
      </c>
      <c r="AE134" s="3">
        <v>2.6</v>
      </c>
      <c r="AF134" s="3">
        <v>0.4</v>
      </c>
      <c r="AG134" s="10">
        <v>90</v>
      </c>
      <c r="AH134" s="10">
        <v>1</v>
      </c>
      <c r="AI134" s="10">
        <v>136</v>
      </c>
      <c r="AJ134" s="10">
        <v>261</v>
      </c>
      <c r="AK134" s="3">
        <v>16.600000000000001</v>
      </c>
      <c r="AL134" s="61">
        <v>81.437125748502993</v>
      </c>
      <c r="AM134" s="61">
        <v>52.107279693486589</v>
      </c>
      <c r="AO134" s="10">
        <v>84.000000000000028</v>
      </c>
      <c r="AP134" s="10">
        <v>126.0000000000002</v>
      </c>
      <c r="AQ134" s="52">
        <v>80.2</v>
      </c>
      <c r="BG134" s="10">
        <v>180</v>
      </c>
      <c r="BJ134" s="10">
        <v>266</v>
      </c>
      <c r="BK134" s="52">
        <v>100.8</v>
      </c>
      <c r="BM134" s="10">
        <v>30.000000000000053</v>
      </c>
      <c r="BN134" s="10">
        <v>45</v>
      </c>
      <c r="BO134" s="10">
        <v>75.000000000000057</v>
      </c>
      <c r="BS134" s="10">
        <v>5</v>
      </c>
      <c r="BT134" s="10">
        <v>10</v>
      </c>
      <c r="BV134" s="61">
        <v>7.1428571428571423</v>
      </c>
      <c r="BW134" s="61">
        <v>0.85714285714286054</v>
      </c>
      <c r="BZ134" s="61">
        <v>8.8345864661654137</v>
      </c>
      <c r="CA134" s="10">
        <v>0</v>
      </c>
      <c r="CB134" s="52">
        <v>100.9</v>
      </c>
      <c r="CG134" s="10">
        <v>2452</v>
      </c>
      <c r="CI134" s="10">
        <v>9.9999999999999645</v>
      </c>
      <c r="CJ134" s="10">
        <v>9.9999999999999645</v>
      </c>
      <c r="CK134" s="3">
        <v>-3.5527136788005009E-14</v>
      </c>
      <c r="CM134" s="3">
        <v>0.5241379310344827</v>
      </c>
      <c r="CN134" s="10">
        <v>51.999999999999972</v>
      </c>
      <c r="CO134" s="52">
        <v>10.5</v>
      </c>
      <c r="CP134" s="52">
        <v>3.6</v>
      </c>
      <c r="CQ134" s="3">
        <v>15.517241379310345</v>
      </c>
      <c r="CS134" s="10">
        <v>232</v>
      </c>
      <c r="CT134" s="10">
        <v>212.99999999999989</v>
      </c>
      <c r="CU134" s="59">
        <v>1.9999999999998863</v>
      </c>
      <c r="CV134" s="10">
        <v>341.99999999999989</v>
      </c>
      <c r="CW134" s="10">
        <v>15.000000000000107</v>
      </c>
      <c r="CX134" s="60">
        <v>255.71428571428717</v>
      </c>
      <c r="CY134" s="3">
        <v>17.86</v>
      </c>
      <c r="CZ134" s="3">
        <v>5.26</v>
      </c>
      <c r="DC134" s="24">
        <v>45790.581944444442</v>
      </c>
      <c r="DD134" s="24">
        <v>45790.633333333331</v>
      </c>
      <c r="DG134" s="24">
        <v>45791</v>
      </c>
      <c r="DJ134" s="58">
        <v>45791</v>
      </c>
    </row>
    <row r="135" spans="2:114" x14ac:dyDescent="0.25">
      <c r="B135" s="1">
        <v>10234</v>
      </c>
      <c r="C135" s="12">
        <v>45790</v>
      </c>
      <c r="D135" s="2">
        <v>0.82986111111111116</v>
      </c>
      <c r="E135" s="2">
        <v>1.0736111111111111</v>
      </c>
      <c r="F135" s="61">
        <v>12.849162011173185</v>
      </c>
      <c r="G135" s="10">
        <v>16.99999999999994</v>
      </c>
      <c r="H135" s="61">
        <v>2.722772277227723</v>
      </c>
      <c r="I135" s="52">
        <v>79.7</v>
      </c>
      <c r="J135" s="10">
        <v>9.9999999999999645</v>
      </c>
      <c r="L135" s="10">
        <v>4.9999999999999822</v>
      </c>
      <c r="N135" s="10">
        <v>59.999999999999943</v>
      </c>
      <c r="O135" s="10">
        <v>29.000000000000057</v>
      </c>
      <c r="P135" s="10">
        <v>45.9</v>
      </c>
      <c r="Q135" s="61">
        <v>2.4377593360995853</v>
      </c>
      <c r="R135" s="52">
        <v>46.8</v>
      </c>
      <c r="S135" s="10">
        <v>5.9999999999999787</v>
      </c>
      <c r="T135" s="52">
        <v>63.9</v>
      </c>
      <c r="U135" s="10">
        <v>4</v>
      </c>
      <c r="V135" s="52">
        <v>65.3</v>
      </c>
      <c r="W135" s="10">
        <v>35.000000000000036</v>
      </c>
      <c r="Z135" s="52">
        <v>76</v>
      </c>
      <c r="AA135" s="10">
        <v>98.999999999999972</v>
      </c>
      <c r="AB135" s="10">
        <v>7.9999999999999716</v>
      </c>
      <c r="AC135" s="52">
        <v>8</v>
      </c>
      <c r="AD135" s="3">
        <v>22.66</v>
      </c>
      <c r="AE135" s="3">
        <v>2.0499999999999998</v>
      </c>
      <c r="AF135" s="3">
        <v>0.34</v>
      </c>
      <c r="AG135" s="10">
        <v>90</v>
      </c>
      <c r="AH135" s="10">
        <v>1</v>
      </c>
      <c r="AI135" s="10">
        <v>136</v>
      </c>
      <c r="AJ135" s="10">
        <v>261</v>
      </c>
      <c r="AK135" s="3">
        <v>16.329999999999998</v>
      </c>
      <c r="AL135" s="61">
        <v>84.472049689440993</v>
      </c>
      <c r="AM135" s="61">
        <v>52.107279693486589</v>
      </c>
      <c r="AO135" s="10">
        <v>1522.9999999999998</v>
      </c>
      <c r="AP135" s="10">
        <v>125.00000000000003</v>
      </c>
      <c r="AQ135" s="52">
        <v>80.3</v>
      </c>
      <c r="BG135" s="10">
        <v>180</v>
      </c>
      <c r="BJ135" s="10">
        <v>267</v>
      </c>
      <c r="BK135" s="52">
        <v>100.7</v>
      </c>
      <c r="BM135" s="10">
        <v>30.000000000000053</v>
      </c>
      <c r="BN135" s="10">
        <v>44.999999999999844</v>
      </c>
      <c r="BO135" s="10">
        <v>74.999999999999886</v>
      </c>
      <c r="BS135" s="10">
        <v>5</v>
      </c>
      <c r="BT135" s="10">
        <v>10</v>
      </c>
      <c r="BV135" s="61">
        <v>7.4906367041198507</v>
      </c>
      <c r="BW135" s="61">
        <v>0.50936329588015394</v>
      </c>
      <c r="BZ135" s="61">
        <v>9.1760299625468171</v>
      </c>
      <c r="CA135" s="10">
        <v>0</v>
      </c>
      <c r="CB135" s="52">
        <v>100.9</v>
      </c>
      <c r="CG135" s="10">
        <v>2441</v>
      </c>
      <c r="CI135" s="10">
        <v>9.9999999999999645</v>
      </c>
      <c r="CJ135" s="10">
        <v>9.9999999999999645</v>
      </c>
      <c r="CK135" s="3">
        <v>-3.5527136788005009E-14</v>
      </c>
      <c r="CM135" s="3">
        <v>0.5241379310344827</v>
      </c>
      <c r="CN135" s="10">
        <v>52.000000000000135</v>
      </c>
      <c r="CO135" s="52">
        <v>10.5</v>
      </c>
      <c r="CP135" s="52">
        <v>3.2</v>
      </c>
      <c r="CQ135" s="3">
        <v>13.793103448275861</v>
      </c>
      <c r="CS135" s="10">
        <v>232</v>
      </c>
      <c r="CT135" s="10">
        <v>227</v>
      </c>
      <c r="CU135" s="59">
        <v>16</v>
      </c>
      <c r="CV135" s="10">
        <v>350.99999999999989</v>
      </c>
      <c r="CW135" s="10">
        <v>6.0000000000001386</v>
      </c>
      <c r="CX135" s="60">
        <v>80.936329588015653</v>
      </c>
      <c r="CY135" s="3">
        <v>17.78</v>
      </c>
      <c r="CZ135" s="3">
        <v>5.27</v>
      </c>
      <c r="DC135" s="24">
        <v>45790.679861111108</v>
      </c>
      <c r="DD135" s="24">
        <v>45790.725694444445</v>
      </c>
      <c r="DG135" s="24">
        <v>45791</v>
      </c>
      <c r="DJ135" s="58">
        <v>45791</v>
      </c>
    </row>
    <row r="136" spans="2:114" x14ac:dyDescent="0.25">
      <c r="B136" s="1">
        <v>10235</v>
      </c>
      <c r="C136" s="12">
        <v>45790</v>
      </c>
      <c r="D136" s="2">
        <v>0.93055555555555558</v>
      </c>
      <c r="E136" s="2">
        <v>0.16944444444444445</v>
      </c>
      <c r="F136" s="61">
        <v>13.218390804597702</v>
      </c>
      <c r="G136" s="10">
        <v>16.99999999999994</v>
      </c>
      <c r="H136" s="61">
        <v>2.7918781725888326</v>
      </c>
      <c r="I136" s="52">
        <v>79.5</v>
      </c>
      <c r="J136" s="10">
        <v>9.9999999999999645</v>
      </c>
      <c r="L136" s="10">
        <v>5.9999999999999787</v>
      </c>
      <c r="N136" s="10">
        <v>61.999999999999943</v>
      </c>
      <c r="O136" s="10">
        <v>25.000000000000071</v>
      </c>
      <c r="P136" s="10">
        <v>46.1</v>
      </c>
      <c r="Q136" s="61">
        <v>2.4471921689850595</v>
      </c>
      <c r="R136" s="52">
        <v>46.5</v>
      </c>
      <c r="S136" s="10">
        <v>9.9999999999999645</v>
      </c>
      <c r="T136" s="52">
        <v>64.900000000000006</v>
      </c>
      <c r="U136" s="10">
        <v>0</v>
      </c>
      <c r="V136" s="52">
        <v>65.099999999999994</v>
      </c>
      <c r="W136" s="10">
        <v>35.000000000000036</v>
      </c>
      <c r="Z136" s="52">
        <v>75.7</v>
      </c>
      <c r="AA136" s="10">
        <v>102.00000000000011</v>
      </c>
      <c r="AB136" s="10">
        <v>9.0000000000000018</v>
      </c>
      <c r="AC136" s="52">
        <v>12.8</v>
      </c>
      <c r="AD136" s="3">
        <v>22.5</v>
      </c>
      <c r="AE136" s="3">
        <v>2.48</v>
      </c>
      <c r="AF136" s="3">
        <v>0.56999999999999995</v>
      </c>
      <c r="AG136" s="10">
        <v>90</v>
      </c>
      <c r="AH136" s="10">
        <v>1</v>
      </c>
      <c r="AI136" s="10">
        <v>136</v>
      </c>
      <c r="AJ136" s="10">
        <v>258</v>
      </c>
      <c r="AK136" s="3">
        <v>16.61</v>
      </c>
      <c r="AL136" s="61">
        <v>83.950617283950606</v>
      </c>
      <c r="AM136" s="61">
        <v>52.713178294573652</v>
      </c>
      <c r="AO136" s="10">
        <v>82.000000000000014</v>
      </c>
      <c r="AP136" s="10">
        <v>123.99999999999999</v>
      </c>
      <c r="AQ136" s="52">
        <v>79.7</v>
      </c>
      <c r="BG136" s="10">
        <v>180</v>
      </c>
      <c r="BJ136" s="10">
        <v>266</v>
      </c>
      <c r="BK136" s="52">
        <v>100.7</v>
      </c>
      <c r="BM136" s="10">
        <v>29.999999999999993</v>
      </c>
      <c r="BN136" s="10">
        <v>45</v>
      </c>
      <c r="BO136" s="10">
        <v>75</v>
      </c>
      <c r="BS136" s="10">
        <v>5</v>
      </c>
      <c r="BT136" s="10">
        <v>10</v>
      </c>
      <c r="BV136" s="61">
        <v>7.8947368421052628</v>
      </c>
      <c r="BW136" s="61">
        <v>0.10526315789473467</v>
      </c>
      <c r="BZ136" s="61">
        <v>9.5864661654135332</v>
      </c>
      <c r="CA136" s="10">
        <v>0</v>
      </c>
      <c r="CB136" s="52">
        <v>101.1</v>
      </c>
      <c r="CG136" s="10">
        <v>2463</v>
      </c>
      <c r="CI136" s="10">
        <v>10.000000000000004</v>
      </c>
      <c r="CJ136" s="10">
        <v>10.000000000000004</v>
      </c>
      <c r="CK136" s="3">
        <v>0</v>
      </c>
      <c r="CM136" s="3">
        <v>0.52869565217391301</v>
      </c>
      <c r="CN136" s="10">
        <v>51.000000000000021</v>
      </c>
      <c r="CO136" s="52">
        <v>10.5</v>
      </c>
      <c r="CP136" s="52">
        <v>3.2</v>
      </c>
      <c r="CQ136" s="3">
        <v>13.913043478260869</v>
      </c>
      <c r="CS136" s="10">
        <v>230</v>
      </c>
      <c r="CT136" s="10">
        <v>216.00000000000003</v>
      </c>
      <c r="CU136" s="59">
        <v>5.0000000000000284</v>
      </c>
      <c r="CV136" s="10">
        <v>344.00000000000006</v>
      </c>
      <c r="CW136" s="10">
        <v>12.999999999999954</v>
      </c>
      <c r="CX136" s="60">
        <v>150.52631578947287</v>
      </c>
      <c r="CY136" s="3">
        <v>17.88</v>
      </c>
      <c r="CZ136" s="3">
        <v>5.26</v>
      </c>
      <c r="DC136" s="24">
        <v>45790.915972222225</v>
      </c>
      <c r="DD136" s="24">
        <v>45790.97152777778</v>
      </c>
      <c r="DG136" s="24">
        <v>45791</v>
      </c>
      <c r="DJ136" s="58">
        <v>45791</v>
      </c>
    </row>
    <row r="137" spans="2:114" x14ac:dyDescent="0.25">
      <c r="B137" s="1">
        <v>10236</v>
      </c>
      <c r="C137" s="12">
        <v>45791</v>
      </c>
      <c r="D137" s="2">
        <v>3.8194444444444441E-2</v>
      </c>
      <c r="E137" s="2">
        <v>0.28541666666666665</v>
      </c>
      <c r="F137" s="61">
        <v>12.846632710809281</v>
      </c>
      <c r="G137" s="10">
        <v>17</v>
      </c>
      <c r="H137" s="61">
        <v>2.7582748244734203</v>
      </c>
      <c r="I137" s="52">
        <v>79.7</v>
      </c>
      <c r="J137" s="10">
        <v>10.000000000000004</v>
      </c>
      <c r="L137" s="10">
        <v>5.0000000000000018</v>
      </c>
      <c r="N137" s="10">
        <v>65</v>
      </c>
      <c r="O137" s="10">
        <v>24.000000000000004</v>
      </c>
      <c r="P137" s="10">
        <v>46.5</v>
      </c>
      <c r="Q137" s="61">
        <v>2.4276859504132231</v>
      </c>
      <c r="R137" s="52">
        <v>46.3</v>
      </c>
      <c r="S137" s="10">
        <v>10.000000000000004</v>
      </c>
      <c r="T137" s="52">
        <v>64.3</v>
      </c>
      <c r="U137" s="10">
        <v>0</v>
      </c>
      <c r="V137" s="52">
        <v>65.5</v>
      </c>
      <c r="W137" s="10">
        <v>34.999999999999993</v>
      </c>
      <c r="Z137" s="52">
        <v>75.7</v>
      </c>
      <c r="AA137" s="10">
        <v>104.99999999999999</v>
      </c>
      <c r="AB137" s="10">
        <v>7.9999999999999911</v>
      </c>
      <c r="AC137" s="52">
        <v>12.2</v>
      </c>
      <c r="AD137" s="3">
        <v>22.6</v>
      </c>
      <c r="AE137" s="3">
        <v>2.46</v>
      </c>
      <c r="AF137" s="3">
        <v>0.37</v>
      </c>
      <c r="AG137" s="10">
        <v>90</v>
      </c>
      <c r="AH137" s="10">
        <v>1</v>
      </c>
      <c r="AI137" s="10">
        <v>136</v>
      </c>
      <c r="AJ137" s="10">
        <v>259</v>
      </c>
      <c r="AK137" s="3">
        <v>16.489999999999998</v>
      </c>
      <c r="AL137" s="61">
        <v>84.472049689440993</v>
      </c>
      <c r="AM137" s="61">
        <v>52.509652509652504</v>
      </c>
      <c r="AO137" s="10">
        <v>82.000000000000028</v>
      </c>
      <c r="AP137" s="10">
        <v>122.99999999999999</v>
      </c>
      <c r="AQ137" s="52">
        <v>80.3</v>
      </c>
      <c r="BG137" s="10">
        <v>180</v>
      </c>
      <c r="BJ137" s="10">
        <v>266</v>
      </c>
      <c r="BK137" s="52">
        <v>101</v>
      </c>
      <c r="BM137" s="10">
        <v>30.000000000000014</v>
      </c>
      <c r="BN137" s="10">
        <v>45</v>
      </c>
      <c r="BO137" s="10">
        <v>75.000000000000014</v>
      </c>
      <c r="BS137" s="10">
        <v>5</v>
      </c>
      <c r="BT137" s="10">
        <v>10</v>
      </c>
      <c r="BV137" s="61">
        <v>7.1428571428571423</v>
      </c>
      <c r="BW137" s="61">
        <v>0.85714285714286054</v>
      </c>
      <c r="BZ137" s="61">
        <v>9.2105263157894726</v>
      </c>
      <c r="CA137" s="10">
        <v>0</v>
      </c>
      <c r="CB137" s="52">
        <v>101.1</v>
      </c>
      <c r="CG137" s="10">
        <v>2646</v>
      </c>
      <c r="CI137" s="10">
        <v>10.000000000000004</v>
      </c>
      <c r="CJ137" s="10">
        <v>10.000000000000004</v>
      </c>
      <c r="CK137" s="3">
        <v>0</v>
      </c>
      <c r="CM137" s="3">
        <v>0.52640692640692643</v>
      </c>
      <c r="CN137" s="10">
        <v>51.999999999999972</v>
      </c>
      <c r="CO137" s="52">
        <v>10.4</v>
      </c>
      <c r="CP137" s="52">
        <v>3.3</v>
      </c>
      <c r="CQ137" s="3">
        <v>14.285714285714286</v>
      </c>
      <c r="CS137" s="10">
        <v>231</v>
      </c>
      <c r="CT137" s="10">
        <v>226</v>
      </c>
      <c r="CU137" s="59">
        <v>15</v>
      </c>
      <c r="CV137" s="10">
        <v>355.99999999999994</v>
      </c>
      <c r="CW137" s="10">
        <v>1.0000000000000497</v>
      </c>
      <c r="CX137" s="60">
        <v>125.71428571428604</v>
      </c>
      <c r="CY137" s="3">
        <v>17.88</v>
      </c>
      <c r="CZ137" s="3">
        <v>5.26</v>
      </c>
      <c r="DC137" s="24">
        <v>45791.019444444442</v>
      </c>
      <c r="DD137" s="24">
        <v>45791.068055555559</v>
      </c>
      <c r="DG137" s="24">
        <v>45791</v>
      </c>
      <c r="DJ137" s="58">
        <v>45791</v>
      </c>
    </row>
    <row r="138" spans="2:114" x14ac:dyDescent="0.25">
      <c r="B138" s="1">
        <v>10237</v>
      </c>
      <c r="C138" s="12">
        <v>45791</v>
      </c>
      <c r="D138" s="2">
        <v>0.1388888888888889</v>
      </c>
      <c r="E138" s="2">
        <v>0.38541666666666669</v>
      </c>
      <c r="F138" s="61">
        <v>13.04</v>
      </c>
      <c r="G138" s="10">
        <v>17</v>
      </c>
      <c r="H138" s="61">
        <v>2.73</v>
      </c>
      <c r="I138" s="52">
        <v>79.7</v>
      </c>
      <c r="J138" s="10">
        <v>10</v>
      </c>
      <c r="L138" s="10">
        <v>5</v>
      </c>
      <c r="N138" s="10">
        <v>63</v>
      </c>
      <c r="O138" s="10">
        <v>25</v>
      </c>
      <c r="P138" s="10">
        <v>46.1</v>
      </c>
      <c r="Q138" s="61">
        <v>2.5</v>
      </c>
      <c r="R138" s="52">
        <v>46.3</v>
      </c>
      <c r="S138" s="10">
        <v>10</v>
      </c>
      <c r="T138" s="52">
        <v>64.900000000000006</v>
      </c>
      <c r="U138" s="10">
        <v>0</v>
      </c>
      <c r="V138" s="52">
        <v>65.099999999999994</v>
      </c>
      <c r="W138" s="10">
        <v>40</v>
      </c>
      <c r="Z138" s="52">
        <v>75.7</v>
      </c>
      <c r="AA138" s="10">
        <v>102</v>
      </c>
      <c r="AB138" s="10">
        <v>8</v>
      </c>
      <c r="AC138" s="52">
        <v>11.7</v>
      </c>
      <c r="AD138" s="3">
        <v>22.1</v>
      </c>
      <c r="AE138" s="3">
        <v>3.14</v>
      </c>
      <c r="AG138" s="10">
        <v>0</v>
      </c>
      <c r="AH138" s="10">
        <v>1</v>
      </c>
      <c r="AI138" s="10">
        <v>139</v>
      </c>
      <c r="AJ138" s="10">
        <v>261</v>
      </c>
      <c r="AK138" s="3">
        <v>16.62</v>
      </c>
      <c r="AL138" s="61">
        <v>84.76</v>
      </c>
      <c r="AM138" s="61">
        <v>53.26</v>
      </c>
      <c r="AO138" s="10">
        <v>84</v>
      </c>
      <c r="AP138" s="10">
        <v>101</v>
      </c>
      <c r="AQ138" s="52">
        <v>79.900000000000006</v>
      </c>
      <c r="BG138" s="10">
        <v>180</v>
      </c>
      <c r="BJ138" s="10">
        <v>267</v>
      </c>
      <c r="BK138" s="52">
        <v>100.7</v>
      </c>
      <c r="BM138" s="10">
        <v>30</v>
      </c>
      <c r="BN138" s="10">
        <v>45</v>
      </c>
      <c r="BO138" s="10">
        <v>75</v>
      </c>
      <c r="BS138" s="10">
        <v>5</v>
      </c>
      <c r="BT138" s="10">
        <v>10</v>
      </c>
      <c r="BV138" s="61">
        <v>8.24</v>
      </c>
      <c r="BW138" s="61">
        <v>0.24</v>
      </c>
      <c r="BZ138" s="61">
        <v>10.67</v>
      </c>
      <c r="CA138" s="10">
        <v>0</v>
      </c>
      <c r="CB138" s="52">
        <v>101.2</v>
      </c>
      <c r="CG138" s="10">
        <v>2741</v>
      </c>
      <c r="CI138" s="10">
        <v>10</v>
      </c>
      <c r="CJ138" s="10">
        <v>10</v>
      </c>
      <c r="CK138" s="3">
        <v>0</v>
      </c>
      <c r="CM138" s="3">
        <v>0.7</v>
      </c>
      <c r="CN138" s="10">
        <v>61</v>
      </c>
      <c r="CP138" s="52">
        <v>4.3</v>
      </c>
      <c r="CQ138" s="3">
        <v>18.86</v>
      </c>
      <c r="CS138" s="10">
        <v>228</v>
      </c>
      <c r="CT138" s="10">
        <v>228</v>
      </c>
      <c r="CU138" s="59">
        <v>17</v>
      </c>
      <c r="CV138" s="10">
        <v>355</v>
      </c>
      <c r="CW138" s="10">
        <v>2</v>
      </c>
      <c r="CX138" s="60">
        <v>43.97</v>
      </c>
      <c r="CY138" s="3">
        <v>18.18</v>
      </c>
      <c r="CZ138" s="3">
        <v>5.25</v>
      </c>
      <c r="DC138" s="24">
        <v>45791.128472222219</v>
      </c>
      <c r="DD138" s="24">
        <v>45791.183333333334</v>
      </c>
      <c r="DG138" s="24">
        <v>45792</v>
      </c>
      <c r="DJ138" s="58">
        <v>45792</v>
      </c>
    </row>
    <row r="139" spans="2:114" x14ac:dyDescent="0.25">
      <c r="B139" s="1">
        <v>10238</v>
      </c>
      <c r="C139" s="12">
        <v>45797</v>
      </c>
      <c r="D139" s="2">
        <v>0.75</v>
      </c>
      <c r="E139" s="2">
        <v>1.0736111111111111</v>
      </c>
      <c r="F139" s="61">
        <v>12.788018433179724</v>
      </c>
      <c r="G139" s="10">
        <v>18.000000000000096</v>
      </c>
      <c r="H139" s="61">
        <v>2.8089887640449436</v>
      </c>
      <c r="I139" s="52">
        <v>79.900000000000006</v>
      </c>
      <c r="J139" s="10">
        <v>9.9999999999999645</v>
      </c>
      <c r="L139" s="10">
        <v>1.0000000000001563</v>
      </c>
      <c r="N139" s="10">
        <v>169.99999999999989</v>
      </c>
      <c r="O139" s="10">
        <v>24.999999999999751</v>
      </c>
      <c r="P139" s="10">
        <v>46.3</v>
      </c>
      <c r="Q139" s="61">
        <v>2.3912490460442637</v>
      </c>
      <c r="R139" s="52">
        <v>46.6</v>
      </c>
      <c r="S139" s="10">
        <v>121.00000000000021</v>
      </c>
      <c r="T139" s="52">
        <v>64.099999999999994</v>
      </c>
      <c r="U139" s="10">
        <v>0</v>
      </c>
      <c r="V139" s="52">
        <v>65.3</v>
      </c>
      <c r="W139" s="10">
        <v>30.000000000000053</v>
      </c>
      <c r="Z139" s="52">
        <v>72.099999999999994</v>
      </c>
      <c r="AA139" s="10">
        <v>210.99999999999989</v>
      </c>
      <c r="AB139" s="10">
        <v>10.000000000000124</v>
      </c>
      <c r="AC139" s="52">
        <v>11.6</v>
      </c>
      <c r="AD139" s="3">
        <v>22.65</v>
      </c>
      <c r="AE139" s="3">
        <v>1.93</v>
      </c>
      <c r="AF139" s="3">
        <v>0.45</v>
      </c>
      <c r="AG139" s="10">
        <v>87</v>
      </c>
      <c r="AH139" s="10">
        <v>1</v>
      </c>
      <c r="AI139" s="10">
        <v>120</v>
      </c>
      <c r="AJ139" s="10">
        <v>258</v>
      </c>
      <c r="AK139" s="3">
        <v>16.32</v>
      </c>
      <c r="AL139" s="61">
        <v>74.534161490683232</v>
      </c>
      <c r="AM139" s="61">
        <v>46.511627906976742</v>
      </c>
      <c r="AO139" s="10">
        <v>91.999999999999829</v>
      </c>
      <c r="AP139" s="10">
        <v>134</v>
      </c>
      <c r="AQ139" s="52">
        <v>80.3</v>
      </c>
      <c r="BG139" s="10">
        <v>178</v>
      </c>
      <c r="BJ139" s="10">
        <v>265</v>
      </c>
      <c r="BK139" s="52">
        <v>101.1</v>
      </c>
      <c r="BM139" s="10">
        <v>30.000000000000053</v>
      </c>
      <c r="BN139" s="10">
        <v>45</v>
      </c>
      <c r="BO139" s="10">
        <v>75.000000000000057</v>
      </c>
      <c r="BS139" s="10">
        <v>5</v>
      </c>
      <c r="BT139" s="10">
        <v>10</v>
      </c>
      <c r="BV139" s="61">
        <v>7.5471698113207548</v>
      </c>
      <c r="BW139" s="61">
        <v>0.45283018867924713</v>
      </c>
      <c r="BZ139" s="61">
        <v>10.377358490566039</v>
      </c>
      <c r="CA139" s="10">
        <v>0</v>
      </c>
      <c r="CB139" s="52">
        <v>101.2</v>
      </c>
      <c r="CG139" s="10">
        <v>2421</v>
      </c>
      <c r="CI139" s="10">
        <v>9.9999999999999645</v>
      </c>
      <c r="CJ139" s="10">
        <v>9.9999999999999645</v>
      </c>
      <c r="CK139" s="3">
        <v>-3.5527136788005009E-14</v>
      </c>
      <c r="CM139" s="3">
        <v>0.66960352422907488</v>
      </c>
      <c r="CN139" s="10">
        <v>50.999999999999979</v>
      </c>
      <c r="CO139" s="52">
        <v>10.4</v>
      </c>
      <c r="CP139" s="52">
        <v>3.3</v>
      </c>
      <c r="CQ139" s="3">
        <v>14.537444933920705</v>
      </c>
      <c r="CS139" s="10">
        <v>227</v>
      </c>
      <c r="CT139" s="10">
        <v>226.99999999999983</v>
      </c>
      <c r="CU139" s="59">
        <v>15.999999999999829</v>
      </c>
      <c r="CV139" s="10">
        <v>465.99999999999994</v>
      </c>
      <c r="CW139" s="10">
        <v>108.99999999999993</v>
      </c>
      <c r="CX139" s="60">
        <v>75.283018867926401</v>
      </c>
      <c r="CY139" s="3">
        <v>17.77</v>
      </c>
      <c r="CZ139" s="3">
        <v>5.27</v>
      </c>
      <c r="DC139" s="24">
        <v>45797.915972222225</v>
      </c>
      <c r="DD139" s="24">
        <v>45797.972222222219</v>
      </c>
      <c r="DG139" s="24">
        <v>45798</v>
      </c>
      <c r="DJ139" s="58">
        <v>45798</v>
      </c>
    </row>
    <row r="140" spans="2:114" x14ac:dyDescent="0.25">
      <c r="B140" s="1">
        <v>10239</v>
      </c>
      <c r="C140" s="12">
        <v>45708</v>
      </c>
      <c r="D140" s="2">
        <v>0.93194444444444446</v>
      </c>
      <c r="E140" s="2">
        <v>0.17291666666666666</v>
      </c>
      <c r="F140" s="61">
        <v>13.121387283236993</v>
      </c>
      <c r="G140" s="10">
        <v>18.000000000000096</v>
      </c>
      <c r="H140" s="61">
        <v>2.810424118548799</v>
      </c>
      <c r="I140" s="52">
        <v>79.7</v>
      </c>
      <c r="J140" s="10">
        <v>9.9999999999999645</v>
      </c>
      <c r="L140" s="10">
        <v>4.9999999999999822</v>
      </c>
      <c r="N140" s="10">
        <v>61.999999999999943</v>
      </c>
      <c r="O140" s="10">
        <v>25.999999999999908</v>
      </c>
      <c r="P140" s="10">
        <v>46</v>
      </c>
      <c r="Q140" s="61">
        <v>2.3955147808358817</v>
      </c>
      <c r="R140" s="52">
        <v>45.5</v>
      </c>
      <c r="S140" s="10">
        <v>8.999999999999968</v>
      </c>
      <c r="T140" s="52">
        <v>64</v>
      </c>
      <c r="U140" s="10">
        <v>20</v>
      </c>
      <c r="V140" s="52">
        <v>65.5</v>
      </c>
      <c r="W140" s="10">
        <v>30.000000000000053</v>
      </c>
      <c r="Z140" s="52">
        <v>72.5</v>
      </c>
      <c r="AA140" s="10">
        <v>104.99999999999994</v>
      </c>
      <c r="AB140" s="10">
        <v>7</v>
      </c>
      <c r="AC140" s="52">
        <v>8.9</v>
      </c>
      <c r="AD140" s="3">
        <v>21.85</v>
      </c>
      <c r="AE140" s="3">
        <v>2.4</v>
      </c>
      <c r="AF140" s="3">
        <v>0.36</v>
      </c>
      <c r="AG140" s="10">
        <v>89</v>
      </c>
      <c r="AH140" s="10">
        <v>1</v>
      </c>
      <c r="AI140" s="10">
        <v>122</v>
      </c>
      <c r="AJ140" s="10">
        <v>255</v>
      </c>
      <c r="AK140" s="3">
        <v>16.510000000000002</v>
      </c>
      <c r="AL140" s="61">
        <v>75.776397515527947</v>
      </c>
      <c r="AM140" s="61">
        <v>47.843137254901961</v>
      </c>
      <c r="AO140" s="10">
        <v>81</v>
      </c>
      <c r="AP140" s="10">
        <v>122</v>
      </c>
      <c r="AQ140" s="52">
        <v>79.7</v>
      </c>
      <c r="BG140" s="10">
        <v>179</v>
      </c>
      <c r="BJ140" s="10">
        <v>260</v>
      </c>
      <c r="BK140" s="52">
        <v>101.1</v>
      </c>
      <c r="BM140" s="10">
        <v>29.999999999999993</v>
      </c>
      <c r="BN140" s="10">
        <v>45</v>
      </c>
      <c r="BO140" s="10">
        <v>75</v>
      </c>
      <c r="BS140" s="10">
        <v>5</v>
      </c>
      <c r="BT140" s="10">
        <v>10</v>
      </c>
      <c r="BV140" s="61">
        <v>7.6923076923076925</v>
      </c>
      <c r="BW140" s="61">
        <v>0.30769230769231298</v>
      </c>
      <c r="BZ140" s="61">
        <v>9.8076923076923084</v>
      </c>
      <c r="CA140" s="10">
        <v>0</v>
      </c>
      <c r="CB140" s="52">
        <v>101.2</v>
      </c>
      <c r="CG140" s="10">
        <v>2241</v>
      </c>
      <c r="CI140" s="10">
        <v>10.000000000000004</v>
      </c>
      <c r="CJ140" s="10">
        <v>10.000000000000004</v>
      </c>
      <c r="CK140" s="3">
        <v>0</v>
      </c>
      <c r="CM140" s="3">
        <v>0.6785714285714286</v>
      </c>
      <c r="CN140" s="10">
        <v>49.999999999999986</v>
      </c>
      <c r="CO140" s="52">
        <v>10.6</v>
      </c>
      <c r="CP140" s="52">
        <v>3.3</v>
      </c>
      <c r="CQ140" s="3">
        <v>14.732142857142858</v>
      </c>
      <c r="CS140" s="10">
        <v>224</v>
      </c>
      <c r="CT140" s="10">
        <v>216.99999999999997</v>
      </c>
      <c r="CU140" s="59">
        <v>5.9999999999999716</v>
      </c>
      <c r="CV140" s="10">
        <v>346.99999999999989</v>
      </c>
      <c r="CW140" s="10">
        <v>10.000000000000124</v>
      </c>
      <c r="CX140" s="60">
        <v>160.76923076923129</v>
      </c>
      <c r="CY140" s="3">
        <v>17.89</v>
      </c>
      <c r="CZ140" s="3">
        <v>5.26</v>
      </c>
      <c r="DC140" s="24">
        <v>45709.022222222222</v>
      </c>
      <c r="DD140" s="24">
        <v>45709.072222222225</v>
      </c>
      <c r="DG140" s="24">
        <v>45709</v>
      </c>
      <c r="DJ140" s="58">
        <v>45709</v>
      </c>
    </row>
    <row r="141" spans="2:114" x14ac:dyDescent="0.25">
      <c r="B141" s="1">
        <v>10240</v>
      </c>
      <c r="C141" s="12">
        <v>45798</v>
      </c>
      <c r="D141" s="2">
        <v>2.9166666666666664E-2</v>
      </c>
      <c r="E141" s="2">
        <v>0.26874999999999999</v>
      </c>
      <c r="F141" s="61">
        <v>12.696629213483146</v>
      </c>
      <c r="G141" s="10">
        <v>17.000000000000007</v>
      </c>
      <c r="H141" s="61">
        <v>2.741774675972084</v>
      </c>
      <c r="I141" s="52">
        <v>79.8</v>
      </c>
      <c r="J141" s="10">
        <v>10.000000000000004</v>
      </c>
      <c r="L141" s="10">
        <v>7.0000000000000053</v>
      </c>
      <c r="N141" s="10">
        <v>63.000000000000014</v>
      </c>
      <c r="O141" s="10">
        <v>26.000000000000007</v>
      </c>
      <c r="P141" s="10">
        <v>46.3</v>
      </c>
      <c r="Q141" s="61">
        <v>2.4239298607529656</v>
      </c>
      <c r="R141" s="52">
        <v>46</v>
      </c>
      <c r="S141" s="10">
        <v>8.9999999999999982</v>
      </c>
      <c r="T141" s="52">
        <v>64.5</v>
      </c>
      <c r="U141" s="10">
        <v>10</v>
      </c>
      <c r="V141" s="52">
        <v>65.5</v>
      </c>
      <c r="W141" s="10">
        <v>29.999999999999993</v>
      </c>
      <c r="Z141" s="52">
        <v>72.7</v>
      </c>
      <c r="AA141" s="10">
        <v>111</v>
      </c>
      <c r="AB141" s="10">
        <v>5.9999999999999982</v>
      </c>
      <c r="AC141" s="52">
        <v>16.100000000000001</v>
      </c>
      <c r="AD141" s="3">
        <v>22.18</v>
      </c>
      <c r="AE141" s="3">
        <v>2.4700000000000002</v>
      </c>
      <c r="AF141" s="3">
        <v>0.52</v>
      </c>
      <c r="AG141" s="10">
        <v>88</v>
      </c>
      <c r="AH141" s="10">
        <v>1</v>
      </c>
      <c r="AI141" s="10">
        <v>136</v>
      </c>
      <c r="AJ141" s="10">
        <v>260</v>
      </c>
      <c r="AK141" s="3">
        <v>16.37</v>
      </c>
      <c r="AL141" s="61">
        <v>84.472049689440993</v>
      </c>
      <c r="AM141" s="61">
        <v>52.307692307692314</v>
      </c>
      <c r="AO141" s="10">
        <v>84.999999999999972</v>
      </c>
      <c r="AP141" s="10">
        <v>124.99999999999999</v>
      </c>
      <c r="AQ141" s="52">
        <v>80</v>
      </c>
      <c r="BG141" s="10">
        <v>179</v>
      </c>
      <c r="BJ141" s="10">
        <v>267</v>
      </c>
      <c r="BK141" s="52">
        <v>101.1</v>
      </c>
      <c r="BM141" s="10">
        <v>30.000000000000014</v>
      </c>
      <c r="BN141" s="10">
        <v>45</v>
      </c>
      <c r="BO141" s="10">
        <v>75.000000000000014</v>
      </c>
      <c r="BS141" s="10">
        <v>5</v>
      </c>
      <c r="BT141" s="10">
        <v>10</v>
      </c>
      <c r="BV141" s="61">
        <v>8.239700374531834</v>
      </c>
      <c r="BW141" s="61">
        <v>0.23970037453183296</v>
      </c>
      <c r="BZ141" s="61">
        <v>10.299625468164795</v>
      </c>
      <c r="CA141" s="10">
        <v>0</v>
      </c>
      <c r="CB141" s="52">
        <v>101.2</v>
      </c>
      <c r="CG141" s="10">
        <v>2073</v>
      </c>
      <c r="CI141" s="10">
        <v>10.000000000000004</v>
      </c>
      <c r="CJ141" s="10">
        <v>10.000000000000004</v>
      </c>
      <c r="CK141" s="3">
        <v>0</v>
      </c>
      <c r="CM141" s="3">
        <v>0.66375545851528384</v>
      </c>
      <c r="CN141" s="10">
        <v>51.999999999999972</v>
      </c>
      <c r="CO141" s="52">
        <v>10.5</v>
      </c>
      <c r="CP141" s="52">
        <v>3.3</v>
      </c>
      <c r="CQ141" s="3">
        <v>14.410480349344978</v>
      </c>
      <c r="CS141" s="10">
        <v>229</v>
      </c>
      <c r="CT141" s="10">
        <v>210.99999999999997</v>
      </c>
      <c r="CU141" s="59">
        <v>2.8421709430404007E-14</v>
      </c>
      <c r="CV141" s="10">
        <v>345</v>
      </c>
      <c r="CW141" s="10">
        <v>12.000000000000011</v>
      </c>
      <c r="CX141" s="60">
        <v>213.97003745318324</v>
      </c>
      <c r="CY141" s="3">
        <v>17.87</v>
      </c>
      <c r="CZ141" s="3">
        <v>5.26</v>
      </c>
      <c r="DC141" s="24">
        <v>45798.12222222222</v>
      </c>
      <c r="DD141" s="24">
        <v>45798.166666666664</v>
      </c>
      <c r="DG141" s="24">
        <v>45799</v>
      </c>
      <c r="DJ141" s="58">
        <v>45799</v>
      </c>
    </row>
    <row r="142" spans="2:114" x14ac:dyDescent="0.25">
      <c r="B142" s="1">
        <v>10241</v>
      </c>
      <c r="C142" s="12">
        <v>45798</v>
      </c>
      <c r="D142" s="2">
        <v>0.1388888888888889</v>
      </c>
      <c r="E142" s="2">
        <v>0.38402777777777769</v>
      </c>
      <c r="F142" s="61">
        <v>12.680756395995552</v>
      </c>
      <c r="G142" s="10">
        <v>18.999999999999972</v>
      </c>
      <c r="H142" s="61">
        <v>2.7147087857847976</v>
      </c>
      <c r="I142" s="52">
        <v>79.8</v>
      </c>
      <c r="J142" s="10">
        <v>10.000000000000004</v>
      </c>
      <c r="L142" s="10">
        <v>4.9999999999999822</v>
      </c>
      <c r="N142" s="10">
        <v>70.999999999999986</v>
      </c>
      <c r="O142" s="10">
        <v>24.999999999999993</v>
      </c>
      <c r="P142" s="10">
        <v>46</v>
      </c>
      <c r="Q142" s="61">
        <v>2.4258064516129032</v>
      </c>
      <c r="R142" s="52">
        <v>46.1</v>
      </c>
      <c r="S142" s="10">
        <v>10.000000000000044</v>
      </c>
      <c r="T142" s="52">
        <v>64.3</v>
      </c>
      <c r="U142" s="10">
        <v>5</v>
      </c>
      <c r="V142" s="52">
        <v>65.400000000000006</v>
      </c>
      <c r="W142" s="10">
        <v>30.000000000000014</v>
      </c>
      <c r="Z142" s="52">
        <v>72.7</v>
      </c>
      <c r="AA142" s="10">
        <v>114</v>
      </c>
      <c r="AB142" s="10">
        <v>9.000000000000048</v>
      </c>
      <c r="AC142" s="52">
        <v>10.6</v>
      </c>
      <c r="AD142" s="3">
        <v>22.71</v>
      </c>
      <c r="AE142" s="3">
        <v>2.6</v>
      </c>
      <c r="AG142" s="10">
        <v>0</v>
      </c>
      <c r="AH142" s="10">
        <v>1</v>
      </c>
      <c r="AI142" s="10">
        <v>136</v>
      </c>
      <c r="AJ142" s="10">
        <v>261</v>
      </c>
      <c r="AK142" s="3">
        <v>16.260000000000002</v>
      </c>
      <c r="AL142" s="61">
        <v>84.472049689440993</v>
      </c>
      <c r="AM142" s="61">
        <v>52.107279693486589</v>
      </c>
      <c r="AO142" s="10">
        <v>83.999999999999972</v>
      </c>
      <c r="AP142" s="10">
        <v>103</v>
      </c>
      <c r="AQ142" s="52">
        <v>80.2</v>
      </c>
      <c r="BG142" s="10">
        <v>180</v>
      </c>
      <c r="BJ142" s="10">
        <v>268</v>
      </c>
      <c r="BK142" s="52">
        <v>100.9</v>
      </c>
      <c r="BM142" s="10">
        <v>29.999999999999972</v>
      </c>
      <c r="BN142" s="10">
        <v>45</v>
      </c>
      <c r="BO142" s="10">
        <v>74.999999999999972</v>
      </c>
      <c r="BS142" s="10">
        <v>5</v>
      </c>
      <c r="BT142" s="10">
        <v>10</v>
      </c>
      <c r="BV142" s="61">
        <v>8.5820895522388057</v>
      </c>
      <c r="BW142" s="61">
        <v>0.58208955223880277</v>
      </c>
      <c r="BZ142" s="61">
        <v>9.8880597014925371</v>
      </c>
      <c r="CA142" s="10">
        <v>0</v>
      </c>
      <c r="CB142" s="52">
        <v>101.1</v>
      </c>
      <c r="CG142" s="10">
        <v>2276</v>
      </c>
      <c r="CI142" s="10">
        <v>9.9999999999999645</v>
      </c>
      <c r="CJ142" s="10">
        <v>9.9999999999999645</v>
      </c>
      <c r="CK142" s="3">
        <v>-3.5527136788005009E-14</v>
      </c>
      <c r="CM142" s="3">
        <v>0.65800865800865804</v>
      </c>
      <c r="CN142" s="10">
        <v>51.999999999999972</v>
      </c>
      <c r="CO142" s="52">
        <v>10.5</v>
      </c>
      <c r="CP142" s="52">
        <v>3.3</v>
      </c>
      <c r="CQ142" s="3">
        <v>14.285714285714286</v>
      </c>
      <c r="CS142" s="10">
        <v>231</v>
      </c>
      <c r="CT142" s="10">
        <v>210.99999999999983</v>
      </c>
      <c r="CU142" s="59">
        <v>1.7053025658242404E-13</v>
      </c>
      <c r="CV142" s="10">
        <v>352.99999999999989</v>
      </c>
      <c r="CW142" s="10">
        <v>4.0000000000001457</v>
      </c>
      <c r="CX142" s="60">
        <v>248.20895522388162</v>
      </c>
      <c r="CY142" s="3">
        <v>18.12</v>
      </c>
      <c r="CZ142" s="3">
        <v>5.27</v>
      </c>
      <c r="DC142" s="24">
        <v>45798.237500000003</v>
      </c>
      <c r="DD142" s="24">
        <v>45798.281944444447</v>
      </c>
      <c r="DG142" s="24">
        <v>45799</v>
      </c>
      <c r="DJ142" s="58">
        <v>45799</v>
      </c>
    </row>
    <row r="143" spans="2:114" x14ac:dyDescent="0.25">
      <c r="B143" s="1">
        <v>10242</v>
      </c>
      <c r="C143" s="12">
        <v>45804</v>
      </c>
      <c r="D143" s="2">
        <v>0.60763888888888895</v>
      </c>
      <c r="E143" s="2">
        <v>0.85763888888888884</v>
      </c>
      <c r="F143" s="61">
        <v>12.520683949255378</v>
      </c>
      <c r="G143" s="10">
        <v>20.999999999999925</v>
      </c>
      <c r="H143" s="61">
        <v>2.7941176470588238</v>
      </c>
      <c r="I143" s="52">
        <v>79.5</v>
      </c>
      <c r="J143" s="10">
        <v>9.9999999999999645</v>
      </c>
      <c r="L143" s="10">
        <v>4.9999999999999822</v>
      </c>
      <c r="N143" s="10">
        <v>65.999999999999929</v>
      </c>
      <c r="O143" s="10">
        <v>24.999999999999911</v>
      </c>
      <c r="P143" s="10">
        <v>46.6</v>
      </c>
      <c r="Q143" s="61">
        <v>2.3179642227261277</v>
      </c>
      <c r="R143" s="52">
        <v>45.2</v>
      </c>
      <c r="S143" s="10">
        <v>10.000000000000124</v>
      </c>
      <c r="T143" s="52">
        <v>64</v>
      </c>
      <c r="U143" s="10">
        <v>0</v>
      </c>
      <c r="V143" s="52">
        <v>65.400000000000006</v>
      </c>
      <c r="W143" s="10">
        <v>40.000000000000014</v>
      </c>
      <c r="Z143" s="52">
        <v>75.900000000000006</v>
      </c>
      <c r="AA143" s="10">
        <v>104.99999999999994</v>
      </c>
      <c r="AB143" s="10">
        <v>7.000000000000135</v>
      </c>
      <c r="AC143" s="52">
        <v>5.0999999999999996</v>
      </c>
      <c r="AD143" s="3">
        <v>22.82</v>
      </c>
      <c r="AE143" s="3">
        <v>2.13</v>
      </c>
      <c r="AF143" s="3">
        <v>0.42</v>
      </c>
      <c r="AG143" s="10">
        <v>89</v>
      </c>
      <c r="AH143" s="10">
        <v>1</v>
      </c>
      <c r="AI143" s="10">
        <v>120</v>
      </c>
      <c r="AJ143" s="10">
        <v>257</v>
      </c>
      <c r="AK143" s="3">
        <v>16.329999999999998</v>
      </c>
      <c r="AL143" s="61">
        <v>74.534161490683232</v>
      </c>
      <c r="AM143" s="61">
        <v>46.692607003891048</v>
      </c>
      <c r="AO143" s="10">
        <v>82.999999999999858</v>
      </c>
      <c r="AP143" s="10">
        <v>124.00000000000004</v>
      </c>
      <c r="AQ143" s="52">
        <v>80.099999999999994</v>
      </c>
      <c r="BG143" s="10">
        <v>179</v>
      </c>
      <c r="BJ143" s="10">
        <v>262</v>
      </c>
      <c r="BK143" s="52">
        <v>100.7</v>
      </c>
      <c r="BM143" s="10">
        <v>30.000000000000053</v>
      </c>
      <c r="BN143" s="10">
        <v>45</v>
      </c>
      <c r="BO143" s="10">
        <v>75.000000000000057</v>
      </c>
      <c r="BS143" s="10">
        <v>5</v>
      </c>
      <c r="BT143" s="10">
        <v>10</v>
      </c>
      <c r="BV143" s="61">
        <v>6.4885496183206106</v>
      </c>
      <c r="BW143" s="61">
        <v>1.5114503816793843</v>
      </c>
      <c r="BZ143" s="61">
        <v>9.3511450381679388</v>
      </c>
      <c r="CA143" s="10">
        <v>0</v>
      </c>
      <c r="CB143" s="52">
        <v>101.2</v>
      </c>
      <c r="CG143" s="10">
        <v>2149</v>
      </c>
      <c r="CI143" s="10">
        <v>9.9999999999999645</v>
      </c>
      <c r="CJ143" s="10">
        <v>9.9999999999999645</v>
      </c>
      <c r="CK143" s="3">
        <v>-3.5527136788005009E-14</v>
      </c>
      <c r="CM143" s="3">
        <v>0.66960352422907488</v>
      </c>
      <c r="CN143" s="10">
        <v>50.999999999999979</v>
      </c>
      <c r="CO143" s="52">
        <v>10.4</v>
      </c>
      <c r="CP143" s="52">
        <v>3.2</v>
      </c>
      <c r="CQ143" s="3">
        <v>14.096916299559471</v>
      </c>
      <c r="CS143" s="10">
        <v>227</v>
      </c>
      <c r="CT143" s="10">
        <v>226.99999999999983</v>
      </c>
      <c r="CU143" s="59">
        <v>15.999999999999829</v>
      </c>
      <c r="CV143" s="10">
        <v>359.99999999999983</v>
      </c>
      <c r="CW143" s="10">
        <v>2.9999999999998295</v>
      </c>
      <c r="CX143" s="60">
        <v>181.1450381679401</v>
      </c>
      <c r="CY143" s="3">
        <v>18.060000000000002</v>
      </c>
      <c r="CZ143" s="3">
        <v>5.27</v>
      </c>
      <c r="DC143" s="24">
        <v>45804.7</v>
      </c>
      <c r="DD143" s="24">
        <v>45804.756249999999</v>
      </c>
      <c r="DG143" s="24">
        <v>45805</v>
      </c>
      <c r="DJ143" s="58">
        <v>45805</v>
      </c>
    </row>
    <row r="144" spans="2:114" x14ac:dyDescent="0.25">
      <c r="B144" s="1">
        <v>10243</v>
      </c>
      <c r="C144" s="12">
        <v>45804</v>
      </c>
      <c r="D144" s="2">
        <v>0.70486111111111116</v>
      </c>
      <c r="E144" s="2">
        <v>0.95486111111111116</v>
      </c>
      <c r="F144" s="61">
        <v>12.906910336950315</v>
      </c>
      <c r="G144" s="10">
        <v>16.99999999999994</v>
      </c>
      <c r="H144" s="61">
        <v>2.7819929185634797</v>
      </c>
      <c r="I144" s="52">
        <v>80.2</v>
      </c>
      <c r="J144" s="10">
        <v>9.9999999999999645</v>
      </c>
      <c r="L144" s="10">
        <v>6.9999999999999751</v>
      </c>
      <c r="N144" s="10">
        <v>68.999999999999915</v>
      </c>
      <c r="O144" s="10">
        <v>25.000000000000071</v>
      </c>
      <c r="P144" s="10">
        <v>46.1</v>
      </c>
      <c r="Q144" s="61">
        <v>2.3936847466259228</v>
      </c>
      <c r="R144" s="52">
        <v>46.4</v>
      </c>
      <c r="S144" s="10">
        <v>9.9999999999999645</v>
      </c>
      <c r="T144" s="52">
        <v>64.3</v>
      </c>
      <c r="U144" s="10">
        <v>0</v>
      </c>
      <c r="V144" s="52">
        <v>65.599999999999994</v>
      </c>
      <c r="W144" s="10">
        <v>40.000000000000014</v>
      </c>
      <c r="Z144" s="52">
        <v>75.7</v>
      </c>
      <c r="AA144" s="10">
        <v>115.99999999999991</v>
      </c>
      <c r="AB144" s="10">
        <v>7.9999999999999716</v>
      </c>
      <c r="AC144" s="52">
        <v>11.2</v>
      </c>
      <c r="AD144" s="3">
        <v>22.52</v>
      </c>
      <c r="AE144" s="3">
        <v>2.0699999999999998</v>
      </c>
      <c r="AF144" s="3">
        <v>0.44</v>
      </c>
      <c r="AG144" s="10">
        <v>89</v>
      </c>
      <c r="AH144" s="10">
        <v>1</v>
      </c>
      <c r="AI144" s="10">
        <v>120</v>
      </c>
      <c r="AJ144" s="10">
        <v>258</v>
      </c>
      <c r="AK144" s="3">
        <v>16.399999999999999</v>
      </c>
      <c r="AL144" s="61">
        <v>74.534161490683232</v>
      </c>
      <c r="AM144" s="61">
        <v>46.511627906976742</v>
      </c>
      <c r="AO144" s="10">
        <v>80.000000000000199</v>
      </c>
      <c r="AP144" s="10">
        <v>122.0000000000002</v>
      </c>
      <c r="AQ144" s="52">
        <v>79.7</v>
      </c>
      <c r="BG144" s="10">
        <v>178</v>
      </c>
      <c r="BJ144" s="10">
        <v>263</v>
      </c>
      <c r="BK144" s="52">
        <v>101.1</v>
      </c>
      <c r="BM144" s="10">
        <v>30.000000000000053</v>
      </c>
      <c r="BN144" s="10">
        <v>45</v>
      </c>
      <c r="BO144" s="10">
        <v>75.000000000000057</v>
      </c>
      <c r="BS144" s="10">
        <v>5</v>
      </c>
      <c r="BT144" s="10">
        <v>10</v>
      </c>
      <c r="BV144" s="61">
        <v>7.6045627376425857</v>
      </c>
      <c r="BW144" s="61">
        <v>0.39543726235741622</v>
      </c>
      <c r="BZ144" s="61">
        <v>8.9353612167300387</v>
      </c>
      <c r="CA144" s="10">
        <v>0</v>
      </c>
      <c r="CB144" s="52">
        <v>100.9</v>
      </c>
      <c r="CG144" s="10">
        <v>2157</v>
      </c>
      <c r="CI144" s="10">
        <v>9.9999999999999645</v>
      </c>
      <c r="CJ144" s="10">
        <v>9.9999999999999645</v>
      </c>
      <c r="CK144" s="3">
        <v>-3.5527136788005009E-14</v>
      </c>
      <c r="CM144" s="3">
        <v>0.66375545851528384</v>
      </c>
      <c r="CN144" s="10">
        <v>50.999999999999979</v>
      </c>
      <c r="CP144" s="52">
        <v>3.1</v>
      </c>
      <c r="CQ144" s="3">
        <v>13.537117903930131</v>
      </c>
      <c r="CS144" s="10">
        <v>229</v>
      </c>
      <c r="CT144" s="10">
        <v>219.00000000000017</v>
      </c>
      <c r="CU144" s="59">
        <v>8.0000000000001705</v>
      </c>
      <c r="CV144" s="10">
        <v>360</v>
      </c>
      <c r="CW144" s="10">
        <v>2.9999999999999893</v>
      </c>
      <c r="CX144" s="60">
        <v>149.54372623573988</v>
      </c>
      <c r="CY144" s="3">
        <v>17.89</v>
      </c>
      <c r="CZ144" s="3">
        <v>5.26</v>
      </c>
      <c r="DC144" s="24">
        <v>45804.802777777775</v>
      </c>
      <c r="DD144" s="24">
        <v>45804.853472222225</v>
      </c>
      <c r="DG144" s="24">
        <v>45805</v>
      </c>
      <c r="DJ144" s="58">
        <v>45805</v>
      </c>
    </row>
    <row r="145" spans="2:114" x14ac:dyDescent="0.25">
      <c r="B145" s="1">
        <v>10244</v>
      </c>
      <c r="C145" s="12">
        <v>45804</v>
      </c>
      <c r="D145" s="2">
        <v>0.80555555555555547</v>
      </c>
      <c r="E145" s="2">
        <v>1.0486111111111112</v>
      </c>
      <c r="F145" s="61">
        <v>0</v>
      </c>
      <c r="G145" s="10">
        <v>18.000000000000096</v>
      </c>
      <c r="H145" s="61">
        <v>3.1091011871113623</v>
      </c>
      <c r="I145" s="52">
        <v>79.8</v>
      </c>
      <c r="J145" s="10">
        <v>9.9999999999999645</v>
      </c>
      <c r="L145" s="10">
        <v>7.000000000000135</v>
      </c>
      <c r="N145" s="10">
        <v>59.000000000000114</v>
      </c>
      <c r="O145" s="10">
        <v>24.000000000000075</v>
      </c>
      <c r="P145" s="10">
        <v>46.5</v>
      </c>
      <c r="Q145" s="61">
        <v>2.3749368367862558</v>
      </c>
      <c r="R145" s="52">
        <v>46.3</v>
      </c>
      <c r="S145" s="10">
        <v>9.9999999999999645</v>
      </c>
      <c r="T145" s="52">
        <v>64.2</v>
      </c>
      <c r="U145" s="10">
        <v>0</v>
      </c>
      <c r="V145" s="52">
        <v>65.2</v>
      </c>
      <c r="W145" s="10">
        <v>40.000000000000014</v>
      </c>
      <c r="Z145" s="52">
        <v>75.7</v>
      </c>
      <c r="AA145" s="10">
        <v>44</v>
      </c>
      <c r="AB145" s="10">
        <v>68.000000000000085</v>
      </c>
      <c r="AC145" s="52">
        <v>15.6</v>
      </c>
      <c r="AD145" s="3">
        <v>22.54</v>
      </c>
      <c r="AE145" s="3">
        <v>2.5099999999999998</v>
      </c>
      <c r="AF145" s="3">
        <v>0.35</v>
      </c>
      <c r="AG145" s="10">
        <v>90</v>
      </c>
      <c r="AH145" s="10">
        <v>1</v>
      </c>
      <c r="AI145" s="10">
        <v>136</v>
      </c>
      <c r="AJ145" s="10">
        <v>258</v>
      </c>
      <c r="AK145" s="3">
        <v>16.420000000000002</v>
      </c>
      <c r="AL145" s="61">
        <v>84.472049689440993</v>
      </c>
      <c r="AM145" s="61">
        <v>52.713178294573652</v>
      </c>
      <c r="AO145" s="10">
        <v>81.000000000000028</v>
      </c>
      <c r="AP145" s="10">
        <v>183.00000000000014</v>
      </c>
      <c r="AQ145" s="52">
        <v>79.8</v>
      </c>
      <c r="BG145" s="10">
        <v>181</v>
      </c>
      <c r="BJ145" s="10">
        <v>264</v>
      </c>
      <c r="BK145" s="52">
        <v>100.9</v>
      </c>
      <c r="BM145" s="10">
        <v>30.000000000000053</v>
      </c>
      <c r="BN145" s="10">
        <v>45</v>
      </c>
      <c r="BO145" s="10">
        <v>75.000000000000057</v>
      </c>
      <c r="BS145" s="10">
        <v>5</v>
      </c>
      <c r="BT145" s="10">
        <v>10</v>
      </c>
      <c r="BV145" s="61">
        <v>7.1969696969696972</v>
      </c>
      <c r="BW145" s="61">
        <v>0.80303030303029854</v>
      </c>
      <c r="BZ145" s="61">
        <v>9.2803030303030312</v>
      </c>
      <c r="CA145" s="10">
        <v>0</v>
      </c>
      <c r="CB145" s="52">
        <v>101.1</v>
      </c>
      <c r="CG145" s="10">
        <v>2154</v>
      </c>
      <c r="CI145" s="10">
        <v>9.9999999999999645</v>
      </c>
      <c r="CJ145" s="10">
        <v>9.9999999999999645</v>
      </c>
      <c r="CK145" s="3">
        <v>-3.5527136788005009E-14</v>
      </c>
      <c r="CM145" s="3">
        <v>0.66375545851528384</v>
      </c>
      <c r="CN145" s="10">
        <v>50.999999999999979</v>
      </c>
      <c r="CP145" s="52">
        <v>3.1</v>
      </c>
      <c r="CQ145" s="3">
        <v>13.537117903930131</v>
      </c>
      <c r="CS145" s="10">
        <v>229</v>
      </c>
      <c r="CT145" s="10">
        <v>220.00000000000003</v>
      </c>
      <c r="CU145" s="59">
        <v>9.0000000000000284</v>
      </c>
      <c r="CV145" s="10">
        <v>350.00000000000017</v>
      </c>
      <c r="CW145" s="10">
        <v>6.9999999999998153</v>
      </c>
      <c r="CX145" s="60">
        <v>180.30303030302954</v>
      </c>
      <c r="CY145" s="3">
        <v>18</v>
      </c>
      <c r="CZ145" s="3">
        <v>5.27</v>
      </c>
      <c r="DC145" s="24">
        <v>45804.895833333336</v>
      </c>
      <c r="DD145" s="24">
        <v>45804.947222222225</v>
      </c>
      <c r="DG145" s="24">
        <v>45805</v>
      </c>
      <c r="DJ145" s="58">
        <v>45805</v>
      </c>
    </row>
    <row r="146" spans="2:114" x14ac:dyDescent="0.25">
      <c r="B146" s="1">
        <v>10245</v>
      </c>
      <c r="C146" s="12">
        <v>45804</v>
      </c>
      <c r="D146" s="2">
        <v>0.90277777777777779</v>
      </c>
      <c r="E146" s="2">
        <v>0.15069444444444446</v>
      </c>
      <c r="F146" s="61">
        <v>12.605514912774337</v>
      </c>
      <c r="G146" s="10">
        <v>16.99999999999994</v>
      </c>
      <c r="H146" s="61">
        <v>2.7486256871564216</v>
      </c>
      <c r="I146" s="52">
        <v>80.099999999999994</v>
      </c>
      <c r="J146" s="10">
        <v>9.9999999999999645</v>
      </c>
      <c r="L146" s="10">
        <v>6.9999999999999751</v>
      </c>
      <c r="N146" s="10">
        <v>62.999999999999936</v>
      </c>
      <c r="O146" s="10">
        <v>26.000000000000068</v>
      </c>
      <c r="P146" s="10">
        <v>45.8</v>
      </c>
      <c r="Q146" s="61">
        <v>2.4226804123711343</v>
      </c>
      <c r="R146" s="52">
        <v>46.2</v>
      </c>
      <c r="S146" s="10">
        <v>9.9999999999999645</v>
      </c>
      <c r="T146" s="52">
        <v>64</v>
      </c>
      <c r="U146" s="10">
        <v>1</v>
      </c>
      <c r="V146" s="52">
        <v>65.099999999999994</v>
      </c>
      <c r="W146" s="10">
        <v>40.000000000000014</v>
      </c>
      <c r="Z146" s="52">
        <v>75.599999999999994</v>
      </c>
      <c r="AA146" s="10">
        <v>107.0000000000001</v>
      </c>
      <c r="AB146" s="10">
        <v>7.9999999999999716</v>
      </c>
      <c r="AC146" s="52">
        <v>8</v>
      </c>
      <c r="AD146" s="3">
        <v>22.4</v>
      </c>
      <c r="AE146" s="3">
        <v>2.5499999999999998</v>
      </c>
      <c r="AF146" s="3">
        <v>0.36</v>
      </c>
      <c r="AG146" s="10">
        <v>90</v>
      </c>
      <c r="AH146" s="10">
        <v>1</v>
      </c>
      <c r="AI146" s="10">
        <v>136</v>
      </c>
      <c r="AJ146" s="10">
        <v>258</v>
      </c>
      <c r="AK146" s="3">
        <v>16.37</v>
      </c>
      <c r="AL146" s="61">
        <v>84.472049689440993</v>
      </c>
      <c r="AM146" s="61">
        <v>52.713178294573652</v>
      </c>
      <c r="AO146" s="10">
        <v>81</v>
      </c>
      <c r="AP146" s="10">
        <v>123.0000000000002</v>
      </c>
      <c r="AQ146" s="52">
        <v>80.099999999999994</v>
      </c>
      <c r="BG146" s="10">
        <v>180</v>
      </c>
      <c r="BJ146" s="10">
        <v>265</v>
      </c>
      <c r="BK146" s="52">
        <v>100.9</v>
      </c>
      <c r="BM146" s="10">
        <v>30</v>
      </c>
      <c r="BN146" s="10">
        <v>45</v>
      </c>
      <c r="BO146" s="10">
        <v>75</v>
      </c>
      <c r="BS146" s="10">
        <v>5</v>
      </c>
      <c r="BT146" s="10">
        <v>10</v>
      </c>
      <c r="BV146" s="61">
        <v>7.5471698113207548</v>
      </c>
      <c r="BW146" s="61">
        <v>0.45283018867924713</v>
      </c>
      <c r="BZ146" s="61">
        <v>9.6226415094339632</v>
      </c>
      <c r="CA146" s="10">
        <v>0</v>
      </c>
      <c r="CB146" s="52">
        <v>101.1</v>
      </c>
      <c r="CG146" s="10">
        <v>2237</v>
      </c>
      <c r="CI146" s="10">
        <v>10.000000000000004</v>
      </c>
      <c r="CJ146" s="10">
        <v>10.000000000000004</v>
      </c>
      <c r="CK146" s="3">
        <v>0</v>
      </c>
      <c r="CM146" s="3">
        <v>0.66375545851528384</v>
      </c>
      <c r="CN146" s="10">
        <v>51.000000000000021</v>
      </c>
      <c r="CO146" s="52">
        <v>10.5</v>
      </c>
      <c r="CQ146" s="3">
        <v>0</v>
      </c>
      <c r="CS146" s="10">
        <v>229</v>
      </c>
      <c r="CT146" s="10">
        <v>225</v>
      </c>
      <c r="CU146" s="59">
        <v>14</v>
      </c>
      <c r="CV146" s="10">
        <v>357</v>
      </c>
      <c r="CW146" s="10">
        <v>0</v>
      </c>
      <c r="CX146" s="60">
        <v>95.283018867924696</v>
      </c>
      <c r="CY146" s="3">
        <v>18.010000000000002</v>
      </c>
      <c r="CZ146" s="3">
        <v>5.26</v>
      </c>
      <c r="DC146" s="24">
        <v>45804.994444444441</v>
      </c>
      <c r="DD146" s="24">
        <v>45805.049305555556</v>
      </c>
      <c r="DG146" s="24">
        <v>45805</v>
      </c>
      <c r="DJ146" s="58">
        <v>45805</v>
      </c>
    </row>
    <row r="147" spans="2:114" x14ac:dyDescent="0.25">
      <c r="B147" s="1">
        <v>10246</v>
      </c>
      <c r="C147" s="12">
        <v>45805</v>
      </c>
      <c r="D147" s="2">
        <v>3.472222222222222E-3</v>
      </c>
      <c r="E147" s="2">
        <v>0.2479166666666667</v>
      </c>
      <c r="F147" s="61">
        <v>12.885154061624648</v>
      </c>
      <c r="G147" s="10">
        <v>17</v>
      </c>
      <c r="H147" s="61">
        <v>2.7295285359801489</v>
      </c>
      <c r="I147" s="52">
        <v>79.900000000000006</v>
      </c>
      <c r="J147" s="10">
        <v>10</v>
      </c>
      <c r="L147" s="10">
        <v>4.0000000000000053</v>
      </c>
      <c r="N147" s="10">
        <v>61.999999999999993</v>
      </c>
      <c r="O147" s="10">
        <v>23.999999999999993</v>
      </c>
      <c r="P147" s="10">
        <v>46.1</v>
      </c>
      <c r="Q147" s="61">
        <v>2.4040920716112533</v>
      </c>
      <c r="R147" s="52">
        <v>46.3</v>
      </c>
      <c r="S147" s="10">
        <v>10.000000000000004</v>
      </c>
      <c r="T147" s="52">
        <v>64</v>
      </c>
      <c r="U147" s="10">
        <v>0</v>
      </c>
      <c r="V147" s="52">
        <v>65.3</v>
      </c>
      <c r="W147" s="10">
        <v>40.000000000000007</v>
      </c>
      <c r="Z147" s="52">
        <v>75.7</v>
      </c>
      <c r="AA147" s="10">
        <v>107</v>
      </c>
      <c r="AB147" s="10">
        <v>9.0000000000000071</v>
      </c>
      <c r="AC147" s="52">
        <v>8</v>
      </c>
      <c r="AD147" s="3">
        <v>22.4</v>
      </c>
      <c r="AE147" s="3">
        <v>2.4700000000000002</v>
      </c>
      <c r="AF147" s="3">
        <v>0.35</v>
      </c>
      <c r="AG147" s="10">
        <v>90</v>
      </c>
      <c r="AH147" s="10">
        <v>1</v>
      </c>
      <c r="AI147" s="10">
        <v>136</v>
      </c>
      <c r="AJ147" s="10">
        <v>258</v>
      </c>
      <c r="AK147" s="3">
        <v>16.420000000000002</v>
      </c>
      <c r="AL147" s="61">
        <v>84.472049689440993</v>
      </c>
      <c r="AM147" s="61">
        <v>52.713178294573652</v>
      </c>
      <c r="AO147" s="10">
        <v>82</v>
      </c>
      <c r="AP147" s="10">
        <v>125.00000000000001</v>
      </c>
      <c r="AQ147" s="52">
        <v>79.8</v>
      </c>
      <c r="BG147" s="10">
        <v>180</v>
      </c>
      <c r="BJ147" s="10">
        <v>266</v>
      </c>
      <c r="BK147" s="52">
        <v>100.8</v>
      </c>
      <c r="BM147" s="10">
        <v>30.000000000000014</v>
      </c>
      <c r="BN147" s="10">
        <v>45</v>
      </c>
      <c r="BO147" s="10">
        <v>75.000000000000014</v>
      </c>
      <c r="BS147" s="10">
        <v>5</v>
      </c>
      <c r="BT147" s="10">
        <v>10</v>
      </c>
      <c r="BV147" s="61">
        <v>7.8947368421052628</v>
      </c>
      <c r="BW147" s="61">
        <v>0.10526315789473467</v>
      </c>
      <c r="BZ147" s="61">
        <v>9.2105263157894726</v>
      </c>
      <c r="CA147" s="10">
        <v>0</v>
      </c>
      <c r="CB147" s="52">
        <v>101</v>
      </c>
      <c r="CG147" s="10">
        <v>1921</v>
      </c>
      <c r="CI147" s="10">
        <v>10.000000000000004</v>
      </c>
      <c r="CJ147" s="10">
        <v>10.000000000000004</v>
      </c>
      <c r="CK147" s="3">
        <v>0</v>
      </c>
      <c r="CM147" s="3">
        <v>0.65800865800865804</v>
      </c>
      <c r="CN147" s="10">
        <v>52.000000000000014</v>
      </c>
      <c r="CO147" s="52">
        <v>10.5</v>
      </c>
      <c r="CP147" s="52">
        <v>3.1</v>
      </c>
      <c r="CQ147" s="3">
        <v>13.419913419913421</v>
      </c>
      <c r="CS147" s="10">
        <v>231</v>
      </c>
      <c r="CT147" s="10">
        <v>219.00000000000003</v>
      </c>
      <c r="CU147" s="59">
        <v>8.0000000000000284</v>
      </c>
      <c r="CV147" s="10">
        <v>352.00000000000006</v>
      </c>
      <c r="CW147" s="10">
        <v>4.9999999999999289</v>
      </c>
      <c r="CX147" s="60">
        <v>120.52631578947344</v>
      </c>
      <c r="CY147" s="3">
        <v>18</v>
      </c>
      <c r="CZ147" s="3">
        <v>5.26</v>
      </c>
      <c r="DC147" s="24">
        <v>45805.095833333333</v>
      </c>
      <c r="DD147" s="24">
        <v>45805.145833333336</v>
      </c>
      <c r="DG147" s="24">
        <v>45806</v>
      </c>
      <c r="DJ147" s="58">
        <v>45806</v>
      </c>
    </row>
    <row r="148" spans="2:114" x14ac:dyDescent="0.25">
      <c r="B148" s="1">
        <v>10247</v>
      </c>
      <c r="C148" s="12">
        <v>45805</v>
      </c>
      <c r="D148" s="2">
        <v>0.1111111111111111</v>
      </c>
      <c r="E148" s="2">
        <v>0.35694444444444434</v>
      </c>
      <c r="F148" s="61">
        <v>13.294797687861271</v>
      </c>
      <c r="G148" s="10">
        <v>18.000000000000014</v>
      </c>
      <c r="H148" s="61">
        <v>2.806122448979592</v>
      </c>
      <c r="I148" s="52">
        <v>79.900000000000006</v>
      </c>
      <c r="J148" s="10">
        <v>10.000000000000004</v>
      </c>
      <c r="L148" s="10">
        <v>6.0000000000000187</v>
      </c>
      <c r="N148" s="10">
        <v>61.000000000000021</v>
      </c>
      <c r="O148" s="10">
        <v>23.999999999999993</v>
      </c>
      <c r="P148" s="10">
        <v>46.4</v>
      </c>
      <c r="Q148" s="61">
        <v>2.481012658227848</v>
      </c>
      <c r="R148" s="52">
        <v>46.4</v>
      </c>
      <c r="S148" s="10">
        <v>10.000000000000004</v>
      </c>
      <c r="T148" s="52">
        <v>64</v>
      </c>
      <c r="U148" s="10">
        <v>0</v>
      </c>
      <c r="V148" s="52">
        <v>65.3</v>
      </c>
      <c r="W148" s="10">
        <v>40.000000000000014</v>
      </c>
      <c r="Z148" s="52">
        <v>75.8</v>
      </c>
      <c r="AA148" s="10">
        <v>103</v>
      </c>
      <c r="AB148" s="10">
        <v>9.0000000000000071</v>
      </c>
      <c r="AC148" s="52">
        <v>9</v>
      </c>
      <c r="AD148" s="3">
        <v>22.27</v>
      </c>
      <c r="AE148" s="3">
        <v>3.23</v>
      </c>
      <c r="AG148" s="10">
        <v>0</v>
      </c>
      <c r="AH148" s="10">
        <v>1</v>
      </c>
      <c r="AI148" s="10">
        <v>140</v>
      </c>
      <c r="AJ148" s="10">
        <v>262</v>
      </c>
      <c r="AK148" s="3">
        <v>16.57</v>
      </c>
      <c r="AL148" s="61">
        <v>84.848484848484844</v>
      </c>
      <c r="AM148" s="61">
        <v>53.435114503816791</v>
      </c>
      <c r="AO148" s="10">
        <v>86.000000000000014</v>
      </c>
      <c r="AP148" s="10">
        <v>105.00000000000003</v>
      </c>
      <c r="AQ148" s="52">
        <v>79.7</v>
      </c>
      <c r="BG148" s="10">
        <v>180</v>
      </c>
      <c r="BJ148" s="10">
        <v>269</v>
      </c>
      <c r="BK148" s="52">
        <v>100.8</v>
      </c>
      <c r="BM148" s="10">
        <v>29.999999999999972</v>
      </c>
      <c r="BN148" s="10">
        <v>45</v>
      </c>
      <c r="BO148" s="10">
        <v>74.999999999999972</v>
      </c>
      <c r="BS148" s="10">
        <v>5</v>
      </c>
      <c r="BT148" s="10">
        <v>10</v>
      </c>
      <c r="BV148" s="61">
        <v>7.8066914498141262</v>
      </c>
      <c r="BW148" s="61">
        <v>0.19330855018587084</v>
      </c>
      <c r="BZ148" s="61">
        <v>9.4795539033457246</v>
      </c>
      <c r="CA148" s="10">
        <v>0</v>
      </c>
      <c r="CB148" s="52">
        <v>100.9</v>
      </c>
      <c r="CG148" s="10">
        <v>2180</v>
      </c>
      <c r="CI148" s="10">
        <v>9.9999999999999645</v>
      </c>
      <c r="CJ148" s="10">
        <v>9.9999999999999645</v>
      </c>
      <c r="CK148" s="3">
        <v>-3.5527136788005009E-14</v>
      </c>
      <c r="CM148" s="3">
        <v>0.6523605150214592</v>
      </c>
      <c r="CN148" s="10">
        <v>51.999999999999972</v>
      </c>
      <c r="CO148" s="52">
        <v>10.5</v>
      </c>
      <c r="CP148" s="52">
        <v>3.2</v>
      </c>
      <c r="CQ148" s="3">
        <v>13.733905579399142</v>
      </c>
      <c r="CS148" s="10">
        <v>233</v>
      </c>
      <c r="CT148" s="10">
        <v>223.99999999999983</v>
      </c>
      <c r="CU148" s="59">
        <v>12.999999999999829</v>
      </c>
      <c r="CV148" s="10">
        <v>353.99999999999989</v>
      </c>
      <c r="CW148" s="10">
        <v>3.0000000000001492</v>
      </c>
      <c r="CX148" s="60">
        <v>79.330855018588721</v>
      </c>
      <c r="CY148" s="3">
        <v>17.93</v>
      </c>
      <c r="CZ148" s="3">
        <v>5.27</v>
      </c>
      <c r="DC148" s="24">
        <v>45805.201388888891</v>
      </c>
      <c r="DD148" s="24">
        <v>45805.254861111112</v>
      </c>
      <c r="DG148" s="24">
        <v>45806</v>
      </c>
      <c r="DJ148" s="58">
        <v>45806</v>
      </c>
    </row>
    <row r="149" spans="2:114" x14ac:dyDescent="0.25">
      <c r="B149" s="1">
        <v>10257</v>
      </c>
      <c r="C149" s="12">
        <v>45819</v>
      </c>
      <c r="D149" s="2">
        <v>0.78125</v>
      </c>
      <c r="E149" s="2">
        <v>1.0215277777777778</v>
      </c>
      <c r="F149" s="61">
        <v>13.243873978996499</v>
      </c>
      <c r="G149" s="10">
        <v>18.000000000000096</v>
      </c>
      <c r="H149" s="61">
        <v>2.8335909325090158</v>
      </c>
      <c r="I149" s="52">
        <v>79.7</v>
      </c>
      <c r="J149" s="10">
        <v>9.9999999999999645</v>
      </c>
      <c r="L149" s="10">
        <v>0.99999999999999645</v>
      </c>
      <c r="N149" s="10">
        <v>60.999999999999943</v>
      </c>
      <c r="O149" s="10">
        <v>24.999999999999751</v>
      </c>
      <c r="P149" s="10">
        <v>46</v>
      </c>
      <c r="Q149" s="61">
        <v>2.3078811686717406</v>
      </c>
      <c r="R149" s="52">
        <v>46</v>
      </c>
      <c r="S149" s="10">
        <v>10.000000000000124</v>
      </c>
      <c r="T149" s="52">
        <v>63.5</v>
      </c>
      <c r="U149" s="10">
        <v>22</v>
      </c>
      <c r="V149" s="52">
        <v>65.2</v>
      </c>
      <c r="W149" s="10">
        <v>40.000000000000014</v>
      </c>
      <c r="Z149" s="52">
        <v>75.7</v>
      </c>
      <c r="AA149" s="10">
        <v>102.9999999999998</v>
      </c>
      <c r="AB149" s="10">
        <v>7.000000000000135</v>
      </c>
      <c r="AC149" s="52">
        <v>14.1</v>
      </c>
      <c r="AD149" s="3">
        <v>23.26</v>
      </c>
      <c r="AE149" s="3">
        <v>1.6</v>
      </c>
      <c r="AF149" s="3">
        <v>0.34</v>
      </c>
      <c r="AG149" s="10">
        <v>85</v>
      </c>
      <c r="AH149" s="10">
        <v>2</v>
      </c>
      <c r="AI149" s="10">
        <v>120</v>
      </c>
      <c r="AJ149" s="10">
        <v>262</v>
      </c>
      <c r="AK149" s="3">
        <v>16.27</v>
      </c>
      <c r="AL149" s="61">
        <v>74.534161490683232</v>
      </c>
      <c r="AM149" s="61">
        <v>45.801526717557252</v>
      </c>
      <c r="AO149" s="10">
        <v>89</v>
      </c>
      <c r="AP149" s="10">
        <v>128.00000000000003</v>
      </c>
      <c r="AQ149" s="52">
        <v>79.7</v>
      </c>
      <c r="BG149" s="10">
        <v>180</v>
      </c>
      <c r="BJ149" s="10">
        <v>263</v>
      </c>
      <c r="BK149" s="52">
        <v>100.8</v>
      </c>
      <c r="BM149" s="10">
        <v>30.000000000000053</v>
      </c>
      <c r="BN149" s="10">
        <v>45</v>
      </c>
      <c r="BO149" s="10">
        <v>75.000000000000057</v>
      </c>
      <c r="BS149" s="10">
        <v>5</v>
      </c>
      <c r="BT149" s="10">
        <v>10</v>
      </c>
      <c r="BV149" s="61">
        <v>6.8441064638783269</v>
      </c>
      <c r="BW149" s="61">
        <v>1.1558935361216702</v>
      </c>
      <c r="BZ149" s="61">
        <v>8.5551330798479075</v>
      </c>
      <c r="CA149" s="10">
        <v>0</v>
      </c>
      <c r="CB149" s="52">
        <v>100.9</v>
      </c>
      <c r="CG149" s="10">
        <v>2554</v>
      </c>
      <c r="CI149" s="10">
        <v>9.9999999999999645</v>
      </c>
      <c r="CJ149" s="10">
        <v>9.9999999999999645</v>
      </c>
      <c r="CK149" s="3">
        <v>-3.5527136788005009E-14</v>
      </c>
      <c r="CM149" s="3">
        <v>0.69652173913043469</v>
      </c>
      <c r="CN149" s="10">
        <v>51.000000000000142</v>
      </c>
      <c r="CP149" s="52">
        <v>3.6</v>
      </c>
      <c r="CQ149" s="3">
        <v>15.652173913043478</v>
      </c>
      <c r="CS149" s="10">
        <v>230</v>
      </c>
      <c r="CT149" s="10">
        <v>218.00000000000003</v>
      </c>
      <c r="CU149" s="59">
        <v>7.0000000000000284</v>
      </c>
      <c r="CV149" s="10">
        <v>346.00000000000006</v>
      </c>
      <c r="CW149" s="10">
        <v>10.999999999999961</v>
      </c>
      <c r="CX149" s="60">
        <v>235.58935361216703</v>
      </c>
      <c r="CY149" s="3">
        <v>17.920000000000002</v>
      </c>
      <c r="CZ149" s="3">
        <v>5.25</v>
      </c>
      <c r="DC149" s="24">
        <v>45819.870138888888</v>
      </c>
      <c r="DD149" s="24">
        <v>45819.920138888891</v>
      </c>
      <c r="DG149" s="24">
        <v>45820</v>
      </c>
      <c r="DJ149" s="58">
        <v>45820</v>
      </c>
    </row>
    <row r="150" spans="2:114" x14ac:dyDescent="0.25">
      <c r="B150" s="1">
        <v>10258</v>
      </c>
      <c r="C150" s="12">
        <v>45819</v>
      </c>
      <c r="D150" s="2">
        <v>0.88194444444444453</v>
      </c>
      <c r="E150" s="2">
        <v>0.12986111111111109</v>
      </c>
      <c r="F150" s="61">
        <v>12.45674740484429</v>
      </c>
      <c r="G150" s="10">
        <v>16.99999999999978</v>
      </c>
      <c r="H150" s="61">
        <v>2.8205128205128207</v>
      </c>
      <c r="I150" s="52">
        <v>79.5</v>
      </c>
      <c r="J150" s="10">
        <v>9.9999999999999645</v>
      </c>
      <c r="L150" s="10">
        <v>3.9999999999999858</v>
      </c>
      <c r="N150" s="10">
        <v>61.999999999999943</v>
      </c>
      <c r="O150" s="10">
        <v>24.000000000000234</v>
      </c>
      <c r="P150" s="10">
        <v>46.1</v>
      </c>
      <c r="Q150" s="61">
        <v>2.3929471032745591</v>
      </c>
      <c r="R150" s="52">
        <v>45.9</v>
      </c>
      <c r="S150" s="10">
        <v>9.9999999999998046</v>
      </c>
      <c r="T150" s="52">
        <v>64</v>
      </c>
      <c r="U150" s="10">
        <v>15</v>
      </c>
      <c r="V150" s="52">
        <v>65.3</v>
      </c>
      <c r="W150" s="10">
        <v>35.000000000000036</v>
      </c>
      <c r="Z150" s="52">
        <v>72.7</v>
      </c>
      <c r="AA150" s="10">
        <v>110.00000000000009</v>
      </c>
      <c r="AB150" s="10">
        <v>7.9999999999999716</v>
      </c>
      <c r="AC150" s="52">
        <v>8</v>
      </c>
      <c r="AD150" s="3">
        <v>22.44</v>
      </c>
      <c r="AE150" s="3">
        <v>1.78</v>
      </c>
      <c r="AF150" s="3">
        <v>0.35</v>
      </c>
      <c r="AG150" s="10">
        <v>88</v>
      </c>
      <c r="AH150" s="10">
        <v>1</v>
      </c>
      <c r="AI150" s="10">
        <v>136</v>
      </c>
      <c r="AJ150" s="10">
        <v>260</v>
      </c>
      <c r="AK150" s="3">
        <v>16.350000000000001</v>
      </c>
      <c r="AL150" s="61">
        <v>83.950617283950606</v>
      </c>
      <c r="AM150" s="61">
        <v>52.307692307692314</v>
      </c>
      <c r="AO150" s="10">
        <v>79.000000000000156</v>
      </c>
      <c r="AP150" s="10">
        <v>121.00000000000006</v>
      </c>
      <c r="AQ150" s="52">
        <v>79.7</v>
      </c>
      <c r="BG150" s="10">
        <v>180</v>
      </c>
      <c r="BJ150" s="10">
        <v>266</v>
      </c>
      <c r="BK150" s="52">
        <v>100.9</v>
      </c>
      <c r="BM150" s="10">
        <v>29.999999999999993</v>
      </c>
      <c r="BN150" s="10">
        <v>45</v>
      </c>
      <c r="BO150" s="10">
        <v>75</v>
      </c>
      <c r="BS150" s="10">
        <v>5</v>
      </c>
      <c r="BT150" s="10">
        <v>10</v>
      </c>
      <c r="BV150" s="61">
        <v>7.1428571428571423</v>
      </c>
      <c r="BW150" s="61">
        <v>0.85714285714286054</v>
      </c>
      <c r="BZ150" s="61">
        <v>9.2105263157894726</v>
      </c>
      <c r="CA150" s="10">
        <v>0</v>
      </c>
      <c r="CB150" s="52">
        <v>101.1</v>
      </c>
      <c r="CG150" s="10">
        <v>2527</v>
      </c>
      <c r="CI150" s="10">
        <v>10.000000000000004</v>
      </c>
      <c r="CJ150" s="10">
        <v>10.000000000000004</v>
      </c>
      <c r="CK150" s="3">
        <v>0</v>
      </c>
      <c r="CM150" s="3">
        <v>0.52640692640692643</v>
      </c>
      <c r="CN150" s="10">
        <v>51.999999999999972</v>
      </c>
      <c r="CO150" s="52">
        <v>10.5</v>
      </c>
      <c r="CP150" s="52">
        <v>3.1</v>
      </c>
      <c r="CQ150" s="3">
        <v>13.419913419913421</v>
      </c>
      <c r="CS150" s="10">
        <v>231</v>
      </c>
      <c r="CT150" s="10">
        <v>221.99999999999986</v>
      </c>
      <c r="CU150" s="59">
        <v>10.999999999999858</v>
      </c>
      <c r="CV150" s="10">
        <v>356.99999999999972</v>
      </c>
      <c r="CW150" s="10">
        <v>3.1974423109204508E-13</v>
      </c>
      <c r="CX150" s="60">
        <v>165.71428571428746</v>
      </c>
      <c r="CY150" s="3">
        <v>18.010000000000002</v>
      </c>
      <c r="CZ150" s="3">
        <v>5.26</v>
      </c>
      <c r="DC150" s="24">
        <v>45821.248611111114</v>
      </c>
      <c r="DD150" s="24">
        <v>45821.306944444441</v>
      </c>
      <c r="DG150" s="24">
        <v>45822</v>
      </c>
      <c r="DJ150" s="58">
        <v>45822</v>
      </c>
    </row>
    <row r="151" spans="2:114" x14ac:dyDescent="0.25">
      <c r="B151" s="1">
        <v>10259</v>
      </c>
      <c r="C151" s="12">
        <v>45819</v>
      </c>
      <c r="D151" s="2">
        <v>0.98263888888888884</v>
      </c>
      <c r="E151" s="2">
        <v>0.23055555555555557</v>
      </c>
      <c r="F151" s="61">
        <v>13.203214695752008</v>
      </c>
      <c r="G151" s="10">
        <v>17.000000000000099</v>
      </c>
      <c r="H151" s="61">
        <v>2.7890466531440161</v>
      </c>
      <c r="I151" s="52">
        <v>79.599999999999994</v>
      </c>
      <c r="J151" s="10">
        <v>10</v>
      </c>
      <c r="L151" s="10">
        <v>5.0000000000000018</v>
      </c>
      <c r="N151" s="10">
        <v>64.999999999999929</v>
      </c>
      <c r="O151" s="10">
        <v>27.000000000000064</v>
      </c>
      <c r="P151" s="10">
        <v>45.8</v>
      </c>
      <c r="Q151" s="61">
        <v>2.39673635900051</v>
      </c>
      <c r="R151" s="52">
        <v>46</v>
      </c>
      <c r="S151" s="10">
        <v>10.000000000000002</v>
      </c>
      <c r="T151" s="52">
        <v>64</v>
      </c>
      <c r="U151" s="10">
        <v>0</v>
      </c>
      <c r="V151" s="52">
        <v>65.3</v>
      </c>
      <c r="W151" s="10">
        <v>34.999999999999993</v>
      </c>
      <c r="Z151" s="52">
        <v>72</v>
      </c>
      <c r="AA151" s="10">
        <v>109.00000000000009</v>
      </c>
      <c r="AB151" s="10">
        <v>7.9999999999999911</v>
      </c>
      <c r="AC151" s="52">
        <v>8</v>
      </c>
      <c r="AD151" s="3">
        <v>22.2</v>
      </c>
      <c r="AE151" s="3">
        <v>2.4500000000000002</v>
      </c>
      <c r="AF151" s="3">
        <v>0.4</v>
      </c>
      <c r="AG151" s="10">
        <v>90</v>
      </c>
      <c r="AH151" s="10">
        <v>1</v>
      </c>
      <c r="AI151" s="10">
        <v>136</v>
      </c>
      <c r="AJ151" s="10">
        <v>260</v>
      </c>
      <c r="AK151" s="3">
        <v>16.5</v>
      </c>
      <c r="AL151" s="61">
        <v>84.472049689440993</v>
      </c>
      <c r="AM151" s="61">
        <v>52.307692307692314</v>
      </c>
      <c r="AO151" s="10">
        <v>82</v>
      </c>
      <c r="AP151" s="10">
        <v>123.99999999999999</v>
      </c>
      <c r="AQ151" s="52">
        <v>79.900000000000006</v>
      </c>
      <c r="BG151" s="10">
        <v>181</v>
      </c>
      <c r="BJ151" s="10">
        <v>266</v>
      </c>
      <c r="BK151" s="52">
        <v>100.8</v>
      </c>
      <c r="BM151" s="10">
        <v>30.000000000000014</v>
      </c>
      <c r="BN151" s="10">
        <v>45</v>
      </c>
      <c r="BO151" s="10">
        <v>75.000000000000014</v>
      </c>
      <c r="BS151" s="10">
        <v>5</v>
      </c>
      <c r="BT151" s="10">
        <v>10</v>
      </c>
      <c r="BV151" s="61">
        <v>7.1428571428571423</v>
      </c>
      <c r="BW151" s="61">
        <v>0.85714285714286054</v>
      </c>
      <c r="BZ151" s="61">
        <v>9.2105263157894726</v>
      </c>
      <c r="CA151" s="10">
        <v>0</v>
      </c>
      <c r="CB151" s="52">
        <v>101.1</v>
      </c>
      <c r="CG151" s="10">
        <v>2192</v>
      </c>
      <c r="CI151" s="10">
        <v>10.000000000000004</v>
      </c>
      <c r="CJ151" s="10">
        <v>10.000000000000004</v>
      </c>
      <c r="CK151" s="3">
        <v>0</v>
      </c>
      <c r="CM151" s="3">
        <v>0.52640692640692643</v>
      </c>
      <c r="CN151" s="10">
        <v>52.000000000000014</v>
      </c>
      <c r="CO151" s="52">
        <v>10.5</v>
      </c>
      <c r="CP151" s="52">
        <v>3.5</v>
      </c>
      <c r="CQ151" s="3">
        <v>15.151515151515152</v>
      </c>
      <c r="CS151" s="10">
        <v>231</v>
      </c>
      <c r="CT151" s="10">
        <v>223</v>
      </c>
      <c r="CU151" s="59">
        <v>12</v>
      </c>
      <c r="CV151" s="10">
        <v>357.00000000000017</v>
      </c>
      <c r="CW151" s="10">
        <v>1.5987211554602254E-13</v>
      </c>
      <c r="CX151" s="60">
        <v>155.71428571428575</v>
      </c>
      <c r="CY151" s="3">
        <v>18.05</v>
      </c>
      <c r="CZ151" s="3">
        <v>5.25</v>
      </c>
      <c r="DC151" s="24">
        <v>45822.600694444445</v>
      </c>
      <c r="DD151" s="24">
        <v>45822.652777777781</v>
      </c>
      <c r="DG151" s="24">
        <v>45823</v>
      </c>
      <c r="DJ151" s="58">
        <v>45823</v>
      </c>
    </row>
    <row r="152" spans="2:114" x14ac:dyDescent="0.25">
      <c r="B152" s="1">
        <v>10260</v>
      </c>
      <c r="C152" s="12">
        <v>45820</v>
      </c>
      <c r="D152" s="2">
        <v>8.3333333333333329E-2</v>
      </c>
      <c r="E152" s="2">
        <v>0.32430555555555551</v>
      </c>
      <c r="F152" s="61">
        <v>13.12785388127854</v>
      </c>
      <c r="G152" s="10">
        <v>18.000000000000014</v>
      </c>
      <c r="H152" s="61">
        <v>2.7749747729566092</v>
      </c>
      <c r="I152" s="52">
        <v>79.8</v>
      </c>
      <c r="J152" s="10">
        <v>10.000000000000004</v>
      </c>
      <c r="L152" s="10">
        <v>2.9999999999999893</v>
      </c>
      <c r="N152" s="10">
        <v>58.000000000000014</v>
      </c>
      <c r="O152" s="10">
        <v>23</v>
      </c>
      <c r="P152" s="10">
        <v>46.2</v>
      </c>
      <c r="Q152" s="61">
        <v>2.39673635900051</v>
      </c>
      <c r="R152" s="52">
        <v>45.8</v>
      </c>
      <c r="S152" s="10">
        <v>9.999999999999984</v>
      </c>
      <c r="T152" s="52">
        <v>64.099999999999994</v>
      </c>
      <c r="U152" s="10">
        <v>0</v>
      </c>
      <c r="V152" s="52">
        <v>65.3</v>
      </c>
      <c r="W152" s="10">
        <v>34.999999999999993</v>
      </c>
      <c r="Z152" s="52">
        <v>72.3</v>
      </c>
      <c r="AA152" s="10">
        <v>102.99999999999999</v>
      </c>
      <c r="AB152" s="10">
        <v>8.0000000000000107</v>
      </c>
      <c r="AC152" s="52">
        <v>10</v>
      </c>
      <c r="AD152" s="3">
        <v>22.54</v>
      </c>
      <c r="AE152" s="3">
        <v>2.7</v>
      </c>
      <c r="AF152" s="3">
        <v>0.41</v>
      </c>
      <c r="AG152" s="10">
        <v>90</v>
      </c>
      <c r="AH152" s="10">
        <v>1</v>
      </c>
      <c r="AI152" s="10">
        <v>136</v>
      </c>
      <c r="AJ152" s="10">
        <v>260</v>
      </c>
      <c r="AK152" s="3">
        <v>16.579999999999998</v>
      </c>
      <c r="AL152" s="61">
        <v>84.472049689440993</v>
      </c>
      <c r="AM152" s="61">
        <v>52.307692307692314</v>
      </c>
      <c r="AO152" s="10">
        <v>80</v>
      </c>
      <c r="AP152" s="10">
        <v>121.99999999999997</v>
      </c>
      <c r="AQ152" s="52">
        <v>79.900000000000006</v>
      </c>
      <c r="BG152" s="10">
        <v>179</v>
      </c>
      <c r="BJ152" s="10">
        <v>267</v>
      </c>
      <c r="BK152" s="52">
        <v>100.8</v>
      </c>
      <c r="BM152" s="10">
        <v>30.000000000000014</v>
      </c>
      <c r="BN152" s="10">
        <v>45</v>
      </c>
      <c r="BO152" s="10">
        <v>75.000000000000014</v>
      </c>
      <c r="BS152" s="10">
        <v>5</v>
      </c>
      <c r="BT152" s="10">
        <v>10</v>
      </c>
      <c r="BV152" s="61">
        <v>8.239700374531834</v>
      </c>
      <c r="BW152" s="61">
        <v>0.23970037453183296</v>
      </c>
      <c r="BZ152" s="61">
        <v>10.299625468164795</v>
      </c>
      <c r="CA152" s="10">
        <v>0</v>
      </c>
      <c r="CB152" s="52">
        <v>101</v>
      </c>
      <c r="CG152" s="10">
        <v>2428</v>
      </c>
      <c r="CI152" s="10">
        <v>9.9999999999999645</v>
      </c>
      <c r="CJ152" s="10">
        <v>9.9999999999999645</v>
      </c>
      <c r="CK152" s="3">
        <v>-3.5527136788005009E-14</v>
      </c>
      <c r="CM152" s="3">
        <v>0.53100436681222707</v>
      </c>
      <c r="CN152" s="10">
        <v>50.999999999999979</v>
      </c>
      <c r="CO152" s="52">
        <v>10.7</v>
      </c>
      <c r="CP152" s="52">
        <v>3.4</v>
      </c>
      <c r="CQ152" s="3">
        <v>14.847161572052402</v>
      </c>
      <c r="CS152" s="10">
        <v>229</v>
      </c>
      <c r="CT152" s="10">
        <v>217.99999999999994</v>
      </c>
      <c r="CU152" s="59">
        <v>6.9999999999999432</v>
      </c>
      <c r="CV152" s="10">
        <v>347</v>
      </c>
      <c r="CW152" s="10">
        <v>10.000000000000018</v>
      </c>
      <c r="CX152" s="60">
        <v>143.97003745318381</v>
      </c>
      <c r="CY152" s="3">
        <v>17.979999999999997</v>
      </c>
      <c r="CZ152" s="3">
        <v>5.26</v>
      </c>
      <c r="DC152" s="24">
        <v>45819.975694444445</v>
      </c>
      <c r="DD152" s="24">
        <v>45820.027777777781</v>
      </c>
      <c r="DG152" s="24">
        <v>45820</v>
      </c>
      <c r="DJ152" s="58">
        <v>45820</v>
      </c>
    </row>
    <row r="153" spans="2:114" x14ac:dyDescent="0.25">
      <c r="B153" s="1">
        <v>10261</v>
      </c>
      <c r="C153" s="12">
        <v>45820</v>
      </c>
      <c r="D153" s="2">
        <v>0.18402777777777779</v>
      </c>
      <c r="E153" s="2">
        <v>0.42291666666666661</v>
      </c>
      <c r="F153" s="61">
        <v>13.442431326709524</v>
      </c>
      <c r="G153" s="10">
        <v>17.999999999999975</v>
      </c>
      <c r="H153" s="61">
        <v>2.8335909325090158</v>
      </c>
      <c r="I153" s="52">
        <v>79.599999999999994</v>
      </c>
      <c r="J153" s="10">
        <v>10.000000000000004</v>
      </c>
      <c r="L153" s="10">
        <v>4.9999999999999822</v>
      </c>
      <c r="N153" s="10">
        <v>62.999999999999979</v>
      </c>
      <c r="O153" s="10">
        <v>24.999999999999993</v>
      </c>
      <c r="P153" s="10">
        <v>46.4</v>
      </c>
      <c r="Q153" s="61">
        <v>2.3719404491546809</v>
      </c>
      <c r="R153" s="52">
        <v>46</v>
      </c>
      <c r="S153" s="10">
        <v>10.000000000000004</v>
      </c>
      <c r="T153" s="52">
        <v>64</v>
      </c>
      <c r="U153" s="10">
        <v>0</v>
      </c>
      <c r="V153" s="52">
        <v>65.3</v>
      </c>
      <c r="W153" s="10">
        <v>34.999999999999993</v>
      </c>
      <c r="Z153" s="52">
        <v>71.8</v>
      </c>
      <c r="AA153" s="10">
        <v>103.99999999999999</v>
      </c>
      <c r="AB153" s="10">
        <v>7.9999999999999716</v>
      </c>
      <c r="AC153" s="52">
        <v>11.1</v>
      </c>
      <c r="AD153" s="3">
        <v>22.2</v>
      </c>
      <c r="AE153" s="3">
        <v>3.04</v>
      </c>
      <c r="AF153" s="3">
        <v>0.96</v>
      </c>
      <c r="AG153" s="10">
        <v>88</v>
      </c>
      <c r="AH153" s="10">
        <v>1</v>
      </c>
      <c r="AI153" s="10">
        <v>136</v>
      </c>
      <c r="AJ153" s="10">
        <v>260</v>
      </c>
      <c r="AK153" s="3">
        <v>16.36</v>
      </c>
      <c r="AL153" s="61">
        <v>84.472049689440993</v>
      </c>
      <c r="AM153" s="61">
        <v>52.307692307692314</v>
      </c>
      <c r="AO153" s="10">
        <v>80.000000000000028</v>
      </c>
      <c r="AP153" s="10">
        <v>121.99999999999997</v>
      </c>
      <c r="AQ153" s="52">
        <v>80.3</v>
      </c>
      <c r="BG153" s="10">
        <v>179</v>
      </c>
      <c r="BJ153" s="10">
        <v>267</v>
      </c>
      <c r="BK153" s="52">
        <v>101</v>
      </c>
      <c r="BM153" s="10">
        <v>29.999999999999972</v>
      </c>
      <c r="BN153" s="10">
        <v>45</v>
      </c>
      <c r="BO153" s="10">
        <v>74.999999999999972</v>
      </c>
      <c r="BS153" s="10">
        <v>5</v>
      </c>
      <c r="BT153" s="10">
        <v>10</v>
      </c>
      <c r="BV153" s="61">
        <v>7.4906367041198507</v>
      </c>
      <c r="BW153" s="61">
        <v>0.50936329588015394</v>
      </c>
      <c r="BZ153" s="61">
        <v>10.674157303370785</v>
      </c>
      <c r="CA153" s="10">
        <v>0</v>
      </c>
      <c r="CB153" s="52">
        <v>101.1</v>
      </c>
      <c r="CG153" s="10">
        <v>2304</v>
      </c>
      <c r="CI153" s="10">
        <v>9.9999999999999645</v>
      </c>
      <c r="CJ153" s="10">
        <v>9.9999999999999645</v>
      </c>
      <c r="CK153" s="3">
        <v>-3.5527136788005009E-14</v>
      </c>
      <c r="CM153" s="3">
        <v>0.53333333333333333</v>
      </c>
      <c r="CN153" s="10">
        <v>50.999999999999979</v>
      </c>
      <c r="CO153" s="52">
        <v>10.5</v>
      </c>
      <c r="CP153" s="52">
        <v>3.4</v>
      </c>
      <c r="CQ153" s="3">
        <v>14.912280701754385</v>
      </c>
      <c r="CS153" s="10">
        <v>228</v>
      </c>
      <c r="CT153" s="10">
        <v>213.99999999999997</v>
      </c>
      <c r="CU153" s="59">
        <v>2.9999999999999716</v>
      </c>
      <c r="CV153" s="10">
        <v>343.99999999999989</v>
      </c>
      <c r="CW153" s="10">
        <v>13.000000000000114</v>
      </c>
      <c r="CX153" s="60">
        <v>210.93632958801595</v>
      </c>
      <c r="CY153" s="3">
        <v>17.880000000000003</v>
      </c>
      <c r="CZ153" s="3">
        <v>5.27</v>
      </c>
      <c r="DC153" s="24">
        <v>45820.075694444444</v>
      </c>
      <c r="DD153" s="24">
        <v>45820.128472222219</v>
      </c>
      <c r="DG153" s="24">
        <v>45820</v>
      </c>
      <c r="DJ153" s="58">
        <v>45820</v>
      </c>
    </row>
    <row r="154" spans="2:114" x14ac:dyDescent="0.25">
      <c r="B154" s="1">
        <v>10262</v>
      </c>
      <c r="C154" s="12">
        <v>45820</v>
      </c>
      <c r="D154" s="2">
        <v>0.28472222222222221</v>
      </c>
      <c r="E154" s="2">
        <v>0.52847222222222212</v>
      </c>
      <c r="F154" s="61">
        <v>12.781531531531531</v>
      </c>
      <c r="G154" s="10">
        <v>17.000000000000021</v>
      </c>
      <c r="H154" s="61">
        <v>2.7458811782326507</v>
      </c>
      <c r="I154" s="52">
        <v>79.7</v>
      </c>
      <c r="J154" s="10">
        <v>9.9999999999999645</v>
      </c>
      <c r="L154" s="10">
        <v>4.9999999999999822</v>
      </c>
      <c r="N154" s="10">
        <v>62.000000000000021</v>
      </c>
      <c r="O154" s="10">
        <v>24.999999999999993</v>
      </c>
      <c r="P154" s="10">
        <v>46.1</v>
      </c>
      <c r="Q154" s="61">
        <v>2.3882113821138211</v>
      </c>
      <c r="R154" s="52">
        <v>46.4</v>
      </c>
      <c r="S154" s="10">
        <v>10.000000000000044</v>
      </c>
      <c r="T154" s="52">
        <v>64.7</v>
      </c>
      <c r="U154" s="10">
        <v>0</v>
      </c>
      <c r="V154" s="52">
        <v>65.099999999999994</v>
      </c>
      <c r="W154" s="10">
        <v>40.000000000000014</v>
      </c>
      <c r="AA154" s="10">
        <v>105.99999999999994</v>
      </c>
      <c r="AB154" s="10">
        <v>8.0000000000001315</v>
      </c>
      <c r="AC154" s="52">
        <v>7.8</v>
      </c>
      <c r="AD154" s="3">
        <v>23.11</v>
      </c>
      <c r="AE154" s="3">
        <v>2.44</v>
      </c>
      <c r="AF154" s="3">
        <v>0.66</v>
      </c>
      <c r="AG154" s="10">
        <v>89</v>
      </c>
      <c r="AH154" s="10">
        <v>1</v>
      </c>
      <c r="AI154" s="10">
        <v>136</v>
      </c>
      <c r="AJ154" s="10">
        <v>260</v>
      </c>
      <c r="AK154" s="3">
        <v>16.57</v>
      </c>
      <c r="AL154" s="61">
        <v>84.472049689440993</v>
      </c>
      <c r="AM154" s="61">
        <v>52.307692307692314</v>
      </c>
      <c r="AO154" s="10">
        <v>80.999999999999943</v>
      </c>
      <c r="AP154" s="10">
        <v>123.00000000000004</v>
      </c>
      <c r="AQ154" s="52">
        <v>79.8</v>
      </c>
      <c r="BG154" s="10">
        <v>178</v>
      </c>
      <c r="BJ154" s="10">
        <v>267</v>
      </c>
      <c r="BK154" s="52">
        <v>101</v>
      </c>
      <c r="BM154" s="10">
        <v>29.999999999999972</v>
      </c>
      <c r="BN154" s="10">
        <v>45</v>
      </c>
      <c r="BO154" s="10">
        <v>74.999999999999972</v>
      </c>
      <c r="BS154" s="10">
        <v>5</v>
      </c>
      <c r="BT154" s="10">
        <v>10</v>
      </c>
      <c r="BV154" s="61">
        <v>7.4906367041198507</v>
      </c>
      <c r="BW154" s="61">
        <v>0.50936329588015394</v>
      </c>
      <c r="BZ154" s="61">
        <v>9.1760299625468171</v>
      </c>
      <c r="CA154" s="10">
        <v>0</v>
      </c>
      <c r="CB154" s="52">
        <v>100.9</v>
      </c>
      <c r="CG154" s="10">
        <v>2417</v>
      </c>
      <c r="CI154" s="10">
        <v>9.9999999999999645</v>
      </c>
      <c r="CJ154" s="10">
        <v>9.9999999999999645</v>
      </c>
      <c r="CK154" s="3">
        <v>-3.5527136788005009E-14</v>
      </c>
      <c r="CM154" s="3">
        <v>0.5241379310344827</v>
      </c>
      <c r="CN154" s="10">
        <v>51.999999999999972</v>
      </c>
      <c r="CO154" s="52">
        <v>10.3</v>
      </c>
      <c r="CP154" s="52">
        <v>3.5</v>
      </c>
      <c r="CQ154" s="3">
        <v>15.086206896551724</v>
      </c>
      <c r="CS154" s="10">
        <v>232</v>
      </c>
      <c r="CT154" s="10">
        <v>219.99999999999977</v>
      </c>
      <c r="CU154" s="59">
        <v>8.9999999999997726</v>
      </c>
      <c r="CV154" s="10">
        <v>350.99999999999989</v>
      </c>
      <c r="CW154" s="10">
        <v>6.0000000000001386</v>
      </c>
      <c r="CX154" s="60">
        <v>150.93632958801766</v>
      </c>
      <c r="CY154" s="3">
        <v>18</v>
      </c>
      <c r="CZ154" s="3">
        <v>5.26</v>
      </c>
      <c r="DC154" s="24">
        <v>45820.17291666667</v>
      </c>
      <c r="DD154" s="24">
        <v>45820.222916666666</v>
      </c>
      <c r="DG154" s="24">
        <v>45821</v>
      </c>
      <c r="DJ154" s="58">
        <v>45821</v>
      </c>
    </row>
    <row r="155" spans="2:114" x14ac:dyDescent="0.25">
      <c r="B155" s="1">
        <v>10263</v>
      </c>
      <c r="C155" s="12">
        <v>45820</v>
      </c>
      <c r="D155" s="2">
        <v>0.3923611111111111</v>
      </c>
      <c r="E155" s="2">
        <v>0.64444444444444438</v>
      </c>
      <c r="F155" s="61">
        <v>12.836676217765042</v>
      </c>
      <c r="G155" s="10">
        <v>20.000000000000007</v>
      </c>
      <c r="H155" s="61">
        <v>2.8440832910106653</v>
      </c>
      <c r="I155" s="52">
        <v>79.599999999999994</v>
      </c>
      <c r="J155" s="10">
        <v>9.9999999999999645</v>
      </c>
      <c r="L155" s="10">
        <v>6.0000000000000586</v>
      </c>
      <c r="N155" s="10">
        <v>61.999999999999943</v>
      </c>
      <c r="O155" s="10">
        <v>24.999999999999993</v>
      </c>
      <c r="P155" s="10">
        <v>46</v>
      </c>
      <c r="Q155" s="61">
        <v>2.4170737978914887</v>
      </c>
      <c r="R155" s="52">
        <v>46.4</v>
      </c>
      <c r="S155" s="10">
        <v>10.000000000000044</v>
      </c>
      <c r="T155" s="52">
        <v>65</v>
      </c>
      <c r="U155" s="10">
        <v>0</v>
      </c>
      <c r="V155" s="52">
        <v>65.3</v>
      </c>
      <c r="W155" s="10">
        <v>35.000000000000036</v>
      </c>
      <c r="Z155" s="52">
        <v>71.599999999999994</v>
      </c>
      <c r="AA155" s="10">
        <v>103.99999999999994</v>
      </c>
      <c r="AB155" s="10">
        <v>8.0000000000000515</v>
      </c>
      <c r="AC155" s="52">
        <v>10.1</v>
      </c>
      <c r="AD155" s="3">
        <v>22.14</v>
      </c>
      <c r="AE155" s="3">
        <v>2.31</v>
      </c>
      <c r="AF155" s="3">
        <v>0.54</v>
      </c>
      <c r="AG155" s="10">
        <v>89</v>
      </c>
      <c r="AH155" s="10">
        <v>1</v>
      </c>
      <c r="AI155" s="10">
        <v>136</v>
      </c>
      <c r="AJ155" s="10">
        <v>259</v>
      </c>
      <c r="AK155" s="3">
        <v>16.59</v>
      </c>
      <c r="AL155" s="61">
        <v>83.950617283950606</v>
      </c>
      <c r="AM155" s="61">
        <v>52.509652509652504</v>
      </c>
      <c r="AO155" s="10">
        <v>82.999999999999943</v>
      </c>
      <c r="AP155" s="10">
        <v>125.00000000000003</v>
      </c>
      <c r="AQ155" s="52">
        <v>80.3</v>
      </c>
      <c r="BG155" s="10">
        <v>178</v>
      </c>
      <c r="BJ155" s="10">
        <v>266</v>
      </c>
      <c r="BK155" s="52">
        <v>101.1</v>
      </c>
      <c r="BM155" s="10">
        <v>30.000000000000053</v>
      </c>
      <c r="BN155" s="10">
        <v>45</v>
      </c>
      <c r="BO155" s="10">
        <v>75.000000000000057</v>
      </c>
      <c r="BS155" s="10">
        <v>5</v>
      </c>
      <c r="BT155" s="10">
        <v>10</v>
      </c>
      <c r="BV155" s="61">
        <v>7.8947368421052628</v>
      </c>
      <c r="BW155" s="61">
        <v>0.10526315789473467</v>
      </c>
      <c r="BZ155" s="61">
        <v>9.9624060150375939</v>
      </c>
      <c r="CA155" s="10">
        <v>0</v>
      </c>
      <c r="CB155" s="52">
        <v>101.1</v>
      </c>
      <c r="CG155" s="10">
        <v>2411</v>
      </c>
      <c r="CI155" s="10">
        <v>9.9999999999999645</v>
      </c>
      <c r="CJ155" s="10">
        <v>9.9999999999999645</v>
      </c>
      <c r="CK155" s="3">
        <v>-3.5527136788005009E-14</v>
      </c>
      <c r="CM155" s="3">
        <v>0.53100436681222707</v>
      </c>
      <c r="CN155" s="10">
        <v>50.999999999999979</v>
      </c>
      <c r="CO155" s="52">
        <v>10.5</v>
      </c>
      <c r="CP155" s="52">
        <v>3.3</v>
      </c>
      <c r="CQ155" s="3">
        <v>14.410480349344978</v>
      </c>
      <c r="CS155" s="10">
        <v>229</v>
      </c>
      <c r="CT155" s="10">
        <v>230.99999999999989</v>
      </c>
      <c r="CU155" s="59">
        <v>19.999999999999886</v>
      </c>
      <c r="CV155" s="10">
        <v>362.99999999999994</v>
      </c>
      <c r="CW155" s="10">
        <v>5.9999999999999254</v>
      </c>
      <c r="CX155" s="60">
        <v>20.526315789472598</v>
      </c>
      <c r="CY155" s="3">
        <v>18.239999999999998</v>
      </c>
      <c r="CZ155" s="3">
        <v>5.27</v>
      </c>
      <c r="DC155" s="24">
        <v>45820.274305555555</v>
      </c>
      <c r="DD155" s="24">
        <v>45820.321527777778</v>
      </c>
      <c r="DG155" s="24">
        <v>45821</v>
      </c>
      <c r="DJ155" s="58">
        <v>45821</v>
      </c>
    </row>
    <row r="156" spans="2:114" x14ac:dyDescent="0.25">
      <c r="B156" s="1">
        <v>10264</v>
      </c>
      <c r="C156" s="12">
        <v>45820</v>
      </c>
      <c r="D156" s="2">
        <v>0.51944444444444449</v>
      </c>
      <c r="E156" s="2">
        <v>0.76666666666666661</v>
      </c>
      <c r="F156" s="61">
        <v>12.682379349046016</v>
      </c>
      <c r="G156" s="10">
        <v>17.999999999999936</v>
      </c>
      <c r="H156" s="61">
        <v>2.739043824701195</v>
      </c>
      <c r="I156" s="52">
        <v>79.599999999999994</v>
      </c>
      <c r="J156" s="10">
        <v>9.9999999999999645</v>
      </c>
      <c r="L156" s="10">
        <v>4.9999999999999822</v>
      </c>
      <c r="N156" s="10">
        <v>63.999999999999929</v>
      </c>
      <c r="O156" s="10">
        <v>23.999999999999915</v>
      </c>
      <c r="P156" s="10">
        <v>46.1</v>
      </c>
      <c r="Q156" s="61">
        <v>2.3936847466259228</v>
      </c>
      <c r="R156" s="52">
        <v>46</v>
      </c>
      <c r="S156" s="10">
        <v>10.000000000000124</v>
      </c>
      <c r="T156" s="52">
        <v>64.599999999999994</v>
      </c>
      <c r="U156" s="10">
        <v>0</v>
      </c>
      <c r="V156" s="52">
        <v>65.099999999999994</v>
      </c>
      <c r="W156" s="10">
        <v>35.000000000000036</v>
      </c>
      <c r="Z156" s="52">
        <v>71.8</v>
      </c>
      <c r="AA156" s="10">
        <v>109.99999999999993</v>
      </c>
      <c r="AB156" s="10">
        <v>7.9999999999999716</v>
      </c>
      <c r="AC156" s="52">
        <v>11.7</v>
      </c>
      <c r="AD156" s="3">
        <v>22.5</v>
      </c>
      <c r="AE156" s="3">
        <v>2.14</v>
      </c>
      <c r="AF156" s="3">
        <v>0.31</v>
      </c>
      <c r="AG156" s="10">
        <v>89</v>
      </c>
      <c r="AH156" s="10">
        <v>1</v>
      </c>
      <c r="AI156" s="10">
        <v>136</v>
      </c>
      <c r="AJ156" s="10">
        <v>259</v>
      </c>
      <c r="AK156" s="3">
        <v>16.489999999999998</v>
      </c>
      <c r="AL156" s="61">
        <v>84.472049689440993</v>
      </c>
      <c r="AM156" s="61">
        <v>52.509652509652504</v>
      </c>
      <c r="AO156" s="10">
        <v>81.000000000000028</v>
      </c>
      <c r="AP156" s="10">
        <v>126.00000000000003</v>
      </c>
      <c r="AQ156" s="52">
        <v>80</v>
      </c>
      <c r="BG156" s="10">
        <v>180</v>
      </c>
      <c r="BJ156" s="10">
        <v>266</v>
      </c>
      <c r="BK156" s="52">
        <v>100.8</v>
      </c>
      <c r="BM156" s="10">
        <v>30.000000000000053</v>
      </c>
      <c r="BN156" s="10">
        <v>45</v>
      </c>
      <c r="BO156" s="10">
        <v>75.000000000000057</v>
      </c>
      <c r="BS156" s="10">
        <v>5</v>
      </c>
      <c r="BT156" s="10">
        <v>10</v>
      </c>
      <c r="BV156" s="61">
        <v>7.8947368421052628</v>
      </c>
      <c r="BW156" s="61">
        <v>0.10526315789473467</v>
      </c>
      <c r="BZ156" s="61">
        <v>9.2105263157894726</v>
      </c>
      <c r="CA156" s="10">
        <v>0</v>
      </c>
      <c r="CB156" s="52">
        <v>101</v>
      </c>
      <c r="CG156" s="10">
        <v>2531</v>
      </c>
      <c r="CI156" s="10">
        <v>9.9999999999999645</v>
      </c>
      <c r="CJ156" s="10">
        <v>9.9999999999999645</v>
      </c>
      <c r="CK156" s="3">
        <v>-3.5527136788005009E-14</v>
      </c>
      <c r="CM156" s="3">
        <v>0.52640692640692643</v>
      </c>
      <c r="CN156" s="10">
        <v>51.999999999999972</v>
      </c>
      <c r="CO156" s="52">
        <v>10.5</v>
      </c>
      <c r="CP156" s="52">
        <v>3.2</v>
      </c>
      <c r="CQ156" s="3">
        <v>13.852813852813853</v>
      </c>
      <c r="CS156" s="10">
        <v>231</v>
      </c>
      <c r="CT156" s="10">
        <v>220.00000000000003</v>
      </c>
      <c r="CU156" s="59">
        <v>9.0000000000000284</v>
      </c>
      <c r="CV156" s="10">
        <v>355.99999999999983</v>
      </c>
      <c r="CW156" s="10">
        <v>1.0000000000001563</v>
      </c>
      <c r="CX156" s="60">
        <v>110.52631578947316</v>
      </c>
      <c r="CY156" s="3">
        <v>17.87</v>
      </c>
      <c r="CZ156" s="3">
        <v>5.26</v>
      </c>
      <c r="DC156" s="24">
        <v>45820.375694444447</v>
      </c>
      <c r="DD156" s="24">
        <v>45820.426388888889</v>
      </c>
      <c r="DG156" s="24">
        <v>45821</v>
      </c>
      <c r="DJ156" s="58">
        <v>45821</v>
      </c>
    </row>
    <row r="157" spans="2:114" x14ac:dyDescent="0.25">
      <c r="B157" s="1">
        <v>10265</v>
      </c>
      <c r="C157" s="12">
        <v>45820</v>
      </c>
      <c r="D157" s="2">
        <v>0.61805555555555558</v>
      </c>
      <c r="E157" s="2">
        <v>0.85624999999999996</v>
      </c>
      <c r="F157" s="61">
        <v>13.011363636363637</v>
      </c>
      <c r="G157" s="10">
        <v>16.99999999999994</v>
      </c>
      <c r="H157" s="61">
        <v>2.7652086475615887</v>
      </c>
      <c r="I157" s="52">
        <v>79.5</v>
      </c>
      <c r="J157" s="10">
        <v>9.9999999999999645</v>
      </c>
      <c r="L157" s="10">
        <v>7.9999999999999716</v>
      </c>
      <c r="N157" s="10">
        <v>61.999999999999943</v>
      </c>
      <c r="O157" s="10">
        <v>26.000000000000068</v>
      </c>
      <c r="P157" s="10">
        <v>45.9</v>
      </c>
      <c r="Q157" s="61">
        <v>2.5063938618925832</v>
      </c>
      <c r="R157" s="52">
        <v>46.5</v>
      </c>
      <c r="S157" s="10">
        <v>9.9999999999999645</v>
      </c>
      <c r="T157" s="52">
        <v>64.3</v>
      </c>
      <c r="U157" s="10">
        <v>0</v>
      </c>
      <c r="V157" s="52">
        <v>65.3</v>
      </c>
      <c r="W157" s="10">
        <v>35.000000000000036</v>
      </c>
      <c r="Z157" s="52">
        <v>71.8</v>
      </c>
      <c r="AA157" s="10">
        <v>105.99999999999994</v>
      </c>
      <c r="AB157" s="10">
        <v>6.0000000000001386</v>
      </c>
      <c r="AC157" s="52">
        <v>13.5</v>
      </c>
      <c r="AD157" s="3">
        <v>22.05</v>
      </c>
      <c r="AE157" s="3">
        <v>2.48</v>
      </c>
      <c r="AF157" s="3">
        <v>1.01</v>
      </c>
      <c r="AG157" s="10">
        <v>90</v>
      </c>
      <c r="AH157" s="10">
        <v>1</v>
      </c>
      <c r="AI157" s="10">
        <v>140</v>
      </c>
      <c r="AJ157" s="10">
        <v>260</v>
      </c>
      <c r="AK157" s="3">
        <v>16.36</v>
      </c>
      <c r="AL157" s="61">
        <v>84.848484848484844</v>
      </c>
      <c r="AM157" s="61">
        <v>53.846153846153847</v>
      </c>
      <c r="AO157" s="10">
        <v>82.000000000000028</v>
      </c>
      <c r="AP157" s="10">
        <v>121.00000000000006</v>
      </c>
      <c r="AQ157" s="52">
        <v>79.7</v>
      </c>
      <c r="BG157" s="10">
        <v>180</v>
      </c>
      <c r="BJ157" s="10">
        <v>266</v>
      </c>
      <c r="BK157" s="52">
        <v>100.9</v>
      </c>
      <c r="BM157" s="10">
        <v>30.000000000000053</v>
      </c>
      <c r="BN157" s="10">
        <v>45</v>
      </c>
      <c r="BO157" s="10">
        <v>75.000000000000057</v>
      </c>
      <c r="BS157" s="10">
        <v>5</v>
      </c>
      <c r="BT157" s="10">
        <v>10</v>
      </c>
      <c r="BV157" s="61">
        <v>8.2706766917293226</v>
      </c>
      <c r="BW157" s="61">
        <v>0.27067669172932823</v>
      </c>
      <c r="BZ157" s="61">
        <v>11.090225563909774</v>
      </c>
      <c r="CA157" s="10">
        <v>0</v>
      </c>
      <c r="CB157" s="52">
        <v>101.1</v>
      </c>
      <c r="CG157" s="10">
        <v>2360</v>
      </c>
      <c r="CI157" s="10">
        <v>9.9999999999999645</v>
      </c>
      <c r="CJ157" s="10">
        <v>9.9999999999999645</v>
      </c>
      <c r="CK157" s="3">
        <v>-3.5527136788005009E-14</v>
      </c>
      <c r="CM157" s="3">
        <v>0.53805309734513274</v>
      </c>
      <c r="CN157" s="10">
        <v>49.999999999999986</v>
      </c>
      <c r="CO157" s="52">
        <v>10.5</v>
      </c>
      <c r="CP157" s="52">
        <v>3.2</v>
      </c>
      <c r="CQ157" s="3">
        <v>14.159292035398231</v>
      </c>
      <c r="CS157" s="10">
        <v>226</v>
      </c>
      <c r="CT157" s="10">
        <v>213.99999999999989</v>
      </c>
      <c r="CU157" s="59">
        <v>2.9999999999998863</v>
      </c>
      <c r="CV157" s="10">
        <v>342.99999999999989</v>
      </c>
      <c r="CW157" s="10">
        <v>14.00000000000011</v>
      </c>
      <c r="CX157" s="60">
        <v>187.06766917293422</v>
      </c>
      <c r="CY157" s="3">
        <v>18.16</v>
      </c>
      <c r="CZ157" s="3">
        <v>5.26</v>
      </c>
      <c r="DC157" s="24">
        <v>45820.484027777777</v>
      </c>
      <c r="DD157" s="24">
        <v>45820.543055555558</v>
      </c>
      <c r="DG157" s="24">
        <v>45821</v>
      </c>
      <c r="DJ157" s="58">
        <v>45821</v>
      </c>
    </row>
    <row r="158" spans="2:114" x14ac:dyDescent="0.25">
      <c r="B158" s="1">
        <v>10266</v>
      </c>
      <c r="C158" s="12">
        <v>45820</v>
      </c>
      <c r="D158" s="2">
        <v>0.71875</v>
      </c>
      <c r="E158" s="2">
        <v>0.9638888888888888</v>
      </c>
      <c r="F158" s="61">
        <v>12.0600115406809</v>
      </c>
      <c r="G158" s="10">
        <v>17.000000000000099</v>
      </c>
      <c r="H158" s="61">
        <v>2.8321318228630279</v>
      </c>
      <c r="I158" s="52">
        <v>79.7</v>
      </c>
      <c r="J158" s="10">
        <v>9.9999999999999645</v>
      </c>
      <c r="L158" s="10">
        <v>6.9999999999999751</v>
      </c>
      <c r="N158" s="10">
        <v>63.000000000000099</v>
      </c>
      <c r="O158" s="10">
        <v>25.999999999999748</v>
      </c>
      <c r="P158" s="10">
        <v>46.5</v>
      </c>
      <c r="Q158" s="61">
        <v>2.4071702944942381</v>
      </c>
      <c r="R158" s="52">
        <v>46</v>
      </c>
      <c r="S158" s="10">
        <v>10.000000000000124</v>
      </c>
      <c r="T158" s="52">
        <v>64.5</v>
      </c>
      <c r="U158" s="10">
        <v>0</v>
      </c>
      <c r="V158" s="52">
        <v>65.3</v>
      </c>
      <c r="W158" s="10">
        <v>35.000000000000036</v>
      </c>
      <c r="Z158" s="52">
        <v>71.7</v>
      </c>
      <c r="AA158" s="10">
        <v>107.99999999999977</v>
      </c>
      <c r="AB158" s="10">
        <v>7.000000000000135</v>
      </c>
      <c r="AC158" s="52">
        <v>15.6</v>
      </c>
      <c r="AD158" s="3">
        <v>22.4</v>
      </c>
      <c r="AE158" s="3">
        <v>4.28</v>
      </c>
      <c r="AF158" s="3">
        <v>0.43</v>
      </c>
      <c r="AG158" s="10">
        <v>90</v>
      </c>
      <c r="AH158" s="10">
        <v>1</v>
      </c>
      <c r="AI158" s="10">
        <v>136</v>
      </c>
      <c r="AJ158" s="10">
        <v>259</v>
      </c>
      <c r="AK158" s="3">
        <v>16.420000000000002</v>
      </c>
      <c r="AL158" s="61">
        <v>84.472049689440993</v>
      </c>
      <c r="AM158" s="61">
        <v>52.509652509652504</v>
      </c>
      <c r="AO158" s="10">
        <v>82.000000000000028</v>
      </c>
      <c r="AP158" s="10">
        <v>122.00000000000004</v>
      </c>
      <c r="AQ158" s="52">
        <v>79.900000000000006</v>
      </c>
      <c r="BG158" s="10">
        <v>180</v>
      </c>
      <c r="BJ158" s="10">
        <v>267</v>
      </c>
      <c r="BK158" s="52">
        <v>100.9</v>
      </c>
      <c r="BM158" s="10">
        <v>30.000000000000053</v>
      </c>
      <c r="BN158" s="10">
        <v>45</v>
      </c>
      <c r="BO158" s="10">
        <v>75.000000000000057</v>
      </c>
      <c r="BS158" s="10">
        <v>5</v>
      </c>
      <c r="BT158" s="10">
        <v>10</v>
      </c>
      <c r="BV158" s="61">
        <v>8.239700374531834</v>
      </c>
      <c r="BW158" s="61">
        <v>0.23970037453183296</v>
      </c>
      <c r="BZ158" s="61">
        <v>9.9250936329588022</v>
      </c>
      <c r="CA158" s="10">
        <v>0</v>
      </c>
      <c r="CB158" s="52">
        <v>101</v>
      </c>
      <c r="CG158" s="10">
        <v>2377</v>
      </c>
      <c r="CI158" s="10">
        <v>9.9999999999999645</v>
      </c>
      <c r="CJ158" s="10">
        <v>9.9999999999999645</v>
      </c>
      <c r="CK158" s="3">
        <v>-3.5527136788005009E-14</v>
      </c>
      <c r="CM158" s="3">
        <v>0.52869565217391301</v>
      </c>
      <c r="CN158" s="10">
        <v>50.999999999999979</v>
      </c>
      <c r="CO158" s="52">
        <v>10.5</v>
      </c>
      <c r="CP158" s="52">
        <v>3.3</v>
      </c>
      <c r="CQ158" s="3">
        <v>14.347826086956522</v>
      </c>
      <c r="CS158" s="10">
        <v>230</v>
      </c>
      <c r="CT158" s="10">
        <v>220.99999999999986</v>
      </c>
      <c r="CU158" s="59">
        <v>9.9999999999998579</v>
      </c>
      <c r="CV158" s="10">
        <v>352.99999999999989</v>
      </c>
      <c r="CW158" s="10">
        <v>4.0000000000001457</v>
      </c>
      <c r="CX158" s="60">
        <v>113.97003745318493</v>
      </c>
      <c r="CY158" s="3">
        <v>18.149999999999999</v>
      </c>
      <c r="CZ158" s="3">
        <v>5.27</v>
      </c>
      <c r="DC158" s="24">
        <v>45820.613888888889</v>
      </c>
      <c r="DD158" s="24">
        <v>45820.664583333331</v>
      </c>
      <c r="DG158" s="24">
        <v>45821</v>
      </c>
      <c r="DJ158" s="58">
        <v>45821</v>
      </c>
    </row>
    <row r="159" spans="2:114" x14ac:dyDescent="0.25">
      <c r="B159" s="1">
        <v>10267</v>
      </c>
      <c r="C159" s="12">
        <v>45820</v>
      </c>
      <c r="D159" s="2">
        <v>0.81944444444444453</v>
      </c>
      <c r="E159" s="2">
        <v>1.0631944444444446</v>
      </c>
      <c r="F159" s="61">
        <v>13.553329404832057</v>
      </c>
      <c r="G159" s="10">
        <v>16.99999999999978</v>
      </c>
      <c r="H159" s="61">
        <v>2.8541774779449924</v>
      </c>
      <c r="I159" s="52">
        <v>79.8</v>
      </c>
      <c r="J159" s="10">
        <v>9.9999999999999645</v>
      </c>
      <c r="L159" s="10">
        <v>5.9999999999998188</v>
      </c>
      <c r="N159" s="10">
        <v>59.999999999999943</v>
      </c>
      <c r="O159" s="10">
        <v>24.000000000000234</v>
      </c>
      <c r="P159" s="10">
        <v>45.8</v>
      </c>
      <c r="Q159" s="61">
        <v>2.4096385542168677</v>
      </c>
      <c r="R159" s="52">
        <v>45.8</v>
      </c>
      <c r="S159" s="10">
        <v>9.9999999999998046</v>
      </c>
      <c r="T159" s="52">
        <v>64.5</v>
      </c>
      <c r="U159" s="10">
        <v>0</v>
      </c>
      <c r="V159" s="52">
        <v>65.3</v>
      </c>
      <c r="W159" s="10">
        <v>35.000000000000036</v>
      </c>
      <c r="Z159" s="52">
        <v>71.7</v>
      </c>
      <c r="AA159" s="10">
        <v>104.00000000000011</v>
      </c>
      <c r="AB159" s="10">
        <v>7.9999999999999716</v>
      </c>
      <c r="AC159" s="52">
        <v>9</v>
      </c>
      <c r="AD159" s="3">
        <v>22.52</v>
      </c>
      <c r="AE159" s="3">
        <v>2.35</v>
      </c>
      <c r="AF159" s="3">
        <v>0.35</v>
      </c>
      <c r="AG159" s="10">
        <v>90</v>
      </c>
      <c r="AH159" s="10">
        <v>1</v>
      </c>
      <c r="AI159" s="10">
        <v>136</v>
      </c>
      <c r="AJ159" s="10">
        <v>259</v>
      </c>
      <c r="AK159" s="3">
        <v>16.36</v>
      </c>
      <c r="AL159" s="61">
        <v>84.472049689440993</v>
      </c>
      <c r="AM159" s="61">
        <v>52.509652509652504</v>
      </c>
      <c r="AO159" s="10">
        <v>85.000000000000014</v>
      </c>
      <c r="AP159" s="10">
        <v>126.00000000000003</v>
      </c>
      <c r="AQ159" s="52">
        <v>79.7</v>
      </c>
      <c r="BG159" s="10">
        <v>179</v>
      </c>
      <c r="BJ159" s="10">
        <v>266</v>
      </c>
      <c r="BK159" s="52">
        <v>100.9</v>
      </c>
      <c r="BM159" s="10">
        <v>30.000000000000053</v>
      </c>
      <c r="BN159" s="10">
        <v>45</v>
      </c>
      <c r="BO159" s="10">
        <v>75.000000000000057</v>
      </c>
      <c r="BS159" s="10">
        <v>5</v>
      </c>
      <c r="BT159" s="10">
        <v>10</v>
      </c>
      <c r="BV159" s="61">
        <v>7.8947368421052628</v>
      </c>
      <c r="BW159" s="61">
        <v>0.10526315789473467</v>
      </c>
      <c r="BZ159" s="61">
        <v>9.2105263157894726</v>
      </c>
      <c r="CA159" s="10">
        <v>0</v>
      </c>
      <c r="CB159" s="52">
        <v>101.1</v>
      </c>
      <c r="CG159" s="10">
        <v>2412</v>
      </c>
      <c r="CI159" s="10">
        <v>9.9999999999999645</v>
      </c>
      <c r="CJ159" s="10">
        <v>9.9999999999999645</v>
      </c>
      <c r="CK159" s="3">
        <v>-3.5527136788005009E-14</v>
      </c>
      <c r="CM159" s="3">
        <v>0.52640692640692643</v>
      </c>
      <c r="CN159" s="10">
        <v>52.000000000000135</v>
      </c>
      <c r="CO159" s="52">
        <v>10.5</v>
      </c>
      <c r="CP159" s="52">
        <v>3.3</v>
      </c>
      <c r="CQ159" s="3">
        <v>14.285714285714286</v>
      </c>
      <c r="CS159" s="10">
        <v>231</v>
      </c>
      <c r="CT159" s="10">
        <v>222.00000000000017</v>
      </c>
      <c r="CU159" s="59">
        <v>11.000000000000171</v>
      </c>
      <c r="CV159" s="10">
        <v>351.00000000000006</v>
      </c>
      <c r="CW159" s="10">
        <v>5.9999999999999787</v>
      </c>
      <c r="CX159" s="60">
        <v>90.526315789471738</v>
      </c>
      <c r="CY159" s="3">
        <v>18</v>
      </c>
      <c r="CZ159" s="3">
        <v>5.28</v>
      </c>
      <c r="DC159" s="24">
        <v>45820.707638888889</v>
      </c>
      <c r="DD159" s="24">
        <v>45820.755555555559</v>
      </c>
      <c r="DG159" s="24">
        <v>45821</v>
      </c>
      <c r="DJ159" s="58">
        <v>45821</v>
      </c>
    </row>
    <row r="160" spans="2:114" x14ac:dyDescent="0.25">
      <c r="B160" s="1">
        <v>10268</v>
      </c>
      <c r="C160" s="12">
        <v>45820</v>
      </c>
      <c r="D160" s="2">
        <v>0.92013888888888884</v>
      </c>
      <c r="E160" s="2">
        <v>0.17430555555555555</v>
      </c>
      <c r="F160" s="61">
        <v>13.418903150525088</v>
      </c>
      <c r="G160" s="10">
        <v>13.000000000000114</v>
      </c>
      <c r="H160" s="61">
        <v>2.8292181069958846</v>
      </c>
      <c r="I160" s="52">
        <v>79.8</v>
      </c>
      <c r="J160" s="10">
        <v>9.9999999999999645</v>
      </c>
      <c r="L160" s="10">
        <v>5.0000000000001421</v>
      </c>
      <c r="N160" s="10">
        <v>64.000000000000085</v>
      </c>
      <c r="O160" s="10">
        <v>24.999999999999911</v>
      </c>
      <c r="P160" s="10">
        <v>46.2</v>
      </c>
      <c r="Q160" s="61">
        <v>2.4071702944942381</v>
      </c>
      <c r="R160" s="52">
        <v>46.2</v>
      </c>
      <c r="S160" s="10">
        <v>10.000000000000124</v>
      </c>
      <c r="T160" s="52">
        <v>64</v>
      </c>
      <c r="U160" s="10">
        <v>8</v>
      </c>
      <c r="V160" s="52">
        <v>65.8</v>
      </c>
      <c r="W160" s="10">
        <v>35.000000000000036</v>
      </c>
      <c r="Z160" s="52">
        <v>72</v>
      </c>
      <c r="AA160" s="10">
        <v>115.99999999999991</v>
      </c>
      <c r="AB160" s="10">
        <v>8.9999999999999982</v>
      </c>
      <c r="AC160" s="52">
        <v>10</v>
      </c>
      <c r="AD160" s="3">
        <v>21.8</v>
      </c>
      <c r="AE160" s="3">
        <v>3</v>
      </c>
      <c r="AF160" s="3">
        <v>0.5</v>
      </c>
      <c r="AG160" s="10">
        <v>90</v>
      </c>
      <c r="AH160" s="10">
        <v>2</v>
      </c>
      <c r="AI160" s="10">
        <v>136</v>
      </c>
      <c r="AJ160" s="10">
        <v>259</v>
      </c>
      <c r="AK160" s="3">
        <v>16.489999999999998</v>
      </c>
      <c r="AL160" s="61">
        <v>84.472049689440993</v>
      </c>
      <c r="AM160" s="61">
        <v>52.509652509652504</v>
      </c>
      <c r="AO160" s="10">
        <v>89</v>
      </c>
      <c r="AP160" s="10">
        <v>131.99999999999997</v>
      </c>
      <c r="AQ160" s="52">
        <v>79.7</v>
      </c>
      <c r="BG160" s="10">
        <v>180</v>
      </c>
      <c r="BJ160" s="10">
        <v>266</v>
      </c>
      <c r="BK160" s="52">
        <v>101</v>
      </c>
      <c r="BM160" s="10">
        <v>29.999999999999993</v>
      </c>
      <c r="BN160" s="10">
        <v>45</v>
      </c>
      <c r="BO160" s="10">
        <v>75</v>
      </c>
      <c r="BS160" s="10">
        <v>5</v>
      </c>
      <c r="BT160" s="10">
        <v>10</v>
      </c>
      <c r="BV160" s="61">
        <v>7.8947368421052628</v>
      </c>
      <c r="BW160" s="61">
        <v>0.10526315789473467</v>
      </c>
      <c r="BZ160" s="61">
        <v>9.9624060150375939</v>
      </c>
      <c r="CA160" s="10">
        <v>0</v>
      </c>
      <c r="CB160" s="52">
        <v>100.9</v>
      </c>
      <c r="CG160" s="10">
        <v>2497</v>
      </c>
      <c r="CI160" s="10">
        <v>10.000000000000004</v>
      </c>
      <c r="CJ160" s="10">
        <v>10.000000000000004</v>
      </c>
      <c r="CK160" s="3">
        <v>0</v>
      </c>
      <c r="CM160" s="3">
        <v>0.53100436681222707</v>
      </c>
      <c r="CN160" s="10">
        <v>50.999999999999979</v>
      </c>
      <c r="CO160" s="52">
        <v>10.5</v>
      </c>
      <c r="CQ160" s="3">
        <v>0</v>
      </c>
      <c r="CS160" s="10">
        <v>229</v>
      </c>
      <c r="CT160" s="10">
        <v>228</v>
      </c>
      <c r="CU160" s="59">
        <v>17</v>
      </c>
      <c r="CV160" s="10">
        <v>366</v>
      </c>
      <c r="CW160" s="10">
        <v>8.999999999999968</v>
      </c>
      <c r="CX160" s="60">
        <v>30.52631578947345</v>
      </c>
      <c r="CY160" s="3">
        <v>17.91</v>
      </c>
      <c r="CZ160" s="3">
        <v>5.26</v>
      </c>
      <c r="DC160" s="24">
        <v>45820.810416666667</v>
      </c>
      <c r="DD160" s="24">
        <v>45820.862500000003</v>
      </c>
      <c r="DG160" s="24">
        <v>45821</v>
      </c>
      <c r="DJ160" s="58">
        <v>45821</v>
      </c>
    </row>
    <row r="161" spans="2:114" x14ac:dyDescent="0.25">
      <c r="B161" s="1">
        <v>10269</v>
      </c>
      <c r="C161" s="12">
        <v>45821</v>
      </c>
      <c r="D161" s="2">
        <v>3.125E-2</v>
      </c>
      <c r="E161" s="2">
        <v>0.27847222222222223</v>
      </c>
      <c r="F161" s="61">
        <v>13.016411997736277</v>
      </c>
      <c r="G161" s="10">
        <v>17.999999999999996</v>
      </c>
      <c r="H161" s="61">
        <v>2.7541311967951931</v>
      </c>
      <c r="I161" s="52">
        <v>79.8</v>
      </c>
      <c r="J161" s="10">
        <v>10.000000000000004</v>
      </c>
      <c r="L161" s="10">
        <v>4.0000000000000053</v>
      </c>
      <c r="N161" s="10">
        <v>61.999999999999993</v>
      </c>
      <c r="O161" s="10">
        <v>27.000000000000004</v>
      </c>
      <c r="P161" s="10">
        <v>45.9</v>
      </c>
      <c r="Q161" s="61">
        <v>2.4276859504132231</v>
      </c>
      <c r="R161" s="52">
        <v>46</v>
      </c>
      <c r="S161" s="10">
        <v>10.000000000000004</v>
      </c>
      <c r="T161" s="52">
        <v>64</v>
      </c>
      <c r="U161" s="10">
        <v>0</v>
      </c>
      <c r="V161" s="52">
        <v>65.3</v>
      </c>
      <c r="W161" s="10">
        <v>35.000000000000014</v>
      </c>
      <c r="Z161" s="52">
        <v>71.8</v>
      </c>
      <c r="AA161" s="10">
        <v>109.00000000000001</v>
      </c>
      <c r="AB161" s="10">
        <v>7.9999999999999911</v>
      </c>
      <c r="AC161" s="52">
        <v>9</v>
      </c>
      <c r="AD161" s="3">
        <v>22.2</v>
      </c>
      <c r="AE161" s="3">
        <v>2.4</v>
      </c>
      <c r="AF161" s="3">
        <v>0.43</v>
      </c>
      <c r="AG161" s="10">
        <v>90</v>
      </c>
      <c r="AH161" s="10">
        <v>1</v>
      </c>
      <c r="AI161" s="10">
        <v>136</v>
      </c>
      <c r="AJ161" s="10">
        <v>259</v>
      </c>
      <c r="AK161" s="3">
        <v>16.43</v>
      </c>
      <c r="AL161" s="61">
        <v>84.472049689440993</v>
      </c>
      <c r="AM161" s="61">
        <v>52.509652509652504</v>
      </c>
      <c r="AO161" s="10">
        <v>82</v>
      </c>
      <c r="AP161" s="10">
        <v>123.99999999999999</v>
      </c>
      <c r="AQ161" s="52">
        <v>79.8</v>
      </c>
      <c r="BG161" s="10">
        <v>181</v>
      </c>
      <c r="BJ161" s="10">
        <v>267</v>
      </c>
      <c r="BK161" s="52">
        <v>100.7</v>
      </c>
      <c r="BM161" s="10">
        <v>30.000000000000014</v>
      </c>
      <c r="BN161" s="10">
        <v>45</v>
      </c>
      <c r="BO161" s="10">
        <v>75.000000000000014</v>
      </c>
      <c r="BS161" s="10">
        <v>5</v>
      </c>
      <c r="BT161" s="10">
        <v>10</v>
      </c>
      <c r="BV161" s="61">
        <v>8.239700374531834</v>
      </c>
      <c r="BW161" s="61">
        <v>0.23970037453183296</v>
      </c>
      <c r="BZ161" s="61">
        <v>9.1760299625468171</v>
      </c>
      <c r="CA161" s="10">
        <v>0</v>
      </c>
      <c r="CB161" s="52">
        <v>100.9</v>
      </c>
      <c r="CG161" s="10">
        <v>2355</v>
      </c>
      <c r="CI161" s="10">
        <v>10.000000000000004</v>
      </c>
      <c r="CJ161" s="10">
        <v>10.000000000000004</v>
      </c>
      <c r="CK161" s="3">
        <v>0</v>
      </c>
      <c r="CM161" s="3">
        <v>0.5241379310344827</v>
      </c>
      <c r="CN161" s="10">
        <v>51.999999999999972</v>
      </c>
      <c r="CO161" s="52">
        <v>11.3</v>
      </c>
      <c r="CP161" s="52">
        <v>3.5</v>
      </c>
      <c r="CQ161" s="3">
        <v>15.086206896551724</v>
      </c>
      <c r="CS161" s="10">
        <v>232</v>
      </c>
      <c r="CT161" s="10">
        <v>221</v>
      </c>
      <c r="CU161" s="59">
        <v>10</v>
      </c>
      <c r="CV161" s="10">
        <v>356</v>
      </c>
      <c r="CW161" s="10">
        <v>0.99999999999999645</v>
      </c>
      <c r="CX161" s="60">
        <v>113.97003745318322</v>
      </c>
      <c r="CY161" s="3">
        <v>18.010000000000002</v>
      </c>
      <c r="CZ161" s="3">
        <v>5.27</v>
      </c>
      <c r="DC161" s="24">
        <v>45820.90902777778</v>
      </c>
      <c r="DD161" s="24">
        <v>45820.961111111108</v>
      </c>
      <c r="DG161" s="24">
        <v>45821</v>
      </c>
      <c r="DJ161" s="58">
        <v>45821</v>
      </c>
    </row>
    <row r="162" spans="2:114" x14ac:dyDescent="0.25">
      <c r="B162" s="1">
        <v>10270</v>
      </c>
      <c r="C162" s="12">
        <v>45821</v>
      </c>
      <c r="D162" s="2">
        <v>0.15625</v>
      </c>
      <c r="E162" s="2">
        <v>0.40833333333333338</v>
      </c>
      <c r="F162" s="61">
        <v>13.434579439252337</v>
      </c>
      <c r="G162" s="10">
        <v>19.000000000000014</v>
      </c>
      <c r="H162" s="61">
        <v>2.8321318228630279</v>
      </c>
      <c r="I162" s="52">
        <v>79.7</v>
      </c>
      <c r="J162" s="10">
        <v>10.000000000000004</v>
      </c>
      <c r="L162" s="10">
        <v>5.0000000000000222</v>
      </c>
      <c r="N162" s="10">
        <v>63.000000000000014</v>
      </c>
      <c r="O162" s="10">
        <v>24.999999999999993</v>
      </c>
      <c r="P162" s="10">
        <v>46.4</v>
      </c>
      <c r="Q162" s="61">
        <v>2.4152106885919835</v>
      </c>
      <c r="R162" s="52">
        <v>46</v>
      </c>
      <c r="S162" s="10">
        <v>10.000000000000004</v>
      </c>
      <c r="T162" s="52">
        <v>63.9</v>
      </c>
      <c r="U162" s="10">
        <v>20</v>
      </c>
      <c r="V162" s="52">
        <v>65.5</v>
      </c>
      <c r="W162" s="10">
        <v>40.000000000000014</v>
      </c>
      <c r="Z162" s="52">
        <v>72.3</v>
      </c>
      <c r="AA162" s="10">
        <v>105.99999999999999</v>
      </c>
      <c r="AB162" s="10">
        <v>8.0000000000000107</v>
      </c>
      <c r="AC162" s="52">
        <v>10</v>
      </c>
      <c r="AD162" s="3">
        <v>22.66</v>
      </c>
      <c r="AE162" s="3">
        <v>2.09</v>
      </c>
      <c r="AF162" s="3">
        <v>0.52</v>
      </c>
      <c r="AG162" s="10">
        <v>89</v>
      </c>
      <c r="AH162" s="10">
        <v>1</v>
      </c>
      <c r="AI162" s="10">
        <v>136</v>
      </c>
      <c r="AJ162" s="10">
        <v>260</v>
      </c>
      <c r="AK162" s="3">
        <v>16.329999999999998</v>
      </c>
      <c r="AL162" s="61">
        <v>84.472049689440993</v>
      </c>
      <c r="AM162" s="61">
        <v>52.307692307692314</v>
      </c>
      <c r="AO162" s="10">
        <v>81.999999999999943</v>
      </c>
      <c r="AP162" s="10">
        <v>123.99999999999996</v>
      </c>
      <c r="AQ162" s="52">
        <v>79.8</v>
      </c>
      <c r="BG162" s="10">
        <v>178</v>
      </c>
      <c r="BJ162" s="10">
        <v>267</v>
      </c>
      <c r="BK162" s="52">
        <v>101.1</v>
      </c>
      <c r="BM162" s="10">
        <v>29.999999999999972</v>
      </c>
      <c r="BN162" s="10">
        <v>45</v>
      </c>
      <c r="BO162" s="10">
        <v>74.999999999999972</v>
      </c>
      <c r="BS162" s="10">
        <v>5</v>
      </c>
      <c r="BT162" s="10">
        <v>10</v>
      </c>
      <c r="BV162" s="61">
        <v>8.239700374531834</v>
      </c>
      <c r="BW162" s="61">
        <v>0.23970037453183296</v>
      </c>
      <c r="BZ162" s="61">
        <v>9.5505617977528079</v>
      </c>
      <c r="CA162" s="10">
        <v>0</v>
      </c>
      <c r="CB162" s="52">
        <v>101.2</v>
      </c>
      <c r="CG162" s="10">
        <v>2567</v>
      </c>
      <c r="CI162" s="10">
        <v>9.9999999999999645</v>
      </c>
      <c r="CJ162" s="10">
        <v>9.9999999999999645</v>
      </c>
      <c r="CK162" s="3">
        <v>-3.5527136788005009E-14</v>
      </c>
      <c r="CM162" s="3">
        <v>0.6935064935064934</v>
      </c>
      <c r="CN162" s="10">
        <v>51.00000000000022</v>
      </c>
      <c r="CP162" s="52">
        <v>3.9</v>
      </c>
      <c r="CQ162" s="3">
        <v>16.883116883116884</v>
      </c>
      <c r="CS162" s="10">
        <v>231</v>
      </c>
      <c r="CT162" s="10">
        <v>230.00000000000006</v>
      </c>
      <c r="CU162" s="59">
        <v>19.000000000000057</v>
      </c>
      <c r="CV162" s="10">
        <v>363.00000000000006</v>
      </c>
      <c r="CW162" s="10">
        <v>6.000000000000032</v>
      </c>
      <c r="CX162" s="60">
        <v>23.970037453183792</v>
      </c>
      <c r="CY162" s="3">
        <v>18</v>
      </c>
      <c r="CZ162" s="3">
        <v>5.27</v>
      </c>
      <c r="DC162" s="24">
        <v>45821.015972222223</v>
      </c>
      <c r="DD162" s="24">
        <v>45821.072916666664</v>
      </c>
      <c r="DG162" s="24">
        <v>45821</v>
      </c>
      <c r="DJ162" s="58">
        <v>45821</v>
      </c>
    </row>
    <row r="163" spans="2:114" x14ac:dyDescent="0.25">
      <c r="B163" s="1">
        <v>10271</v>
      </c>
      <c r="C163" s="12">
        <v>45821</v>
      </c>
      <c r="D163" s="2">
        <v>0.25694444444444448</v>
      </c>
      <c r="E163" s="2">
        <v>0.4993055555555555</v>
      </c>
      <c r="F163" s="61">
        <v>12.929061784897025</v>
      </c>
      <c r="G163" s="10">
        <v>16.99999999999994</v>
      </c>
      <c r="H163" s="61">
        <v>2.7862208713272545</v>
      </c>
      <c r="I163" s="52">
        <v>79.599999999999994</v>
      </c>
      <c r="J163" s="10">
        <v>9.9999999999999645</v>
      </c>
      <c r="L163" s="10">
        <v>5.9999999999999787</v>
      </c>
      <c r="N163" s="10">
        <v>60.999999999999943</v>
      </c>
      <c r="O163" s="10">
        <v>25.000000000000071</v>
      </c>
      <c r="P163" s="10">
        <v>46.4</v>
      </c>
      <c r="Q163" s="61">
        <v>2.4114930733709596</v>
      </c>
      <c r="R163" s="52">
        <v>46</v>
      </c>
      <c r="S163" s="10">
        <v>9.9999999999999645</v>
      </c>
      <c r="T163" s="52">
        <v>64.400000000000006</v>
      </c>
      <c r="U163" s="10">
        <v>0</v>
      </c>
      <c r="V163" s="52">
        <v>65.099999999999994</v>
      </c>
      <c r="W163" s="10">
        <v>35.000000000000036</v>
      </c>
      <c r="AA163" s="10">
        <v>106.00000000000003</v>
      </c>
      <c r="AB163" s="10">
        <v>7.0000000000000551</v>
      </c>
      <c r="AC163" s="52">
        <v>12.4</v>
      </c>
      <c r="AD163" s="3">
        <v>22.4</v>
      </c>
      <c r="AE163" s="3">
        <v>2.0299999999999998</v>
      </c>
      <c r="AF163" s="3">
        <v>0.48</v>
      </c>
      <c r="AG163" s="10">
        <v>89</v>
      </c>
      <c r="AH163" s="10">
        <v>1</v>
      </c>
      <c r="AI163" s="10">
        <v>136</v>
      </c>
      <c r="AJ163" s="10">
        <v>260</v>
      </c>
      <c r="AK163" s="3">
        <v>16.53</v>
      </c>
      <c r="AL163" s="61">
        <v>84.472049689440993</v>
      </c>
      <c r="AM163" s="61">
        <v>52.307692307692314</v>
      </c>
      <c r="AO163" s="10">
        <v>80.999999999999943</v>
      </c>
      <c r="AP163" s="10">
        <v>121.99999999999997</v>
      </c>
      <c r="AQ163" s="52">
        <v>79.8</v>
      </c>
      <c r="BG163" s="10">
        <v>178</v>
      </c>
      <c r="BJ163" s="10">
        <v>266</v>
      </c>
      <c r="BK163" s="52">
        <v>100.9</v>
      </c>
      <c r="BM163" s="10">
        <v>29.999999999999972</v>
      </c>
      <c r="BN163" s="10">
        <v>45</v>
      </c>
      <c r="BO163" s="10">
        <v>74.999999999999972</v>
      </c>
      <c r="BS163" s="10">
        <v>5</v>
      </c>
      <c r="BT163" s="10">
        <v>10</v>
      </c>
      <c r="BV163" s="61">
        <v>7.8947368421052628</v>
      </c>
      <c r="BW163" s="61">
        <v>0.10526315789473467</v>
      </c>
      <c r="BZ163" s="61">
        <v>9.9624060150375939</v>
      </c>
      <c r="CA163" s="10">
        <v>0</v>
      </c>
      <c r="CB163" s="52">
        <v>101.1</v>
      </c>
      <c r="CG163" s="10">
        <v>2605</v>
      </c>
      <c r="CI163" s="10">
        <v>9.9999999999999645</v>
      </c>
      <c r="CJ163" s="10">
        <v>9.9999999999999645</v>
      </c>
      <c r="CK163" s="3">
        <v>-3.5527136788005009E-14</v>
      </c>
      <c r="CM163" s="3">
        <v>0.53100436681222707</v>
      </c>
      <c r="CN163" s="10">
        <v>50.999999999999979</v>
      </c>
      <c r="CO163" s="52">
        <v>10.6</v>
      </c>
      <c r="CP163" s="52">
        <v>3.4</v>
      </c>
      <c r="CQ163" s="3">
        <v>14.847161572052402</v>
      </c>
      <c r="CS163" s="10">
        <v>229</v>
      </c>
      <c r="CT163" s="10">
        <v>218.99999999999986</v>
      </c>
      <c r="CU163" s="59">
        <v>7.9999999999998579</v>
      </c>
      <c r="CV163" s="10">
        <v>348.99999999999989</v>
      </c>
      <c r="CW163" s="10">
        <v>8.0000000000001315</v>
      </c>
      <c r="CX163" s="60">
        <v>120.52631578947458</v>
      </c>
      <c r="CY163" s="3">
        <v>18.079999999999998</v>
      </c>
      <c r="CZ163" s="3">
        <v>5.26</v>
      </c>
      <c r="DC163" s="24">
        <v>45821.125</v>
      </c>
      <c r="DD163" s="24">
        <v>45821.176388888889</v>
      </c>
      <c r="DG163" s="24">
        <v>45822</v>
      </c>
      <c r="DJ163" s="58">
        <v>45822</v>
      </c>
    </row>
    <row r="164" spans="2:114" x14ac:dyDescent="0.25">
      <c r="B164" s="1">
        <v>10272</v>
      </c>
      <c r="C164" s="12">
        <v>45821</v>
      </c>
      <c r="D164" s="2">
        <v>0.3576388888888889</v>
      </c>
      <c r="E164" s="2">
        <v>0.60277777777777775</v>
      </c>
      <c r="F164" s="61">
        <v>13.076036866359447</v>
      </c>
      <c r="G164" s="10">
        <v>19.000000000000014</v>
      </c>
      <c r="H164" s="61">
        <v>2.8018339276617423</v>
      </c>
      <c r="I164" s="52">
        <v>79.599999999999994</v>
      </c>
      <c r="J164" s="10">
        <v>9.9999999999999645</v>
      </c>
      <c r="L164" s="10">
        <v>3.9999999999999858</v>
      </c>
      <c r="N164" s="10">
        <v>62.999999999999936</v>
      </c>
      <c r="O164" s="10">
        <v>24.999999999999993</v>
      </c>
      <c r="P164" s="10">
        <v>46.1</v>
      </c>
      <c r="Q164" s="61">
        <v>2.4114930733709596</v>
      </c>
      <c r="R164" s="52">
        <v>46.3</v>
      </c>
      <c r="S164" s="10">
        <v>9.9999999999999645</v>
      </c>
      <c r="T164" s="52">
        <v>64.5</v>
      </c>
      <c r="U164" s="10">
        <v>0</v>
      </c>
      <c r="V164" s="52">
        <v>65.2</v>
      </c>
      <c r="W164" s="10">
        <v>35.000000000000036</v>
      </c>
      <c r="AA164" s="10">
        <v>105.99999999999994</v>
      </c>
      <c r="AB164" s="10">
        <v>8.0000000000000515</v>
      </c>
      <c r="AC164" s="52">
        <v>12.3</v>
      </c>
      <c r="AD164" s="3">
        <v>22.28</v>
      </c>
      <c r="AE164" s="3">
        <v>2.36</v>
      </c>
      <c r="AF164" s="3">
        <v>0.48</v>
      </c>
      <c r="AG164" s="10">
        <v>90</v>
      </c>
      <c r="AH164" s="10">
        <v>1</v>
      </c>
      <c r="AI164" s="10">
        <v>136</v>
      </c>
      <c r="AJ164" s="10">
        <v>260</v>
      </c>
      <c r="AK164" s="3">
        <v>16.36</v>
      </c>
      <c r="AL164" s="61">
        <v>84.472049689440993</v>
      </c>
      <c r="AM164" s="61">
        <v>52.307692307692314</v>
      </c>
      <c r="AO164" s="10">
        <v>82.999999999999943</v>
      </c>
      <c r="AP164" s="10">
        <v>125.00000000000003</v>
      </c>
      <c r="AQ164" s="52">
        <v>79.8</v>
      </c>
      <c r="BG164" s="10">
        <v>178</v>
      </c>
      <c r="BJ164" s="10">
        <v>267</v>
      </c>
      <c r="BK164" s="52">
        <v>101.1</v>
      </c>
      <c r="BM164" s="10">
        <v>30.000000000000053</v>
      </c>
      <c r="BN164" s="10">
        <v>45</v>
      </c>
      <c r="BO164" s="10">
        <v>75.000000000000057</v>
      </c>
      <c r="BS164" s="10">
        <v>5</v>
      </c>
      <c r="BT164" s="10">
        <v>10</v>
      </c>
      <c r="BV164" s="61">
        <v>8.239700374531834</v>
      </c>
      <c r="BW164" s="61">
        <v>0.23970037453183296</v>
      </c>
      <c r="BZ164" s="61">
        <v>9.9250936329588022</v>
      </c>
      <c r="CA164" s="10">
        <v>0</v>
      </c>
      <c r="CB164" s="52">
        <v>100.9</v>
      </c>
      <c r="CG164" s="10">
        <v>2487</v>
      </c>
      <c r="CI164" s="10">
        <v>9.9999999999999645</v>
      </c>
      <c r="CJ164" s="10">
        <v>9.9999999999999645</v>
      </c>
      <c r="CK164" s="3">
        <v>-3.5527136788005009E-14</v>
      </c>
      <c r="CM164" s="3">
        <v>0.52869565217391301</v>
      </c>
      <c r="CN164" s="10">
        <v>50.999999999999979</v>
      </c>
      <c r="CO164" s="52">
        <v>10.4</v>
      </c>
      <c r="CP164" s="52">
        <v>3.2</v>
      </c>
      <c r="CQ164" s="3">
        <v>13.913043478260869</v>
      </c>
      <c r="CS164" s="10">
        <v>230</v>
      </c>
      <c r="CT164" s="10">
        <v>219.99999999999994</v>
      </c>
      <c r="CU164" s="59">
        <v>8.9999999999999432</v>
      </c>
      <c r="CV164" s="10">
        <v>353</v>
      </c>
      <c r="CW164" s="10">
        <v>4.0000000000000391</v>
      </c>
      <c r="CX164" s="60">
        <v>123.97003745318379</v>
      </c>
      <c r="CY164" s="3">
        <v>17.98</v>
      </c>
      <c r="CZ164" s="3">
        <v>5.27</v>
      </c>
      <c r="DC164" s="24">
        <v>45821.347222222219</v>
      </c>
      <c r="DD164" s="24">
        <v>45821.397916666669</v>
      </c>
      <c r="DG164" s="24">
        <v>45822</v>
      </c>
      <c r="DJ164" s="58">
        <v>45822</v>
      </c>
    </row>
    <row r="165" spans="2:114" x14ac:dyDescent="0.25">
      <c r="B165" s="1">
        <v>10273</v>
      </c>
      <c r="C165" s="12">
        <v>45821</v>
      </c>
      <c r="D165" s="2">
        <v>0.46527777777777773</v>
      </c>
      <c r="E165" s="2">
        <v>0.71250000000000002</v>
      </c>
      <c r="F165" s="61">
        <v>12.880966072455436</v>
      </c>
      <c r="G165" s="10">
        <v>17.000000000000021</v>
      </c>
      <c r="H165" s="61">
        <v>2.8018339276617423</v>
      </c>
      <c r="I165" s="52">
        <v>79.7</v>
      </c>
      <c r="J165" s="10">
        <v>9.9999999999999645</v>
      </c>
      <c r="L165" s="10">
        <v>5.9999999999999787</v>
      </c>
      <c r="N165" s="10">
        <v>61.000000000000021</v>
      </c>
      <c r="O165" s="10">
        <v>25.000000000000071</v>
      </c>
      <c r="P165" s="10">
        <v>46.3</v>
      </c>
      <c r="Q165" s="61">
        <v>2.4096385542168677</v>
      </c>
      <c r="R165" s="52">
        <v>46.5</v>
      </c>
      <c r="S165" s="10">
        <v>9.9999999999999645</v>
      </c>
      <c r="T165" s="52">
        <v>64.7</v>
      </c>
      <c r="U165" s="10">
        <v>0</v>
      </c>
      <c r="V165" s="52">
        <v>65.3</v>
      </c>
      <c r="W165" s="10">
        <v>35.000000000000036</v>
      </c>
      <c r="AA165" s="10">
        <v>109.00000000000009</v>
      </c>
      <c r="AB165" s="10">
        <v>7.9999999999999716</v>
      </c>
      <c r="AC165" s="52">
        <v>13.5</v>
      </c>
      <c r="AD165" s="3">
        <v>22.35</v>
      </c>
      <c r="AE165" s="3">
        <v>2.5</v>
      </c>
      <c r="AF165" s="3">
        <v>0.49</v>
      </c>
      <c r="AG165" s="10">
        <v>90</v>
      </c>
      <c r="AH165" s="10">
        <v>1</v>
      </c>
      <c r="AI165" s="10">
        <v>136</v>
      </c>
      <c r="AJ165" s="10">
        <v>260</v>
      </c>
      <c r="AK165" s="3">
        <v>16.48</v>
      </c>
      <c r="AL165" s="61">
        <v>84.472049689440993</v>
      </c>
      <c r="AM165" s="61">
        <v>52.307692307692314</v>
      </c>
      <c r="AO165" s="10">
        <v>83.000000000000028</v>
      </c>
      <c r="AP165" s="10">
        <v>125.0000000000002</v>
      </c>
      <c r="AQ165" s="52">
        <v>80.3</v>
      </c>
      <c r="BG165" s="10">
        <v>180</v>
      </c>
      <c r="BJ165" s="10">
        <v>267</v>
      </c>
      <c r="BK165" s="52">
        <v>100.7</v>
      </c>
      <c r="BM165" s="10">
        <v>30.000000000000053</v>
      </c>
      <c r="BN165" s="10">
        <v>45</v>
      </c>
      <c r="BO165" s="10">
        <v>75.000000000000057</v>
      </c>
      <c r="BS165" s="10">
        <v>5</v>
      </c>
      <c r="BT165" s="10">
        <v>10</v>
      </c>
      <c r="BV165" s="61">
        <v>7.4906367041198507</v>
      </c>
      <c r="BW165" s="61">
        <v>0.50936329588015394</v>
      </c>
      <c r="BZ165" s="61">
        <v>9.1760299625468171</v>
      </c>
      <c r="CA165" s="10">
        <v>0</v>
      </c>
      <c r="CB165" s="52">
        <v>100.9</v>
      </c>
      <c r="CG165" s="10">
        <v>2360</v>
      </c>
      <c r="CI165" s="10">
        <v>9.9999999999999645</v>
      </c>
      <c r="CJ165" s="10">
        <v>9.9999999999999645</v>
      </c>
      <c r="CK165" s="3">
        <v>-3.5527136788005009E-14</v>
      </c>
      <c r="CM165" s="3">
        <v>0.5241379310344827</v>
      </c>
      <c r="CN165" s="10">
        <v>51.999999999999972</v>
      </c>
      <c r="CO165" s="52">
        <v>10.5</v>
      </c>
      <c r="CP165" s="52">
        <v>3.2</v>
      </c>
      <c r="CQ165" s="3">
        <v>13.793103448275861</v>
      </c>
      <c r="CS165" s="10">
        <v>232</v>
      </c>
      <c r="CT165" s="10">
        <v>222</v>
      </c>
      <c r="CU165" s="59">
        <v>11</v>
      </c>
      <c r="CV165" s="10">
        <v>356.00000000000011</v>
      </c>
      <c r="CW165" s="10">
        <v>0.99999999999988987</v>
      </c>
      <c r="CX165" s="60">
        <v>130.93632958801538</v>
      </c>
      <c r="CY165" s="3">
        <v>17.77</v>
      </c>
      <c r="CZ165" s="3">
        <v>5.28</v>
      </c>
      <c r="DC165" s="24">
        <v>45821.45</v>
      </c>
      <c r="DD165" s="24">
        <v>45821.501388888886</v>
      </c>
      <c r="DG165" s="24">
        <v>45822</v>
      </c>
      <c r="DJ165" s="58">
        <v>45822</v>
      </c>
    </row>
    <row r="166" spans="2:114" x14ac:dyDescent="0.25">
      <c r="B166" s="1">
        <v>10274</v>
      </c>
      <c r="C166" s="12">
        <v>45821</v>
      </c>
      <c r="D166" s="2">
        <v>0.57291666666666663</v>
      </c>
      <c r="E166" s="2">
        <v>0.8208333333333333</v>
      </c>
      <c r="F166" s="61">
        <v>12.848209209778283</v>
      </c>
      <c r="G166" s="10">
        <v>17.000000000000099</v>
      </c>
      <c r="H166" s="61">
        <v>2.770780856423174</v>
      </c>
      <c r="I166" s="52">
        <v>79.599999999999994</v>
      </c>
      <c r="J166" s="10">
        <v>9.9999999999999645</v>
      </c>
      <c r="L166" s="10">
        <v>5.9999999999999787</v>
      </c>
      <c r="N166" s="10">
        <v>62.000000000000099</v>
      </c>
      <c r="O166" s="10">
        <v>24.999999999999911</v>
      </c>
      <c r="P166" s="10">
        <v>46</v>
      </c>
      <c r="Q166" s="61">
        <v>2.4409044193216856</v>
      </c>
      <c r="R166" s="52">
        <v>46.3</v>
      </c>
      <c r="S166" s="10">
        <v>10.000000000000124</v>
      </c>
      <c r="T166" s="52">
        <v>64.7</v>
      </c>
      <c r="U166" s="10">
        <v>0</v>
      </c>
      <c r="V166" s="52">
        <v>65.2</v>
      </c>
      <c r="W166" s="10">
        <v>40.000000000000014</v>
      </c>
      <c r="Z166" s="52">
        <v>75.7</v>
      </c>
      <c r="AA166" s="10">
        <v>105.99999999999994</v>
      </c>
      <c r="AB166" s="10">
        <v>7.9999999999999716</v>
      </c>
      <c r="AC166" s="52">
        <v>12.5</v>
      </c>
      <c r="AD166" s="3">
        <v>22.5</v>
      </c>
      <c r="AE166" s="3">
        <v>3.95</v>
      </c>
      <c r="AF166" s="3">
        <v>2.27</v>
      </c>
      <c r="AG166" s="10">
        <v>35</v>
      </c>
      <c r="AH166" s="10">
        <v>1</v>
      </c>
      <c r="AI166" s="10">
        <v>136</v>
      </c>
      <c r="AJ166" s="10">
        <v>259</v>
      </c>
      <c r="AK166" s="3">
        <v>16.47</v>
      </c>
      <c r="AL166" s="61">
        <v>83.950617283950606</v>
      </c>
      <c r="AM166" s="61">
        <v>52.509652509652504</v>
      </c>
      <c r="AO166" s="10">
        <v>88</v>
      </c>
      <c r="AP166" s="10">
        <v>113.99999999999991</v>
      </c>
      <c r="AQ166" s="52">
        <v>80</v>
      </c>
      <c r="BG166" s="10">
        <v>180</v>
      </c>
      <c r="BJ166" s="10">
        <v>267</v>
      </c>
      <c r="BK166" s="52">
        <v>101</v>
      </c>
      <c r="BM166" s="10">
        <v>30.000000000000053</v>
      </c>
      <c r="BN166" s="10">
        <v>45</v>
      </c>
      <c r="BO166" s="10">
        <v>75.000000000000057</v>
      </c>
      <c r="BS166" s="10">
        <v>5</v>
      </c>
      <c r="BT166" s="10">
        <v>10</v>
      </c>
      <c r="BV166" s="61">
        <v>7.1161048689138573</v>
      </c>
      <c r="BW166" s="61">
        <v>0.88389513108614737</v>
      </c>
      <c r="BZ166" s="61">
        <v>8.4269662921348321</v>
      </c>
      <c r="CA166" s="10">
        <v>0</v>
      </c>
      <c r="CB166" s="52">
        <v>101</v>
      </c>
      <c r="CG166" s="10">
        <v>2261</v>
      </c>
      <c r="CI166" s="10">
        <v>9.9999999999999645</v>
      </c>
      <c r="CJ166" s="10">
        <v>9.9999999999999645</v>
      </c>
      <c r="CK166" s="3">
        <v>-3.5527136788005009E-14</v>
      </c>
      <c r="CM166" s="3">
        <v>0.51965811965811959</v>
      </c>
      <c r="CN166" s="10">
        <v>51.999999999999972</v>
      </c>
      <c r="CO166" s="52">
        <v>10.8</v>
      </c>
      <c r="CP166" s="52">
        <v>3.4</v>
      </c>
      <c r="CQ166" s="3">
        <v>14.52991452991453</v>
      </c>
      <c r="CS166" s="10">
        <v>234</v>
      </c>
      <c r="CT166" s="10">
        <v>226</v>
      </c>
      <c r="CU166" s="59">
        <v>15</v>
      </c>
      <c r="CV166" s="10">
        <v>357</v>
      </c>
      <c r="CW166" s="10">
        <v>0</v>
      </c>
      <c r="CX166" s="60">
        <v>128.38951310861472</v>
      </c>
      <c r="CY166" s="3">
        <v>17.91</v>
      </c>
      <c r="CZ166" s="3">
        <v>5.28</v>
      </c>
      <c r="DC166" s="24">
        <v>45821.558333333334</v>
      </c>
      <c r="DD166" s="24">
        <v>45821.61041666667</v>
      </c>
      <c r="DG166" s="24">
        <v>45822</v>
      </c>
      <c r="DJ166" s="58">
        <v>45822</v>
      </c>
    </row>
    <row r="167" spans="2:114" x14ac:dyDescent="0.25">
      <c r="B167" s="1">
        <v>10275</v>
      </c>
      <c r="C167" s="12">
        <v>45821</v>
      </c>
      <c r="D167" s="2">
        <v>0.93055555555555558</v>
      </c>
      <c r="E167" s="2">
        <v>0.17986111111111114</v>
      </c>
      <c r="F167" s="61">
        <v>13.690476190476192</v>
      </c>
      <c r="G167" s="10">
        <v>18.999999999999932</v>
      </c>
      <c r="H167" s="61">
        <v>2.8795811518324608</v>
      </c>
      <c r="I167" s="52">
        <v>79.599999999999994</v>
      </c>
      <c r="J167" s="10">
        <v>9.9999999999999645</v>
      </c>
      <c r="L167" s="10">
        <v>5.9999999999999787</v>
      </c>
      <c r="N167" s="10">
        <v>63.999999999999929</v>
      </c>
      <c r="O167" s="10">
        <v>26.000000000000068</v>
      </c>
      <c r="P167" s="10">
        <v>46.3</v>
      </c>
      <c r="Q167" s="61">
        <v>2.519280205655527</v>
      </c>
      <c r="R167" s="52">
        <v>46.2</v>
      </c>
      <c r="S167" s="10">
        <v>9.9999999999999645</v>
      </c>
      <c r="T167" s="52">
        <v>63.9</v>
      </c>
      <c r="U167" s="10">
        <v>18</v>
      </c>
      <c r="V167" s="52">
        <v>65.3</v>
      </c>
      <c r="W167" s="10">
        <v>40.000000000000014</v>
      </c>
      <c r="Z167" s="52">
        <v>75.8</v>
      </c>
      <c r="AA167" s="10">
        <v>106.99999999999994</v>
      </c>
      <c r="AB167" s="10">
        <v>8.0000000000000018</v>
      </c>
      <c r="AC167" s="52">
        <v>10</v>
      </c>
      <c r="AD167" s="3">
        <v>21.93</v>
      </c>
      <c r="AE167" s="3">
        <v>3.8</v>
      </c>
      <c r="AG167" s="10">
        <v>90</v>
      </c>
      <c r="AH167" s="10">
        <v>2</v>
      </c>
      <c r="AI167" s="10">
        <v>136</v>
      </c>
      <c r="AJ167" s="10">
        <v>259</v>
      </c>
      <c r="AK167" s="3">
        <v>16.28</v>
      </c>
      <c r="AL167" s="61">
        <v>82.424242424242422</v>
      </c>
      <c r="AM167" s="61">
        <v>52.509652509652504</v>
      </c>
      <c r="AO167" s="10">
        <v>102</v>
      </c>
      <c r="AP167" s="10">
        <v>144</v>
      </c>
      <c r="AQ167" s="52">
        <v>80</v>
      </c>
      <c r="BG167" s="10">
        <v>180</v>
      </c>
      <c r="BJ167" s="10">
        <v>266</v>
      </c>
      <c r="BK167" s="52">
        <v>101.1</v>
      </c>
      <c r="BM167" s="10">
        <v>29.999999999999993</v>
      </c>
      <c r="BN167" s="10">
        <v>45.000000000000014</v>
      </c>
      <c r="BO167" s="10">
        <v>75</v>
      </c>
      <c r="BS167" s="10">
        <v>5</v>
      </c>
      <c r="BT167" s="10">
        <v>10</v>
      </c>
      <c r="BV167" s="61">
        <v>7.8947368421052628</v>
      </c>
      <c r="BW167" s="61">
        <v>0.10526315789473467</v>
      </c>
      <c r="BZ167" s="61">
        <v>9.9624060150375939</v>
      </c>
      <c r="CA167" s="10">
        <v>0</v>
      </c>
      <c r="CB167" s="52">
        <v>101.1</v>
      </c>
      <c r="CG167" s="10">
        <v>2491</v>
      </c>
      <c r="CI167" s="10">
        <v>10.000000000000004</v>
      </c>
      <c r="CJ167" s="10">
        <v>10.000000000000004</v>
      </c>
      <c r="CK167" s="3">
        <v>0</v>
      </c>
      <c r="CM167" s="3">
        <v>0.53100436681222707</v>
      </c>
      <c r="CN167" s="10">
        <v>51.000000000000021</v>
      </c>
      <c r="CO167" s="52">
        <v>10.5</v>
      </c>
      <c r="CQ167" s="3">
        <v>0</v>
      </c>
      <c r="CS167" s="10">
        <v>229</v>
      </c>
      <c r="CT167" s="10">
        <v>225.00000000000006</v>
      </c>
      <c r="CU167" s="59">
        <v>14.000000000000057</v>
      </c>
      <c r="CV167" s="10">
        <v>359.00000000000017</v>
      </c>
      <c r="CW167" s="10">
        <v>2.0000000000001528</v>
      </c>
      <c r="CX167" s="60">
        <v>60.526315789472882</v>
      </c>
      <c r="CY167" s="3">
        <v>17.75</v>
      </c>
      <c r="CZ167" s="3">
        <v>5.25</v>
      </c>
      <c r="DC167" s="24">
        <v>45821.663888888892</v>
      </c>
      <c r="DD167" s="24">
        <v>45821.71875</v>
      </c>
      <c r="DG167" s="24">
        <v>45822</v>
      </c>
      <c r="DJ167" s="58">
        <v>45822</v>
      </c>
    </row>
    <row r="168" spans="2:114" x14ac:dyDescent="0.25">
      <c r="B168" s="1">
        <v>10276</v>
      </c>
      <c r="C168" s="12">
        <v>45822</v>
      </c>
      <c r="D168" s="2">
        <v>3.125E-2</v>
      </c>
      <c r="E168" s="2">
        <v>0.28749999999999998</v>
      </c>
      <c r="F168" s="61">
        <v>12.987012987012985</v>
      </c>
      <c r="G168" s="10">
        <v>17.999999999999996</v>
      </c>
      <c r="H168" s="61">
        <v>2.7486256871564216</v>
      </c>
      <c r="I168" s="52">
        <v>79.599999999999994</v>
      </c>
      <c r="J168" s="10">
        <v>10.000000000000004</v>
      </c>
      <c r="L168" s="10">
        <v>4.9999999999999822</v>
      </c>
      <c r="N168" s="10">
        <v>62.999999999999986</v>
      </c>
      <c r="O168" s="10">
        <v>25</v>
      </c>
      <c r="P168" s="10">
        <v>45.8</v>
      </c>
      <c r="Q168" s="61">
        <v>2.4108745832264682</v>
      </c>
      <c r="R168" s="52">
        <v>46</v>
      </c>
      <c r="S168" s="10">
        <v>9.9999999999999947</v>
      </c>
      <c r="T168" s="52">
        <v>64</v>
      </c>
      <c r="U168" s="10">
        <v>0</v>
      </c>
      <c r="V168" s="52">
        <v>65.2</v>
      </c>
      <c r="W168" s="10">
        <v>40</v>
      </c>
      <c r="Z168" s="52">
        <v>76</v>
      </c>
      <c r="AA168" s="10">
        <v>122</v>
      </c>
      <c r="AB168" s="10">
        <v>8.0000000000000107</v>
      </c>
      <c r="AC168" s="52">
        <v>10</v>
      </c>
      <c r="AD168" s="3">
        <v>22.45</v>
      </c>
      <c r="AE168" s="3">
        <v>2.6</v>
      </c>
      <c r="AF168" s="3">
        <v>0.4</v>
      </c>
      <c r="AG168" s="10">
        <v>90</v>
      </c>
      <c r="AH168" s="10">
        <v>1</v>
      </c>
      <c r="AI168" s="10">
        <v>136</v>
      </c>
      <c r="AJ168" s="10">
        <v>259</v>
      </c>
      <c r="AK168" s="3">
        <v>16.34</v>
      </c>
      <c r="AL168" s="61">
        <v>84.472049689440993</v>
      </c>
      <c r="AM168" s="61">
        <v>52.509652509652504</v>
      </c>
      <c r="AO168" s="10">
        <v>88</v>
      </c>
      <c r="AP168" s="10">
        <v>130</v>
      </c>
      <c r="AQ168" s="52">
        <v>79.8</v>
      </c>
      <c r="BG168" s="10">
        <v>184</v>
      </c>
      <c r="BJ168" s="10">
        <v>266</v>
      </c>
      <c r="BK168" s="52">
        <v>101.1</v>
      </c>
      <c r="BM168" s="10">
        <v>30.000000000000014</v>
      </c>
      <c r="BN168" s="10">
        <v>45</v>
      </c>
      <c r="BO168" s="10">
        <v>75.000000000000014</v>
      </c>
      <c r="BS168" s="10">
        <v>5</v>
      </c>
      <c r="BT168" s="10">
        <v>10</v>
      </c>
      <c r="BV168" s="61">
        <v>7.8947368421052628</v>
      </c>
      <c r="BW168" s="61">
        <v>0.10526315789473467</v>
      </c>
      <c r="BZ168" s="61">
        <v>9.9624060150375939</v>
      </c>
      <c r="CA168" s="10">
        <v>0</v>
      </c>
      <c r="CB168" s="52">
        <v>100.9</v>
      </c>
      <c r="CG168" s="10">
        <v>2472</v>
      </c>
      <c r="CI168" s="10">
        <v>10.000000000000004</v>
      </c>
      <c r="CJ168" s="10">
        <v>9.9999999999999645</v>
      </c>
      <c r="CK168" s="3">
        <v>-3.5527136788005009E-14</v>
      </c>
      <c r="CM168" s="3">
        <v>0.53100436681222707</v>
      </c>
      <c r="CN168" s="10">
        <v>50.999999999999979</v>
      </c>
      <c r="CO168" s="52">
        <v>10.6</v>
      </c>
      <c r="CP168" s="52">
        <v>3.4</v>
      </c>
      <c r="CQ168" s="3">
        <v>14.847161572052402</v>
      </c>
      <c r="CS168" s="10">
        <v>229</v>
      </c>
      <c r="CT168" s="10">
        <v>220.99999999999997</v>
      </c>
      <c r="CU168" s="59">
        <v>9.9999999999999716</v>
      </c>
      <c r="CV168" s="10">
        <v>368.99999999999994</v>
      </c>
      <c r="CW168" s="10">
        <v>11.999999999999957</v>
      </c>
      <c r="CX168" s="60">
        <v>100.52631578947373</v>
      </c>
      <c r="CY168" s="3">
        <v>18.05</v>
      </c>
      <c r="CZ168" s="3">
        <v>5.26</v>
      </c>
      <c r="DC168" s="24">
        <v>45822.023611111108</v>
      </c>
      <c r="DD168" s="24">
        <v>45822.078472222223</v>
      </c>
      <c r="DG168" s="24">
        <v>45822</v>
      </c>
      <c r="DJ168" s="58">
        <v>45822</v>
      </c>
    </row>
    <row r="169" spans="2:114" x14ac:dyDescent="0.25">
      <c r="B169" s="1">
        <v>10277</v>
      </c>
      <c r="C169" s="12">
        <v>45822</v>
      </c>
      <c r="D169" s="2">
        <v>0.14930555555555555</v>
      </c>
      <c r="E169" s="2">
        <v>0.40555555555555545</v>
      </c>
      <c r="F169" s="61">
        <v>12.979683972911966</v>
      </c>
      <c r="G169" s="10">
        <v>18.000000000000014</v>
      </c>
      <c r="H169" s="61">
        <v>2.7472527472527473</v>
      </c>
      <c r="I169" s="52">
        <v>79.599999999999994</v>
      </c>
      <c r="J169" s="10">
        <v>10.000000000000004</v>
      </c>
      <c r="L169" s="10">
        <v>4.0000000000000258</v>
      </c>
      <c r="N169" s="10">
        <v>77</v>
      </c>
      <c r="O169" s="10">
        <v>24.999999999999993</v>
      </c>
      <c r="P169" s="10">
        <v>46.5</v>
      </c>
      <c r="Q169" s="61">
        <v>2.4102564102564101</v>
      </c>
      <c r="R169" s="52">
        <v>46</v>
      </c>
      <c r="S169" s="10">
        <v>10.000000000000004</v>
      </c>
      <c r="T169" s="52">
        <v>64</v>
      </c>
      <c r="U169" s="10">
        <v>0</v>
      </c>
      <c r="V169" s="52">
        <v>65.3</v>
      </c>
      <c r="W169" s="10">
        <v>40.000000000000014</v>
      </c>
      <c r="Z169" s="52">
        <v>75.599999999999994</v>
      </c>
      <c r="AA169" s="10">
        <v>122</v>
      </c>
      <c r="AB169" s="10">
        <v>7.9999999999999716</v>
      </c>
      <c r="AC169" s="52">
        <v>11.6</v>
      </c>
      <c r="AD169" s="3">
        <v>22.95</v>
      </c>
      <c r="AE169" s="3">
        <v>2.21</v>
      </c>
      <c r="AF169" s="3">
        <v>0.53</v>
      </c>
      <c r="AG169" s="10">
        <v>90</v>
      </c>
      <c r="AH169" s="10">
        <v>2</v>
      </c>
      <c r="AI169" s="10">
        <v>136</v>
      </c>
      <c r="AJ169" s="10">
        <v>260</v>
      </c>
      <c r="AK169" s="3">
        <v>16.59</v>
      </c>
      <c r="AL169" s="61">
        <v>84.472049689440993</v>
      </c>
      <c r="AM169" s="61">
        <v>52.307692307692314</v>
      </c>
      <c r="AO169" s="10">
        <v>87.000000000000014</v>
      </c>
      <c r="AP169" s="10">
        <v>128.99999999999997</v>
      </c>
      <c r="AQ169" s="52">
        <v>80</v>
      </c>
      <c r="BG169" s="10">
        <v>178</v>
      </c>
      <c r="BJ169" s="10">
        <v>267</v>
      </c>
      <c r="BK169" s="52">
        <v>100.9</v>
      </c>
      <c r="BM169" s="10">
        <v>29.999999999999972</v>
      </c>
      <c r="BN169" s="10">
        <v>45</v>
      </c>
      <c r="BO169" s="10">
        <v>74.999999999999972</v>
      </c>
      <c r="BS169" s="10">
        <v>5</v>
      </c>
      <c r="BT169" s="10">
        <v>10</v>
      </c>
      <c r="BV169" s="61">
        <v>8.239700374531834</v>
      </c>
      <c r="BW169" s="61">
        <v>0.23970037453183296</v>
      </c>
      <c r="BZ169" s="61">
        <v>9.5505617977528079</v>
      </c>
      <c r="CA169" s="10">
        <v>0</v>
      </c>
      <c r="CB169" s="52">
        <v>101</v>
      </c>
      <c r="CG169" s="10">
        <v>2620</v>
      </c>
      <c r="CI169" s="10">
        <v>9.9999999999999645</v>
      </c>
      <c r="CJ169" s="10">
        <v>9.9999999999999645</v>
      </c>
      <c r="CK169" s="3">
        <v>-3.5527136788005009E-14</v>
      </c>
      <c r="CM169" s="3">
        <v>0.52640692640692643</v>
      </c>
      <c r="CN169" s="10">
        <v>51.999999999999972</v>
      </c>
      <c r="CO169" s="52">
        <v>10.7</v>
      </c>
      <c r="CP169" s="52">
        <v>3.5</v>
      </c>
      <c r="CQ169" s="3">
        <v>15.151515151515152</v>
      </c>
      <c r="CS169" s="10">
        <v>231</v>
      </c>
      <c r="CT169" s="10">
        <v>220.99999999999986</v>
      </c>
      <c r="CU169" s="59">
        <v>9.9999999999998579</v>
      </c>
      <c r="CV169" s="10">
        <v>368.99999999999983</v>
      </c>
      <c r="CW169" s="10">
        <v>11.999999999999797</v>
      </c>
      <c r="CX169" s="60">
        <v>113.97003745318493</v>
      </c>
      <c r="CY169" s="3">
        <v>17.98</v>
      </c>
      <c r="CZ169" s="3">
        <v>5.28</v>
      </c>
      <c r="DC169" s="24">
        <v>45822.134027777778</v>
      </c>
      <c r="DD169" s="24">
        <v>45822.186111111114</v>
      </c>
      <c r="DG169" s="24">
        <v>45823</v>
      </c>
      <c r="DJ169" s="58">
        <v>45823</v>
      </c>
    </row>
    <row r="170" spans="2:114" x14ac:dyDescent="0.25">
      <c r="B170" s="1">
        <v>10278</v>
      </c>
      <c r="C170" s="12">
        <v>45822</v>
      </c>
      <c r="D170" s="2">
        <v>0.25694444444444448</v>
      </c>
      <c r="E170" s="2">
        <v>0.50555555555555542</v>
      </c>
      <c r="F170" s="61">
        <v>12.686567164179104</v>
      </c>
      <c r="G170" s="10">
        <v>16.99999999999994</v>
      </c>
      <c r="H170" s="61">
        <v>2.8018339276617423</v>
      </c>
      <c r="I170" s="52">
        <v>79.599999999999994</v>
      </c>
      <c r="J170" s="10">
        <v>9.9999999999999645</v>
      </c>
      <c r="L170" s="10">
        <v>5.9999999999999787</v>
      </c>
      <c r="N170" s="10">
        <v>58.99999999999995</v>
      </c>
      <c r="O170" s="10">
        <v>25.000000000000071</v>
      </c>
      <c r="P170" s="10">
        <v>46.2</v>
      </c>
      <c r="Q170" s="61">
        <v>2.4114930733709596</v>
      </c>
      <c r="R170" s="52">
        <v>46.4</v>
      </c>
      <c r="S170" s="10">
        <v>9.9999999999999645</v>
      </c>
      <c r="T170" s="52">
        <v>64.3</v>
      </c>
      <c r="U170" s="10">
        <v>0</v>
      </c>
      <c r="V170" s="52">
        <v>65.3</v>
      </c>
      <c r="W170" s="10">
        <v>40.000000000000014</v>
      </c>
      <c r="Z170" s="52">
        <v>75.8</v>
      </c>
      <c r="AA170" s="10">
        <v>111.00000000000009</v>
      </c>
      <c r="AB170" s="10">
        <v>8.9999999999998881</v>
      </c>
      <c r="AC170" s="52">
        <v>10.6</v>
      </c>
      <c r="AD170" s="3">
        <v>22.4</v>
      </c>
      <c r="AE170" s="3">
        <v>2.41</v>
      </c>
      <c r="AF170" s="3">
        <v>0.55000000000000004</v>
      </c>
      <c r="AG170" s="10">
        <v>90</v>
      </c>
      <c r="AH170" s="10">
        <v>1</v>
      </c>
      <c r="AI170" s="10">
        <v>136</v>
      </c>
      <c r="AJ170" s="10">
        <v>260</v>
      </c>
      <c r="AK170" s="3">
        <v>16.600000000000001</v>
      </c>
      <c r="AL170" s="61">
        <v>84.472049689440993</v>
      </c>
      <c r="AM170" s="61">
        <v>52.307692307692314</v>
      </c>
      <c r="AO170" s="10">
        <v>84.000000000000028</v>
      </c>
      <c r="AP170" s="10">
        <v>127.00000000000003</v>
      </c>
      <c r="AQ170" s="52">
        <v>79.900000000000006</v>
      </c>
      <c r="BG170" s="10">
        <v>178</v>
      </c>
      <c r="BJ170" s="10">
        <v>266</v>
      </c>
      <c r="BK170" s="52">
        <v>101.1</v>
      </c>
      <c r="BM170" s="10">
        <v>29.999999999999972</v>
      </c>
      <c r="BN170" s="10">
        <v>45</v>
      </c>
      <c r="BO170" s="10">
        <v>74.999999999999972</v>
      </c>
      <c r="BS170" s="10">
        <v>5</v>
      </c>
      <c r="BT170" s="10">
        <v>10</v>
      </c>
      <c r="BV170" s="61">
        <v>7.8947368421052628</v>
      </c>
      <c r="BW170" s="61">
        <v>0.10526315789473467</v>
      </c>
      <c r="BZ170" s="61">
        <v>9.9624060150375939</v>
      </c>
      <c r="CA170" s="10">
        <v>0</v>
      </c>
      <c r="CB170" s="52">
        <v>101</v>
      </c>
      <c r="CG170" s="10">
        <v>2635</v>
      </c>
      <c r="CI170" s="10">
        <v>9.9999999999999645</v>
      </c>
      <c r="CJ170" s="10">
        <v>9.9999999999999645</v>
      </c>
      <c r="CK170" s="3">
        <v>-3.5527136788005009E-14</v>
      </c>
      <c r="CM170" s="3">
        <v>0.53100436681222707</v>
      </c>
      <c r="CN170" s="10">
        <v>50.999999999999979</v>
      </c>
      <c r="CO170" s="52">
        <v>10.7</v>
      </c>
      <c r="CP170" s="52">
        <v>3.4</v>
      </c>
      <c r="CQ170" s="3">
        <v>14.847161572052402</v>
      </c>
      <c r="CS170" s="10">
        <v>229</v>
      </c>
      <c r="CT170" s="10">
        <v>220.99999999999986</v>
      </c>
      <c r="CU170" s="59">
        <v>9.9999999999998579</v>
      </c>
      <c r="CV170" s="10">
        <v>357.99999999999977</v>
      </c>
      <c r="CW170" s="10">
        <v>0.99999999999978328</v>
      </c>
      <c r="CX170" s="60">
        <v>100.52631578947515</v>
      </c>
      <c r="CY170" s="3">
        <v>18.239999999999998</v>
      </c>
      <c r="CZ170" s="3">
        <v>5.28</v>
      </c>
      <c r="DC170" s="24">
        <v>45822.252083333333</v>
      </c>
      <c r="DD170" s="24">
        <v>45822.303472222222</v>
      </c>
      <c r="DG170" s="24">
        <v>45823</v>
      </c>
      <c r="DJ170" s="58">
        <v>45823</v>
      </c>
    </row>
    <row r="171" spans="2:114" x14ac:dyDescent="0.25">
      <c r="B171" s="1">
        <v>10279</v>
      </c>
      <c r="C171" s="12">
        <v>45822</v>
      </c>
      <c r="D171" s="2">
        <v>0.40625</v>
      </c>
      <c r="E171" s="2">
        <v>0.65416666666666667</v>
      </c>
      <c r="F171" s="61">
        <v>12.742857142857142</v>
      </c>
      <c r="G171" s="10">
        <v>19.000000000000014</v>
      </c>
      <c r="H171" s="61">
        <v>2.9396857577293463</v>
      </c>
      <c r="I171" s="52">
        <v>79.7</v>
      </c>
      <c r="J171" s="10">
        <v>9.9999999999999645</v>
      </c>
      <c r="L171" s="10">
        <v>1.9999999999999929</v>
      </c>
      <c r="N171" s="10">
        <v>68</v>
      </c>
      <c r="O171" s="10">
        <v>24.999999999999911</v>
      </c>
      <c r="P171" s="10">
        <v>46.6</v>
      </c>
      <c r="Q171" s="61">
        <v>2.3601847101077476</v>
      </c>
      <c r="R171" s="52">
        <v>45.6</v>
      </c>
      <c r="S171" s="10">
        <v>10.000000000000124</v>
      </c>
      <c r="T171" s="52">
        <v>64.2</v>
      </c>
      <c r="U171" s="10">
        <v>20</v>
      </c>
      <c r="V171" s="52">
        <v>65.599999999999994</v>
      </c>
      <c r="W171" s="10">
        <v>40.000000000000014</v>
      </c>
      <c r="AA171" s="10">
        <v>108.00000000000001</v>
      </c>
      <c r="AB171" s="10">
        <v>7.9999999999999716</v>
      </c>
      <c r="AC171" s="52">
        <v>10.1</v>
      </c>
      <c r="AD171" s="3">
        <v>22.4</v>
      </c>
      <c r="AE171" s="3">
        <v>2.3199999999999998</v>
      </c>
      <c r="AF171" s="3">
        <v>0.61</v>
      </c>
      <c r="AG171" s="10">
        <v>90</v>
      </c>
      <c r="AH171" s="10">
        <v>2</v>
      </c>
      <c r="AI171" s="10">
        <v>136</v>
      </c>
      <c r="AJ171" s="10">
        <v>261</v>
      </c>
      <c r="AK171" s="3">
        <v>16.54</v>
      </c>
      <c r="AL171" s="61">
        <v>83.950617283950606</v>
      </c>
      <c r="AM171" s="61">
        <v>52.107279693486589</v>
      </c>
      <c r="AO171" s="10">
        <v>88</v>
      </c>
      <c r="AP171" s="10">
        <v>130.00000000000009</v>
      </c>
      <c r="AQ171" s="52">
        <v>79.8</v>
      </c>
      <c r="BG171" s="10">
        <v>180</v>
      </c>
      <c r="BJ171" s="10">
        <v>267</v>
      </c>
      <c r="BK171" s="52">
        <v>101</v>
      </c>
      <c r="BM171" s="10">
        <v>30.000000000000053</v>
      </c>
      <c r="BN171" s="10">
        <v>45</v>
      </c>
      <c r="BO171" s="10">
        <v>75.000000000000057</v>
      </c>
      <c r="BS171" s="10">
        <v>5</v>
      </c>
      <c r="BT171" s="10">
        <v>10</v>
      </c>
      <c r="BV171" s="61">
        <v>7.8651685393258424</v>
      </c>
      <c r="BW171" s="61">
        <v>0.13483146067416046</v>
      </c>
      <c r="BZ171" s="61">
        <v>9.9250936329588022</v>
      </c>
      <c r="CA171" s="10">
        <v>0</v>
      </c>
      <c r="CB171" s="52">
        <v>101.2</v>
      </c>
      <c r="CI171" s="10">
        <v>9.9999999999999645</v>
      </c>
      <c r="CJ171" s="10">
        <v>9.9999999999999645</v>
      </c>
      <c r="CK171" s="3">
        <v>-3.5527136788005009E-14</v>
      </c>
      <c r="CM171" s="3">
        <v>0.52869565217391301</v>
      </c>
      <c r="CN171" s="10">
        <v>50.999999999999979</v>
      </c>
      <c r="CO171" s="52">
        <v>10.5</v>
      </c>
      <c r="CP171" s="52">
        <v>3.4</v>
      </c>
      <c r="CQ171" s="3">
        <v>14.782608695652174</v>
      </c>
      <c r="CS171" s="10">
        <v>230</v>
      </c>
      <c r="CT171" s="10">
        <v>222</v>
      </c>
      <c r="CU171" s="59">
        <v>11</v>
      </c>
      <c r="CV171" s="10">
        <v>357</v>
      </c>
      <c r="CW171" s="10">
        <v>0</v>
      </c>
      <c r="CX171" s="60">
        <v>93.48314606741603</v>
      </c>
      <c r="CY171" s="3">
        <v>17.8</v>
      </c>
      <c r="CZ171" s="3">
        <v>5.25</v>
      </c>
      <c r="DC171" s="24">
        <v>45822.352083333331</v>
      </c>
      <c r="DD171" s="24">
        <v>45822.404166666667</v>
      </c>
      <c r="DG171" s="24">
        <v>45823</v>
      </c>
      <c r="DJ171" s="58">
        <v>45823</v>
      </c>
    </row>
    <row r="172" spans="2:114" x14ac:dyDescent="0.25">
      <c r="B172" s="1">
        <v>10280</v>
      </c>
      <c r="C172" s="12">
        <v>45822</v>
      </c>
      <c r="D172" s="2">
        <v>0.50694444444444442</v>
      </c>
      <c r="E172" s="2">
        <v>0.75486111111111109</v>
      </c>
      <c r="F172" s="61">
        <v>12.624584717607974</v>
      </c>
      <c r="G172" s="10">
        <v>16.99999999999994</v>
      </c>
      <c r="H172" s="61">
        <v>2.7531956735496559</v>
      </c>
      <c r="I172" s="52">
        <v>79.3</v>
      </c>
      <c r="J172" s="10">
        <v>9.9999999999999645</v>
      </c>
      <c r="L172" s="10">
        <v>0.99999999999983658</v>
      </c>
      <c r="N172" s="10">
        <v>61.000000000000099</v>
      </c>
      <c r="O172" s="10">
        <v>25.000000000000071</v>
      </c>
      <c r="P172" s="10">
        <v>45.9</v>
      </c>
      <c r="Q172" s="61">
        <v>2.4447334200260076</v>
      </c>
      <c r="R172" s="52">
        <v>46</v>
      </c>
      <c r="S172" s="10">
        <v>9.9999999999999645</v>
      </c>
      <c r="T172" s="52">
        <v>63.5</v>
      </c>
      <c r="U172" s="10">
        <v>45</v>
      </c>
      <c r="V172" s="52">
        <v>65.400000000000006</v>
      </c>
      <c r="W172" s="10">
        <v>40.000000000000014</v>
      </c>
      <c r="Z172" s="52">
        <v>75.8</v>
      </c>
      <c r="AA172" s="10">
        <v>109.00000000000009</v>
      </c>
      <c r="AB172" s="10">
        <v>8.999999999999968</v>
      </c>
      <c r="AC172" s="52">
        <v>12.1</v>
      </c>
      <c r="AD172" s="3">
        <v>22.23</v>
      </c>
      <c r="AG172" s="10">
        <v>0</v>
      </c>
      <c r="AH172" s="10">
        <v>1</v>
      </c>
      <c r="AI172" s="10">
        <v>136</v>
      </c>
      <c r="AJ172" s="10">
        <v>261</v>
      </c>
      <c r="AK172" s="3">
        <v>16.25</v>
      </c>
      <c r="AL172" s="61">
        <v>83.950617283950606</v>
      </c>
      <c r="AM172" s="61">
        <v>52.107279693486589</v>
      </c>
      <c r="AO172" s="10">
        <v>46.999999999999993</v>
      </c>
      <c r="AQ172" s="52">
        <v>80.2</v>
      </c>
      <c r="BG172" s="10">
        <v>180</v>
      </c>
      <c r="BJ172" s="10">
        <v>270</v>
      </c>
      <c r="BK172" s="52">
        <v>100.9</v>
      </c>
      <c r="BM172" s="10">
        <v>30.000000000000053</v>
      </c>
      <c r="BN172" s="10">
        <v>45</v>
      </c>
      <c r="BO172" s="10">
        <v>75.000000000000057</v>
      </c>
      <c r="BS172" s="10">
        <v>5</v>
      </c>
      <c r="BT172" s="10">
        <v>10</v>
      </c>
      <c r="BV172" s="61">
        <v>7.4074074074074066</v>
      </c>
      <c r="BW172" s="61">
        <v>0.59259259259259323</v>
      </c>
      <c r="BZ172" s="61">
        <v>9.4444444444444446</v>
      </c>
      <c r="CA172" s="10">
        <v>0</v>
      </c>
      <c r="CB172" s="52">
        <v>101.1</v>
      </c>
      <c r="CG172" s="10">
        <v>2447</v>
      </c>
      <c r="CI172" s="10">
        <v>9.9999999999999645</v>
      </c>
      <c r="CJ172" s="10">
        <v>9.9999999999999645</v>
      </c>
      <c r="CK172" s="3">
        <v>-3.5527136788005009E-14</v>
      </c>
      <c r="CM172" s="3">
        <v>0.68461538461538451</v>
      </c>
      <c r="CN172" s="10">
        <v>51.999999999999972</v>
      </c>
      <c r="CQ172" s="3">
        <v>0</v>
      </c>
      <c r="CS172" s="10">
        <v>234</v>
      </c>
      <c r="CT172" s="10">
        <v>222</v>
      </c>
      <c r="CU172" s="59">
        <v>11</v>
      </c>
      <c r="CV172" s="10">
        <v>357</v>
      </c>
      <c r="CW172" s="10">
        <v>0</v>
      </c>
      <c r="CX172" s="60">
        <v>139.25925925925935</v>
      </c>
      <c r="CY172" s="3">
        <v>18.13</v>
      </c>
      <c r="CZ172" s="3">
        <v>5.26</v>
      </c>
      <c r="DC172" s="24">
        <v>45822.5</v>
      </c>
      <c r="DD172" s="24">
        <v>45822.552777777775</v>
      </c>
      <c r="DG172" s="24">
        <v>45823</v>
      </c>
      <c r="DJ172" s="58">
        <v>45823</v>
      </c>
    </row>
    <row r="173" spans="2:114" x14ac:dyDescent="0.25">
      <c r="B173" s="1">
        <v>10281</v>
      </c>
      <c r="C173" s="12">
        <v>45827</v>
      </c>
      <c r="D173" s="2">
        <v>0.46527777777777779</v>
      </c>
      <c r="E173" s="2">
        <v>0.71041666666666659</v>
      </c>
      <c r="F173" s="61">
        <v>12.975778546712801</v>
      </c>
      <c r="G173" s="10">
        <v>16.000000000000021</v>
      </c>
      <c r="H173" s="61">
        <v>1.6334864726901481</v>
      </c>
      <c r="I173" s="52">
        <v>79.900000000000006</v>
      </c>
      <c r="J173" s="10">
        <v>9.9999999999999645</v>
      </c>
      <c r="L173" s="10">
        <v>6.9999999999999751</v>
      </c>
      <c r="N173" s="10">
        <v>62.999999999999936</v>
      </c>
      <c r="O173" s="10">
        <v>24.999999999999911</v>
      </c>
      <c r="P173" s="10">
        <v>46.6</v>
      </c>
      <c r="Q173" s="61">
        <v>2.3653749370910924</v>
      </c>
      <c r="R173" s="52">
        <v>46.3</v>
      </c>
      <c r="S173" s="10">
        <v>10.000000000000044</v>
      </c>
      <c r="T173" s="52">
        <v>64.2</v>
      </c>
      <c r="U173" s="10">
        <v>0</v>
      </c>
      <c r="V173" s="52">
        <v>65.599999999999994</v>
      </c>
      <c r="W173" s="10">
        <v>40.000000000000014</v>
      </c>
      <c r="Z173" s="52">
        <v>75.7</v>
      </c>
      <c r="AA173" s="10">
        <v>107.00000000000001</v>
      </c>
      <c r="AB173" s="10">
        <v>7.9999999999999716</v>
      </c>
      <c r="AC173" s="52">
        <v>11.4</v>
      </c>
      <c r="AD173" s="3">
        <v>22.54</v>
      </c>
      <c r="AE173" s="3">
        <v>2.25</v>
      </c>
      <c r="AF173" s="3">
        <v>0.4</v>
      </c>
      <c r="AG173" s="10">
        <v>90</v>
      </c>
      <c r="AH173" s="10">
        <v>2</v>
      </c>
      <c r="AI173" s="10">
        <v>136</v>
      </c>
      <c r="AJ173" s="10">
        <v>259</v>
      </c>
      <c r="AK173" s="3">
        <v>16.309999999999999</v>
      </c>
      <c r="AL173" s="61">
        <v>98.550724637681171</v>
      </c>
      <c r="AM173" s="61">
        <v>52.509652509652504</v>
      </c>
      <c r="AO173" s="10">
        <v>88</v>
      </c>
      <c r="AP173" s="10">
        <v>129.00000000000017</v>
      </c>
      <c r="AQ173" s="52">
        <v>79.7</v>
      </c>
      <c r="BG173" s="10">
        <v>180</v>
      </c>
      <c r="BJ173" s="10">
        <v>267</v>
      </c>
      <c r="BK173" s="52">
        <v>100.9</v>
      </c>
      <c r="BM173" s="10">
        <v>30.000000000000053</v>
      </c>
      <c r="BN173" s="10">
        <v>45</v>
      </c>
      <c r="BO173" s="10">
        <v>75.000000000000057</v>
      </c>
      <c r="BS173" s="10">
        <v>5</v>
      </c>
      <c r="BT173" s="10">
        <v>10</v>
      </c>
      <c r="BV173" s="61">
        <v>7.4906367041198507</v>
      </c>
      <c r="BW173" s="61">
        <v>0.50936329588015394</v>
      </c>
      <c r="BZ173" s="61">
        <v>9.1760299625468171</v>
      </c>
      <c r="CA173" s="10">
        <v>0</v>
      </c>
      <c r="CB173" s="52">
        <v>101.1</v>
      </c>
      <c r="CG173" s="10">
        <v>2547</v>
      </c>
      <c r="CI173" s="10">
        <v>9.9999999999999645</v>
      </c>
      <c r="CJ173" s="10">
        <v>9.9999999999999645</v>
      </c>
      <c r="CK173" s="3">
        <v>-3.5527136788005009E-14</v>
      </c>
      <c r="CM173" s="3">
        <v>0.65517241379310343</v>
      </c>
      <c r="CN173" s="10">
        <v>51.999999999999972</v>
      </c>
      <c r="CO173" s="52">
        <v>10.5</v>
      </c>
      <c r="CP173" s="52">
        <v>3.2</v>
      </c>
      <c r="CQ173" s="3">
        <v>13.793103448275861</v>
      </c>
      <c r="CS173" s="10">
        <v>232</v>
      </c>
      <c r="CT173" s="10">
        <v>221.99999999999986</v>
      </c>
      <c r="CU173" s="59">
        <v>10.999999999999858</v>
      </c>
      <c r="CV173" s="10">
        <v>352.99999999999989</v>
      </c>
      <c r="CW173" s="10">
        <v>4.0000000000001457</v>
      </c>
      <c r="CX173" s="60">
        <v>130.93632958801709</v>
      </c>
      <c r="CY173" s="3">
        <v>18.149999999999999</v>
      </c>
      <c r="CZ173" s="3">
        <v>5.26</v>
      </c>
      <c r="DC173" s="24">
        <v>45827.556250000001</v>
      </c>
      <c r="DD173" s="24">
        <v>45827.60833333333</v>
      </c>
      <c r="DG173" s="24">
        <v>45828</v>
      </c>
      <c r="DJ173" s="58">
        <v>45828</v>
      </c>
    </row>
    <row r="174" spans="2:114" x14ac:dyDescent="0.25">
      <c r="B174" s="1">
        <v>10282</v>
      </c>
      <c r="C174" s="12">
        <v>45827</v>
      </c>
      <c r="D174" s="2">
        <v>0.56597222222222221</v>
      </c>
      <c r="E174" s="2">
        <v>0.80694444444444446</v>
      </c>
      <c r="F174" s="61">
        <v>12.529691211401426</v>
      </c>
      <c r="G174" s="10">
        <v>17.000000000000099</v>
      </c>
      <c r="H174" s="61">
        <v>2.9023746701846966</v>
      </c>
      <c r="I174" s="52">
        <v>79.900000000000006</v>
      </c>
      <c r="J174" s="10">
        <v>9.9999999999999645</v>
      </c>
      <c r="L174" s="10">
        <v>3.9999999999999858</v>
      </c>
      <c r="N174" s="10">
        <v>60.999999999999943</v>
      </c>
      <c r="O174" s="10">
        <v>23.999999999999915</v>
      </c>
      <c r="P174" s="10">
        <v>46.6</v>
      </c>
      <c r="Q174" s="61">
        <v>2.3624026137220406</v>
      </c>
      <c r="R174" s="52">
        <v>46.4</v>
      </c>
      <c r="S174" s="10">
        <v>9.9999999999999645</v>
      </c>
      <c r="T174" s="52">
        <v>64</v>
      </c>
      <c r="U174" s="10">
        <v>0</v>
      </c>
      <c r="V174" s="52">
        <v>65.599999999999994</v>
      </c>
      <c r="W174" s="10">
        <v>35.000000000000036</v>
      </c>
      <c r="Z174" s="52">
        <v>75.8</v>
      </c>
      <c r="AA174" s="10">
        <v>102.99999999999996</v>
      </c>
      <c r="AB174" s="10">
        <v>7.9999999999999716</v>
      </c>
      <c r="AC174" s="52">
        <v>9</v>
      </c>
      <c r="AD174" s="3">
        <v>22.7</v>
      </c>
      <c r="AE174" s="3">
        <v>2.7</v>
      </c>
      <c r="AF174" s="3">
        <v>0.4</v>
      </c>
      <c r="AG174" s="10">
        <v>90</v>
      </c>
      <c r="AH174" s="10">
        <v>2</v>
      </c>
      <c r="AI174" s="10">
        <v>136</v>
      </c>
      <c r="AJ174" s="10">
        <v>259</v>
      </c>
      <c r="AK174" s="3">
        <v>16.579999999999998</v>
      </c>
      <c r="AL174" s="61">
        <v>84.472049689440993</v>
      </c>
      <c r="AM174" s="61">
        <v>52.509652509652504</v>
      </c>
      <c r="AO174" s="10">
        <v>88</v>
      </c>
      <c r="AP174" s="10">
        <v>130.00000000000003</v>
      </c>
      <c r="AQ174" s="52">
        <v>80.099999999999994</v>
      </c>
      <c r="BG174" s="10">
        <v>180</v>
      </c>
      <c r="BJ174" s="10">
        <v>267</v>
      </c>
      <c r="BK174" s="52">
        <v>101.1</v>
      </c>
      <c r="BM174" s="10">
        <v>30.000000000000053</v>
      </c>
      <c r="BN174" s="10">
        <v>45</v>
      </c>
      <c r="BO174" s="10">
        <v>75.000000000000057</v>
      </c>
      <c r="BS174" s="10">
        <v>5</v>
      </c>
      <c r="BT174" s="10">
        <v>10</v>
      </c>
      <c r="BV174" s="61">
        <v>8.239700374531834</v>
      </c>
      <c r="BW174" s="61">
        <v>0.23970037453183296</v>
      </c>
      <c r="BZ174" s="61">
        <v>9.1760299625468171</v>
      </c>
      <c r="CA174" s="10">
        <v>0</v>
      </c>
      <c r="CB174" s="52">
        <v>101.2</v>
      </c>
      <c r="CG174" s="10">
        <v>2421</v>
      </c>
      <c r="CI174" s="10">
        <v>9.9999999999999645</v>
      </c>
      <c r="CJ174" s="10">
        <v>9.9999999999999645</v>
      </c>
      <c r="CK174" s="3">
        <v>-3.5527136788005009E-14</v>
      </c>
      <c r="CM174" s="3">
        <v>0.65517241379310343</v>
      </c>
      <c r="CN174" s="10">
        <v>51.999999999999972</v>
      </c>
      <c r="CO174" s="52">
        <v>10.5</v>
      </c>
      <c r="CP174" s="52">
        <v>3.2</v>
      </c>
      <c r="CQ174" s="3">
        <v>13.793103448275861</v>
      </c>
      <c r="CS174" s="10">
        <v>232</v>
      </c>
      <c r="CT174" s="10">
        <v>219.00000000000003</v>
      </c>
      <c r="CU174" s="59">
        <v>8.0000000000000284</v>
      </c>
      <c r="CV174" s="10">
        <v>347.00000000000006</v>
      </c>
      <c r="CW174" s="10">
        <v>9.9999999999999645</v>
      </c>
      <c r="CX174" s="60">
        <v>133.97003745318324</v>
      </c>
      <c r="CY174" s="3">
        <v>18.149999999999999</v>
      </c>
      <c r="CZ174" s="3">
        <v>5.27</v>
      </c>
      <c r="DC174" s="24">
        <v>45827.654861111114</v>
      </c>
      <c r="DD174" s="24">
        <v>45827.704861111109</v>
      </c>
      <c r="DG174" s="24">
        <v>45828</v>
      </c>
      <c r="DJ174" s="58">
        <v>45828</v>
      </c>
    </row>
    <row r="175" spans="2:114" x14ac:dyDescent="0.25">
      <c r="B175" s="1">
        <v>10283</v>
      </c>
      <c r="C175" s="12">
        <v>45827</v>
      </c>
      <c r="D175" s="2">
        <v>0.67361111111111116</v>
      </c>
      <c r="E175" s="2">
        <v>0.91597222222222219</v>
      </c>
      <c r="F175" s="61">
        <v>13.53737492642731</v>
      </c>
      <c r="G175" s="10">
        <v>17.999999999999936</v>
      </c>
      <c r="H175" s="61">
        <v>2.851218247796786</v>
      </c>
      <c r="I175" s="52">
        <v>80</v>
      </c>
      <c r="J175" s="10">
        <v>9.9999999999999645</v>
      </c>
      <c r="L175" s="10">
        <v>4.9999999999999822</v>
      </c>
      <c r="N175" s="10">
        <v>62.999999999999936</v>
      </c>
      <c r="O175" s="10">
        <v>25.000000000000071</v>
      </c>
      <c r="P175" s="10">
        <v>46.4</v>
      </c>
      <c r="Q175" s="61">
        <v>2.4108745832264682</v>
      </c>
      <c r="R175" s="52">
        <v>47</v>
      </c>
      <c r="S175" s="10">
        <v>9.9999999999999645</v>
      </c>
      <c r="T175" s="52">
        <v>64</v>
      </c>
      <c r="U175" s="10">
        <v>0</v>
      </c>
      <c r="V175" s="52">
        <v>65.3</v>
      </c>
      <c r="W175" s="10">
        <v>40.000000000000014</v>
      </c>
      <c r="Z175" s="52">
        <v>75.8</v>
      </c>
      <c r="AA175" s="10">
        <v>104.99999999999994</v>
      </c>
      <c r="AB175" s="10">
        <v>7.9999999999999716</v>
      </c>
      <c r="AC175" s="52">
        <v>9</v>
      </c>
      <c r="AD175" s="3">
        <v>22.71</v>
      </c>
      <c r="AE175" s="3">
        <v>3.7</v>
      </c>
      <c r="AG175" s="10">
        <v>0</v>
      </c>
      <c r="AH175" s="10">
        <v>2</v>
      </c>
      <c r="AI175" s="10">
        <v>136</v>
      </c>
      <c r="AJ175" s="10">
        <v>259</v>
      </c>
      <c r="AK175" s="3">
        <v>16.260000000000002</v>
      </c>
      <c r="AL175" s="61">
        <v>84.472049689440993</v>
      </c>
      <c r="AM175" s="61">
        <v>52.509652509652504</v>
      </c>
      <c r="AO175" s="10">
        <v>80.000000000000028</v>
      </c>
      <c r="AP175" s="10">
        <v>97.999999999999972</v>
      </c>
      <c r="AQ175" s="52">
        <v>79.7</v>
      </c>
      <c r="BG175" s="10">
        <v>180</v>
      </c>
      <c r="BJ175" s="10">
        <v>266</v>
      </c>
      <c r="BK175" s="52">
        <v>101.1</v>
      </c>
      <c r="BM175" s="10">
        <v>30.000000000000053</v>
      </c>
      <c r="BN175" s="10">
        <v>45</v>
      </c>
      <c r="BO175" s="10">
        <v>75.000000000000057</v>
      </c>
      <c r="BS175" s="10">
        <v>5</v>
      </c>
      <c r="BT175" s="10">
        <v>10</v>
      </c>
      <c r="BV175" s="61">
        <v>7.8947368421052628</v>
      </c>
      <c r="BW175" s="61">
        <v>0.10526315789473467</v>
      </c>
      <c r="BZ175" s="61">
        <v>8.458646616541353</v>
      </c>
      <c r="CA175" s="10">
        <v>0</v>
      </c>
      <c r="CB175" s="52">
        <v>101.2</v>
      </c>
      <c r="CG175" s="10">
        <v>2471</v>
      </c>
      <c r="CI175" s="10">
        <v>9.9999999999999645</v>
      </c>
      <c r="CJ175" s="10">
        <v>9.9999999999999645</v>
      </c>
      <c r="CK175" s="3">
        <v>-3.5527136788005009E-14</v>
      </c>
      <c r="CM175" s="3">
        <v>0.6523605150214592</v>
      </c>
      <c r="CN175" s="10">
        <v>51.999999999999972</v>
      </c>
      <c r="CQ175" s="3">
        <v>0</v>
      </c>
      <c r="CS175" s="10">
        <v>233</v>
      </c>
      <c r="CT175" s="10">
        <v>218.00000000000003</v>
      </c>
      <c r="CU175" s="59">
        <v>7.0000000000000284</v>
      </c>
      <c r="CV175" s="10">
        <v>348.99999999999989</v>
      </c>
      <c r="CW175" s="10">
        <v>8.0000000000001315</v>
      </c>
      <c r="CX175" s="60">
        <v>130.52631578947344</v>
      </c>
      <c r="CY175" s="3">
        <v>18</v>
      </c>
      <c r="CZ175" s="3">
        <v>5.27</v>
      </c>
      <c r="DC175" s="24">
        <v>45827.76458333333</v>
      </c>
      <c r="DD175" s="24">
        <v>45827.813888888886</v>
      </c>
      <c r="DG175" s="24">
        <v>45828</v>
      </c>
      <c r="DJ175" s="58">
        <v>45828</v>
      </c>
    </row>
    <row r="176" spans="2:114" x14ac:dyDescent="0.25">
      <c r="B176" s="1">
        <v>10284</v>
      </c>
      <c r="C176" s="12">
        <v>45834</v>
      </c>
      <c r="D176" s="2">
        <v>0.26041666666666669</v>
      </c>
      <c r="E176" s="2">
        <v>0.50486111111111109</v>
      </c>
      <c r="F176" s="61">
        <v>13.505747126436782</v>
      </c>
      <c r="G176" s="10">
        <v>16.99999999999994</v>
      </c>
      <c r="H176" s="61">
        <v>2.7848101265822782</v>
      </c>
      <c r="I176" s="52">
        <v>79.900000000000006</v>
      </c>
      <c r="J176" s="10">
        <v>9.9999999999999645</v>
      </c>
      <c r="L176" s="10">
        <v>14.00000000000003</v>
      </c>
      <c r="N176" s="10">
        <v>61.999999999999943</v>
      </c>
      <c r="O176" s="10">
        <v>23.999999999999993</v>
      </c>
      <c r="P176" s="10">
        <v>46.1</v>
      </c>
      <c r="Q176" s="61">
        <v>2.3797468354430378</v>
      </c>
      <c r="R176" s="52">
        <v>46.1</v>
      </c>
      <c r="S176" s="10">
        <v>10.000000000000044</v>
      </c>
      <c r="T176" s="52">
        <v>64.099999999999994</v>
      </c>
      <c r="U176" s="10">
        <v>0</v>
      </c>
      <c r="V176" s="52">
        <v>66</v>
      </c>
      <c r="W176" s="10">
        <v>40.000000000000014</v>
      </c>
      <c r="Z176" s="52">
        <v>75.599999999999994</v>
      </c>
      <c r="AA176" s="10">
        <v>104.00000000000003</v>
      </c>
      <c r="AB176" s="10">
        <v>7.9999999999999716</v>
      </c>
      <c r="AC176" s="52">
        <v>8</v>
      </c>
      <c r="AD176" s="3">
        <v>22.8</v>
      </c>
      <c r="AE176" s="3">
        <v>2.7</v>
      </c>
      <c r="AF176" s="3">
        <v>0.6</v>
      </c>
      <c r="AG176" s="10">
        <v>55</v>
      </c>
      <c r="AH176" s="10">
        <v>2</v>
      </c>
      <c r="AI176" s="10">
        <v>136</v>
      </c>
      <c r="AJ176" s="10">
        <v>260</v>
      </c>
      <c r="AK176" s="3">
        <v>16.260000000000002</v>
      </c>
      <c r="AL176" s="61">
        <v>84.472049689440993</v>
      </c>
      <c r="AM176" s="61">
        <v>52.307692307692314</v>
      </c>
      <c r="AO176" s="10">
        <v>86.000000000000014</v>
      </c>
      <c r="AP176" s="10">
        <v>118.99999999999997</v>
      </c>
      <c r="AQ176" s="52">
        <v>79.7</v>
      </c>
      <c r="BG176" s="10">
        <v>183</v>
      </c>
      <c r="BJ176" s="10">
        <v>267</v>
      </c>
      <c r="BK176" s="52">
        <v>100.8</v>
      </c>
      <c r="BM176" s="10">
        <v>29.999999999999972</v>
      </c>
      <c r="BN176" s="10">
        <v>45</v>
      </c>
      <c r="BO176" s="10">
        <v>74.999999999999972</v>
      </c>
      <c r="BS176" s="10">
        <v>5</v>
      </c>
      <c r="BT176" s="10">
        <v>10</v>
      </c>
      <c r="BV176" s="61">
        <v>8.239700374531834</v>
      </c>
      <c r="BW176" s="61">
        <v>0.23970037453183296</v>
      </c>
      <c r="BZ176" s="61">
        <v>9.1760299625468171</v>
      </c>
      <c r="CA176" s="10">
        <v>0</v>
      </c>
      <c r="CB176" s="52">
        <v>101.2</v>
      </c>
      <c r="CG176" s="10">
        <v>1877</v>
      </c>
      <c r="CI176" s="10">
        <v>9.9999999999999645</v>
      </c>
      <c r="CJ176" s="10">
        <v>9.9999999999999645</v>
      </c>
      <c r="CK176" s="3">
        <v>-3.5527136788005009E-14</v>
      </c>
      <c r="CM176" s="3">
        <v>0.65517241379310343</v>
      </c>
      <c r="CN176" s="10">
        <v>52.000000000000057</v>
      </c>
      <c r="CP176" s="52">
        <v>3.3</v>
      </c>
      <c r="CQ176" s="3">
        <v>14.224137931034482</v>
      </c>
      <c r="CS176" s="10">
        <v>232</v>
      </c>
      <c r="CT176" s="10">
        <v>223</v>
      </c>
      <c r="CU176" s="59">
        <v>12</v>
      </c>
      <c r="CV176" s="10">
        <v>351.99999999999994</v>
      </c>
      <c r="CW176" s="10">
        <v>5.0000000000000888</v>
      </c>
      <c r="CX176" s="60">
        <v>93.97003745318294</v>
      </c>
      <c r="CY176" s="3">
        <v>17.75</v>
      </c>
      <c r="CZ176" s="3">
        <v>5.26</v>
      </c>
      <c r="DC176" s="24">
        <v>45834.35</v>
      </c>
      <c r="DD176" s="24">
        <v>45834.402777777781</v>
      </c>
      <c r="DG176" s="24">
        <v>45835</v>
      </c>
      <c r="DJ176" s="58">
        <v>45835</v>
      </c>
    </row>
    <row r="177" spans="2:114" x14ac:dyDescent="0.25">
      <c r="B177" s="1">
        <v>10285</v>
      </c>
      <c r="C177" s="12">
        <v>45834</v>
      </c>
      <c r="D177" s="2">
        <v>0.37847222222222221</v>
      </c>
      <c r="E177" s="2">
        <v>0.62152777777777779</v>
      </c>
      <c r="F177" s="61">
        <v>13.317892298784017</v>
      </c>
      <c r="G177" s="10">
        <v>18.000000000000014</v>
      </c>
      <c r="H177" s="61">
        <v>1.6351558507920287</v>
      </c>
      <c r="I177" s="52">
        <v>79.900000000000006</v>
      </c>
      <c r="J177" s="10">
        <v>9.9999999999999645</v>
      </c>
      <c r="L177" s="10">
        <v>12.000000000000037</v>
      </c>
      <c r="N177" s="10">
        <v>64.000000000000014</v>
      </c>
      <c r="O177" s="10">
        <v>34.000000000000043</v>
      </c>
      <c r="P177" s="10">
        <v>45.8</v>
      </c>
      <c r="Q177" s="61">
        <v>2.35</v>
      </c>
      <c r="R177" s="52">
        <v>46.2</v>
      </c>
      <c r="S177" s="10">
        <v>9.9999999999999645</v>
      </c>
      <c r="T177" s="52">
        <v>64</v>
      </c>
      <c r="U177" s="10">
        <v>0</v>
      </c>
      <c r="V177" s="52">
        <v>65.3</v>
      </c>
      <c r="W177" s="10">
        <v>35.000000000000036</v>
      </c>
      <c r="Z177" s="52">
        <v>76</v>
      </c>
      <c r="AA177" s="10">
        <v>103.00000000000003</v>
      </c>
      <c r="AB177" s="10">
        <v>0</v>
      </c>
      <c r="AC177" s="52">
        <v>7</v>
      </c>
      <c r="AD177" s="3">
        <v>22.82</v>
      </c>
      <c r="AE177" s="3">
        <v>2.5</v>
      </c>
      <c r="AF177" s="3">
        <v>0.6</v>
      </c>
      <c r="AG177" s="10">
        <v>70</v>
      </c>
      <c r="AH177" s="10">
        <v>2</v>
      </c>
      <c r="AI177" s="10">
        <v>136</v>
      </c>
      <c r="AJ177" s="10">
        <v>259</v>
      </c>
      <c r="AK177" s="3">
        <v>16.440000000000001</v>
      </c>
      <c r="AL177" s="61">
        <v>98.550724637681171</v>
      </c>
      <c r="AM177" s="61">
        <v>52.509652509652504</v>
      </c>
      <c r="AO177" s="10">
        <v>53.999999999999972</v>
      </c>
      <c r="AP177" s="10">
        <v>82.999999999999943</v>
      </c>
      <c r="AQ177" s="52">
        <v>80.3</v>
      </c>
      <c r="BG177" s="10">
        <v>180</v>
      </c>
      <c r="BJ177" s="10">
        <v>268</v>
      </c>
      <c r="BK177" s="52">
        <v>100.7</v>
      </c>
      <c r="BM177" s="10">
        <v>30.000000000000053</v>
      </c>
      <c r="BN177" s="10">
        <v>45</v>
      </c>
      <c r="BO177" s="10">
        <v>75.000000000000057</v>
      </c>
      <c r="BS177" s="10">
        <v>5</v>
      </c>
      <c r="BT177" s="10">
        <v>10</v>
      </c>
      <c r="BV177" s="61">
        <v>8.5820895522388057</v>
      </c>
      <c r="BW177" s="61">
        <v>0.58208955223880277</v>
      </c>
      <c r="BZ177" s="61">
        <v>10.261194029850747</v>
      </c>
      <c r="CA177" s="10">
        <v>0</v>
      </c>
      <c r="CB177" s="52">
        <v>100.9</v>
      </c>
      <c r="CG177" s="10">
        <v>2193</v>
      </c>
      <c r="CI177" s="10">
        <v>9.9999999999999645</v>
      </c>
      <c r="CJ177" s="10">
        <v>9.9999999999999645</v>
      </c>
      <c r="CK177" s="3">
        <v>-3.5527136788005009E-14</v>
      </c>
      <c r="CM177" s="3">
        <v>0.66086956521739126</v>
      </c>
      <c r="CN177" s="10">
        <v>50.999999999999979</v>
      </c>
      <c r="CO177" s="52">
        <v>10.4</v>
      </c>
      <c r="CP177" s="52">
        <v>3.3</v>
      </c>
      <c r="CQ177" s="3">
        <v>14.347826086956522</v>
      </c>
      <c r="CS177" s="10">
        <v>230</v>
      </c>
      <c r="CT177" s="10">
        <v>229</v>
      </c>
      <c r="CU177" s="59">
        <v>18</v>
      </c>
      <c r="CV177" s="10">
        <v>350.00000000000006</v>
      </c>
      <c r="CW177" s="10">
        <v>6.9999999999999751</v>
      </c>
      <c r="CX177" s="60">
        <v>68.20895522388021</v>
      </c>
      <c r="CY177" s="3">
        <v>18.190000000000001</v>
      </c>
      <c r="CZ177" s="3">
        <v>5.27</v>
      </c>
      <c r="DC177" s="24">
        <v>45834.462500000001</v>
      </c>
      <c r="DD177" s="24">
        <v>45834.520138888889</v>
      </c>
      <c r="DG177" s="24">
        <v>45835</v>
      </c>
      <c r="DJ177" s="58">
        <v>45835</v>
      </c>
    </row>
    <row r="178" spans="2:114" x14ac:dyDescent="0.25">
      <c r="B178" s="1">
        <v>10286</v>
      </c>
      <c r="C178" s="12">
        <v>45834</v>
      </c>
      <c r="D178" s="2">
        <v>0.48819444444444443</v>
      </c>
      <c r="E178" s="2">
        <v>0.73402777777777772</v>
      </c>
      <c r="F178" s="61">
        <v>13.001695873374789</v>
      </c>
      <c r="G178" s="10">
        <v>18.000000000000014</v>
      </c>
      <c r="H178" s="61">
        <v>2.7513756878439222</v>
      </c>
      <c r="I178" s="52">
        <v>79.900000000000006</v>
      </c>
      <c r="J178" s="10">
        <v>9.9999999999999645</v>
      </c>
      <c r="L178" s="10">
        <v>4.9999999999999822</v>
      </c>
      <c r="N178" s="10">
        <v>66</v>
      </c>
      <c r="O178" s="10">
        <v>27.000000000000064</v>
      </c>
      <c r="P178" s="10">
        <v>46.2</v>
      </c>
      <c r="Q178" s="61">
        <v>2.4552429667519182</v>
      </c>
      <c r="R178" s="52">
        <v>46.2</v>
      </c>
      <c r="S178" s="10">
        <v>9.9999999999999645</v>
      </c>
      <c r="T178" s="52">
        <v>64</v>
      </c>
      <c r="U178" s="10">
        <v>0</v>
      </c>
      <c r="V178" s="52">
        <v>65.3</v>
      </c>
      <c r="W178" s="10">
        <v>40.000000000000014</v>
      </c>
      <c r="Z178" s="52">
        <v>75.8</v>
      </c>
      <c r="AA178" s="10">
        <v>107.99999999999994</v>
      </c>
      <c r="AB178" s="10">
        <v>5.9999999999999787</v>
      </c>
      <c r="AC178" s="52">
        <v>11.2</v>
      </c>
      <c r="AD178" s="3">
        <v>22.86</v>
      </c>
      <c r="AE178" s="3">
        <v>3.21</v>
      </c>
      <c r="AG178" s="10">
        <v>0</v>
      </c>
      <c r="AH178" s="10">
        <v>1</v>
      </c>
      <c r="AI178" s="10">
        <v>136</v>
      </c>
      <c r="AJ178" s="10">
        <v>262</v>
      </c>
      <c r="AK178" s="3">
        <v>16.399999999999999</v>
      </c>
      <c r="AL178" s="61">
        <v>83.435582822085891</v>
      </c>
      <c r="AM178" s="61">
        <v>51.908396946564885</v>
      </c>
      <c r="AO178" s="10">
        <v>88</v>
      </c>
      <c r="AP178" s="10">
        <v>103.99999999999994</v>
      </c>
      <c r="AQ178" s="52">
        <v>80.2</v>
      </c>
      <c r="BG178" s="10">
        <v>180</v>
      </c>
      <c r="BJ178" s="10">
        <v>270</v>
      </c>
      <c r="BK178" s="52">
        <v>100.8</v>
      </c>
      <c r="BM178" s="10">
        <v>30.000000000000053</v>
      </c>
      <c r="BN178" s="10">
        <v>45</v>
      </c>
      <c r="BO178" s="10">
        <v>75.000000000000057</v>
      </c>
      <c r="BS178" s="10">
        <v>5</v>
      </c>
      <c r="BT178" s="10">
        <v>10</v>
      </c>
      <c r="BV178" s="61">
        <v>7.4074074074074066</v>
      </c>
      <c r="BW178" s="61">
        <v>0.59259259259259323</v>
      </c>
      <c r="BZ178" s="61">
        <v>8.7037037037037042</v>
      </c>
      <c r="CA178" s="10">
        <v>0</v>
      </c>
      <c r="CB178" s="52">
        <v>101.2</v>
      </c>
      <c r="CG178" s="10">
        <v>2531</v>
      </c>
      <c r="CI178" s="10">
        <v>9.9999999999999645</v>
      </c>
      <c r="CJ178" s="10">
        <v>9.9999999999999645</v>
      </c>
      <c r="CK178" s="3">
        <v>-3.5527136788005009E-14</v>
      </c>
      <c r="CM178" s="3">
        <v>0.64406779661016944</v>
      </c>
      <c r="CN178" s="10">
        <v>52.999999999999972</v>
      </c>
      <c r="CO178" s="52">
        <v>10.3</v>
      </c>
      <c r="CP178" s="52">
        <v>3.4</v>
      </c>
      <c r="CQ178" s="3">
        <v>14.40677966101695</v>
      </c>
      <c r="CS178" s="10">
        <v>236</v>
      </c>
      <c r="CT178" s="10">
        <v>222</v>
      </c>
      <c r="CU178" s="59">
        <v>11</v>
      </c>
      <c r="CV178" s="10">
        <v>353.99999999999989</v>
      </c>
      <c r="CW178" s="10">
        <v>3.0000000000000959</v>
      </c>
      <c r="CX178" s="60">
        <v>139.25925925925935</v>
      </c>
      <c r="CY178" s="3">
        <v>18.170000000000002</v>
      </c>
      <c r="CZ178" s="3">
        <v>5.28</v>
      </c>
      <c r="DC178" s="24">
        <v>45834.579861111109</v>
      </c>
      <c r="DD178" s="24">
        <v>45834.631249999999</v>
      </c>
      <c r="DG178" s="24">
        <v>45835</v>
      </c>
      <c r="DJ178" s="58">
        <v>45835</v>
      </c>
    </row>
    <row r="179" spans="2:114" x14ac:dyDescent="0.25">
      <c r="B179" s="1">
        <v>10287</v>
      </c>
      <c r="C179" s="12">
        <v>45840</v>
      </c>
      <c r="D179" s="2">
        <v>0.70833333333333337</v>
      </c>
      <c r="E179" s="2">
        <v>0.96527777777777768</v>
      </c>
      <c r="F179" s="61">
        <v>13.542857142857143</v>
      </c>
      <c r="G179" s="10">
        <v>17.999999999999936</v>
      </c>
      <c r="H179" s="61">
        <v>2.7679919476597887</v>
      </c>
      <c r="I179" s="52">
        <v>80.099999999999994</v>
      </c>
      <c r="J179" s="10">
        <v>9.9999999999999645</v>
      </c>
      <c r="L179" s="10">
        <v>8.999999999999968</v>
      </c>
      <c r="N179" s="10">
        <v>71.999999999999901</v>
      </c>
      <c r="O179" s="10">
        <v>24.999999999999911</v>
      </c>
      <c r="P179" s="10">
        <v>46.6</v>
      </c>
      <c r="Q179" s="61">
        <v>2.3482388208843368</v>
      </c>
      <c r="R179" s="52">
        <v>46.5</v>
      </c>
      <c r="S179" s="10">
        <v>10.000000000000124</v>
      </c>
      <c r="T179" s="52">
        <v>63.8</v>
      </c>
      <c r="U179" s="10">
        <v>12</v>
      </c>
      <c r="V179" s="52">
        <v>65.400000000000006</v>
      </c>
      <c r="W179" s="10">
        <v>35.000000000000036</v>
      </c>
      <c r="Z179" s="52">
        <v>75.900000000000006</v>
      </c>
      <c r="AA179" s="10">
        <v>109.99999999999993</v>
      </c>
      <c r="AB179" s="10">
        <v>7.9999999999999716</v>
      </c>
      <c r="AC179" s="52">
        <v>10.1</v>
      </c>
      <c r="AD179" s="3">
        <v>23.02</v>
      </c>
      <c r="AE179" s="3">
        <v>1.48</v>
      </c>
      <c r="AF179" s="3">
        <v>0.35</v>
      </c>
      <c r="AG179" s="10">
        <v>84</v>
      </c>
      <c r="AH179" s="10">
        <v>2</v>
      </c>
      <c r="AI179" s="10">
        <v>120</v>
      </c>
      <c r="AJ179" s="10">
        <v>261</v>
      </c>
      <c r="AK179" s="3">
        <v>16.25</v>
      </c>
      <c r="AL179" s="61">
        <v>74.534161490683232</v>
      </c>
      <c r="AM179" s="61">
        <v>45.977011494252871</v>
      </c>
      <c r="AO179" s="10">
        <v>89.000000000000171</v>
      </c>
      <c r="AP179" s="10">
        <v>127.99999999999986</v>
      </c>
      <c r="AQ179" s="52">
        <v>80.2</v>
      </c>
      <c r="BG179" s="10">
        <v>180</v>
      </c>
      <c r="BJ179" s="10">
        <v>264</v>
      </c>
      <c r="BK179" s="52">
        <v>101.1</v>
      </c>
      <c r="BM179" s="10">
        <v>30.000000000000053</v>
      </c>
      <c r="BN179" s="10">
        <v>45</v>
      </c>
      <c r="BO179" s="10">
        <v>75.000000000000057</v>
      </c>
      <c r="BS179" s="10">
        <v>5</v>
      </c>
      <c r="BT179" s="10">
        <v>10</v>
      </c>
      <c r="BV179" s="61">
        <v>5.3030303030303028</v>
      </c>
      <c r="BW179" s="61">
        <v>2.6969696969697017</v>
      </c>
      <c r="BZ179" s="61">
        <v>7.7651515151515156</v>
      </c>
      <c r="CA179" s="10">
        <v>0</v>
      </c>
      <c r="CB179" s="52">
        <v>101</v>
      </c>
      <c r="CG179" s="10">
        <v>2649</v>
      </c>
      <c r="CI179" s="10">
        <v>9.9999999999999645</v>
      </c>
      <c r="CJ179" s="10">
        <v>9.9999999999999645</v>
      </c>
      <c r="CK179" s="3">
        <v>-3.5527136788005009E-14</v>
      </c>
      <c r="CM179" s="3">
        <v>0.49570815450643779</v>
      </c>
      <c r="CN179" s="10">
        <v>51.999999999999972</v>
      </c>
      <c r="CO179" s="52">
        <v>10.5</v>
      </c>
      <c r="CP179" s="52">
        <v>4.3</v>
      </c>
      <c r="CQ179" s="3">
        <v>18.454935622317596</v>
      </c>
      <c r="CS179" s="10">
        <v>233</v>
      </c>
      <c r="CT179" s="10">
        <v>233.99999999999997</v>
      </c>
      <c r="CU179" s="59">
        <v>22.999999999999972</v>
      </c>
      <c r="CV179" s="10">
        <v>369.99999999999983</v>
      </c>
      <c r="CW179" s="10">
        <v>12.999999999999794</v>
      </c>
      <c r="CX179" s="60">
        <v>309.69696969696957</v>
      </c>
      <c r="CY179" s="3">
        <v>17.75</v>
      </c>
      <c r="CZ179" s="3">
        <v>5.29</v>
      </c>
      <c r="DC179" s="24">
        <v>45840.802777777775</v>
      </c>
      <c r="DD179" s="24">
        <v>45840.863194444442</v>
      </c>
      <c r="DG179" s="24">
        <v>45841</v>
      </c>
      <c r="DJ179" s="58">
        <v>45841</v>
      </c>
    </row>
    <row r="180" spans="2:114" x14ac:dyDescent="0.25">
      <c r="B180" s="1">
        <v>10288</v>
      </c>
      <c r="C180" s="12">
        <v>45840</v>
      </c>
      <c r="D180" s="2">
        <v>0.8125</v>
      </c>
      <c r="E180" s="2">
        <v>1.0618055555555557</v>
      </c>
      <c r="F180" s="61">
        <v>13.258691809074838</v>
      </c>
      <c r="G180" s="10">
        <v>15.999999999999943</v>
      </c>
      <c r="H180" s="61">
        <v>2.8616024973985432</v>
      </c>
      <c r="I180" s="52">
        <v>79.599999999999994</v>
      </c>
      <c r="J180" s="10">
        <v>9.9999999999999645</v>
      </c>
      <c r="L180" s="10">
        <v>5.0000000000001421</v>
      </c>
      <c r="N180" s="10">
        <v>63.999999999999929</v>
      </c>
      <c r="O180" s="10">
        <v>25.000000000000071</v>
      </c>
      <c r="P180" s="10">
        <v>46.2</v>
      </c>
      <c r="Q180" s="61">
        <v>2.3725391216557297</v>
      </c>
      <c r="R180" s="52">
        <v>46.7</v>
      </c>
      <c r="S180" s="10">
        <v>10.000000000000124</v>
      </c>
      <c r="T180" s="52">
        <v>64.2</v>
      </c>
      <c r="U180" s="10">
        <v>0</v>
      </c>
      <c r="V180" s="52">
        <v>65.400000000000006</v>
      </c>
      <c r="W180" s="10">
        <v>40.000000000000014</v>
      </c>
      <c r="AA180" s="10">
        <v>111.00000000000009</v>
      </c>
      <c r="AB180" s="10">
        <v>5.9999999999998188</v>
      </c>
      <c r="AC180" s="52">
        <v>12.6</v>
      </c>
      <c r="AD180" s="3">
        <v>22.57</v>
      </c>
      <c r="AE180" s="3">
        <v>1.87</v>
      </c>
      <c r="AF180" s="3">
        <v>0.4</v>
      </c>
      <c r="AG180" s="10">
        <v>87</v>
      </c>
      <c r="AH180" s="10">
        <v>2</v>
      </c>
      <c r="AI180" s="10">
        <v>120</v>
      </c>
      <c r="AJ180" s="10">
        <v>259</v>
      </c>
      <c r="AK180" s="3">
        <v>16.59</v>
      </c>
      <c r="AL180" s="61">
        <v>74.534161490683232</v>
      </c>
      <c r="AM180" s="61">
        <v>46.332046332046332</v>
      </c>
      <c r="AO180" s="10">
        <v>82.000000000000185</v>
      </c>
      <c r="AP180" s="10">
        <v>120.00000000000021</v>
      </c>
      <c r="AQ180" s="52">
        <v>79.900000000000006</v>
      </c>
      <c r="BG180" s="10">
        <v>180</v>
      </c>
      <c r="BJ180" s="10">
        <v>265</v>
      </c>
      <c r="BK180" s="52">
        <v>100.8</v>
      </c>
      <c r="BM180" s="10">
        <v>30.000000000000053</v>
      </c>
      <c r="BN180" s="10">
        <v>45</v>
      </c>
      <c r="BO180" s="10">
        <v>75.000000000000057</v>
      </c>
      <c r="BS180" s="10">
        <v>5</v>
      </c>
      <c r="BT180" s="10">
        <v>10</v>
      </c>
      <c r="BV180" s="61">
        <v>6.7924528301886795</v>
      </c>
      <c r="BW180" s="61">
        <v>1.2075471698113225</v>
      </c>
      <c r="BZ180" s="61">
        <v>8.4905660377358494</v>
      </c>
      <c r="CA180" s="10">
        <v>0</v>
      </c>
      <c r="CB180" s="52">
        <v>101.2</v>
      </c>
      <c r="CG180" s="10">
        <v>2640</v>
      </c>
      <c r="CI180" s="10">
        <v>9.9999999999999645</v>
      </c>
      <c r="CJ180" s="10">
        <v>9.9999999999999645</v>
      </c>
      <c r="CK180" s="3">
        <v>-3.5527136788005009E-14</v>
      </c>
      <c r="CM180" s="3">
        <v>0.49784482758620691</v>
      </c>
      <c r="CN180" s="10">
        <v>52.000000000000135</v>
      </c>
      <c r="CO180" s="52">
        <v>10.5</v>
      </c>
      <c r="CP180" s="52">
        <v>3.2</v>
      </c>
      <c r="CQ180" s="3">
        <v>13.793103448275861</v>
      </c>
      <c r="CS180" s="10">
        <v>232</v>
      </c>
      <c r="CT180" s="10">
        <v>226.00000000000031</v>
      </c>
      <c r="CU180" s="59">
        <v>15.000000000000313</v>
      </c>
      <c r="CV180" s="10">
        <v>359.00000000000017</v>
      </c>
      <c r="CW180" s="10">
        <v>2.0000000000001528</v>
      </c>
      <c r="CX180" s="60">
        <v>160.75471698112881</v>
      </c>
      <c r="CY180" s="3">
        <v>17.850000000000001</v>
      </c>
      <c r="CZ180" s="3">
        <v>5.29</v>
      </c>
      <c r="DC180" s="24">
        <v>45840.904861111114</v>
      </c>
      <c r="DD180" s="24">
        <v>45840.959722222222</v>
      </c>
      <c r="DG180" s="24">
        <v>45841</v>
      </c>
      <c r="DJ180" s="58">
        <v>45841</v>
      </c>
    </row>
    <row r="181" spans="2:114" x14ac:dyDescent="0.25">
      <c r="B181" s="1">
        <v>10289</v>
      </c>
      <c r="C181" s="12">
        <v>45840</v>
      </c>
      <c r="D181" s="2">
        <v>0.91319444444444453</v>
      </c>
      <c r="E181" s="2">
        <v>0.15694444444444444</v>
      </c>
      <c r="F181" s="61">
        <v>13.135351227869787</v>
      </c>
      <c r="G181" s="10">
        <v>16.99999999999994</v>
      </c>
      <c r="H181" s="61">
        <v>2.7763755678950024</v>
      </c>
      <c r="I181" s="52">
        <v>79.8</v>
      </c>
      <c r="J181" s="10">
        <v>9.9999999999999645</v>
      </c>
      <c r="N181" s="10">
        <v>61.999999999999943</v>
      </c>
      <c r="O181" s="10">
        <v>24.999999999999911</v>
      </c>
      <c r="P181" s="10">
        <v>46.4</v>
      </c>
      <c r="Q181" s="61">
        <v>2.3695487774136628</v>
      </c>
      <c r="R181" s="52">
        <v>47</v>
      </c>
      <c r="S181" s="10">
        <v>1411.0000000000002</v>
      </c>
      <c r="T181" s="52">
        <v>64.2</v>
      </c>
      <c r="U181" s="10">
        <v>0</v>
      </c>
      <c r="V181" s="52">
        <v>65.099999999999994</v>
      </c>
      <c r="W181" s="10">
        <v>35.000000000000036</v>
      </c>
      <c r="Z181" s="52">
        <v>72</v>
      </c>
      <c r="AA181" s="10">
        <v>105.99999999999994</v>
      </c>
      <c r="AB181" s="10">
        <v>7.9999999999999716</v>
      </c>
      <c r="AC181" s="52">
        <v>10</v>
      </c>
      <c r="AD181" s="3">
        <v>22.48</v>
      </c>
      <c r="AE181" s="3">
        <v>2.52</v>
      </c>
      <c r="AF181" s="3">
        <v>0.48</v>
      </c>
      <c r="AG181" s="10">
        <v>90</v>
      </c>
      <c r="AH181" s="10">
        <v>1</v>
      </c>
      <c r="AI181" s="10">
        <v>136</v>
      </c>
      <c r="AJ181" s="10">
        <v>259</v>
      </c>
      <c r="AK181" s="3">
        <v>16.62</v>
      </c>
      <c r="AL181" s="61">
        <v>84.472049689440993</v>
      </c>
      <c r="AM181" s="61">
        <v>52.509652509652504</v>
      </c>
      <c r="AO181" s="10">
        <v>79</v>
      </c>
      <c r="AP181" s="10">
        <v>121.00000000000006</v>
      </c>
      <c r="AQ181" s="52">
        <v>80</v>
      </c>
      <c r="BG181" s="10">
        <v>180</v>
      </c>
      <c r="BJ181" s="10">
        <v>265</v>
      </c>
      <c r="BK181" s="52">
        <v>100.8</v>
      </c>
      <c r="BM181" s="10">
        <v>29.999999999999993</v>
      </c>
      <c r="BN181" s="10">
        <v>45.000000000000014</v>
      </c>
      <c r="BO181" s="10">
        <v>75</v>
      </c>
      <c r="BS181" s="10">
        <v>5</v>
      </c>
      <c r="BT181" s="10">
        <v>10</v>
      </c>
      <c r="BV181" s="61">
        <v>6.7924528301886795</v>
      </c>
      <c r="BW181" s="61">
        <v>1.2075471698113225</v>
      </c>
      <c r="BZ181" s="61">
        <v>7.7358490566037732</v>
      </c>
      <c r="CA181" s="10">
        <v>0</v>
      </c>
      <c r="CB181" s="52">
        <v>101</v>
      </c>
      <c r="CG181" s="10">
        <v>2315</v>
      </c>
      <c r="CI181" s="10">
        <v>10.000000000000004</v>
      </c>
      <c r="CJ181" s="10">
        <v>10.000000000000004</v>
      </c>
      <c r="CK181" s="3">
        <v>0</v>
      </c>
      <c r="CM181" s="3">
        <v>0.49358974358974361</v>
      </c>
      <c r="CN181" s="10">
        <v>51.999999999999972</v>
      </c>
      <c r="CP181" s="52">
        <v>3.3</v>
      </c>
      <c r="CQ181" s="3">
        <v>14.102564102564102</v>
      </c>
      <c r="CS181" s="10">
        <v>234</v>
      </c>
      <c r="CT181" s="10">
        <v>219.99999999999997</v>
      </c>
      <c r="CU181" s="59">
        <v>8.9999999999999716</v>
      </c>
      <c r="CV181" s="10">
        <v>351.00000000000006</v>
      </c>
      <c r="CW181" s="10">
        <v>5.9999999999999787</v>
      </c>
      <c r="CX181" s="60">
        <v>220.75471698113222</v>
      </c>
      <c r="CY181" s="3">
        <v>17.850000000000001</v>
      </c>
      <c r="CZ181" s="3">
        <v>5.26</v>
      </c>
      <c r="DC181" s="24">
        <v>45841.004166666666</v>
      </c>
      <c r="DD181" s="24">
        <v>45841.054861111108</v>
      </c>
      <c r="DG181" s="24">
        <v>45841</v>
      </c>
      <c r="DJ181" s="58">
        <v>45841</v>
      </c>
    </row>
    <row r="182" spans="2:114" x14ac:dyDescent="0.25">
      <c r="B182" s="1">
        <v>10290</v>
      </c>
      <c r="C182" s="12">
        <v>45841</v>
      </c>
      <c r="D182" s="2">
        <v>1.3888888888888888E-2</v>
      </c>
      <c r="E182" s="2">
        <v>0.25833333333333336</v>
      </c>
      <c r="F182" s="61">
        <v>13.045944412932501</v>
      </c>
      <c r="G182" s="10">
        <v>17</v>
      </c>
      <c r="H182" s="61">
        <v>2.7596588058203713</v>
      </c>
      <c r="I182" s="52">
        <v>79.900000000000006</v>
      </c>
      <c r="J182" s="10">
        <v>9.9999999999999947</v>
      </c>
      <c r="L182" s="10">
        <v>4.0000000000000053</v>
      </c>
      <c r="N182" s="10">
        <v>63</v>
      </c>
      <c r="O182" s="10">
        <v>25</v>
      </c>
      <c r="P182" s="10">
        <v>46.6</v>
      </c>
      <c r="Q182" s="61">
        <v>2.3707440100882726</v>
      </c>
      <c r="R182" s="52">
        <v>46.7</v>
      </c>
      <c r="S182" s="10">
        <v>10.000000000000004</v>
      </c>
      <c r="T182" s="52">
        <v>64</v>
      </c>
      <c r="U182" s="10">
        <v>0</v>
      </c>
      <c r="V182" s="52">
        <v>65.400000000000006</v>
      </c>
      <c r="W182" s="10">
        <v>34.999999999999993</v>
      </c>
      <c r="AA182" s="10">
        <v>105.99999999999999</v>
      </c>
      <c r="AB182" s="10">
        <v>8.0000000000000107</v>
      </c>
      <c r="AC182" s="52">
        <v>8</v>
      </c>
      <c r="AD182" s="3">
        <v>22.8</v>
      </c>
      <c r="AE182" s="3">
        <v>2.7</v>
      </c>
      <c r="AF182" s="3">
        <v>0.43</v>
      </c>
      <c r="AG182" s="10">
        <v>90</v>
      </c>
      <c r="AH182" s="10">
        <v>1</v>
      </c>
      <c r="AI182" s="10">
        <v>136</v>
      </c>
      <c r="AJ182" s="10">
        <v>259</v>
      </c>
      <c r="AK182" s="3">
        <v>16.53</v>
      </c>
      <c r="AL182" s="61">
        <v>84.472049689440993</v>
      </c>
      <c r="AM182" s="61">
        <v>52.509652509652504</v>
      </c>
      <c r="AO182" s="10">
        <v>81.000000000000014</v>
      </c>
      <c r="AP182" s="10">
        <v>122.99999999999999</v>
      </c>
      <c r="AQ182" s="52">
        <v>80</v>
      </c>
      <c r="BG182" s="10">
        <v>182</v>
      </c>
      <c r="BJ182" s="10">
        <v>265</v>
      </c>
      <c r="BK182" s="52">
        <v>100.8</v>
      </c>
      <c r="BM182" s="10">
        <v>30.000000000000014</v>
      </c>
      <c r="BN182" s="10">
        <v>45</v>
      </c>
      <c r="BO182" s="10">
        <v>75.000000000000014</v>
      </c>
      <c r="BS182" s="10">
        <v>5</v>
      </c>
      <c r="BT182" s="10">
        <v>10</v>
      </c>
      <c r="BV182" s="61">
        <v>6.7924528301886795</v>
      </c>
      <c r="BW182" s="61">
        <v>1.2075471698113225</v>
      </c>
      <c r="BZ182" s="61">
        <v>7.7358490566037732</v>
      </c>
      <c r="CA182" s="10">
        <v>0</v>
      </c>
      <c r="CB182" s="52">
        <v>101.2</v>
      </c>
      <c r="CG182" s="10">
        <v>2459</v>
      </c>
      <c r="CI182" s="10">
        <v>10.000000000000004</v>
      </c>
      <c r="CJ182" s="10">
        <v>10.000000000000004</v>
      </c>
      <c r="CK182" s="3">
        <v>0</v>
      </c>
      <c r="CM182" s="3">
        <v>0.49358974358974361</v>
      </c>
      <c r="CN182" s="10">
        <v>52.000000000000014</v>
      </c>
      <c r="CO182" s="52">
        <v>10.5</v>
      </c>
      <c r="CP182" s="52">
        <v>3.4</v>
      </c>
      <c r="CQ182" s="3">
        <v>14.52991452991453</v>
      </c>
      <c r="CS182" s="10">
        <v>234</v>
      </c>
      <c r="CT182" s="10">
        <v>221</v>
      </c>
      <c r="CU182" s="59">
        <v>10</v>
      </c>
      <c r="CV182" s="10">
        <v>352</v>
      </c>
      <c r="CW182" s="10">
        <v>4.9999999999999822</v>
      </c>
      <c r="CX182" s="60">
        <v>210.75471698113222</v>
      </c>
      <c r="CY182" s="3">
        <v>18.2</v>
      </c>
      <c r="CZ182" s="3">
        <v>5.27</v>
      </c>
      <c r="DC182" s="24">
        <v>45841.104861111111</v>
      </c>
      <c r="DD182" s="24">
        <v>45841.15625</v>
      </c>
      <c r="DG182" s="24">
        <v>45842</v>
      </c>
      <c r="DJ182" s="58">
        <v>45842</v>
      </c>
    </row>
    <row r="183" spans="2:114" x14ac:dyDescent="0.25">
      <c r="B183" s="1">
        <v>10291</v>
      </c>
      <c r="C183" s="12">
        <v>45841</v>
      </c>
      <c r="D183" s="2">
        <v>0.11458333333333333</v>
      </c>
      <c r="E183" s="2">
        <v>0.35902777777777772</v>
      </c>
      <c r="F183" s="61">
        <v>12.957746478873238</v>
      </c>
      <c r="G183" s="10">
        <v>17</v>
      </c>
      <c r="H183" s="61">
        <v>2.7431421446384037</v>
      </c>
      <c r="I183" s="52">
        <v>79.8</v>
      </c>
      <c r="J183" s="10">
        <v>10.000000000000004</v>
      </c>
      <c r="L183" s="10">
        <v>3.9999999999999858</v>
      </c>
      <c r="N183" s="10">
        <v>61.999999999999993</v>
      </c>
      <c r="O183" s="10">
        <v>23.999999999999993</v>
      </c>
      <c r="P183" s="10">
        <v>46.3</v>
      </c>
      <c r="Q183" s="61">
        <v>2.3695487774136628</v>
      </c>
      <c r="R183" s="52">
        <v>46.5</v>
      </c>
      <c r="S183" s="10">
        <v>10.000000000000004</v>
      </c>
      <c r="T183" s="52">
        <v>64</v>
      </c>
      <c r="U183" s="10">
        <v>0</v>
      </c>
      <c r="V183" s="52">
        <v>65.7</v>
      </c>
      <c r="W183" s="10">
        <v>34.999999999999993</v>
      </c>
      <c r="Z183" s="52">
        <v>71.8</v>
      </c>
      <c r="AA183" s="10">
        <v>103.99999999999999</v>
      </c>
      <c r="AB183" s="10">
        <v>8.0000000000000107</v>
      </c>
      <c r="AC183" s="52">
        <v>8</v>
      </c>
      <c r="AD183" s="3">
        <v>22.9</v>
      </c>
      <c r="AE183" s="3">
        <v>2.4300000000000002</v>
      </c>
      <c r="AF183" s="3">
        <v>0.92</v>
      </c>
      <c r="AG183" s="10">
        <v>88</v>
      </c>
      <c r="AH183" s="10">
        <v>1</v>
      </c>
      <c r="AI183" s="10">
        <v>136</v>
      </c>
      <c r="AJ183" s="10">
        <v>260</v>
      </c>
      <c r="AK183" s="3">
        <v>16.5</v>
      </c>
      <c r="AL183" s="61">
        <v>84.472049689440993</v>
      </c>
      <c r="AM183" s="61">
        <v>52.307692307692314</v>
      </c>
      <c r="AO183" s="10">
        <v>82.000000000000028</v>
      </c>
      <c r="AP183" s="10">
        <v>123.99999999999999</v>
      </c>
      <c r="AQ183" s="52">
        <v>80.3</v>
      </c>
      <c r="BG183" s="10">
        <v>180</v>
      </c>
      <c r="BJ183" s="10">
        <v>266</v>
      </c>
      <c r="BK183" s="52">
        <v>100.9</v>
      </c>
      <c r="BM183" s="10">
        <v>29.999999999999972</v>
      </c>
      <c r="BN183" s="10">
        <v>45</v>
      </c>
      <c r="BO183" s="10">
        <v>74.999999999999972</v>
      </c>
      <c r="BS183" s="10">
        <v>5</v>
      </c>
      <c r="BT183" s="10">
        <v>10</v>
      </c>
      <c r="BV183" s="61">
        <v>6.7669172932330826</v>
      </c>
      <c r="BW183" s="61">
        <v>1.2330827067669123</v>
      </c>
      <c r="BZ183" s="61">
        <v>7.3308270676691727</v>
      </c>
      <c r="CA183" s="10">
        <v>0</v>
      </c>
      <c r="CB183" s="52">
        <v>101.1</v>
      </c>
      <c r="CG183" s="10">
        <v>2191</v>
      </c>
      <c r="CI183" s="10">
        <v>9.9999999999999645</v>
      </c>
      <c r="CJ183" s="10">
        <v>9.9999999999999645</v>
      </c>
      <c r="CK183" s="3">
        <v>-3.5527136788005009E-14</v>
      </c>
      <c r="CM183" s="3">
        <v>0.48940677966101692</v>
      </c>
      <c r="CN183" s="10">
        <v>52.999999999999972</v>
      </c>
      <c r="CO183" s="52">
        <v>10.7</v>
      </c>
      <c r="CP183" s="52">
        <v>3.5</v>
      </c>
      <c r="CQ183" s="3">
        <v>14.830508474576272</v>
      </c>
      <c r="CS183" s="10">
        <v>236</v>
      </c>
      <c r="CT183" s="10">
        <v>222.99999999999991</v>
      </c>
      <c r="CU183" s="59">
        <v>11.999999999999915</v>
      </c>
      <c r="CV183" s="10">
        <v>351.99999999999994</v>
      </c>
      <c r="CW183" s="10">
        <v>5.0000000000000888</v>
      </c>
      <c r="CX183" s="60">
        <v>193.30827067669179</v>
      </c>
      <c r="CY183" s="3">
        <v>18.12</v>
      </c>
      <c r="CZ183" s="3">
        <v>5.29</v>
      </c>
      <c r="DC183" s="24">
        <v>45841.20416666667</v>
      </c>
      <c r="DD183" s="24">
        <v>45841.256249999999</v>
      </c>
      <c r="DG183" s="24">
        <v>45842</v>
      </c>
      <c r="DJ183" s="58">
        <v>45842</v>
      </c>
    </row>
    <row r="184" spans="2:114" x14ac:dyDescent="0.25">
      <c r="B184" s="1">
        <v>10292</v>
      </c>
      <c r="C184" s="12">
        <v>45841</v>
      </c>
      <c r="D184" s="2">
        <v>0.22222222222222221</v>
      </c>
      <c r="E184" s="2">
        <v>0.46736111111111101</v>
      </c>
      <c r="F184" s="61">
        <v>13.023782559456398</v>
      </c>
      <c r="G184" s="10">
        <v>17.000000000000021</v>
      </c>
      <c r="H184" s="61">
        <v>2.7555110220440882</v>
      </c>
      <c r="I184" s="52">
        <v>79.7</v>
      </c>
      <c r="J184" s="10">
        <v>10.000000000000004</v>
      </c>
      <c r="L184" s="10">
        <v>5.0000000000000622</v>
      </c>
      <c r="N184" s="10">
        <v>62.000000000000021</v>
      </c>
      <c r="O184" s="10">
        <v>24.999999999999993</v>
      </c>
      <c r="P184" s="10">
        <v>45.8</v>
      </c>
      <c r="Q184" s="61">
        <v>2.3677581863979849</v>
      </c>
      <c r="R184" s="52">
        <v>46.8</v>
      </c>
      <c r="S184" s="10">
        <v>10.000000000000044</v>
      </c>
      <c r="T184" s="52">
        <v>64.5</v>
      </c>
      <c r="U184" s="10">
        <v>0</v>
      </c>
      <c r="V184" s="52">
        <v>65.099999999999994</v>
      </c>
      <c r="W184" s="10">
        <v>35.000000000000036</v>
      </c>
      <c r="Z184" s="52">
        <v>75.8</v>
      </c>
      <c r="AA184" s="10">
        <v>106.00000000000003</v>
      </c>
      <c r="AB184" s="10">
        <v>7.9999999999999716</v>
      </c>
      <c r="AC184" s="52">
        <v>7.6</v>
      </c>
      <c r="AD184" s="3">
        <v>23.06</v>
      </c>
      <c r="AE184" s="3">
        <v>3.31</v>
      </c>
      <c r="AG184" s="10">
        <v>0</v>
      </c>
      <c r="AH184" s="10">
        <v>1</v>
      </c>
      <c r="AI184" s="10">
        <v>136</v>
      </c>
      <c r="AJ184" s="10">
        <v>264</v>
      </c>
      <c r="AK184" s="3">
        <v>16.55</v>
      </c>
      <c r="AL184" s="61">
        <v>84.472049689440993</v>
      </c>
      <c r="AM184" s="61">
        <v>51.515151515151516</v>
      </c>
      <c r="AO184" s="10">
        <v>83.000000000000028</v>
      </c>
      <c r="AP184" s="10">
        <v>101.00000000000004</v>
      </c>
      <c r="AQ184" s="52">
        <v>79.8</v>
      </c>
      <c r="BG184" s="10">
        <v>179</v>
      </c>
      <c r="BJ184" s="10">
        <v>272</v>
      </c>
      <c r="BK184" s="52">
        <v>101</v>
      </c>
      <c r="BM184" s="10">
        <v>29.999999999999972</v>
      </c>
      <c r="BN184" s="10">
        <v>45</v>
      </c>
      <c r="BO184" s="10">
        <v>74.999999999999972</v>
      </c>
      <c r="BS184" s="10">
        <v>5</v>
      </c>
      <c r="BT184" s="10">
        <v>10</v>
      </c>
      <c r="BV184" s="61">
        <v>7.3529411764705888</v>
      </c>
      <c r="BW184" s="61">
        <v>0.64705882352941591</v>
      </c>
      <c r="BZ184" s="61">
        <v>9.375</v>
      </c>
      <c r="CA184" s="10">
        <v>0</v>
      </c>
      <c r="CB184" s="52">
        <v>101.2</v>
      </c>
      <c r="CG184" s="10">
        <v>2260</v>
      </c>
      <c r="CI184" s="10">
        <v>9.9999999999999645</v>
      </c>
      <c r="CJ184" s="10">
        <v>9.9999999999999645</v>
      </c>
      <c r="CK184" s="3">
        <v>-3.5527136788005009E-14</v>
      </c>
      <c r="CM184" s="3">
        <v>0.48940677966101692</v>
      </c>
      <c r="CN184" s="10">
        <v>52.999999999999972</v>
      </c>
      <c r="CO184" s="52">
        <v>10.5</v>
      </c>
      <c r="CP184" s="52">
        <v>3.5</v>
      </c>
      <c r="CQ184" s="3">
        <v>14.830508474576272</v>
      </c>
      <c r="CS184" s="10">
        <v>236</v>
      </c>
      <c r="CT184" s="10">
        <v>221.99999999999986</v>
      </c>
      <c r="CU184" s="59">
        <v>10.999999999999858</v>
      </c>
      <c r="CV184" s="10">
        <v>352.99999999999989</v>
      </c>
      <c r="CW184" s="10">
        <v>4.0000000000001457</v>
      </c>
      <c r="CX184" s="60">
        <v>144.70588235294326</v>
      </c>
      <c r="CY184" s="3">
        <v>18.14</v>
      </c>
      <c r="CZ184" s="3">
        <v>5.33</v>
      </c>
      <c r="DC184" s="24">
        <v>45841.313194444447</v>
      </c>
      <c r="DD184" s="24">
        <v>45841.364583333336</v>
      </c>
      <c r="DG184" s="24">
        <v>45842</v>
      </c>
      <c r="DJ184" s="58">
        <v>45842</v>
      </c>
    </row>
    <row r="185" spans="2:114" x14ac:dyDescent="0.25">
      <c r="B185" s="1">
        <v>10300</v>
      </c>
      <c r="C185" s="12">
        <v>45850</v>
      </c>
      <c r="D185" s="2">
        <v>0.68055555555555558</v>
      </c>
      <c r="E185" s="2">
        <v>0.95208333333333328</v>
      </c>
      <c r="F185" s="61">
        <v>11.752577319587628</v>
      </c>
      <c r="G185" s="10">
        <v>16.99999999999994</v>
      </c>
      <c r="H185" s="61">
        <v>2.53690036900369</v>
      </c>
      <c r="I185" s="52">
        <v>79.599999999999994</v>
      </c>
      <c r="J185" s="10">
        <v>9.9999999999999645</v>
      </c>
      <c r="L185" s="10">
        <v>8.999999999999968</v>
      </c>
      <c r="N185" s="10">
        <v>60.999999999999943</v>
      </c>
      <c r="O185" s="10">
        <v>24.000000000000075</v>
      </c>
      <c r="P185" s="10">
        <v>46.5</v>
      </c>
      <c r="Q185" s="61">
        <v>2.3600301280441878</v>
      </c>
      <c r="R185" s="52">
        <v>45</v>
      </c>
      <c r="S185" s="10">
        <v>9.9999999999999645</v>
      </c>
      <c r="T185" s="52">
        <v>62.3</v>
      </c>
      <c r="U185" s="10">
        <v>53</v>
      </c>
      <c r="V185" s="52">
        <v>65.400000000000006</v>
      </c>
      <c r="W185" s="10">
        <v>40.000000000000014</v>
      </c>
      <c r="Z185" s="52">
        <v>76</v>
      </c>
      <c r="AA185" s="10">
        <v>106.0000000000001</v>
      </c>
      <c r="AB185" s="10">
        <v>7.9999999999999716</v>
      </c>
      <c r="AC185" s="52">
        <v>8</v>
      </c>
      <c r="AD185" s="3">
        <v>23.32</v>
      </c>
      <c r="AE185" s="3">
        <v>1.3</v>
      </c>
      <c r="AF185" s="3">
        <v>0.3</v>
      </c>
      <c r="AG185" s="10">
        <v>80</v>
      </c>
      <c r="AH185" s="10">
        <v>2</v>
      </c>
      <c r="AI185" s="10">
        <v>120</v>
      </c>
      <c r="AJ185" s="10">
        <v>259</v>
      </c>
      <c r="AK185" s="3">
        <v>16.5</v>
      </c>
      <c r="AL185" s="61">
        <v>74.534161490683232</v>
      </c>
      <c r="AM185" s="61">
        <v>46.332046332046332</v>
      </c>
      <c r="AO185" s="10">
        <v>91</v>
      </c>
      <c r="AP185" s="10">
        <v>130.00000000000003</v>
      </c>
      <c r="AQ185" s="52">
        <v>80.3</v>
      </c>
      <c r="BG185" s="10">
        <v>180</v>
      </c>
      <c r="BJ185" s="10">
        <v>263</v>
      </c>
      <c r="BK185" s="52">
        <v>100.8</v>
      </c>
      <c r="BM185" s="10">
        <v>30.000000000000053</v>
      </c>
      <c r="BN185" s="10">
        <v>54.999999999999964</v>
      </c>
      <c r="BO185" s="10">
        <v>85.000000000000028</v>
      </c>
      <c r="BS185" s="10">
        <v>5</v>
      </c>
      <c r="BT185" s="10">
        <v>10</v>
      </c>
      <c r="BV185" s="61">
        <v>7.9847908745247151</v>
      </c>
      <c r="BW185" s="61">
        <v>1.5209125475283691E-2</v>
      </c>
      <c r="BZ185" s="61">
        <v>10.076045627376425</v>
      </c>
      <c r="CA185" s="10">
        <v>0</v>
      </c>
      <c r="CB185" s="52">
        <v>100.9</v>
      </c>
      <c r="CG185" s="10">
        <v>1366</v>
      </c>
      <c r="CI185" s="10">
        <v>9.9999999999999645</v>
      </c>
      <c r="CJ185" s="10">
        <v>9.9999999999999645</v>
      </c>
      <c r="CK185" s="3">
        <v>-3.5527136788005009E-14</v>
      </c>
      <c r="CM185" s="3">
        <v>0.51106194690265483</v>
      </c>
      <c r="CN185" s="10">
        <v>49.999999999999986</v>
      </c>
      <c r="CO185" s="52">
        <v>10.3</v>
      </c>
      <c r="CP185" s="52">
        <v>3.2</v>
      </c>
      <c r="CQ185" s="3">
        <v>14.159292035398231</v>
      </c>
      <c r="CS185" s="10">
        <v>226</v>
      </c>
      <c r="CT185" s="10">
        <v>259.99999999999989</v>
      </c>
      <c r="CU185" s="59">
        <v>48.999999999999886</v>
      </c>
      <c r="CV185" s="10">
        <v>390.99999999999989</v>
      </c>
      <c r="CW185" s="10">
        <v>33.999999999999879</v>
      </c>
      <c r="CX185" s="60">
        <v>301.52091254752725</v>
      </c>
      <c r="CY185" s="3">
        <v>17.75</v>
      </c>
      <c r="CZ185" s="3">
        <v>5.29</v>
      </c>
      <c r="DC185" s="24">
        <v>45850.771527777775</v>
      </c>
      <c r="DD185" s="24">
        <v>45850.844444444447</v>
      </c>
      <c r="DG185" s="24">
        <v>45851</v>
      </c>
      <c r="DJ185" s="58">
        <v>45851</v>
      </c>
    </row>
    <row r="186" spans="2:114" x14ac:dyDescent="0.25">
      <c r="B186" s="1">
        <v>10301</v>
      </c>
      <c r="C186" s="12">
        <v>45850</v>
      </c>
      <c r="D186" s="2">
        <v>0.78541666666666665</v>
      </c>
      <c r="E186" s="2">
        <v>1.0423611111111113</v>
      </c>
      <c r="F186" s="61">
        <v>13.150371640937678</v>
      </c>
      <c r="G186" s="10">
        <v>18.000000000000096</v>
      </c>
      <c r="H186" s="61">
        <v>2.7791814047498735</v>
      </c>
      <c r="I186" s="52">
        <v>79.8</v>
      </c>
      <c r="J186" s="10">
        <v>9.9999999999999645</v>
      </c>
      <c r="L186" s="10">
        <v>0.99999999999999645</v>
      </c>
      <c r="N186" s="10">
        <v>71.000000000000071</v>
      </c>
      <c r="O186" s="10">
        <v>25.999999999999908</v>
      </c>
      <c r="P186" s="10">
        <v>45.9</v>
      </c>
      <c r="Q186" s="61">
        <v>2.3570712136409226</v>
      </c>
      <c r="R186" s="52">
        <v>45.9</v>
      </c>
      <c r="S186" s="10">
        <v>11.999999999999957</v>
      </c>
      <c r="T186" s="52">
        <v>64</v>
      </c>
      <c r="U186" s="10">
        <v>0</v>
      </c>
      <c r="V186" s="52">
        <v>65.400000000000006</v>
      </c>
      <c r="W186" s="10">
        <v>40.000000000000014</v>
      </c>
      <c r="Z186" s="52">
        <v>75.7</v>
      </c>
      <c r="AA186" s="10">
        <v>115.99999999999991</v>
      </c>
      <c r="AB186" s="10">
        <v>7.9999999999999716</v>
      </c>
      <c r="AC186" s="52">
        <v>7</v>
      </c>
      <c r="AD186" s="3">
        <v>22.1</v>
      </c>
      <c r="AE186" s="3">
        <v>2.4900000000000002</v>
      </c>
      <c r="AF186" s="3">
        <v>0.86</v>
      </c>
      <c r="AG186" s="10">
        <v>88</v>
      </c>
      <c r="AH186" s="10">
        <v>2</v>
      </c>
      <c r="AI186" s="10">
        <v>136</v>
      </c>
      <c r="AJ186" s="10">
        <v>257</v>
      </c>
      <c r="AK186" s="3">
        <v>16.309999999999999</v>
      </c>
      <c r="AL186" s="61">
        <v>84.472049689440993</v>
      </c>
      <c r="AM186" s="61">
        <v>52.918287937743195</v>
      </c>
      <c r="AO186" s="10">
        <v>86.000000000000014</v>
      </c>
      <c r="AP186" s="10">
        <v>128.00000000000003</v>
      </c>
      <c r="AQ186" s="52">
        <v>79.900000000000006</v>
      </c>
      <c r="BG186" s="10">
        <v>180</v>
      </c>
      <c r="BJ186" s="10">
        <v>260</v>
      </c>
      <c r="BK186" s="52">
        <v>100.7</v>
      </c>
      <c r="BM186" s="10">
        <v>30.000000000000053</v>
      </c>
      <c r="BN186" s="10">
        <v>45</v>
      </c>
      <c r="BO186" s="10">
        <v>75.000000000000057</v>
      </c>
      <c r="BS186" s="10">
        <v>5</v>
      </c>
      <c r="BT186" s="10">
        <v>10</v>
      </c>
      <c r="BV186" s="61">
        <v>7.6923076923076925</v>
      </c>
      <c r="BW186" s="61">
        <v>0.30769230769231298</v>
      </c>
      <c r="BZ186" s="61">
        <v>9.8076923076923084</v>
      </c>
      <c r="CA186" s="10">
        <v>0</v>
      </c>
      <c r="CB186" s="52">
        <v>101.2</v>
      </c>
      <c r="CG186" s="10">
        <v>2430</v>
      </c>
      <c r="CI186" s="10">
        <v>9.9999999999999645</v>
      </c>
      <c r="CJ186" s="10">
        <v>9.9999999999999645</v>
      </c>
      <c r="CK186" s="3">
        <v>-3.5527136788005009E-14</v>
      </c>
      <c r="CM186" s="3">
        <v>0.515625</v>
      </c>
      <c r="CN186" s="10">
        <v>50.000000000000142</v>
      </c>
      <c r="CO186" s="52">
        <v>10.4</v>
      </c>
      <c r="CP186" s="52">
        <v>3.2</v>
      </c>
      <c r="CQ186" s="3">
        <v>14.285714285714286</v>
      </c>
      <c r="CS186" s="10">
        <v>224</v>
      </c>
      <c r="CT186" s="10">
        <v>228.00000000000031</v>
      </c>
      <c r="CU186" s="59">
        <v>17.000000000000313</v>
      </c>
      <c r="CV186" s="10">
        <v>370.00000000000028</v>
      </c>
      <c r="CW186" s="10">
        <v>13.000000000000274</v>
      </c>
      <c r="CX186" s="60">
        <v>50.769230769228443</v>
      </c>
      <c r="CY186" s="3">
        <v>18.060000000000002</v>
      </c>
      <c r="CZ186" s="3">
        <v>5.31</v>
      </c>
      <c r="DC186" s="24">
        <v>45850.884027777778</v>
      </c>
      <c r="DD186" s="24">
        <v>45850.941666666666</v>
      </c>
      <c r="DG186" s="24">
        <v>45851</v>
      </c>
      <c r="DJ186" s="58">
        <v>45851</v>
      </c>
    </row>
    <row r="187" spans="2:114" x14ac:dyDescent="0.25">
      <c r="B187" s="1">
        <v>10302</v>
      </c>
      <c r="C187" s="12">
        <v>45850</v>
      </c>
      <c r="D187" s="2">
        <v>0.88888888888888884</v>
      </c>
      <c r="E187" s="2">
        <v>0.14097222222222222</v>
      </c>
      <c r="F187" s="61">
        <v>13.255131964809383</v>
      </c>
      <c r="G187" s="10">
        <v>18.000000000000096</v>
      </c>
      <c r="H187" s="61">
        <v>2.848265147591921</v>
      </c>
      <c r="I187" s="52">
        <v>79.8</v>
      </c>
      <c r="J187" s="10">
        <v>9.9999999999999645</v>
      </c>
      <c r="L187" s="10">
        <v>4.9999999999999822</v>
      </c>
      <c r="N187" s="10">
        <v>63.000000000000099</v>
      </c>
      <c r="O187" s="10">
        <v>25.000000000000071</v>
      </c>
      <c r="P187" s="10">
        <v>46.1</v>
      </c>
      <c r="Q187" s="61">
        <v>2.389425521098119</v>
      </c>
      <c r="R187" s="52">
        <v>46.3</v>
      </c>
      <c r="S187" s="10">
        <v>9.9999999999998046</v>
      </c>
      <c r="T187" s="52">
        <v>64</v>
      </c>
      <c r="U187" s="10">
        <v>1</v>
      </c>
      <c r="V187" s="52">
        <v>65.599999999999994</v>
      </c>
      <c r="W187" s="10">
        <v>40.000000000000014</v>
      </c>
      <c r="Z187" s="52">
        <v>76</v>
      </c>
      <c r="AA187" s="10">
        <v>109.99999999999993</v>
      </c>
      <c r="AB187" s="10">
        <v>6.9999999999999751</v>
      </c>
      <c r="AC187" s="52">
        <v>11.6</v>
      </c>
      <c r="AD187" s="3">
        <v>21.8</v>
      </c>
      <c r="AE187" s="3">
        <v>2.36</v>
      </c>
      <c r="AF187" s="3">
        <v>0.47</v>
      </c>
      <c r="AG187" s="10">
        <v>89</v>
      </c>
      <c r="AH187" s="10">
        <v>2</v>
      </c>
      <c r="AI187" s="10">
        <v>136</v>
      </c>
      <c r="AJ187" s="10">
        <v>257</v>
      </c>
      <c r="AK187" s="3">
        <v>16.43</v>
      </c>
      <c r="AL187" s="61">
        <v>84.472049689440993</v>
      </c>
      <c r="AM187" s="61">
        <v>52.918287937743195</v>
      </c>
      <c r="AO187" s="10">
        <v>80</v>
      </c>
      <c r="AP187" s="10">
        <v>120.99999999999989</v>
      </c>
      <c r="AQ187" s="52">
        <v>79.8</v>
      </c>
      <c r="BG187" s="10">
        <v>180</v>
      </c>
      <c r="BJ187" s="10">
        <v>260</v>
      </c>
      <c r="BK187" s="52">
        <v>101.1</v>
      </c>
      <c r="BM187" s="10">
        <v>30</v>
      </c>
      <c r="BN187" s="10">
        <v>45</v>
      </c>
      <c r="BO187" s="10">
        <v>75</v>
      </c>
      <c r="BS187" s="10">
        <v>5</v>
      </c>
      <c r="BT187" s="10">
        <v>10</v>
      </c>
      <c r="BV187" s="61">
        <v>7.6923076923076925</v>
      </c>
      <c r="BW187" s="61">
        <v>0.30769230769231298</v>
      </c>
      <c r="BZ187" s="61">
        <v>9.4230769230769234</v>
      </c>
      <c r="CA187" s="10">
        <v>0</v>
      </c>
      <c r="CB187" s="52">
        <v>101.1</v>
      </c>
      <c r="CG187" s="10">
        <v>2371</v>
      </c>
      <c r="CI187" s="10">
        <v>10.000000000000004</v>
      </c>
      <c r="CJ187" s="10">
        <v>10.000000000000004</v>
      </c>
      <c r="CK187" s="3">
        <v>0</v>
      </c>
      <c r="CM187" s="3">
        <v>0.51333333333333331</v>
      </c>
      <c r="CN187" s="10">
        <v>49.999999999999986</v>
      </c>
      <c r="CO187" s="52">
        <v>10.4</v>
      </c>
      <c r="CP187" s="52">
        <v>3.2</v>
      </c>
      <c r="CQ187" s="3">
        <v>14.222222222222221</v>
      </c>
      <c r="CS187" s="10">
        <v>225</v>
      </c>
      <c r="CT187" s="10">
        <v>228.00000000000014</v>
      </c>
      <c r="CU187" s="59">
        <v>17.000000000000142</v>
      </c>
      <c r="CV187" s="10">
        <v>363.00000000000017</v>
      </c>
      <c r="CW187" s="10">
        <v>6.0000000000001386</v>
      </c>
      <c r="CX187" s="60">
        <v>50.769230769229864</v>
      </c>
      <c r="CY187" s="3">
        <v>18</v>
      </c>
      <c r="CZ187" s="3">
        <v>5.29</v>
      </c>
      <c r="DC187" s="24">
        <v>45850.982638888891</v>
      </c>
      <c r="DD187" s="24">
        <v>45851.040277777778</v>
      </c>
      <c r="DG187" s="24">
        <v>45851</v>
      </c>
      <c r="DJ187" s="58">
        <v>45851</v>
      </c>
    </row>
    <row r="188" spans="2:114" x14ac:dyDescent="0.25">
      <c r="B188" s="1">
        <v>10303</v>
      </c>
      <c r="C188" s="12">
        <v>45850</v>
      </c>
      <c r="D188" s="2">
        <v>0.98958333333333337</v>
      </c>
      <c r="E188" s="2">
        <v>0.2361111111111111</v>
      </c>
      <c r="F188" s="61">
        <v>12.988505747126435</v>
      </c>
      <c r="G188" s="10">
        <v>22.999999999999918</v>
      </c>
      <c r="H188" s="61">
        <v>2.7975584944048828</v>
      </c>
      <c r="I188" s="52">
        <v>79.7</v>
      </c>
      <c r="J188" s="10">
        <v>10</v>
      </c>
      <c r="L188" s="10">
        <v>4.999999999999992</v>
      </c>
      <c r="N188" s="10">
        <v>67.000000000000085</v>
      </c>
      <c r="O188" s="10">
        <v>24</v>
      </c>
      <c r="P188" s="10">
        <v>46.1</v>
      </c>
      <c r="Q188" s="61">
        <v>2.3552994237033325</v>
      </c>
      <c r="R188" s="52">
        <v>46.8</v>
      </c>
      <c r="S188" s="10">
        <v>9.9999999999999947</v>
      </c>
      <c r="T188" s="52">
        <v>64</v>
      </c>
      <c r="U188" s="10">
        <v>3</v>
      </c>
      <c r="V188" s="52">
        <v>65.5</v>
      </c>
      <c r="W188" s="10">
        <v>39.999999999999993</v>
      </c>
      <c r="Z188" s="52">
        <v>76</v>
      </c>
      <c r="AA188" s="10">
        <v>106</v>
      </c>
      <c r="AB188" s="10">
        <v>6.9999999999999947</v>
      </c>
      <c r="AC188" s="52">
        <v>11.1</v>
      </c>
      <c r="AD188" s="3">
        <v>22.53</v>
      </c>
      <c r="AE188" s="3">
        <v>3.01</v>
      </c>
      <c r="AF188" s="3">
        <v>1.06</v>
      </c>
      <c r="AG188" s="10">
        <v>90</v>
      </c>
      <c r="AH188" s="10">
        <v>2</v>
      </c>
      <c r="AI188" s="10">
        <v>136</v>
      </c>
      <c r="AJ188" s="10">
        <v>259</v>
      </c>
      <c r="AK188" s="3">
        <v>16.260000000000002</v>
      </c>
      <c r="AL188" s="61">
        <v>84.472049689440993</v>
      </c>
      <c r="AM188" s="61">
        <v>52.509652509652504</v>
      </c>
      <c r="AO188" s="10">
        <v>87.000000000000028</v>
      </c>
      <c r="AP188" s="10">
        <v>128</v>
      </c>
      <c r="AQ188" s="52">
        <v>80.3</v>
      </c>
      <c r="BG188" s="10">
        <v>180</v>
      </c>
      <c r="BJ188" s="10">
        <v>262</v>
      </c>
      <c r="BK188" s="52">
        <v>100.8</v>
      </c>
      <c r="BM188" s="10">
        <v>30.000000000000014</v>
      </c>
      <c r="BN188" s="10">
        <v>45</v>
      </c>
      <c r="BO188" s="10">
        <v>75.000000000000014</v>
      </c>
      <c r="BS188" s="10">
        <v>5</v>
      </c>
      <c r="BT188" s="10">
        <v>10</v>
      </c>
      <c r="BV188" s="61">
        <v>6.4885496183206106</v>
      </c>
      <c r="BW188" s="61">
        <v>1.5114503816793843</v>
      </c>
      <c r="BZ188" s="61">
        <v>8.5877862595419856</v>
      </c>
      <c r="CA188" s="10">
        <v>0</v>
      </c>
      <c r="CB188" s="52">
        <v>101</v>
      </c>
      <c r="CG188" s="10">
        <v>2446</v>
      </c>
      <c r="CI188" s="10">
        <v>10.000000000000004</v>
      </c>
      <c r="CJ188" s="10">
        <v>10.000000000000004</v>
      </c>
      <c r="CK188" s="3">
        <v>0</v>
      </c>
      <c r="CM188" s="3">
        <v>0.50436681222707425</v>
      </c>
      <c r="CN188" s="10">
        <v>50.999999999999979</v>
      </c>
      <c r="CO188" s="52">
        <v>10.4</v>
      </c>
      <c r="CP188" s="52">
        <v>3.4</v>
      </c>
      <c r="CQ188" s="3">
        <v>14.847161572052402</v>
      </c>
      <c r="CS188" s="10">
        <v>229</v>
      </c>
      <c r="CT188" s="10">
        <v>219.00000000000003</v>
      </c>
      <c r="CU188" s="59">
        <v>8.0000000000000284</v>
      </c>
      <c r="CV188" s="10">
        <v>355</v>
      </c>
      <c r="CW188" s="10">
        <v>1.9999999999999929</v>
      </c>
      <c r="CX188" s="60">
        <v>261.14503816793842</v>
      </c>
      <c r="CY188" s="3">
        <v>18.010000000000002</v>
      </c>
      <c r="CZ188" s="3">
        <v>5.27</v>
      </c>
      <c r="DC188" s="24">
        <v>45851.084027777775</v>
      </c>
      <c r="DD188" s="24">
        <v>45851.134722222225</v>
      </c>
      <c r="DG188" s="24">
        <v>45851</v>
      </c>
      <c r="DJ188" s="58">
        <v>45851</v>
      </c>
    </row>
    <row r="189" spans="2:114" x14ac:dyDescent="0.25">
      <c r="B189" s="1">
        <v>10304</v>
      </c>
      <c r="C189" s="12">
        <v>45851</v>
      </c>
      <c r="D189" s="2">
        <v>9.375E-2</v>
      </c>
      <c r="E189" s="2">
        <v>0.33958333333333329</v>
      </c>
      <c r="F189" s="61">
        <v>11.340206185567011</v>
      </c>
      <c r="G189" s="10">
        <v>17.999999999999996</v>
      </c>
      <c r="H189" s="61">
        <v>2.8292181069958846</v>
      </c>
      <c r="I189" s="52">
        <v>79.8</v>
      </c>
      <c r="J189" s="10">
        <v>10.000000000000004</v>
      </c>
      <c r="L189" s="10">
        <v>4.0000000000000258</v>
      </c>
      <c r="N189" s="10">
        <v>60.999999999999986</v>
      </c>
      <c r="O189" s="10">
        <v>24.000000000000014</v>
      </c>
      <c r="P189" s="10">
        <v>46.2</v>
      </c>
      <c r="Q189" s="61">
        <v>2.3809523809523809</v>
      </c>
      <c r="R189" s="52">
        <v>47</v>
      </c>
      <c r="S189" s="10">
        <v>10.000000000000004</v>
      </c>
      <c r="T189" s="52">
        <v>64</v>
      </c>
      <c r="U189" s="10">
        <v>0</v>
      </c>
      <c r="V189" s="52">
        <v>65.5</v>
      </c>
      <c r="W189" s="10">
        <v>39.999999999999979</v>
      </c>
      <c r="Z189" s="52">
        <v>75.8</v>
      </c>
      <c r="AA189" s="10">
        <v>105</v>
      </c>
      <c r="AB189" s="10">
        <v>7.0000000000000151</v>
      </c>
      <c r="AC189" s="52">
        <v>11.8</v>
      </c>
      <c r="AD189" s="3">
        <v>22.7</v>
      </c>
      <c r="AE189" s="3">
        <v>2.5299999999999998</v>
      </c>
      <c r="AF189" s="3">
        <v>0.96</v>
      </c>
      <c r="AG189" s="10">
        <v>90</v>
      </c>
      <c r="AH189" s="10">
        <v>1</v>
      </c>
      <c r="AI189" s="10">
        <v>136</v>
      </c>
      <c r="AJ189" s="10">
        <v>260</v>
      </c>
      <c r="AK189" s="3">
        <v>16.39</v>
      </c>
      <c r="AL189" s="61">
        <v>84.472049689440993</v>
      </c>
      <c r="AM189" s="61">
        <v>52.307692307692314</v>
      </c>
      <c r="AO189" s="10">
        <v>82</v>
      </c>
      <c r="AP189" s="10">
        <v>122.99999999999999</v>
      </c>
      <c r="AQ189" s="52">
        <v>79.8</v>
      </c>
      <c r="BG189" s="10">
        <v>179</v>
      </c>
      <c r="BJ189" s="10">
        <v>264</v>
      </c>
      <c r="BK189" s="52">
        <v>100.9</v>
      </c>
      <c r="BM189" s="10">
        <v>30.000000000000014</v>
      </c>
      <c r="BN189" s="10">
        <v>45</v>
      </c>
      <c r="BO189" s="10">
        <v>75.000000000000014</v>
      </c>
      <c r="BS189" s="10">
        <v>5</v>
      </c>
      <c r="BT189" s="10">
        <v>10</v>
      </c>
      <c r="BV189" s="61">
        <v>7.9545454545454541</v>
      </c>
      <c r="BW189" s="61">
        <v>4.5454545454541584E-2</v>
      </c>
      <c r="BZ189" s="61">
        <v>8.5227272727272716</v>
      </c>
      <c r="CA189" s="10">
        <v>0</v>
      </c>
      <c r="CB189" s="52">
        <v>100.9</v>
      </c>
      <c r="CG189" s="10">
        <v>2460</v>
      </c>
      <c r="CI189" s="10">
        <v>9.9999999999999645</v>
      </c>
      <c r="CJ189" s="10">
        <v>9.9999999999999645</v>
      </c>
      <c r="CK189" s="3">
        <v>-3.5527136788005009E-14</v>
      </c>
      <c r="CM189" s="3">
        <v>0.5</v>
      </c>
      <c r="CN189" s="10">
        <v>51.999999999999972</v>
      </c>
      <c r="CO189" s="52">
        <v>10.5</v>
      </c>
      <c r="CP189" s="52">
        <v>3.2</v>
      </c>
      <c r="CQ189" s="3">
        <v>13.852813852813853</v>
      </c>
      <c r="CS189" s="10">
        <v>231</v>
      </c>
      <c r="CT189" s="10">
        <v>223.99999999999991</v>
      </c>
      <c r="CU189" s="59">
        <v>12.999999999999915</v>
      </c>
      <c r="CV189" s="10">
        <v>353.99999999999989</v>
      </c>
      <c r="CW189" s="10">
        <v>3.0000000000000959</v>
      </c>
      <c r="CX189" s="60">
        <v>64.545454545454703</v>
      </c>
      <c r="CY189" s="3">
        <v>18.2</v>
      </c>
      <c r="CZ189" s="3">
        <v>5.29</v>
      </c>
      <c r="DC189" s="24">
        <v>45851.184027777781</v>
      </c>
      <c r="DD189" s="24">
        <v>45851.237500000003</v>
      </c>
      <c r="DG189" s="24">
        <v>45852</v>
      </c>
      <c r="DJ189" s="58">
        <v>45852</v>
      </c>
    </row>
    <row r="190" spans="2:114" x14ac:dyDescent="0.25">
      <c r="B190" s="1">
        <v>10305</v>
      </c>
      <c r="C190" s="12">
        <v>45851</v>
      </c>
      <c r="D190" s="2">
        <v>0.20138888888888887</v>
      </c>
      <c r="E190" s="2">
        <v>0.44305555555555542</v>
      </c>
      <c r="F190" s="61">
        <v>0</v>
      </c>
      <c r="G190" s="10">
        <v>17.000000000000021</v>
      </c>
      <c r="H190" s="61">
        <v>3.1374786081003991</v>
      </c>
      <c r="I190" s="52">
        <v>79.7</v>
      </c>
      <c r="J190" s="10">
        <v>10.000000000000004</v>
      </c>
      <c r="L190" s="10">
        <v>5.0000000000000622</v>
      </c>
      <c r="N190" s="10">
        <v>59.000000000000028</v>
      </c>
      <c r="O190" s="10">
        <v>23.999999999999993</v>
      </c>
      <c r="P190" s="10">
        <v>46</v>
      </c>
      <c r="Q190" s="61">
        <v>2.3809523809523809</v>
      </c>
      <c r="R190" s="52">
        <v>46.9</v>
      </c>
      <c r="S190" s="10">
        <v>10.000000000000044</v>
      </c>
      <c r="T190" s="52">
        <v>64</v>
      </c>
      <c r="U190" s="10">
        <v>0</v>
      </c>
      <c r="V190" s="52">
        <v>65.599999999999994</v>
      </c>
      <c r="W190" s="10">
        <v>39.999999999999979</v>
      </c>
      <c r="Z190" s="52">
        <v>75.8</v>
      </c>
      <c r="AA190" s="10">
        <v>102</v>
      </c>
      <c r="AB190" s="10">
        <v>7.0000000000000551</v>
      </c>
      <c r="AC190" s="52">
        <v>10.9</v>
      </c>
      <c r="AD190" s="3">
        <v>22.97</v>
      </c>
      <c r="AE190" s="3">
        <v>2.6</v>
      </c>
      <c r="AF190" s="3">
        <v>0.41</v>
      </c>
      <c r="AG190" s="10">
        <v>90</v>
      </c>
      <c r="AH190" s="10">
        <v>1</v>
      </c>
      <c r="AI190" s="10">
        <v>136</v>
      </c>
      <c r="AJ190" s="10">
        <v>263</v>
      </c>
      <c r="AK190" s="3">
        <v>16.440000000000001</v>
      </c>
      <c r="AL190" s="61">
        <v>84.472049689440993</v>
      </c>
      <c r="AM190" s="61">
        <v>51.71102661596958</v>
      </c>
      <c r="AO190" s="10">
        <v>84.999999999999943</v>
      </c>
      <c r="AP190" s="10">
        <v>124.99999999999996</v>
      </c>
      <c r="AQ190" s="52">
        <v>79.7</v>
      </c>
      <c r="BG190" s="10">
        <v>180</v>
      </c>
      <c r="BJ190" s="10">
        <v>268</v>
      </c>
      <c r="BK190" s="52">
        <v>100.8</v>
      </c>
      <c r="BM190" s="10">
        <v>29.999999999999972</v>
      </c>
      <c r="BN190" s="10">
        <v>45</v>
      </c>
      <c r="BO190" s="10">
        <v>74.999999999999972</v>
      </c>
      <c r="BS190" s="10">
        <v>5</v>
      </c>
      <c r="BT190" s="10">
        <v>10</v>
      </c>
      <c r="BV190" s="61">
        <v>8.5820895522388057</v>
      </c>
      <c r="BW190" s="61">
        <v>0.58208955223880277</v>
      </c>
      <c r="BZ190" s="61">
        <v>8.0223880597014929</v>
      </c>
      <c r="CA190" s="10">
        <v>0</v>
      </c>
      <c r="CB190" s="52">
        <v>101.2</v>
      </c>
      <c r="CG190" s="10">
        <v>2425</v>
      </c>
      <c r="CI190" s="10">
        <v>9.9999999999999645</v>
      </c>
      <c r="CJ190" s="10">
        <v>9.9999999999999645</v>
      </c>
      <c r="CK190" s="3">
        <v>-3.5527136788005009E-14</v>
      </c>
      <c r="CM190" s="3">
        <v>0.48940677966101692</v>
      </c>
      <c r="CN190" s="10">
        <v>52.999999999999972</v>
      </c>
      <c r="CO190" s="52">
        <v>10.5</v>
      </c>
      <c r="CP190" s="52">
        <v>3.4</v>
      </c>
      <c r="CQ190" s="3">
        <v>14.40677966101695</v>
      </c>
      <c r="CS190" s="10">
        <v>236</v>
      </c>
      <c r="CT190" s="10">
        <v>221.99999999999977</v>
      </c>
      <c r="CU190" s="59">
        <v>10.999999999999773</v>
      </c>
      <c r="CV190" s="10">
        <v>347.99999999999983</v>
      </c>
      <c r="CW190" s="10">
        <v>9.0000000000001812</v>
      </c>
      <c r="CX190" s="60">
        <v>138.20895522388247</v>
      </c>
      <c r="CY190" s="3">
        <v>18.149999999999999</v>
      </c>
      <c r="CZ190" s="3">
        <v>5.28</v>
      </c>
      <c r="DC190" s="24">
        <v>45851.288888888892</v>
      </c>
      <c r="DD190" s="24">
        <v>45851.340277777781</v>
      </c>
      <c r="DG190" s="24">
        <v>45852</v>
      </c>
      <c r="DJ190" s="58">
        <v>45852</v>
      </c>
    </row>
    <row r="191" spans="2:114" x14ac:dyDescent="0.25">
      <c r="B191" s="1">
        <v>10306</v>
      </c>
      <c r="C191" s="12">
        <v>45851</v>
      </c>
      <c r="D191" s="2">
        <v>0.32708333333333334</v>
      </c>
      <c r="E191" s="2">
        <v>0.5791666666666665</v>
      </c>
      <c r="F191" s="61">
        <v>11.960897067280046</v>
      </c>
      <c r="G191" s="10">
        <v>16.99999999999994</v>
      </c>
      <c r="H191" s="61">
        <v>2.8248587570621471</v>
      </c>
      <c r="I191" s="52">
        <v>79.599999999999994</v>
      </c>
      <c r="J191" s="10">
        <v>9.9999999999999645</v>
      </c>
      <c r="L191" s="10">
        <v>6.9999999999999751</v>
      </c>
      <c r="N191" s="10">
        <v>67</v>
      </c>
      <c r="O191" s="10">
        <v>24.000000000000075</v>
      </c>
      <c r="P191" s="10">
        <v>46.1</v>
      </c>
      <c r="Q191" s="61">
        <v>2.3797468354430378</v>
      </c>
      <c r="R191" s="52">
        <v>46.5</v>
      </c>
      <c r="S191" s="10">
        <v>9.9999999999999645</v>
      </c>
      <c r="T191" s="52">
        <v>64.8</v>
      </c>
      <c r="U191" s="10">
        <v>0</v>
      </c>
      <c r="V191" s="52">
        <v>65.5</v>
      </c>
      <c r="W191" s="10">
        <v>40.000000000000014</v>
      </c>
      <c r="Z191" s="52">
        <v>75.7</v>
      </c>
      <c r="AA191" s="10">
        <v>105.00000000000003</v>
      </c>
      <c r="AB191" s="10">
        <v>8.0000000000000515</v>
      </c>
      <c r="AC191" s="52">
        <v>13.2</v>
      </c>
      <c r="AD191" s="3">
        <v>23.1</v>
      </c>
      <c r="AE191" s="3">
        <v>2.4900000000000002</v>
      </c>
      <c r="AF191" s="3">
        <v>0.36</v>
      </c>
      <c r="AG191" s="10">
        <v>90</v>
      </c>
      <c r="AH191" s="10">
        <v>1</v>
      </c>
      <c r="AI191" s="10">
        <v>136</v>
      </c>
      <c r="AJ191" s="10">
        <v>263</v>
      </c>
      <c r="AK191" s="3">
        <v>16.510000000000002</v>
      </c>
      <c r="AL191" s="61">
        <v>84.472049689440993</v>
      </c>
      <c r="AM191" s="61">
        <v>51.71102661596958</v>
      </c>
      <c r="AO191" s="10">
        <v>71</v>
      </c>
      <c r="AP191" s="10">
        <v>112.00000000000009</v>
      </c>
      <c r="AQ191" s="52">
        <v>80.099999999999994</v>
      </c>
      <c r="BG191" s="10">
        <v>182</v>
      </c>
      <c r="BJ191" s="10">
        <v>271</v>
      </c>
      <c r="BK191" s="52">
        <v>101.1</v>
      </c>
      <c r="BM191" s="10">
        <v>29.999999999999972</v>
      </c>
      <c r="BN191" s="10">
        <v>44.999999999999922</v>
      </c>
      <c r="BO191" s="10">
        <v>74.999999999999886</v>
      </c>
      <c r="BS191" s="10">
        <v>5</v>
      </c>
      <c r="BT191" s="10">
        <v>10</v>
      </c>
      <c r="BV191" s="61">
        <v>7.7490774907749085</v>
      </c>
      <c r="BW191" s="61">
        <v>0.25092250922509746</v>
      </c>
      <c r="BZ191" s="61">
        <v>9.4095940959409603</v>
      </c>
      <c r="CA191" s="10">
        <v>0</v>
      </c>
      <c r="CB191" s="52">
        <v>101.1</v>
      </c>
      <c r="CG191" s="10">
        <v>2177</v>
      </c>
      <c r="CI191" s="10">
        <v>9.9999999999999645</v>
      </c>
      <c r="CJ191" s="10">
        <v>9.9999999999999645</v>
      </c>
      <c r="CK191" s="3">
        <v>-3.5527136788005009E-14</v>
      </c>
      <c r="CM191" s="3">
        <v>0.51744680851063829</v>
      </c>
      <c r="CN191" s="10">
        <v>51.999999999999972</v>
      </c>
      <c r="CO191" s="52">
        <v>10.5</v>
      </c>
      <c r="CP191" s="52">
        <v>3.5</v>
      </c>
      <c r="CQ191" s="3">
        <v>14.893617021276595</v>
      </c>
      <c r="CS191" s="10">
        <v>235</v>
      </c>
      <c r="CT191" s="10">
        <v>232.99999999999974</v>
      </c>
      <c r="CU191" s="59">
        <v>21.999999999999744</v>
      </c>
      <c r="CV191" s="10">
        <v>362.99999999999972</v>
      </c>
      <c r="CW191" s="10">
        <v>5.9999999999997122</v>
      </c>
      <c r="CX191" s="60">
        <v>55.092250922506842</v>
      </c>
      <c r="CY191" s="3">
        <v>18.149999999999999</v>
      </c>
      <c r="CZ191" s="3">
        <v>5.28</v>
      </c>
      <c r="DC191" s="24">
        <v>45851.417361111111</v>
      </c>
      <c r="DD191" s="24">
        <v>45851.477083333331</v>
      </c>
      <c r="DG191" s="24">
        <v>45852</v>
      </c>
      <c r="DJ191" s="58">
        <v>45852</v>
      </c>
    </row>
    <row r="192" spans="2:114" x14ac:dyDescent="0.25">
      <c r="B192" s="1">
        <v>10307</v>
      </c>
      <c r="C192" s="12">
        <v>45851</v>
      </c>
      <c r="D192" s="2">
        <v>0.42708333333333331</v>
      </c>
      <c r="E192" s="2">
        <v>0.66736111111111107</v>
      </c>
      <c r="F192" s="61">
        <v>12.587006960556845</v>
      </c>
      <c r="G192" s="10">
        <v>16.000000000000103</v>
      </c>
      <c r="H192" s="61">
        <v>2.8335909325090158</v>
      </c>
      <c r="I192" s="52">
        <v>80.099999999999994</v>
      </c>
      <c r="J192" s="10">
        <v>9.9999999999999645</v>
      </c>
      <c r="L192" s="10">
        <v>7.0000000000000551</v>
      </c>
      <c r="N192" s="10">
        <v>61.000000000000099</v>
      </c>
      <c r="O192" s="10">
        <v>25.999999999999908</v>
      </c>
      <c r="P192" s="10">
        <v>45.9</v>
      </c>
      <c r="Q192" s="61">
        <v>2.4434624382635821</v>
      </c>
      <c r="R192" s="52">
        <v>46.5</v>
      </c>
      <c r="S192" s="10">
        <v>10.000000000000044</v>
      </c>
      <c r="T192" s="52">
        <v>64.7</v>
      </c>
      <c r="U192" s="10">
        <v>0</v>
      </c>
      <c r="V192" s="52">
        <v>65.8</v>
      </c>
      <c r="W192" s="10">
        <v>40.000000000000014</v>
      </c>
      <c r="Z192" s="52">
        <v>75.7</v>
      </c>
      <c r="AA192" s="10">
        <v>100.99999999999989</v>
      </c>
      <c r="AB192" s="10">
        <v>6.9999999999999751</v>
      </c>
      <c r="AC192" s="52">
        <v>12.6</v>
      </c>
      <c r="AD192" s="3">
        <v>22.36</v>
      </c>
      <c r="AE192" s="3">
        <v>2.5</v>
      </c>
      <c r="AG192" s="10">
        <v>90</v>
      </c>
      <c r="AH192" s="10">
        <v>1</v>
      </c>
      <c r="AI192" s="10">
        <v>136</v>
      </c>
      <c r="AJ192" s="10">
        <v>260</v>
      </c>
      <c r="AK192" s="3">
        <v>16.329999999999998</v>
      </c>
      <c r="AL192" s="61">
        <v>84.472049689440993</v>
      </c>
      <c r="AM192" s="61">
        <v>52.307692307692314</v>
      </c>
      <c r="AO192" s="10">
        <v>83.000000000000028</v>
      </c>
      <c r="AP192" s="10">
        <v>123.00000000000004</v>
      </c>
      <c r="AQ192" s="52">
        <v>80</v>
      </c>
      <c r="BG192" s="10">
        <v>180</v>
      </c>
      <c r="BJ192" s="10">
        <v>268</v>
      </c>
      <c r="BK192" s="52">
        <v>100.9</v>
      </c>
      <c r="BM192" s="10">
        <v>30.000000000000053</v>
      </c>
      <c r="BN192" s="10">
        <v>45</v>
      </c>
      <c r="BO192" s="10">
        <v>75.000000000000057</v>
      </c>
      <c r="BS192" s="10">
        <v>5</v>
      </c>
      <c r="BT192" s="10">
        <v>10</v>
      </c>
      <c r="BV192" s="61">
        <v>8.5820895522388057</v>
      </c>
      <c r="BW192" s="61">
        <v>0.58208955223880277</v>
      </c>
      <c r="BZ192" s="61">
        <v>9.8880597014925371</v>
      </c>
      <c r="CA192" s="10">
        <v>0</v>
      </c>
      <c r="CB192" s="52">
        <v>101</v>
      </c>
      <c r="CG192" s="10">
        <v>2040</v>
      </c>
      <c r="CI192" s="10">
        <v>9.9999999999999645</v>
      </c>
      <c r="CJ192" s="10">
        <v>9.9999999999999645</v>
      </c>
      <c r="CK192" s="3">
        <v>-3.5527136788005009E-14</v>
      </c>
      <c r="CM192" s="3">
        <v>0.52640692640692643</v>
      </c>
      <c r="CN192" s="10">
        <v>51.999999999999972</v>
      </c>
      <c r="CO192" s="52">
        <v>11</v>
      </c>
      <c r="CP192" s="52">
        <v>3.3</v>
      </c>
      <c r="CQ192" s="3">
        <v>14.285714285714286</v>
      </c>
      <c r="CS192" s="10">
        <v>231</v>
      </c>
      <c r="CT192" s="10">
        <v>222</v>
      </c>
      <c r="CU192" s="59">
        <v>11</v>
      </c>
      <c r="CV192" s="10">
        <v>345.99999999999994</v>
      </c>
      <c r="CW192" s="10">
        <v>11.000000000000068</v>
      </c>
      <c r="CX192" s="60">
        <v>138.2089552238802</v>
      </c>
      <c r="CY192" s="3">
        <v>18.13</v>
      </c>
      <c r="CZ192" s="3">
        <v>5.26</v>
      </c>
      <c r="DC192" s="24">
        <v>45851.513194444444</v>
      </c>
      <c r="DD192" s="24">
        <v>45851.56527777778</v>
      </c>
      <c r="DG192" s="24">
        <v>45852</v>
      </c>
      <c r="DJ192" s="58">
        <v>45852</v>
      </c>
    </row>
    <row r="193" spans="2:114" x14ac:dyDescent="0.25">
      <c r="B193" s="1">
        <v>10308</v>
      </c>
      <c r="C193" s="12">
        <v>45851</v>
      </c>
      <c r="D193" s="2">
        <v>0.52777777777777779</v>
      </c>
      <c r="E193" s="2">
        <v>0.78749999999999998</v>
      </c>
      <c r="F193" s="61">
        <v>0</v>
      </c>
      <c r="G193" s="10">
        <v>43.000000000000007</v>
      </c>
      <c r="H193" s="61">
        <v>3.4129692832764507</v>
      </c>
      <c r="I193" s="52">
        <v>79.7</v>
      </c>
      <c r="J193" s="10">
        <v>9.9999999999999645</v>
      </c>
      <c r="L193" s="10">
        <v>2.9999999999998295</v>
      </c>
      <c r="N193" s="10">
        <v>87.000000000000014</v>
      </c>
      <c r="O193" s="10">
        <v>25.999999999999908</v>
      </c>
      <c r="P193" s="10">
        <v>46.1</v>
      </c>
      <c r="Q193" s="61">
        <v>2.6597131681877442</v>
      </c>
      <c r="R193" s="52">
        <v>47</v>
      </c>
      <c r="S193" s="10">
        <v>9.9999999999999645</v>
      </c>
      <c r="T193" s="52">
        <v>64.2</v>
      </c>
      <c r="U193" s="10">
        <v>0</v>
      </c>
      <c r="V193" s="52">
        <v>65.8</v>
      </c>
      <c r="W193" s="10">
        <v>40.000000000000014</v>
      </c>
      <c r="Z193" s="52">
        <v>76</v>
      </c>
      <c r="AA193" s="10">
        <v>104.99999999999994</v>
      </c>
      <c r="AB193" s="10">
        <v>7.9999999999999716</v>
      </c>
      <c r="AC193" s="52">
        <v>8</v>
      </c>
      <c r="AD193" s="3">
        <v>20.8</v>
      </c>
      <c r="AE193" s="3">
        <v>3.1</v>
      </c>
      <c r="AF193" s="3">
        <v>1</v>
      </c>
      <c r="AG193" s="10">
        <v>90</v>
      </c>
      <c r="AH193" s="10">
        <v>1</v>
      </c>
      <c r="AI193" s="10">
        <v>136</v>
      </c>
      <c r="AJ193" s="10">
        <v>258</v>
      </c>
      <c r="AK193" s="3">
        <v>16.47</v>
      </c>
      <c r="AL193" s="61">
        <v>78.160919540229884</v>
      </c>
      <c r="AM193" s="61">
        <v>52.713178294573652</v>
      </c>
      <c r="AO193" s="10">
        <v>81.000000000000028</v>
      </c>
      <c r="AP193" s="10">
        <v>123.00000000000004</v>
      </c>
      <c r="AQ193" s="52">
        <v>80.099999999999994</v>
      </c>
      <c r="BG193" s="10">
        <v>183</v>
      </c>
      <c r="BJ193" s="10">
        <v>266</v>
      </c>
      <c r="BK193" s="52">
        <v>100.9</v>
      </c>
      <c r="BM193" s="10">
        <v>30.000000000000053</v>
      </c>
      <c r="BN193" s="10">
        <v>45</v>
      </c>
      <c r="BO193" s="10">
        <v>75.000000000000057</v>
      </c>
      <c r="BS193" s="10">
        <v>5</v>
      </c>
      <c r="BT193" s="10">
        <v>10</v>
      </c>
      <c r="BV193" s="61">
        <v>8.6466165413533833</v>
      </c>
      <c r="BW193" s="61">
        <v>0.64661654135337998</v>
      </c>
      <c r="BZ193" s="61">
        <v>9.5864661654135332</v>
      </c>
      <c r="CA193" s="10">
        <v>0</v>
      </c>
      <c r="CB193" s="52">
        <v>101.2</v>
      </c>
      <c r="CG193" s="10">
        <v>2259</v>
      </c>
      <c r="CI193" s="10">
        <v>9.9999999999999645</v>
      </c>
      <c r="CJ193" s="10">
        <v>9.9999999999999645</v>
      </c>
      <c r="CK193" s="3">
        <v>-3.5527136788005009E-14</v>
      </c>
      <c r="CM193" s="3">
        <v>0.52869565217391301</v>
      </c>
      <c r="CN193" s="10">
        <v>50.999999999999979</v>
      </c>
      <c r="CP193" s="52">
        <v>3.5</v>
      </c>
      <c r="CQ193" s="3">
        <v>15.217391304347826</v>
      </c>
      <c r="CS193" s="10">
        <v>230</v>
      </c>
      <c r="CT193" s="10">
        <v>218.00000000000003</v>
      </c>
      <c r="CU193" s="59">
        <v>7.0000000000000284</v>
      </c>
      <c r="CV193" s="10">
        <v>373.99999999999994</v>
      </c>
      <c r="CW193" s="10">
        <v>16.99999999999994</v>
      </c>
      <c r="CX193" s="60">
        <v>184.66165413533798</v>
      </c>
      <c r="CY193" s="3">
        <v>17.8</v>
      </c>
      <c r="CZ193" s="3">
        <v>5.27</v>
      </c>
      <c r="DC193" s="24">
        <v>45851.636111111111</v>
      </c>
      <c r="DD193" s="24">
        <v>45851.686111111114</v>
      </c>
      <c r="DG193" s="24">
        <v>45852</v>
      </c>
      <c r="DJ193" s="58">
        <v>45852</v>
      </c>
    </row>
    <row r="194" spans="2:114" x14ac:dyDescent="0.25">
      <c r="B194" s="1">
        <v>10309</v>
      </c>
      <c r="C194" s="12">
        <v>45851</v>
      </c>
      <c r="D194" s="2">
        <v>0.65277777777777779</v>
      </c>
      <c r="E194" s="2">
        <v>0.89791666666666659</v>
      </c>
      <c r="F194" s="61">
        <v>13.310185185185187</v>
      </c>
      <c r="G194" s="10">
        <v>18.999999999999932</v>
      </c>
      <c r="H194" s="61">
        <v>2.8089887640449436</v>
      </c>
      <c r="I194" s="52">
        <v>79.900000000000006</v>
      </c>
      <c r="J194" s="10">
        <v>9.9999999999999645</v>
      </c>
      <c r="L194" s="10">
        <v>6.9999999999999751</v>
      </c>
      <c r="N194" s="10">
        <v>66.999999999999915</v>
      </c>
      <c r="O194" s="10">
        <v>27.000000000000064</v>
      </c>
      <c r="P194" s="10">
        <v>45.8</v>
      </c>
      <c r="Q194" s="61">
        <v>2.4697845507094063</v>
      </c>
      <c r="R194" s="52">
        <v>46.5</v>
      </c>
      <c r="S194" s="10">
        <v>9.9999999999999645</v>
      </c>
      <c r="T194" s="52">
        <v>64</v>
      </c>
      <c r="U194" s="10">
        <v>0</v>
      </c>
      <c r="V194" s="52">
        <v>65.3</v>
      </c>
      <c r="W194" s="10">
        <v>40.000000000000014</v>
      </c>
      <c r="Z194" s="52">
        <v>75.8</v>
      </c>
      <c r="AA194" s="10">
        <v>108.0000000000001</v>
      </c>
      <c r="AB194" s="10">
        <v>7.9999999999999716</v>
      </c>
      <c r="AC194" s="52">
        <v>7</v>
      </c>
      <c r="AD194" s="3">
        <v>21.89</v>
      </c>
      <c r="AE194" s="3">
        <v>2.4</v>
      </c>
      <c r="AF194" s="3">
        <v>0.35</v>
      </c>
      <c r="AG194" s="10">
        <v>90</v>
      </c>
      <c r="AH194" s="10">
        <v>1</v>
      </c>
      <c r="AI194" s="10">
        <v>136</v>
      </c>
      <c r="AJ194" s="10">
        <v>258</v>
      </c>
      <c r="AK194" s="3">
        <v>16.489999999999998</v>
      </c>
      <c r="AL194" s="61">
        <v>84.472049689440993</v>
      </c>
      <c r="AM194" s="61">
        <v>52.713178294573652</v>
      </c>
      <c r="AO194" s="10">
        <v>80.000000000000028</v>
      </c>
      <c r="AP194" s="10">
        <v>122.0000000000002</v>
      </c>
      <c r="AQ194" s="52">
        <v>80</v>
      </c>
      <c r="BG194" s="10">
        <v>182</v>
      </c>
      <c r="BJ194" s="10">
        <v>267</v>
      </c>
      <c r="BK194" s="52">
        <v>100.9</v>
      </c>
      <c r="BM194" s="10">
        <v>30.000000000000053</v>
      </c>
      <c r="BN194" s="10">
        <v>45</v>
      </c>
      <c r="BO194" s="10">
        <v>75.000000000000057</v>
      </c>
      <c r="BS194" s="10">
        <v>5</v>
      </c>
      <c r="BT194" s="10">
        <v>10</v>
      </c>
      <c r="BV194" s="61">
        <v>9.3632958801498134</v>
      </c>
      <c r="BW194" s="61">
        <v>1.3632958801498132</v>
      </c>
      <c r="BZ194" s="61">
        <v>10.299625468164795</v>
      </c>
      <c r="CA194" s="10">
        <v>0</v>
      </c>
      <c r="CB194" s="52">
        <v>100.9</v>
      </c>
      <c r="CG194" s="10">
        <v>2492</v>
      </c>
      <c r="CI194" s="10">
        <v>9.9999999999999645</v>
      </c>
      <c r="CJ194" s="10">
        <v>9.9999999999999645</v>
      </c>
      <c r="CK194" s="3">
        <v>-3.5527136788005009E-14</v>
      </c>
      <c r="CM194" s="3">
        <v>0.53100436681222707</v>
      </c>
      <c r="CN194" s="10">
        <v>50.999999999999979</v>
      </c>
      <c r="CO194" s="52">
        <v>10.5</v>
      </c>
      <c r="CP194" s="52">
        <v>3.3</v>
      </c>
      <c r="CQ194" s="3">
        <v>14.410480349344978</v>
      </c>
      <c r="CS194" s="10">
        <v>229</v>
      </c>
      <c r="CT194" s="10">
        <v>217.99999999999986</v>
      </c>
      <c r="CU194" s="59">
        <v>6.9999999999998579</v>
      </c>
      <c r="CV194" s="10">
        <v>352.99999999999989</v>
      </c>
      <c r="CW194" s="10">
        <v>4.0000000000001457</v>
      </c>
      <c r="CX194" s="60">
        <v>256.32958801498251</v>
      </c>
      <c r="CY194" s="3">
        <v>17.899999999999999</v>
      </c>
      <c r="CZ194" s="3">
        <v>5.27</v>
      </c>
      <c r="DC194" s="24">
        <v>45851.746527777781</v>
      </c>
      <c r="DD194" s="24">
        <v>45851.796527777777</v>
      </c>
      <c r="DG194" s="24">
        <v>45852</v>
      </c>
      <c r="DJ194" s="58">
        <v>45852</v>
      </c>
    </row>
    <row r="195" spans="2:114" x14ac:dyDescent="0.25">
      <c r="B195" s="1">
        <v>10310</v>
      </c>
      <c r="C195" s="12">
        <v>45851</v>
      </c>
      <c r="D195" s="2">
        <v>0.75347222222222221</v>
      </c>
      <c r="E195" s="2">
        <v>1.0020833333333334</v>
      </c>
      <c r="F195" s="61">
        <v>13.403263403263404</v>
      </c>
      <c r="G195" s="10">
        <v>18.000000000000096</v>
      </c>
      <c r="H195" s="61">
        <v>2.8263103802672149</v>
      </c>
      <c r="I195" s="52">
        <v>79.900000000000006</v>
      </c>
      <c r="J195" s="10">
        <v>9.9999999999999645</v>
      </c>
      <c r="L195" s="10">
        <v>2.9999999999999893</v>
      </c>
      <c r="N195" s="10">
        <v>59.999999999999943</v>
      </c>
      <c r="O195" s="10">
        <v>22.999999999999918</v>
      </c>
      <c r="P195" s="10">
        <v>46.1</v>
      </c>
      <c r="Q195" s="61">
        <v>2.4665442141170297</v>
      </c>
      <c r="R195" s="52">
        <v>46.7</v>
      </c>
      <c r="S195" s="10">
        <v>9.9999999999999645</v>
      </c>
      <c r="T195" s="52">
        <v>64</v>
      </c>
      <c r="U195" s="10">
        <v>0</v>
      </c>
      <c r="V195" s="52">
        <v>65.400000000000006</v>
      </c>
      <c r="W195" s="10">
        <v>40.000000000000014</v>
      </c>
      <c r="Z195" s="52">
        <v>75.8</v>
      </c>
      <c r="AA195" s="10">
        <v>101.99999999999996</v>
      </c>
      <c r="AB195" s="10">
        <v>7.9999999999999716</v>
      </c>
      <c r="AC195" s="52">
        <v>8</v>
      </c>
      <c r="AD195" s="3">
        <v>21.95</v>
      </c>
      <c r="AE195" s="3">
        <v>2.6</v>
      </c>
      <c r="AF195" s="3">
        <v>0.5</v>
      </c>
      <c r="AG195" s="10">
        <v>90</v>
      </c>
      <c r="AH195" s="10">
        <v>1</v>
      </c>
      <c r="AI195" s="10">
        <v>136</v>
      </c>
      <c r="AJ195" s="10">
        <v>259</v>
      </c>
      <c r="AK195" s="3">
        <v>16.37</v>
      </c>
      <c r="AL195" s="61">
        <v>84.472049689440993</v>
      </c>
      <c r="AM195" s="61">
        <v>52.509652509652504</v>
      </c>
      <c r="AO195" s="10">
        <v>83.000000000000028</v>
      </c>
      <c r="AP195" s="10">
        <v>125.00000000000003</v>
      </c>
      <c r="AQ195" s="52">
        <v>79.900000000000006</v>
      </c>
      <c r="BG195" s="10">
        <v>191</v>
      </c>
      <c r="BJ195" s="10">
        <v>265</v>
      </c>
      <c r="BK195" s="52">
        <v>100.7</v>
      </c>
      <c r="BM195" s="10">
        <v>30.000000000000053</v>
      </c>
      <c r="BN195" s="10">
        <v>45</v>
      </c>
      <c r="BO195" s="10">
        <v>75.000000000000057</v>
      </c>
      <c r="BS195" s="10">
        <v>5</v>
      </c>
      <c r="BT195" s="10">
        <v>10</v>
      </c>
      <c r="BV195" s="61">
        <v>8.6792452830188669</v>
      </c>
      <c r="BW195" s="61">
        <v>0.67924528301886578</v>
      </c>
      <c r="BZ195" s="61">
        <v>9.2452830188679247</v>
      </c>
      <c r="CA195" s="10">
        <v>0</v>
      </c>
      <c r="CB195" s="52">
        <v>101</v>
      </c>
      <c r="CG195" s="10">
        <v>2221</v>
      </c>
      <c r="CI195" s="10">
        <v>9.9999999999999645</v>
      </c>
      <c r="CJ195" s="10">
        <v>9.9999999999999645</v>
      </c>
      <c r="CK195" s="3">
        <v>-3.5527136788005009E-14</v>
      </c>
      <c r="CM195" s="3">
        <v>0.69652173913043469</v>
      </c>
      <c r="CN195" s="10">
        <v>51.000000000000142</v>
      </c>
      <c r="CP195" s="52">
        <v>4.7</v>
      </c>
      <c r="CQ195" s="3">
        <v>20.434782608695652</v>
      </c>
      <c r="CS195" s="10">
        <v>230</v>
      </c>
      <c r="CT195" s="10">
        <v>230.00000000000014</v>
      </c>
      <c r="CU195" s="59">
        <v>19.000000000000142</v>
      </c>
      <c r="CV195" s="10">
        <v>358.00000000000017</v>
      </c>
      <c r="CW195" s="10">
        <v>1.0000000000001563</v>
      </c>
      <c r="CX195" s="60">
        <v>67.924528301887932</v>
      </c>
      <c r="CY195" s="3">
        <v>17.75</v>
      </c>
      <c r="CZ195" s="3">
        <v>5.26</v>
      </c>
      <c r="DC195" s="24">
        <v>45851.842361111114</v>
      </c>
      <c r="DD195" s="24">
        <v>45851.900694444441</v>
      </c>
      <c r="DG195" s="24">
        <v>45852</v>
      </c>
      <c r="DJ195" s="58">
        <v>45852</v>
      </c>
    </row>
    <row r="196" spans="2:114" x14ac:dyDescent="0.25">
      <c r="B196" s="1">
        <v>10311</v>
      </c>
      <c r="C196" s="12">
        <v>45851</v>
      </c>
      <c r="D196" s="2">
        <v>0.87847222222222221</v>
      </c>
      <c r="E196" s="2">
        <v>0.12777777777777777</v>
      </c>
      <c r="F196" s="61">
        <v>13.053348467650396</v>
      </c>
      <c r="G196" s="10">
        <v>18.000000000000096</v>
      </c>
      <c r="H196" s="61">
        <v>2.7610441767068274</v>
      </c>
      <c r="I196" s="52">
        <v>79.900000000000006</v>
      </c>
      <c r="J196" s="10">
        <v>9.9999999999999645</v>
      </c>
      <c r="L196" s="10">
        <v>4.9999999999999822</v>
      </c>
      <c r="N196" s="10">
        <v>59.999999999999943</v>
      </c>
      <c r="O196" s="10">
        <v>24.999999999999911</v>
      </c>
      <c r="P196" s="10">
        <v>45.9</v>
      </c>
      <c r="Q196" s="61">
        <v>2.4600889819419001</v>
      </c>
      <c r="R196" s="52">
        <v>45</v>
      </c>
      <c r="S196" s="10">
        <v>9.9999999999999645</v>
      </c>
      <c r="T196" s="52">
        <v>62.6</v>
      </c>
      <c r="U196" s="10">
        <v>37</v>
      </c>
      <c r="V196" s="52">
        <v>65.5</v>
      </c>
      <c r="W196" s="10">
        <v>40.000000000000014</v>
      </c>
      <c r="Z196" s="52">
        <v>75.8</v>
      </c>
      <c r="AA196" s="10">
        <v>104.99999999999994</v>
      </c>
      <c r="AB196" s="10">
        <v>6.9999999999999751</v>
      </c>
      <c r="AC196" s="52">
        <v>2.6</v>
      </c>
      <c r="AD196" s="3">
        <v>22.33</v>
      </c>
      <c r="AE196" s="3">
        <v>2.66</v>
      </c>
      <c r="AF196" s="3">
        <v>0.96</v>
      </c>
      <c r="AG196" s="10">
        <v>90</v>
      </c>
      <c r="AH196" s="10">
        <v>2</v>
      </c>
      <c r="AI196" s="10">
        <v>136</v>
      </c>
      <c r="AJ196" s="10">
        <v>260</v>
      </c>
      <c r="AK196" s="3">
        <v>16.350000000000001</v>
      </c>
      <c r="AL196" s="61">
        <v>84.472049689440993</v>
      </c>
      <c r="AM196" s="61">
        <v>52.307692307692314</v>
      </c>
      <c r="AO196" s="10">
        <v>88.999999999999844</v>
      </c>
      <c r="AP196" s="10">
        <v>130.00000000000017</v>
      </c>
      <c r="AQ196" s="52">
        <v>80.3</v>
      </c>
      <c r="BG196" s="10">
        <v>182</v>
      </c>
      <c r="BJ196" s="10">
        <v>260</v>
      </c>
      <c r="BK196" s="52">
        <v>100.7</v>
      </c>
      <c r="BM196" s="10">
        <v>29.999999999999993</v>
      </c>
      <c r="BN196" s="10">
        <v>45</v>
      </c>
      <c r="BO196" s="10">
        <v>75</v>
      </c>
      <c r="BS196" s="10">
        <v>5</v>
      </c>
      <c r="BT196" s="10">
        <v>10</v>
      </c>
      <c r="BV196" s="61">
        <v>7.6923076923076925</v>
      </c>
      <c r="BW196" s="61">
        <v>0.30769230769231298</v>
      </c>
      <c r="BZ196" s="61">
        <v>9.8076923076923084</v>
      </c>
      <c r="CA196" s="10">
        <v>0</v>
      </c>
      <c r="CB196" s="52">
        <v>101.1</v>
      </c>
      <c r="CG196" s="10">
        <v>2307</v>
      </c>
      <c r="CI196" s="10">
        <v>10.000000000000004</v>
      </c>
      <c r="CJ196" s="10">
        <v>10.000000000000004</v>
      </c>
      <c r="CK196" s="3">
        <v>0</v>
      </c>
      <c r="CM196" s="3">
        <v>0.54285714285714282</v>
      </c>
      <c r="CN196" s="10">
        <v>49.999999999999986</v>
      </c>
      <c r="CO196" s="52">
        <v>10.4</v>
      </c>
      <c r="CP196" s="52">
        <v>3.4</v>
      </c>
      <c r="CQ196" s="3">
        <v>15.178571428571429</v>
      </c>
      <c r="CS196" s="10">
        <v>224</v>
      </c>
      <c r="CT196" s="10">
        <v>229</v>
      </c>
      <c r="CU196" s="59">
        <v>18</v>
      </c>
      <c r="CV196" s="10">
        <v>359</v>
      </c>
      <c r="CW196" s="10">
        <v>1.9999999999999929</v>
      </c>
      <c r="CX196" s="60">
        <v>40.769230769231285</v>
      </c>
      <c r="CY196" s="3">
        <v>17.75</v>
      </c>
      <c r="CZ196" s="3">
        <v>5.3</v>
      </c>
      <c r="DC196" s="24">
        <v>45853.025694444441</v>
      </c>
      <c r="DD196" s="24">
        <v>45853.07916666667</v>
      </c>
      <c r="DG196" s="24">
        <v>45853</v>
      </c>
      <c r="DJ196" s="58">
        <v>45853</v>
      </c>
    </row>
    <row r="197" spans="2:114" x14ac:dyDescent="0.25">
      <c r="B197" s="1">
        <v>10312</v>
      </c>
      <c r="C197" s="12">
        <v>45851</v>
      </c>
      <c r="D197" s="2">
        <v>0.97916666666666663</v>
      </c>
      <c r="E197" s="2">
        <v>0.22291666666666671</v>
      </c>
      <c r="F197" s="61">
        <v>12.865168539325841</v>
      </c>
      <c r="G197" s="10">
        <v>18.000000000000096</v>
      </c>
      <c r="H197" s="61">
        <v>2.7376804380288702</v>
      </c>
      <c r="I197" s="52">
        <v>79.7</v>
      </c>
      <c r="J197" s="10">
        <v>10.000000000000124</v>
      </c>
      <c r="L197" s="10">
        <v>6.0000000000000036</v>
      </c>
      <c r="N197" s="10">
        <v>61.000000000000099</v>
      </c>
      <c r="O197" s="10">
        <v>25.000000000000071</v>
      </c>
      <c r="P197" s="10">
        <v>46.3</v>
      </c>
      <c r="Q197" s="61">
        <v>2.4415584415584415</v>
      </c>
      <c r="R197" s="52">
        <v>46.6</v>
      </c>
      <c r="S197" s="10">
        <v>10.000000000000002</v>
      </c>
      <c r="T197" s="52">
        <v>63.8</v>
      </c>
      <c r="U197" s="10">
        <v>8</v>
      </c>
      <c r="V197" s="52">
        <v>65.5</v>
      </c>
      <c r="W197" s="10">
        <v>40.000000000000007</v>
      </c>
      <c r="Z197" s="52">
        <v>75.8</v>
      </c>
      <c r="AA197" s="10">
        <v>105.99999999999994</v>
      </c>
      <c r="AB197" s="10">
        <v>6.9999999999999947</v>
      </c>
      <c r="AC197" s="52">
        <v>5.0999999999999996</v>
      </c>
      <c r="AD197" s="3">
        <v>22.19</v>
      </c>
      <c r="AE197" s="3">
        <v>2.74</v>
      </c>
      <c r="AF197" s="3">
        <v>0.6</v>
      </c>
      <c r="AG197" s="10">
        <v>90</v>
      </c>
      <c r="AH197" s="10">
        <v>2</v>
      </c>
      <c r="AI197" s="10">
        <v>136</v>
      </c>
      <c r="AJ197" s="10">
        <v>258</v>
      </c>
      <c r="AK197" s="3">
        <v>16.25</v>
      </c>
      <c r="AL197" s="61">
        <v>84.472049689440993</v>
      </c>
      <c r="AM197" s="61">
        <v>52.713178294573652</v>
      </c>
      <c r="AO197" s="10">
        <v>81.999999999999986</v>
      </c>
      <c r="AP197" s="10">
        <v>122.99999999999999</v>
      </c>
      <c r="AQ197" s="52">
        <v>80.2</v>
      </c>
      <c r="BG197" s="10">
        <v>180</v>
      </c>
      <c r="BJ197" s="10">
        <v>263</v>
      </c>
      <c r="BK197" s="52">
        <v>100.9</v>
      </c>
      <c r="BM197" s="10">
        <v>30.000000000000014</v>
      </c>
      <c r="BN197" s="10">
        <v>45</v>
      </c>
      <c r="BO197" s="10">
        <v>75.000000000000014</v>
      </c>
      <c r="BS197" s="10">
        <v>5</v>
      </c>
      <c r="BT197" s="10">
        <v>10</v>
      </c>
      <c r="BV197" s="61">
        <v>8.7452471482889731</v>
      </c>
      <c r="BW197" s="61">
        <v>0.74524714828897021</v>
      </c>
      <c r="BZ197" s="61">
        <v>10.456273764258556</v>
      </c>
      <c r="CA197" s="10">
        <v>0</v>
      </c>
      <c r="CB197" s="52">
        <v>101.2</v>
      </c>
      <c r="CG197" s="10">
        <v>2447</v>
      </c>
      <c r="CI197" s="10">
        <v>10.000000000000004</v>
      </c>
      <c r="CJ197" s="10">
        <v>10.000000000000004</v>
      </c>
      <c r="CK197" s="3">
        <v>0</v>
      </c>
      <c r="CM197" s="3">
        <v>0.54044444444444439</v>
      </c>
      <c r="CN197" s="10">
        <v>50.000000000000021</v>
      </c>
      <c r="CO197" s="52">
        <v>10.3</v>
      </c>
      <c r="CP197" s="52">
        <v>3.3</v>
      </c>
      <c r="CQ197" s="3">
        <v>14.666666666666666</v>
      </c>
      <c r="CS197" s="10">
        <v>225</v>
      </c>
      <c r="CT197" s="10">
        <v>220.00000000000006</v>
      </c>
      <c r="CU197" s="59">
        <v>9.0000000000000568</v>
      </c>
      <c r="CV197" s="10">
        <v>351.00000000000006</v>
      </c>
      <c r="CW197" s="10">
        <v>5.9999999999999787</v>
      </c>
      <c r="CX197" s="60">
        <v>174.52471482889655</v>
      </c>
      <c r="CY197" s="3">
        <v>18.23</v>
      </c>
      <c r="CZ197" s="3">
        <v>5.28</v>
      </c>
      <c r="DC197" s="24">
        <v>45853.947916666664</v>
      </c>
      <c r="DD197" s="24">
        <v>45854.002083333333</v>
      </c>
      <c r="DG197" s="24">
        <v>45854</v>
      </c>
      <c r="DJ197" s="58">
        <v>45854</v>
      </c>
    </row>
    <row r="198" spans="2:114" x14ac:dyDescent="0.25">
      <c r="B198" s="1">
        <v>10313</v>
      </c>
      <c r="C198" s="12">
        <v>45852</v>
      </c>
      <c r="D198" s="2">
        <v>7.9861111111111105E-2</v>
      </c>
      <c r="E198" s="2">
        <v>0.33055555555555549</v>
      </c>
      <c r="F198" s="61">
        <v>0</v>
      </c>
      <c r="G198" s="10">
        <v>18.000000000000014</v>
      </c>
      <c r="H198" s="61">
        <v>3.1055900621118013</v>
      </c>
      <c r="I198" s="52">
        <v>79.900000000000006</v>
      </c>
      <c r="J198" s="10">
        <v>10.000000000000004</v>
      </c>
      <c r="L198" s="10">
        <v>14.000000000000011</v>
      </c>
      <c r="N198" s="10">
        <v>71.000000000000028</v>
      </c>
      <c r="O198" s="10">
        <v>23.999999999999993</v>
      </c>
      <c r="P198" s="10">
        <v>46</v>
      </c>
      <c r="Q198" s="61">
        <v>2.4543080939947783</v>
      </c>
      <c r="R198" s="52">
        <v>46.7</v>
      </c>
      <c r="S198" s="10">
        <v>10.000000000000004</v>
      </c>
      <c r="T198" s="52">
        <v>64.3</v>
      </c>
      <c r="U198" s="10">
        <v>0</v>
      </c>
      <c r="V198" s="52">
        <v>65.5</v>
      </c>
      <c r="W198" s="10">
        <v>39.999999999999979</v>
      </c>
      <c r="Z198" s="52">
        <v>75.8</v>
      </c>
      <c r="AA198" s="10">
        <v>115.00000000000003</v>
      </c>
      <c r="AB198" s="10">
        <v>7.9999999999999716</v>
      </c>
      <c r="AC198" s="52">
        <v>10.1</v>
      </c>
      <c r="AD198" s="3">
        <v>22.1</v>
      </c>
      <c r="AE198" s="3">
        <v>2.92</v>
      </c>
      <c r="AF198" s="3">
        <v>0.67</v>
      </c>
      <c r="AG198" s="10">
        <v>90</v>
      </c>
      <c r="AH198" s="10">
        <v>1</v>
      </c>
      <c r="AI198" s="10">
        <v>136</v>
      </c>
      <c r="AJ198" s="10">
        <v>259</v>
      </c>
      <c r="AK198" s="3">
        <v>16.579999999999998</v>
      </c>
      <c r="AL198" s="61">
        <v>84.472049689440993</v>
      </c>
      <c r="AM198" s="61">
        <v>52.509652509652504</v>
      </c>
      <c r="AO198" s="10">
        <v>81.000000000000028</v>
      </c>
      <c r="AP198" s="10">
        <v>123.0000000000001</v>
      </c>
      <c r="AQ198" s="52">
        <v>80.099999999999994</v>
      </c>
      <c r="BG198" s="10">
        <v>180</v>
      </c>
      <c r="BJ198" s="10">
        <v>267</v>
      </c>
      <c r="BK198" s="52">
        <v>100.9</v>
      </c>
      <c r="BM198" s="10">
        <v>30.000000000000014</v>
      </c>
      <c r="BN198" s="10">
        <v>45</v>
      </c>
      <c r="BO198" s="10">
        <v>75.000000000000014</v>
      </c>
      <c r="BS198" s="10">
        <v>5</v>
      </c>
      <c r="BT198" s="10">
        <v>10</v>
      </c>
      <c r="BV198" s="61">
        <v>8.9887640449438209</v>
      </c>
      <c r="BW198" s="61">
        <v>0.98876404494381975</v>
      </c>
      <c r="BZ198" s="61">
        <v>9.9250936329588022</v>
      </c>
      <c r="CA198" s="10">
        <v>0</v>
      </c>
      <c r="CB198" s="52">
        <v>101</v>
      </c>
      <c r="CG198" s="10">
        <v>2480</v>
      </c>
      <c r="CI198" s="10">
        <v>9.9999999999999645</v>
      </c>
      <c r="CJ198" s="10">
        <v>9.9999999999999645</v>
      </c>
      <c r="CK198" s="3">
        <v>-3.5527136788005009E-14</v>
      </c>
      <c r="CM198" s="3">
        <v>0.52869565217391301</v>
      </c>
      <c r="CN198" s="10">
        <v>50.999999999999979</v>
      </c>
      <c r="CO198" s="52">
        <v>10.5</v>
      </c>
      <c r="CP198" s="52">
        <v>3.7</v>
      </c>
      <c r="CQ198" s="3">
        <v>16.086956521739129</v>
      </c>
      <c r="CS198" s="10">
        <v>230</v>
      </c>
      <c r="CT198" s="10">
        <v>219.99999999999991</v>
      </c>
      <c r="CU198" s="59">
        <v>8.9999999999999147</v>
      </c>
      <c r="CV198" s="10">
        <v>360.99999999999994</v>
      </c>
      <c r="CW198" s="10">
        <v>3.9999999999999325</v>
      </c>
      <c r="CX198" s="60">
        <v>198.87640449438322</v>
      </c>
      <c r="CY198" s="3">
        <v>17.86</v>
      </c>
      <c r="CZ198" s="3">
        <v>5.28</v>
      </c>
      <c r="DC198" s="24">
        <v>45851.96875</v>
      </c>
      <c r="DD198" s="24">
        <v>45852.027083333334</v>
      </c>
      <c r="DG198" s="24">
        <v>45852</v>
      </c>
      <c r="DJ198" s="58">
        <v>45852</v>
      </c>
    </row>
    <row r="199" spans="2:114" x14ac:dyDescent="0.25">
      <c r="B199" s="1">
        <v>10314</v>
      </c>
      <c r="C199" s="12">
        <v>45852</v>
      </c>
      <c r="D199" s="2">
        <v>0.1875</v>
      </c>
      <c r="E199" s="2">
        <v>0.4326388888888888</v>
      </c>
      <c r="F199" s="61">
        <v>13.406848520023216</v>
      </c>
      <c r="G199" s="10">
        <v>17.999999999999975</v>
      </c>
      <c r="H199" s="61">
        <v>2.8147389969293757</v>
      </c>
      <c r="I199" s="52">
        <v>79.7</v>
      </c>
      <c r="J199" s="10">
        <v>10.000000000000004</v>
      </c>
      <c r="L199" s="10">
        <v>6.0000000000000187</v>
      </c>
      <c r="N199" s="10">
        <v>64.999999999999972</v>
      </c>
      <c r="O199" s="10">
        <v>25.000000000000032</v>
      </c>
      <c r="P199" s="10">
        <v>46.4</v>
      </c>
      <c r="Q199" s="61">
        <v>2.4485543110184942</v>
      </c>
      <c r="R199" s="52">
        <v>46.6</v>
      </c>
      <c r="S199" s="10">
        <v>10.000000000000004</v>
      </c>
      <c r="T199" s="52">
        <v>64.099999999999994</v>
      </c>
      <c r="U199" s="10">
        <v>0</v>
      </c>
      <c r="V199" s="52">
        <v>65.3</v>
      </c>
      <c r="W199" s="10">
        <v>39.999999999999979</v>
      </c>
      <c r="Z199" s="52">
        <v>75.7</v>
      </c>
      <c r="AA199" s="10">
        <v>106.99999999999999</v>
      </c>
      <c r="AB199" s="10">
        <v>8.0000000000000515</v>
      </c>
      <c r="AC199" s="52">
        <v>13.2</v>
      </c>
      <c r="AD199" s="3">
        <v>22</v>
      </c>
      <c r="AE199" s="3">
        <v>2.4700000000000002</v>
      </c>
      <c r="AF199" s="3">
        <v>0.43</v>
      </c>
      <c r="AG199" s="10">
        <v>90</v>
      </c>
      <c r="AH199" s="10">
        <v>1</v>
      </c>
      <c r="AI199" s="10">
        <v>136</v>
      </c>
      <c r="AJ199" s="10">
        <v>259</v>
      </c>
      <c r="AK199" s="3">
        <v>16.350000000000001</v>
      </c>
      <c r="AL199" s="61">
        <v>84.472049689440993</v>
      </c>
      <c r="AM199" s="61">
        <v>52.509652509652504</v>
      </c>
      <c r="AO199" s="10">
        <v>80.999999999999957</v>
      </c>
      <c r="AP199" s="10">
        <v>121.99999999999997</v>
      </c>
      <c r="AQ199" s="52">
        <v>79.8</v>
      </c>
      <c r="BG199" s="10">
        <v>180</v>
      </c>
      <c r="BJ199" s="10">
        <v>267</v>
      </c>
      <c r="BK199" s="52">
        <v>100.7</v>
      </c>
      <c r="BM199" s="10">
        <v>29.999999999999972</v>
      </c>
      <c r="BN199" s="10">
        <v>45</v>
      </c>
      <c r="BO199" s="10">
        <v>74.999999999999972</v>
      </c>
      <c r="BS199" s="10">
        <v>5</v>
      </c>
      <c r="BT199" s="10">
        <v>10</v>
      </c>
      <c r="BV199" s="61">
        <v>8.9887640449438209</v>
      </c>
      <c r="BW199" s="61">
        <v>0.98876404494381975</v>
      </c>
      <c r="BZ199" s="61">
        <v>10.299625468164795</v>
      </c>
      <c r="CA199" s="10">
        <v>0</v>
      </c>
      <c r="CB199" s="52">
        <v>101.2</v>
      </c>
      <c r="CG199" s="10">
        <v>2541</v>
      </c>
      <c r="CI199" s="10">
        <v>9.9999999999999645</v>
      </c>
      <c r="CJ199" s="10">
        <v>9.9999999999999645</v>
      </c>
      <c r="CK199" s="3">
        <v>-3.5527136788005009E-14</v>
      </c>
      <c r="CM199" s="3">
        <v>0.53100436681222707</v>
      </c>
      <c r="CN199" s="10">
        <v>50.999999999999979</v>
      </c>
      <c r="CO199" s="52">
        <v>10.5</v>
      </c>
      <c r="CP199" s="52">
        <v>3.6</v>
      </c>
      <c r="CQ199" s="3">
        <v>15.720524017467248</v>
      </c>
      <c r="CS199" s="10">
        <v>229</v>
      </c>
      <c r="CT199" s="10">
        <v>219.99999999999986</v>
      </c>
      <c r="CU199" s="59">
        <v>8.9999999999998579</v>
      </c>
      <c r="CV199" s="10">
        <v>352.99999999999989</v>
      </c>
      <c r="CW199" s="10">
        <v>4.0000000000001457</v>
      </c>
      <c r="CX199" s="60">
        <v>198.87640449438351</v>
      </c>
      <c r="CY199" s="3">
        <v>17.850000000000001</v>
      </c>
      <c r="CZ199" s="3">
        <v>5.26</v>
      </c>
      <c r="DC199" s="24">
        <v>45852.070138888892</v>
      </c>
      <c r="DD199" s="24">
        <v>45852.12222222222</v>
      </c>
      <c r="DG199" s="24">
        <v>45852</v>
      </c>
      <c r="DJ199" s="58">
        <v>45852</v>
      </c>
    </row>
    <row r="200" spans="2:114" x14ac:dyDescent="0.25">
      <c r="B200" s="1">
        <v>10315</v>
      </c>
      <c r="C200" s="12">
        <v>45852</v>
      </c>
      <c r="D200" s="2">
        <v>0.28819444444444448</v>
      </c>
      <c r="E200" s="2">
        <v>0.53124999999999989</v>
      </c>
      <c r="F200" s="61">
        <v>0</v>
      </c>
      <c r="G200" s="10">
        <v>17.999999999999936</v>
      </c>
      <c r="H200" s="61">
        <v>3.1718569780853514</v>
      </c>
      <c r="I200" s="52">
        <v>79.7</v>
      </c>
      <c r="J200" s="10">
        <v>9.9999999999999645</v>
      </c>
      <c r="L200" s="10">
        <v>5.9999999999999787</v>
      </c>
      <c r="N200" s="10">
        <v>61.999999999999943</v>
      </c>
      <c r="O200" s="10">
        <v>24.999999999999993</v>
      </c>
      <c r="P200" s="10">
        <v>45.8</v>
      </c>
      <c r="Q200" s="61">
        <v>2.4713839750260149</v>
      </c>
      <c r="R200" s="52">
        <v>46.5</v>
      </c>
      <c r="S200" s="10">
        <v>10.000000000000044</v>
      </c>
      <c r="T200" s="52">
        <v>64.8</v>
      </c>
      <c r="U200" s="10">
        <v>0</v>
      </c>
      <c r="V200" s="52">
        <v>65.5</v>
      </c>
      <c r="W200" s="10">
        <v>40.000000000000014</v>
      </c>
      <c r="Z200" s="52">
        <v>75.7</v>
      </c>
      <c r="AA200" s="10">
        <v>105.00000000000003</v>
      </c>
      <c r="AB200" s="10">
        <v>7.0000000000000551</v>
      </c>
      <c r="AC200" s="52">
        <v>12.4</v>
      </c>
      <c r="AD200" s="3">
        <v>22.01</v>
      </c>
      <c r="AE200" s="3">
        <v>2.4900000000000002</v>
      </c>
      <c r="AF200" s="3">
        <v>0.72</v>
      </c>
      <c r="AG200" s="10">
        <v>90</v>
      </c>
      <c r="AH200" s="10">
        <v>1</v>
      </c>
      <c r="AI200" s="10">
        <v>136</v>
      </c>
      <c r="AJ200" s="10">
        <v>259</v>
      </c>
      <c r="AK200" s="3">
        <v>16.36</v>
      </c>
      <c r="AL200" s="61">
        <v>83.950617283950606</v>
      </c>
      <c r="AM200" s="61">
        <v>52.509652509652504</v>
      </c>
      <c r="AO200" s="10">
        <v>80.999999999999943</v>
      </c>
      <c r="AP200" s="10">
        <v>121.00000000000006</v>
      </c>
      <c r="AQ200" s="52">
        <v>80.099999999999994</v>
      </c>
      <c r="BG200" s="10">
        <v>180</v>
      </c>
      <c r="BJ200" s="10">
        <v>267</v>
      </c>
      <c r="BK200" s="52">
        <v>100.7</v>
      </c>
      <c r="BM200" s="10">
        <v>29.999999999999972</v>
      </c>
      <c r="BN200" s="10">
        <v>45</v>
      </c>
      <c r="BO200" s="10">
        <v>74.999999999999972</v>
      </c>
      <c r="BS200" s="10">
        <v>5</v>
      </c>
      <c r="BT200" s="10">
        <v>10</v>
      </c>
      <c r="BV200" s="61">
        <v>8.9887640449438209</v>
      </c>
      <c r="BW200" s="61">
        <v>0.98876404494381975</v>
      </c>
      <c r="BZ200" s="61">
        <v>10.674157303370785</v>
      </c>
      <c r="CA200" s="10">
        <v>0</v>
      </c>
      <c r="CB200" s="52">
        <v>101</v>
      </c>
      <c r="CG200" s="10">
        <v>2462</v>
      </c>
      <c r="CI200" s="10">
        <v>9.9999999999999645</v>
      </c>
      <c r="CJ200" s="10">
        <v>9.9999999999999645</v>
      </c>
      <c r="CK200" s="3">
        <v>-3.5527136788005009E-14</v>
      </c>
      <c r="CM200" s="3">
        <v>0.53333333333333333</v>
      </c>
      <c r="CN200" s="10">
        <v>50.999999999999979</v>
      </c>
      <c r="CO200" s="52">
        <v>10.5</v>
      </c>
      <c r="CP200" s="52">
        <v>3.6</v>
      </c>
      <c r="CQ200" s="3">
        <v>15.789473684210526</v>
      </c>
      <c r="CS200" s="10">
        <v>228</v>
      </c>
      <c r="CT200" s="10">
        <v>219.99999999999977</v>
      </c>
      <c r="CU200" s="59">
        <v>8.9999999999997726</v>
      </c>
      <c r="CV200" s="10">
        <v>349.99999999999983</v>
      </c>
      <c r="CW200" s="10">
        <v>7.0000000000001883</v>
      </c>
      <c r="CX200" s="60">
        <v>198.87640449438436</v>
      </c>
      <c r="CY200" s="3">
        <v>17.77</v>
      </c>
      <c r="CZ200" s="3">
        <v>5.26</v>
      </c>
      <c r="DC200" s="24">
        <v>45852.177777777775</v>
      </c>
      <c r="DD200" s="24">
        <v>45852.229166666664</v>
      </c>
      <c r="DG200" s="24">
        <v>45853</v>
      </c>
      <c r="DJ200" s="58">
        <v>45853</v>
      </c>
    </row>
    <row r="201" spans="2:114" x14ac:dyDescent="0.25">
      <c r="B201" s="1">
        <v>10316</v>
      </c>
      <c r="C201" s="12">
        <v>45852</v>
      </c>
      <c r="D201" s="2">
        <v>0.39583333333333331</v>
      </c>
      <c r="E201" s="2">
        <v>0.63680555555555551</v>
      </c>
      <c r="F201" s="61">
        <v>11.002865329512893</v>
      </c>
      <c r="G201" s="10">
        <v>17.000000000000021</v>
      </c>
      <c r="H201" s="61">
        <v>2.839442436757873</v>
      </c>
      <c r="I201" s="52">
        <v>79.599999999999994</v>
      </c>
      <c r="J201" s="10">
        <v>9.9999999999999645</v>
      </c>
      <c r="L201" s="10">
        <v>3.9999999999999858</v>
      </c>
      <c r="N201" s="10">
        <v>58.99999999999995</v>
      </c>
      <c r="O201" s="10">
        <v>24.999999999999993</v>
      </c>
      <c r="P201" s="10">
        <v>46.4</v>
      </c>
      <c r="Q201" s="61">
        <v>2.4320827943078913</v>
      </c>
      <c r="R201" s="52">
        <v>47</v>
      </c>
      <c r="S201" s="10">
        <v>10.000000000000044</v>
      </c>
      <c r="T201" s="52">
        <v>64.8</v>
      </c>
      <c r="U201" s="10">
        <v>0</v>
      </c>
      <c r="V201" s="52">
        <v>65.5</v>
      </c>
      <c r="W201" s="10">
        <v>40.000000000000014</v>
      </c>
      <c r="Z201" s="52">
        <v>75.7</v>
      </c>
      <c r="AA201" s="10">
        <v>101.00000000000004</v>
      </c>
      <c r="AB201" s="10">
        <v>8.999999999999968</v>
      </c>
      <c r="AC201" s="52">
        <v>10.5</v>
      </c>
      <c r="AD201" s="3">
        <v>22.47</v>
      </c>
      <c r="AE201" s="3">
        <v>2.54</v>
      </c>
      <c r="AF201" s="3">
        <v>0.65</v>
      </c>
      <c r="AG201" s="10">
        <v>90</v>
      </c>
      <c r="AH201" s="10">
        <v>1</v>
      </c>
      <c r="AI201" s="10">
        <v>136</v>
      </c>
      <c r="AJ201" s="10">
        <v>260</v>
      </c>
      <c r="AK201" s="3">
        <v>16.61</v>
      </c>
      <c r="AL201" s="61">
        <v>84.472049689440993</v>
      </c>
      <c r="AM201" s="61">
        <v>52.307692307692314</v>
      </c>
      <c r="AO201" s="10">
        <v>80.999999999999943</v>
      </c>
      <c r="AP201" s="10">
        <v>115.99999999999999</v>
      </c>
      <c r="AQ201" s="52">
        <v>79.900000000000006</v>
      </c>
      <c r="BG201" s="10">
        <v>180</v>
      </c>
      <c r="BJ201" s="10">
        <v>267</v>
      </c>
      <c r="BK201" s="52">
        <v>101</v>
      </c>
      <c r="BM201" s="10">
        <v>30.000000000000053</v>
      </c>
      <c r="BN201" s="10">
        <v>45</v>
      </c>
      <c r="BO201" s="10">
        <v>75.000000000000057</v>
      </c>
      <c r="BS201" s="10">
        <v>5</v>
      </c>
      <c r="BT201" s="10">
        <v>10</v>
      </c>
      <c r="BV201" s="61">
        <v>7.8651685393258424</v>
      </c>
      <c r="BW201" s="61">
        <v>0.13483146067416046</v>
      </c>
      <c r="BZ201" s="61">
        <v>9.5505617977528079</v>
      </c>
      <c r="CA201" s="10">
        <v>0</v>
      </c>
      <c r="CB201" s="52">
        <v>100.9</v>
      </c>
      <c r="CG201" s="10">
        <v>2268</v>
      </c>
      <c r="CI201" s="10">
        <v>9.9999999999999645</v>
      </c>
      <c r="CJ201" s="10">
        <v>9.9999999999999645</v>
      </c>
      <c r="CK201" s="3">
        <v>-3.5527136788005009E-14</v>
      </c>
      <c r="CM201" s="3">
        <v>0.52640692640692643</v>
      </c>
      <c r="CN201" s="10">
        <v>51.999999999999972</v>
      </c>
      <c r="CO201" s="52">
        <v>10.5</v>
      </c>
      <c r="CQ201" s="3">
        <v>0</v>
      </c>
      <c r="CS201" s="10">
        <v>231</v>
      </c>
      <c r="CT201" s="10">
        <v>219.99999999999994</v>
      </c>
      <c r="CU201" s="59">
        <v>8.9999999999999432</v>
      </c>
      <c r="CV201" s="10">
        <v>347</v>
      </c>
      <c r="CW201" s="10">
        <v>10.000000000000018</v>
      </c>
      <c r="CX201" s="60">
        <v>113.4831460674166</v>
      </c>
      <c r="CY201" s="3">
        <v>18.25</v>
      </c>
      <c r="CZ201" s="3">
        <v>5.26</v>
      </c>
      <c r="DC201" s="24">
        <v>45852.279861111114</v>
      </c>
      <c r="DD201" s="24">
        <v>45852.331250000003</v>
      </c>
      <c r="DG201" s="24">
        <v>45853</v>
      </c>
      <c r="DJ201" s="58">
        <v>45853</v>
      </c>
    </row>
    <row r="202" spans="2:114" x14ac:dyDescent="0.25">
      <c r="B202" s="1">
        <v>10317</v>
      </c>
      <c r="C202" s="12">
        <v>45852</v>
      </c>
      <c r="D202" s="2">
        <v>0.52083333333333337</v>
      </c>
      <c r="E202" s="2">
        <v>0.76944444444444438</v>
      </c>
      <c r="F202" s="61">
        <v>13.126079447322972</v>
      </c>
      <c r="G202" s="10">
        <v>16.99999999999994</v>
      </c>
      <c r="H202" s="61">
        <v>2.7989821882951653</v>
      </c>
      <c r="I202" s="52">
        <v>79.7</v>
      </c>
      <c r="J202" s="10">
        <v>9.9999999999999645</v>
      </c>
      <c r="L202" s="10">
        <v>4.9999999999999822</v>
      </c>
      <c r="N202" s="10">
        <v>62.999999999999936</v>
      </c>
      <c r="O202" s="10">
        <v>24.999999999999911</v>
      </c>
      <c r="P202" s="10">
        <v>45.8</v>
      </c>
      <c r="Q202" s="61">
        <v>2.4320827943078913</v>
      </c>
      <c r="R202" s="52">
        <v>47</v>
      </c>
      <c r="S202" s="10">
        <v>10.000000000000124</v>
      </c>
      <c r="T202" s="52">
        <v>64.3</v>
      </c>
      <c r="U202" s="10">
        <v>0</v>
      </c>
      <c r="V202" s="52">
        <v>65.7</v>
      </c>
      <c r="W202" s="10">
        <v>40.000000000000014</v>
      </c>
      <c r="Z202" s="52">
        <v>75.7</v>
      </c>
      <c r="AA202" s="10">
        <v>106.0000000000001</v>
      </c>
      <c r="AB202" s="10">
        <v>7.9999999999999716</v>
      </c>
      <c r="AC202" s="52">
        <v>12.1</v>
      </c>
      <c r="AD202" s="3">
        <v>22.9</v>
      </c>
      <c r="AE202" s="3">
        <v>2.5299999999999998</v>
      </c>
      <c r="AF202" s="3">
        <v>0.61</v>
      </c>
      <c r="AG202" s="10">
        <v>90</v>
      </c>
      <c r="AH202" s="10">
        <v>1</v>
      </c>
      <c r="AI202" s="10">
        <v>136</v>
      </c>
      <c r="AJ202" s="10">
        <v>263</v>
      </c>
      <c r="AK202" s="3">
        <v>16.55</v>
      </c>
      <c r="AL202" s="61">
        <v>84.472049689440993</v>
      </c>
      <c r="AM202" s="61">
        <v>51.71102661596958</v>
      </c>
      <c r="AO202" s="10">
        <v>83.999999999999858</v>
      </c>
      <c r="AP202" s="10">
        <v>125.00000000000003</v>
      </c>
      <c r="AQ202" s="52">
        <v>79.8</v>
      </c>
      <c r="BG202" s="10">
        <v>180</v>
      </c>
      <c r="BJ202" s="10">
        <v>271</v>
      </c>
      <c r="BK202" s="52">
        <v>101</v>
      </c>
      <c r="BM202" s="10">
        <v>30.000000000000053</v>
      </c>
      <c r="BN202" s="10">
        <v>45</v>
      </c>
      <c r="BO202" s="10">
        <v>75.000000000000057</v>
      </c>
      <c r="BS202" s="10">
        <v>5</v>
      </c>
      <c r="BT202" s="10">
        <v>10</v>
      </c>
      <c r="BV202" s="61">
        <v>8.8560885608856079</v>
      </c>
      <c r="BW202" s="61">
        <v>0.85608856088561081</v>
      </c>
      <c r="BZ202" s="61">
        <v>10.14760147601476</v>
      </c>
      <c r="CA202" s="10">
        <v>0</v>
      </c>
      <c r="CB202" s="52">
        <v>100.9</v>
      </c>
      <c r="CG202" s="10">
        <v>2572</v>
      </c>
      <c r="CI202" s="10">
        <v>9.9999999999999645</v>
      </c>
      <c r="CJ202" s="10">
        <v>9.9999999999999645</v>
      </c>
      <c r="CK202" s="3">
        <v>-3.5527136788005009E-14</v>
      </c>
      <c r="CM202" s="3">
        <v>0.5218884120171674</v>
      </c>
      <c r="CN202" s="10">
        <v>51.999999999999972</v>
      </c>
      <c r="CO202" s="52">
        <v>10.5</v>
      </c>
      <c r="CP202" s="52">
        <v>3.4</v>
      </c>
      <c r="CQ202" s="3">
        <v>14.592274678111588</v>
      </c>
      <c r="CS202" s="10">
        <v>233</v>
      </c>
      <c r="CT202" s="10">
        <v>226.99999999999983</v>
      </c>
      <c r="CU202" s="59">
        <v>15.999999999999829</v>
      </c>
      <c r="CV202" s="10">
        <v>357.99999999999983</v>
      </c>
      <c r="CW202" s="10">
        <v>0.99999999999983658</v>
      </c>
      <c r="CX202" s="60">
        <v>115.60885608856285</v>
      </c>
      <c r="CY202" s="3">
        <v>18.149999999999999</v>
      </c>
      <c r="CZ202" s="3">
        <v>5.26</v>
      </c>
      <c r="DC202" s="24">
        <v>45852.378472222219</v>
      </c>
      <c r="DD202" s="24">
        <v>45852.429861111108</v>
      </c>
      <c r="DG202" s="24">
        <v>45853</v>
      </c>
      <c r="DJ202" s="58">
        <v>45853</v>
      </c>
    </row>
    <row r="203" spans="2:114" x14ac:dyDescent="0.25">
      <c r="B203" s="1">
        <v>10318</v>
      </c>
      <c r="C203" s="12">
        <v>45852</v>
      </c>
      <c r="D203" s="2">
        <v>0.62152777777777779</v>
      </c>
      <c r="E203" s="2">
        <v>0.86736111111111114</v>
      </c>
      <c r="F203" s="61">
        <v>11.894024802705749</v>
      </c>
      <c r="G203" s="10">
        <v>16.99999999999994</v>
      </c>
      <c r="H203" s="61">
        <v>2.770780856423174</v>
      </c>
      <c r="I203" s="52">
        <v>79.7</v>
      </c>
      <c r="J203" s="10">
        <v>9.9999999999999645</v>
      </c>
      <c r="L203" s="10">
        <v>5.9999999999999787</v>
      </c>
      <c r="N203" s="10">
        <v>64.999999999999929</v>
      </c>
      <c r="O203" s="10">
        <v>25.000000000000071</v>
      </c>
      <c r="P203" s="10">
        <v>46.1</v>
      </c>
      <c r="Q203" s="61">
        <v>2.4333419622055397</v>
      </c>
      <c r="R203" s="52">
        <v>46.7</v>
      </c>
      <c r="S203" s="10">
        <v>9.9999999999999645</v>
      </c>
      <c r="T203" s="52">
        <v>65.099999999999994</v>
      </c>
      <c r="U203" s="10">
        <v>0</v>
      </c>
      <c r="V203" s="52">
        <v>65.5</v>
      </c>
      <c r="W203" s="10">
        <v>40.000000000000014</v>
      </c>
      <c r="Z203" s="52">
        <v>75.7</v>
      </c>
      <c r="AA203" s="10">
        <v>108.0000000000001</v>
      </c>
      <c r="AB203" s="10">
        <v>7.9999999999999716</v>
      </c>
      <c r="AC203" s="52">
        <v>11.9</v>
      </c>
      <c r="AD203" s="3">
        <v>22.67</v>
      </c>
      <c r="AE203" s="3">
        <v>2.91</v>
      </c>
      <c r="AF203" s="3">
        <v>0.88</v>
      </c>
      <c r="AG203" s="10">
        <v>90</v>
      </c>
      <c r="AH203" s="10">
        <v>1</v>
      </c>
      <c r="AI203" s="10">
        <v>136</v>
      </c>
      <c r="AJ203" s="10">
        <v>262</v>
      </c>
      <c r="AK203" s="3">
        <v>16.28</v>
      </c>
      <c r="AL203" s="61">
        <v>84.472049689440993</v>
      </c>
      <c r="AM203" s="61">
        <v>51.908396946564885</v>
      </c>
      <c r="AO203" s="10">
        <v>82.999999999999858</v>
      </c>
      <c r="AP203" s="10">
        <v>123.99999999999989</v>
      </c>
      <c r="AQ203" s="52">
        <v>80.3</v>
      </c>
      <c r="BG203" s="10">
        <v>180</v>
      </c>
      <c r="BJ203" s="10">
        <v>265</v>
      </c>
      <c r="BK203" s="52">
        <v>101.1</v>
      </c>
      <c r="BM203" s="10">
        <v>30.000000000000053</v>
      </c>
      <c r="BN203" s="10">
        <v>45</v>
      </c>
      <c r="BO203" s="10">
        <v>75.000000000000057</v>
      </c>
      <c r="BS203" s="10">
        <v>5</v>
      </c>
      <c r="BT203" s="10">
        <v>10</v>
      </c>
      <c r="BV203" s="61">
        <v>6.7924528301886795</v>
      </c>
      <c r="BW203" s="61">
        <v>1.2075471698113225</v>
      </c>
      <c r="BZ203" s="61">
        <v>8.4905660377358494</v>
      </c>
      <c r="CA203" s="10">
        <v>0</v>
      </c>
      <c r="CB203" s="52">
        <v>101.1</v>
      </c>
      <c r="CG203" s="10">
        <v>2510</v>
      </c>
      <c r="CI203" s="10">
        <v>9.9999999999999645</v>
      </c>
      <c r="CJ203" s="10">
        <v>9.9999999999999645</v>
      </c>
      <c r="CK203" s="3">
        <v>-3.5527136788005009E-14</v>
      </c>
      <c r="CM203" s="3">
        <v>0.5241379310344827</v>
      </c>
      <c r="CN203" s="10">
        <v>51.999999999999972</v>
      </c>
      <c r="CO203" s="52">
        <v>10.7</v>
      </c>
      <c r="CP203" s="52">
        <v>3.6</v>
      </c>
      <c r="CQ203" s="3">
        <v>15.517241379310345</v>
      </c>
      <c r="CS203" s="10">
        <v>232</v>
      </c>
      <c r="CT203" s="10">
        <v>221</v>
      </c>
      <c r="CU203" s="59">
        <v>10</v>
      </c>
      <c r="CV203" s="10">
        <v>354</v>
      </c>
      <c r="CW203" s="10">
        <v>2.9999999999999893</v>
      </c>
      <c r="CX203" s="60">
        <v>210.75471698113222</v>
      </c>
      <c r="CY203" s="3">
        <v>18.25</v>
      </c>
      <c r="CZ203" s="3">
        <v>5.31</v>
      </c>
      <c r="DC203" s="24">
        <v>45852.484027777777</v>
      </c>
      <c r="DD203" s="24">
        <v>45852.534722222219</v>
      </c>
      <c r="DG203" s="24">
        <v>45853</v>
      </c>
      <c r="DJ203" s="58">
        <v>45853</v>
      </c>
    </row>
    <row r="204" spans="2:114" x14ac:dyDescent="0.25">
      <c r="B204" s="1">
        <v>10319</v>
      </c>
      <c r="C204" s="12">
        <v>45862</v>
      </c>
      <c r="D204" s="2">
        <v>0.72430555555555554</v>
      </c>
      <c r="E204" s="2">
        <v>0.96944444444444444</v>
      </c>
      <c r="F204" s="61">
        <v>13.018760659465606</v>
      </c>
      <c r="G204" s="10">
        <v>15.999999999999943</v>
      </c>
      <c r="H204" s="61">
        <v>2.7665995975855133</v>
      </c>
      <c r="I204" s="52">
        <v>79.7</v>
      </c>
      <c r="J204" s="10">
        <v>9.9999999999999645</v>
      </c>
      <c r="L204" s="10">
        <v>5.9999999999999787</v>
      </c>
      <c r="N204" s="10">
        <v>60.999999999999943</v>
      </c>
      <c r="O204" s="10">
        <v>25.000000000000071</v>
      </c>
      <c r="P204" s="10">
        <v>46.4</v>
      </c>
      <c r="Q204" s="61">
        <v>2.4485543110184942</v>
      </c>
      <c r="R204" s="52">
        <v>46.7</v>
      </c>
      <c r="S204" s="10">
        <v>9.9999999999999645</v>
      </c>
      <c r="T204" s="52">
        <v>64.5</v>
      </c>
      <c r="U204" s="10">
        <v>0</v>
      </c>
      <c r="V204" s="52">
        <v>65.8</v>
      </c>
      <c r="W204" s="10">
        <v>40.000000000000014</v>
      </c>
      <c r="Z204" s="52">
        <v>75.8</v>
      </c>
      <c r="AA204" s="10">
        <v>106.0000000000001</v>
      </c>
      <c r="AB204" s="10">
        <v>7.000000000000135</v>
      </c>
      <c r="AC204" s="52">
        <v>15.1</v>
      </c>
      <c r="AD204" s="3">
        <v>22.54</v>
      </c>
      <c r="AE204" s="3">
        <v>2.2599999999999998</v>
      </c>
      <c r="AF204" s="3">
        <v>0.64</v>
      </c>
      <c r="AG204" s="10">
        <v>90</v>
      </c>
      <c r="AH204" s="10">
        <v>1</v>
      </c>
      <c r="AI204" s="10">
        <v>136</v>
      </c>
      <c r="AJ204" s="10">
        <v>263</v>
      </c>
      <c r="AK204" s="3">
        <v>16.55</v>
      </c>
      <c r="AL204" s="61">
        <v>84.472049689440993</v>
      </c>
      <c r="AM204" s="61">
        <v>51.71102661596958</v>
      </c>
      <c r="AO204" s="10">
        <v>84.999999999999858</v>
      </c>
      <c r="AP204" s="10">
        <v>126.00000000000003</v>
      </c>
      <c r="AQ204" s="52">
        <v>80</v>
      </c>
      <c r="BG204" s="10">
        <v>180</v>
      </c>
      <c r="BJ204" s="10">
        <v>266</v>
      </c>
      <c r="BK204" s="52">
        <v>100.8</v>
      </c>
      <c r="BM204" s="10">
        <v>30.000000000000053</v>
      </c>
      <c r="BN204" s="10">
        <v>45</v>
      </c>
      <c r="BO204" s="10">
        <v>75.000000000000057</v>
      </c>
      <c r="BS204" s="10">
        <v>5</v>
      </c>
      <c r="BT204" s="10">
        <v>10</v>
      </c>
      <c r="BV204" s="61">
        <v>7.1428571428571423</v>
      </c>
      <c r="BW204" s="61">
        <v>0.85714285714286054</v>
      </c>
      <c r="BZ204" s="61">
        <v>8.8345864661654137</v>
      </c>
      <c r="CA204" s="10">
        <v>0</v>
      </c>
      <c r="CB204" s="52">
        <v>101</v>
      </c>
      <c r="CG204" s="10">
        <v>2739</v>
      </c>
      <c r="CI204" s="10">
        <v>9.9999999999999645</v>
      </c>
      <c r="CJ204" s="10">
        <v>9.9999999999999645</v>
      </c>
      <c r="CK204" s="3">
        <v>-3.5527136788005009E-14</v>
      </c>
      <c r="CM204" s="3">
        <v>0.5241379310344827</v>
      </c>
      <c r="CN204" s="10">
        <v>51.999999999999972</v>
      </c>
      <c r="CO204" s="52">
        <v>10.6</v>
      </c>
      <c r="CP204" s="52">
        <v>3.5</v>
      </c>
      <c r="CQ204" s="3">
        <v>15.086206896551724</v>
      </c>
      <c r="CS204" s="10">
        <v>232</v>
      </c>
      <c r="CT204" s="10">
        <v>223.99999999999983</v>
      </c>
      <c r="CU204" s="59">
        <v>12.999999999999829</v>
      </c>
      <c r="CV204" s="10">
        <v>353</v>
      </c>
      <c r="CW204" s="10">
        <v>3.9999999999999858</v>
      </c>
      <c r="CX204" s="60">
        <v>145.71428571428774</v>
      </c>
      <c r="CY204" s="3">
        <v>18.18</v>
      </c>
      <c r="CZ204" s="3">
        <v>5.33</v>
      </c>
      <c r="DC204" s="24">
        <v>45852.611805555556</v>
      </c>
      <c r="DD204" s="24">
        <v>45852.667361111111</v>
      </c>
      <c r="DG204" s="24">
        <v>45853</v>
      </c>
      <c r="DJ204" s="58">
        <v>45853</v>
      </c>
    </row>
    <row r="205" spans="2:114" x14ac:dyDescent="0.25">
      <c r="B205" s="1">
        <v>10320</v>
      </c>
      <c r="C205" s="12">
        <v>45852</v>
      </c>
      <c r="D205" s="2">
        <v>0.83333333333333337</v>
      </c>
      <c r="E205" s="2">
        <v>1.0770833333333334</v>
      </c>
      <c r="F205" s="61">
        <v>13.162393162393164</v>
      </c>
      <c r="G205" s="10">
        <v>17.000000000000099</v>
      </c>
      <c r="H205" s="61">
        <v>2.7693856998992952</v>
      </c>
      <c r="I205" s="52">
        <v>79.599999999999994</v>
      </c>
      <c r="J205" s="10">
        <v>9.9999999999999645</v>
      </c>
      <c r="L205" s="10">
        <v>5.0000000000001421</v>
      </c>
      <c r="N205" s="10">
        <v>59.999999999999943</v>
      </c>
      <c r="O205" s="10">
        <v>23.999999999999915</v>
      </c>
      <c r="P205" s="10">
        <v>46.6</v>
      </c>
      <c r="Q205" s="61">
        <v>2.4421927773447649</v>
      </c>
      <c r="R205" s="52">
        <v>46.8</v>
      </c>
      <c r="S205" s="10">
        <v>9.9999999999999645</v>
      </c>
      <c r="T205" s="52">
        <v>64.5</v>
      </c>
      <c r="U205" s="10">
        <v>0</v>
      </c>
      <c r="V205" s="52">
        <v>65.400000000000006</v>
      </c>
      <c r="W205" s="10">
        <v>40.000000000000014</v>
      </c>
      <c r="Z205" s="52">
        <v>75.8</v>
      </c>
      <c r="AA205" s="10">
        <v>103.99999999999979</v>
      </c>
      <c r="AB205" s="10">
        <v>6.9999999999999751</v>
      </c>
      <c r="AC205" s="52">
        <v>12.6</v>
      </c>
      <c r="AD205" s="3">
        <v>22.45</v>
      </c>
      <c r="AE205" s="3">
        <v>2.2599999999999998</v>
      </c>
      <c r="AF205" s="3">
        <v>0.72</v>
      </c>
      <c r="AG205" s="10">
        <v>90</v>
      </c>
      <c r="AH205" s="10">
        <v>1</v>
      </c>
      <c r="AI205" s="10">
        <v>136</v>
      </c>
      <c r="AJ205" s="10">
        <v>263</v>
      </c>
      <c r="AK205" s="3">
        <v>16.41</v>
      </c>
      <c r="AL205" s="61">
        <v>84.472049689440993</v>
      </c>
      <c r="AM205" s="61">
        <v>51.71102661596958</v>
      </c>
      <c r="AO205" s="10">
        <v>85.000000000000171</v>
      </c>
      <c r="AP205" s="10">
        <v>126.00000000000003</v>
      </c>
      <c r="AQ205" s="52">
        <v>79.900000000000006</v>
      </c>
      <c r="BG205" s="10">
        <v>180</v>
      </c>
      <c r="BJ205" s="10">
        <v>266</v>
      </c>
      <c r="BK205" s="52">
        <v>101</v>
      </c>
      <c r="BM205" s="10">
        <v>30.000000000000053</v>
      </c>
      <c r="BN205" s="10">
        <v>45</v>
      </c>
      <c r="BO205" s="10">
        <v>75.000000000000057</v>
      </c>
      <c r="BS205" s="10">
        <v>5</v>
      </c>
      <c r="BT205" s="10">
        <v>10</v>
      </c>
      <c r="BV205" s="61">
        <v>7.1428571428571423</v>
      </c>
      <c r="BW205" s="61">
        <v>0.85714285714286054</v>
      </c>
      <c r="BZ205" s="61">
        <v>8.8345864661654137</v>
      </c>
      <c r="CA205" s="10">
        <v>0</v>
      </c>
      <c r="CB205" s="52">
        <v>101</v>
      </c>
      <c r="CG205" s="10">
        <v>2534</v>
      </c>
      <c r="CI205" s="10">
        <v>9.9999999999999645</v>
      </c>
      <c r="CJ205" s="10">
        <v>9.9999999999999645</v>
      </c>
      <c r="CK205" s="3">
        <v>-3.5527136788005009E-14</v>
      </c>
      <c r="CM205" s="3">
        <v>0.5241379310344827</v>
      </c>
      <c r="CN205" s="10">
        <v>52.000000000000135</v>
      </c>
      <c r="CO205" s="52">
        <v>10.7</v>
      </c>
      <c r="CP205" s="52">
        <v>3.5</v>
      </c>
      <c r="CQ205" s="3">
        <v>15.086206896551724</v>
      </c>
      <c r="CS205" s="10">
        <v>232</v>
      </c>
      <c r="CT205" s="10">
        <v>223.00000000000017</v>
      </c>
      <c r="CU205" s="59">
        <v>12.000000000000171</v>
      </c>
      <c r="CV205" s="10">
        <v>351.00000000000006</v>
      </c>
      <c r="CW205" s="10">
        <v>5.9999999999999787</v>
      </c>
      <c r="CX205" s="60">
        <v>155.71428571428433</v>
      </c>
      <c r="CY205" s="3">
        <v>18.18</v>
      </c>
      <c r="CZ205" s="3">
        <v>5.29</v>
      </c>
      <c r="DC205" s="24">
        <v>45852.713888888888</v>
      </c>
      <c r="DD205" s="24">
        <v>45852.765277777777</v>
      </c>
      <c r="DG205" s="24">
        <v>45853</v>
      </c>
      <c r="DJ205" s="58">
        <v>45853</v>
      </c>
    </row>
    <row r="206" spans="2:114" x14ac:dyDescent="0.25">
      <c r="B206" s="1">
        <v>10321</v>
      </c>
      <c r="C206" s="12">
        <v>45852</v>
      </c>
      <c r="D206" s="2">
        <v>0.93402777777777779</v>
      </c>
      <c r="E206" s="2">
        <v>0.18125000000000002</v>
      </c>
      <c r="F206" s="61">
        <v>12.883087400681045</v>
      </c>
      <c r="G206" s="10">
        <v>16.99999999999994</v>
      </c>
      <c r="H206" s="61">
        <v>2.7652086475615887</v>
      </c>
      <c r="I206" s="52">
        <v>79.7</v>
      </c>
      <c r="J206" s="10">
        <v>9.9999999999999645</v>
      </c>
      <c r="L206" s="10">
        <v>5.9999999999999787</v>
      </c>
      <c r="N206" s="10">
        <v>62.999999999999936</v>
      </c>
      <c r="O206" s="10">
        <v>25.000000000000071</v>
      </c>
      <c r="P206" s="10">
        <v>46.2</v>
      </c>
      <c r="Q206" s="61">
        <v>2.4390243902439024</v>
      </c>
      <c r="R206" s="52">
        <v>46.8</v>
      </c>
      <c r="S206" s="10">
        <v>9.9999999999999645</v>
      </c>
      <c r="T206" s="52">
        <v>64.2</v>
      </c>
      <c r="U206" s="10">
        <v>0</v>
      </c>
      <c r="V206" s="52">
        <v>65.400000000000006</v>
      </c>
      <c r="W206" s="10">
        <v>40.000000000000014</v>
      </c>
      <c r="Z206" s="52">
        <v>75.8</v>
      </c>
      <c r="AA206" s="10">
        <v>107.99999999999994</v>
      </c>
      <c r="AB206" s="10">
        <v>7.0000000000000053</v>
      </c>
      <c r="AC206" s="52">
        <v>14.6</v>
      </c>
      <c r="AD206" s="3">
        <v>22.56</v>
      </c>
      <c r="AE206" s="3">
        <v>2.5499999999999998</v>
      </c>
      <c r="AF206" s="3">
        <v>0.66</v>
      </c>
      <c r="AG206" s="10">
        <v>90</v>
      </c>
      <c r="AH206" s="10">
        <v>1</v>
      </c>
      <c r="AI206" s="10">
        <v>136</v>
      </c>
      <c r="AJ206" s="10">
        <v>264</v>
      </c>
      <c r="AK206" s="3">
        <v>16.3</v>
      </c>
      <c r="AL206" s="61">
        <v>84.472049689440993</v>
      </c>
      <c r="AM206" s="61">
        <v>51.515151515151516</v>
      </c>
      <c r="AO206" s="10">
        <v>85</v>
      </c>
      <c r="AP206" s="10">
        <v>125.99999999999997</v>
      </c>
      <c r="AQ206" s="52">
        <v>80.3</v>
      </c>
      <c r="BG206" s="10">
        <v>180</v>
      </c>
      <c r="BJ206" s="10">
        <v>267</v>
      </c>
      <c r="BK206" s="52">
        <v>101.1</v>
      </c>
      <c r="BM206" s="10">
        <v>29.999999999999993</v>
      </c>
      <c r="BN206" s="10">
        <v>45.000000000000014</v>
      </c>
      <c r="BO206" s="10">
        <v>75</v>
      </c>
      <c r="BS206" s="10">
        <v>5</v>
      </c>
      <c r="BT206" s="10">
        <v>10</v>
      </c>
      <c r="BV206" s="61">
        <v>7.4906367041198507</v>
      </c>
      <c r="BW206" s="61">
        <v>0.50936329588015394</v>
      </c>
      <c r="BZ206" s="61">
        <v>8.8014981273408246</v>
      </c>
      <c r="CA206" s="10">
        <v>0</v>
      </c>
      <c r="CB206" s="52">
        <v>101.2</v>
      </c>
      <c r="CG206" s="10">
        <v>2810</v>
      </c>
      <c r="CI206" s="10">
        <v>10.000000000000004</v>
      </c>
      <c r="CJ206" s="10">
        <v>10.000000000000004</v>
      </c>
      <c r="CK206" s="3">
        <v>0</v>
      </c>
      <c r="CM206" s="3">
        <v>0.68755364806866948</v>
      </c>
      <c r="CN206" s="10">
        <v>52.000000000000014</v>
      </c>
      <c r="CP206" s="52">
        <v>4.4000000000000004</v>
      </c>
      <c r="CQ206" s="3">
        <v>18.884120171673821</v>
      </c>
      <c r="CS206" s="10">
        <v>233</v>
      </c>
      <c r="CT206" s="10">
        <v>224.00000000000006</v>
      </c>
      <c r="CU206" s="59">
        <v>13.000000000000057</v>
      </c>
      <c r="CV206" s="10">
        <v>355.99999999999983</v>
      </c>
      <c r="CW206" s="10">
        <v>1.0000000000001563</v>
      </c>
      <c r="CX206" s="60">
        <v>110.9363295880148</v>
      </c>
      <c r="CY206" s="3">
        <v>18.25</v>
      </c>
      <c r="CZ206" s="3">
        <v>5.32</v>
      </c>
      <c r="DC206" s="24">
        <v>45862.813888888886</v>
      </c>
      <c r="DD206" s="24">
        <v>45862.867361111108</v>
      </c>
      <c r="DG206" s="24">
        <v>45863</v>
      </c>
      <c r="DJ206" s="58">
        <v>45863</v>
      </c>
    </row>
    <row r="207" spans="2:114" x14ac:dyDescent="0.25">
      <c r="B207" s="1">
        <v>10322</v>
      </c>
      <c r="C207" s="12">
        <v>45853</v>
      </c>
      <c r="D207" s="2">
        <v>0.85416666666666663</v>
      </c>
      <c r="E207" s="2">
        <v>0.10416666666666666</v>
      </c>
      <c r="F207" s="61">
        <v>13.25998841922409</v>
      </c>
      <c r="G207" s="10">
        <v>18.000000000000096</v>
      </c>
      <c r="H207" s="61">
        <v>2.8118609406952966</v>
      </c>
      <c r="I207" s="52">
        <v>79.599999999999994</v>
      </c>
      <c r="J207" s="10">
        <v>9.9999999999999645</v>
      </c>
      <c r="L207" s="10">
        <v>1.9999999999999929</v>
      </c>
      <c r="N207" s="10">
        <v>66.000000000000085</v>
      </c>
      <c r="O207" s="10">
        <v>26.999999999999904</v>
      </c>
      <c r="P207" s="10">
        <v>46.6</v>
      </c>
      <c r="Q207" s="61">
        <v>2.4789029535864979</v>
      </c>
      <c r="R207" s="52">
        <v>45.5</v>
      </c>
      <c r="S207" s="10">
        <v>9.9999999999999645</v>
      </c>
      <c r="T207" s="52">
        <v>63.5</v>
      </c>
      <c r="U207" s="10">
        <v>15</v>
      </c>
      <c r="V207" s="52">
        <v>65.2</v>
      </c>
      <c r="W207" s="10">
        <v>40.000000000000014</v>
      </c>
      <c r="Z207" s="52">
        <v>75.8</v>
      </c>
      <c r="AA207" s="10">
        <v>108.99999999999993</v>
      </c>
      <c r="AB207" s="10">
        <v>7.9999999999999716</v>
      </c>
      <c r="AC207" s="52">
        <v>17.100000000000001</v>
      </c>
      <c r="AD207" s="3">
        <v>22.6</v>
      </c>
      <c r="AE207" s="3">
        <v>2.48</v>
      </c>
      <c r="AG207" s="10">
        <v>0</v>
      </c>
      <c r="AH207" s="10">
        <v>1</v>
      </c>
      <c r="AI207" s="10">
        <v>136</v>
      </c>
      <c r="AJ207" s="10">
        <v>264</v>
      </c>
      <c r="AK207" s="3">
        <v>16.43</v>
      </c>
      <c r="AL207" s="61">
        <v>84.472049689440993</v>
      </c>
      <c r="AM207" s="61">
        <v>51.515151515151516</v>
      </c>
      <c r="AO207" s="10">
        <v>96.000000000000142</v>
      </c>
      <c r="AP207" s="10">
        <v>114.00000000000007</v>
      </c>
      <c r="AQ207" s="52">
        <v>80.3</v>
      </c>
      <c r="BG207" s="10">
        <v>180</v>
      </c>
      <c r="BJ207" s="10">
        <v>268</v>
      </c>
      <c r="BK207" s="52">
        <v>100.7</v>
      </c>
      <c r="BM207" s="10">
        <v>30</v>
      </c>
      <c r="BN207" s="10">
        <v>45</v>
      </c>
      <c r="BO207" s="10">
        <v>75</v>
      </c>
      <c r="BS207" s="10">
        <v>5</v>
      </c>
      <c r="BT207" s="10">
        <v>10</v>
      </c>
      <c r="BV207" s="61">
        <v>6.7164179104477615</v>
      </c>
      <c r="BW207" s="61">
        <v>1.2835820895522418</v>
      </c>
      <c r="BZ207" s="61">
        <v>9.1417910447761201</v>
      </c>
      <c r="CA207" s="10">
        <v>0</v>
      </c>
      <c r="CB207" s="52">
        <v>101.1</v>
      </c>
      <c r="CG207" s="10">
        <v>2697</v>
      </c>
      <c r="CI207" s="10">
        <v>9.9999999999999947</v>
      </c>
      <c r="CJ207" s="10">
        <v>10.000000000000004</v>
      </c>
      <c r="CK207" s="3">
        <v>0</v>
      </c>
      <c r="CM207" s="3">
        <v>0.68755364806866948</v>
      </c>
      <c r="CN207" s="10">
        <v>51.999999999999993</v>
      </c>
      <c r="CP207" s="52">
        <v>4.5999999999999996</v>
      </c>
      <c r="CQ207" s="3">
        <v>19.742489270386265</v>
      </c>
      <c r="CS207" s="10">
        <v>233</v>
      </c>
      <c r="CT207" s="10">
        <v>225.00000000000017</v>
      </c>
      <c r="CU207" s="59">
        <v>14.000000000000171</v>
      </c>
      <c r="CV207" s="10">
        <v>360.00000000000017</v>
      </c>
      <c r="CW207" s="10">
        <v>3.0000000000001492</v>
      </c>
      <c r="CX207" s="60">
        <v>178.35820895522249</v>
      </c>
      <c r="CY207" s="3">
        <v>17.75</v>
      </c>
      <c r="CZ207" s="3">
        <v>5.29</v>
      </c>
      <c r="DC207" s="24">
        <v>45852.922222222223</v>
      </c>
      <c r="DD207" s="24">
        <v>45852.974999999999</v>
      </c>
      <c r="DG207" s="24">
        <v>45853</v>
      </c>
      <c r="DJ207" s="58">
        <v>45853</v>
      </c>
    </row>
    <row r="208" spans="2:114" x14ac:dyDescent="0.25">
      <c r="B208" s="1">
        <v>10323</v>
      </c>
      <c r="C208" s="12">
        <v>45860</v>
      </c>
      <c r="D208" s="2">
        <v>3.125E-2</v>
      </c>
      <c r="E208" s="2">
        <v>0.27361111111111108</v>
      </c>
      <c r="F208" s="61">
        <v>11.005917159763314</v>
      </c>
      <c r="G208" s="10">
        <v>15.999999999999993</v>
      </c>
      <c r="H208" s="61">
        <v>2.931769722814499</v>
      </c>
      <c r="I208" s="52">
        <v>79.7</v>
      </c>
      <c r="J208" s="10">
        <v>9.9999999999999947</v>
      </c>
      <c r="L208" s="10">
        <v>5.9999999999999982</v>
      </c>
      <c r="N208" s="10">
        <v>60</v>
      </c>
      <c r="O208" s="10">
        <v>25.000000000000011</v>
      </c>
      <c r="P208" s="10">
        <v>46.3</v>
      </c>
      <c r="Q208" s="61">
        <v>2.4346024346024344</v>
      </c>
      <c r="R208" s="52">
        <v>46.5</v>
      </c>
      <c r="S208" s="10">
        <v>9.9999999999999947</v>
      </c>
      <c r="T208" s="52">
        <v>64.8</v>
      </c>
      <c r="U208" s="10">
        <v>0</v>
      </c>
      <c r="V208" s="52">
        <v>65.2</v>
      </c>
      <c r="W208" s="10">
        <v>40</v>
      </c>
      <c r="Z208" s="52">
        <v>75.7</v>
      </c>
      <c r="AA208" s="10">
        <v>103.99999999999999</v>
      </c>
      <c r="AB208" s="10">
        <v>8.0000000000000107</v>
      </c>
      <c r="AC208" s="52">
        <v>12.1</v>
      </c>
      <c r="AD208" s="3">
        <v>22.4</v>
      </c>
      <c r="AE208" s="3">
        <v>2.2400000000000002</v>
      </c>
      <c r="AF208" s="3">
        <v>0.43</v>
      </c>
      <c r="AG208" s="10">
        <v>90</v>
      </c>
      <c r="AH208" s="10">
        <v>1</v>
      </c>
      <c r="AI208" s="10">
        <v>136</v>
      </c>
      <c r="AJ208" s="10">
        <v>260</v>
      </c>
      <c r="AK208" s="3">
        <v>16.23</v>
      </c>
      <c r="AL208" s="61">
        <v>84.472049689440993</v>
      </c>
      <c r="AM208" s="61">
        <v>52.307692307692314</v>
      </c>
      <c r="AO208" s="10">
        <v>81.000000000000014</v>
      </c>
      <c r="AP208" s="10">
        <v>122</v>
      </c>
      <c r="AQ208" s="52">
        <v>80</v>
      </c>
      <c r="BG208" s="10">
        <v>180</v>
      </c>
      <c r="BJ208" s="10">
        <v>269</v>
      </c>
      <c r="BK208" s="52">
        <v>101.1</v>
      </c>
      <c r="BM208" s="10">
        <v>30.000000000000014</v>
      </c>
      <c r="BN208" s="10">
        <v>45</v>
      </c>
      <c r="BO208" s="10">
        <v>75.000000000000014</v>
      </c>
      <c r="BS208" s="10">
        <v>5</v>
      </c>
      <c r="BT208" s="10">
        <v>10</v>
      </c>
      <c r="BV208" s="61">
        <v>8.1784386617100377</v>
      </c>
      <c r="BW208" s="61">
        <v>0.17843866171004114</v>
      </c>
      <c r="BZ208" s="61">
        <v>9.4795539033457246</v>
      </c>
      <c r="CA208" s="10">
        <v>0</v>
      </c>
      <c r="CB208" s="52">
        <v>100.9</v>
      </c>
      <c r="CG208" s="10">
        <v>2620</v>
      </c>
      <c r="CI208" s="10">
        <v>10.000000000000004</v>
      </c>
      <c r="CJ208" s="10">
        <v>10.000000000000004</v>
      </c>
      <c r="CK208" s="3">
        <v>0</v>
      </c>
      <c r="CM208" s="3">
        <v>0.6523605150214592</v>
      </c>
      <c r="CN208" s="10">
        <v>51.999999999999972</v>
      </c>
      <c r="CP208" s="52">
        <v>4.8</v>
      </c>
      <c r="CQ208" s="3">
        <v>20.600858369098713</v>
      </c>
      <c r="CS208" s="10">
        <v>233</v>
      </c>
      <c r="CT208" s="10">
        <v>220.99999999999994</v>
      </c>
      <c r="CU208" s="59">
        <v>9.9999999999999432</v>
      </c>
      <c r="CV208" s="10">
        <v>349</v>
      </c>
      <c r="CW208" s="10">
        <v>8.0000000000000249</v>
      </c>
      <c r="CX208" s="60">
        <v>107.84386617100469</v>
      </c>
      <c r="CY208" s="3">
        <v>17.850000000000001</v>
      </c>
      <c r="CZ208" s="3">
        <v>5.27</v>
      </c>
      <c r="DC208" s="24">
        <v>45860.120138888888</v>
      </c>
      <c r="DD208" s="24">
        <v>45860.171527777777</v>
      </c>
      <c r="DG208" s="24">
        <v>45861</v>
      </c>
      <c r="DJ208" s="58">
        <v>45861</v>
      </c>
    </row>
    <row r="209" spans="2:114" x14ac:dyDescent="0.25">
      <c r="B209" s="1">
        <v>10324</v>
      </c>
      <c r="C209" s="12">
        <v>45860</v>
      </c>
      <c r="D209" s="2">
        <v>0.13194444444444445</v>
      </c>
      <c r="E209" s="2">
        <v>0.41458333333333325</v>
      </c>
      <c r="F209" s="61">
        <v>11.618257261410788</v>
      </c>
      <c r="G209" s="10">
        <v>16.000000000000021</v>
      </c>
      <c r="H209" s="61">
        <v>2.9208709506107278</v>
      </c>
      <c r="I209" s="52">
        <v>79.7</v>
      </c>
      <c r="J209" s="10">
        <v>10.000000000000004</v>
      </c>
      <c r="L209" s="10">
        <v>4.9999999999999822</v>
      </c>
      <c r="N209" s="10">
        <v>58.000000000000036</v>
      </c>
      <c r="O209" s="10">
        <v>24.999999999999993</v>
      </c>
      <c r="P209" s="10">
        <v>46.4</v>
      </c>
      <c r="Q209" s="61">
        <v>2.4377593360995853</v>
      </c>
      <c r="R209" s="52">
        <v>46.6</v>
      </c>
      <c r="S209" s="10">
        <v>9.9999999999999645</v>
      </c>
      <c r="T209" s="52">
        <v>64.7</v>
      </c>
      <c r="U209" s="10">
        <v>0</v>
      </c>
      <c r="V209" s="52">
        <v>65.3</v>
      </c>
      <c r="W209" s="10">
        <v>39.999999999999979</v>
      </c>
      <c r="Z209" s="52">
        <v>75.7</v>
      </c>
      <c r="AA209" s="10">
        <v>102</v>
      </c>
      <c r="AB209" s="10">
        <v>7.9999999999999716</v>
      </c>
      <c r="AC209" s="52">
        <v>12.4</v>
      </c>
      <c r="AD209" s="3">
        <v>22.33</v>
      </c>
      <c r="AE209" s="3">
        <v>2.4</v>
      </c>
      <c r="AG209" s="10">
        <v>90</v>
      </c>
      <c r="AH209" s="10">
        <v>1</v>
      </c>
      <c r="AI209" s="10">
        <v>136</v>
      </c>
      <c r="AJ209" s="10">
        <v>258</v>
      </c>
      <c r="AK209" s="3">
        <v>16.52</v>
      </c>
      <c r="AL209" s="61">
        <v>84.472049689440993</v>
      </c>
      <c r="AM209" s="61">
        <v>52.713178294573652</v>
      </c>
      <c r="AO209" s="10">
        <v>81.000000000000028</v>
      </c>
      <c r="AP209" s="10">
        <v>122</v>
      </c>
      <c r="AQ209" s="52">
        <v>80.2</v>
      </c>
      <c r="BG209" s="10">
        <v>182</v>
      </c>
      <c r="BJ209" s="10">
        <v>266</v>
      </c>
      <c r="BK209" s="52">
        <v>100.8</v>
      </c>
      <c r="BM209" s="10">
        <v>29.999999999999972</v>
      </c>
      <c r="BN209" s="10">
        <v>45</v>
      </c>
      <c r="BO209" s="10">
        <v>74.999999999999972</v>
      </c>
      <c r="BS209" s="10">
        <v>5</v>
      </c>
      <c r="BT209" s="10">
        <v>10</v>
      </c>
      <c r="BV209" s="61">
        <v>7.8947368421052628</v>
      </c>
      <c r="BW209" s="61">
        <v>0.10526315789473467</v>
      </c>
      <c r="BZ209" s="61">
        <v>8.8345864661654137</v>
      </c>
      <c r="CA209" s="10">
        <v>0</v>
      </c>
      <c r="CB209" s="52">
        <v>101.2</v>
      </c>
      <c r="CG209" s="10">
        <v>2582</v>
      </c>
      <c r="CI209" s="10">
        <v>9.9999999999999645</v>
      </c>
      <c r="CJ209" s="10">
        <v>9.9999999999999645</v>
      </c>
      <c r="CK209" s="3">
        <v>-3.5527136788005009E-14</v>
      </c>
      <c r="CM209" s="3">
        <v>0.65517241379310343</v>
      </c>
      <c r="CN209" s="10">
        <v>51.999999999999972</v>
      </c>
      <c r="CO209" s="52">
        <v>10.5</v>
      </c>
      <c r="CP209" s="52">
        <v>2.7</v>
      </c>
      <c r="CQ209" s="3">
        <v>11.637931034482758</v>
      </c>
      <c r="CS209" s="10">
        <v>232</v>
      </c>
      <c r="CT209" s="10">
        <v>280.99999999999989</v>
      </c>
      <c r="CU209" s="59">
        <v>69.999999999999886</v>
      </c>
      <c r="CV209" s="10">
        <v>406.99999999999983</v>
      </c>
      <c r="CW209" s="10">
        <v>49.999999999999822</v>
      </c>
      <c r="CX209" s="60">
        <v>520.52631578947228</v>
      </c>
      <c r="CY209" s="3">
        <v>17.899999999999999</v>
      </c>
      <c r="CZ209" s="3">
        <v>5.27</v>
      </c>
      <c r="DC209" s="24">
        <v>45860.219444444447</v>
      </c>
      <c r="DD209" s="24">
        <v>45860.3125</v>
      </c>
      <c r="DG209" s="24">
        <v>45861</v>
      </c>
      <c r="DJ209" s="58">
        <v>45861</v>
      </c>
    </row>
    <row r="210" spans="2:114" x14ac:dyDescent="0.25">
      <c r="B210" s="1">
        <v>10325</v>
      </c>
      <c r="C210" s="12">
        <v>45860</v>
      </c>
      <c r="D210" s="2">
        <v>0.23263888888888887</v>
      </c>
      <c r="E210" s="2">
        <v>0.47847222222222213</v>
      </c>
      <c r="F210" s="61">
        <v>13.609467455621301</v>
      </c>
      <c r="G210" s="10">
        <v>19.000000000000053</v>
      </c>
      <c r="H210" s="61">
        <v>2.864583333333333</v>
      </c>
      <c r="I210" s="52">
        <v>79.900000000000006</v>
      </c>
      <c r="J210" s="10">
        <v>9.9999999999999645</v>
      </c>
      <c r="L210" s="10">
        <v>5.9999999999999787</v>
      </c>
      <c r="N210" s="10">
        <v>62.000000000000057</v>
      </c>
      <c r="O210" s="10">
        <v>23.999999999999993</v>
      </c>
      <c r="P210" s="10">
        <v>46.1</v>
      </c>
      <c r="Q210" s="61">
        <v>2.4289405684754519</v>
      </c>
      <c r="R210" s="52">
        <v>46.9</v>
      </c>
      <c r="S210" s="10">
        <v>9.9999999999999645</v>
      </c>
      <c r="T210" s="52">
        <v>64.5</v>
      </c>
      <c r="U210" s="10">
        <v>0</v>
      </c>
      <c r="V210" s="52">
        <v>65.5</v>
      </c>
      <c r="W210" s="10">
        <v>40.000000000000014</v>
      </c>
      <c r="Z210" s="52">
        <v>75.7</v>
      </c>
      <c r="AA210" s="10">
        <v>103.99999999999994</v>
      </c>
      <c r="AB210" s="10">
        <v>8.0000000000000515</v>
      </c>
      <c r="AC210" s="52">
        <v>8</v>
      </c>
      <c r="AD210" s="3">
        <v>22.26</v>
      </c>
      <c r="AE210" s="3">
        <v>2.65</v>
      </c>
      <c r="AF210" s="3">
        <v>0.49</v>
      </c>
      <c r="AG210" s="10">
        <v>90</v>
      </c>
      <c r="AH210" s="10">
        <v>1</v>
      </c>
      <c r="AI210" s="10">
        <v>136</v>
      </c>
      <c r="AJ210" s="10">
        <v>258</v>
      </c>
      <c r="AK210" s="3">
        <v>16.350000000000001</v>
      </c>
      <c r="AL210" s="61">
        <v>84.472049689440993</v>
      </c>
      <c r="AM210" s="61">
        <v>52.713178294573652</v>
      </c>
      <c r="AO210" s="10">
        <v>81.999999999999943</v>
      </c>
      <c r="AP210" s="10">
        <v>123.99999999999996</v>
      </c>
      <c r="AQ210" s="52">
        <v>79.7</v>
      </c>
      <c r="BG210" s="10">
        <v>180</v>
      </c>
      <c r="BJ210" s="10">
        <v>265</v>
      </c>
      <c r="BK210" s="52">
        <v>100.7</v>
      </c>
      <c r="BM210" s="10">
        <v>29.999999999999972</v>
      </c>
      <c r="BN210" s="10">
        <v>45</v>
      </c>
      <c r="BO210" s="10">
        <v>74.999999999999972</v>
      </c>
      <c r="BS210" s="10">
        <v>5</v>
      </c>
      <c r="BT210" s="10">
        <v>10</v>
      </c>
      <c r="BV210" s="61">
        <v>7.5471698113207548</v>
      </c>
      <c r="BW210" s="61">
        <v>0.45283018867924713</v>
      </c>
      <c r="BZ210" s="61">
        <v>8.8679245283018862</v>
      </c>
      <c r="CA210" s="10">
        <v>0</v>
      </c>
      <c r="CB210" s="52">
        <v>101</v>
      </c>
      <c r="CG210" s="10">
        <v>2637</v>
      </c>
      <c r="CI210" s="10">
        <v>9.9999999999999645</v>
      </c>
      <c r="CJ210" s="10">
        <v>9.9999999999999645</v>
      </c>
      <c r="CK210" s="3">
        <v>-3.5527136788005009E-14</v>
      </c>
      <c r="CM210" s="3">
        <v>0.65800865800865804</v>
      </c>
      <c r="CN210" s="10">
        <v>51.999999999999972</v>
      </c>
      <c r="CO210" s="52">
        <v>10.5</v>
      </c>
      <c r="CP210" s="52">
        <v>2.8</v>
      </c>
      <c r="CQ210" s="3">
        <v>12.121212121212121</v>
      </c>
      <c r="CS210" s="10">
        <v>231</v>
      </c>
      <c r="CT210" s="10">
        <v>222.99999999999986</v>
      </c>
      <c r="CU210" s="59">
        <v>11.999999999999858</v>
      </c>
      <c r="CV210" s="10">
        <v>353.99999999999989</v>
      </c>
      <c r="CW210" s="10">
        <v>3.0000000000000959</v>
      </c>
      <c r="CX210" s="60">
        <v>115.28301886792612</v>
      </c>
      <c r="CY210" s="3">
        <v>17.86</v>
      </c>
      <c r="CZ210" s="3">
        <v>5.27</v>
      </c>
      <c r="DC210" s="24">
        <v>45860.323611111111</v>
      </c>
      <c r="DD210" s="24">
        <v>45860.376388888886</v>
      </c>
      <c r="DG210" s="24">
        <v>45861</v>
      </c>
      <c r="DJ210" s="58">
        <v>45861</v>
      </c>
    </row>
    <row r="211" spans="2:114" x14ac:dyDescent="0.25">
      <c r="B211" s="1">
        <v>10326</v>
      </c>
      <c r="C211" s="12">
        <v>45860</v>
      </c>
      <c r="D211" s="2">
        <v>0.33333333333333331</v>
      </c>
      <c r="E211" s="2">
        <v>0.57569444444444429</v>
      </c>
      <c r="F211" s="61">
        <v>13.561320754716983</v>
      </c>
      <c r="G211" s="10">
        <v>18.000000000000014</v>
      </c>
      <c r="H211" s="61">
        <v>2.8556593977154723</v>
      </c>
      <c r="I211" s="52">
        <v>79.8</v>
      </c>
      <c r="J211" s="10">
        <v>9.9999999999999645</v>
      </c>
      <c r="L211" s="10">
        <v>5.0000000000000622</v>
      </c>
      <c r="N211" s="10">
        <v>60.000000000000028</v>
      </c>
      <c r="O211" s="10">
        <v>24.999999999999993</v>
      </c>
      <c r="P211" s="10">
        <v>46.4</v>
      </c>
      <c r="Q211" s="61">
        <v>2.4010217113665391</v>
      </c>
      <c r="R211" s="52">
        <v>46.8</v>
      </c>
      <c r="S211" s="10">
        <v>10.000000000000044</v>
      </c>
      <c r="T211" s="52">
        <v>64</v>
      </c>
      <c r="U211" s="10">
        <v>0</v>
      </c>
      <c r="V211" s="52">
        <v>65.5</v>
      </c>
      <c r="W211" s="10">
        <v>40.000000000000014</v>
      </c>
      <c r="Z211" s="52">
        <v>75.8</v>
      </c>
      <c r="AA211" s="10">
        <v>108.00000000000001</v>
      </c>
      <c r="AB211" s="10">
        <v>1.9999999999999929</v>
      </c>
      <c r="AC211" s="52">
        <v>7</v>
      </c>
      <c r="AD211" s="3">
        <v>22.53</v>
      </c>
      <c r="AE211" s="3">
        <v>2.7</v>
      </c>
      <c r="AF211" s="3">
        <v>0.51</v>
      </c>
      <c r="AG211" s="10">
        <v>90</v>
      </c>
      <c r="AH211" s="10">
        <v>1</v>
      </c>
      <c r="AI211" s="10">
        <v>136</v>
      </c>
      <c r="AJ211" s="10">
        <v>258</v>
      </c>
      <c r="AK211" s="3">
        <v>16.510000000000002</v>
      </c>
      <c r="AL211" s="61">
        <v>84.472049689440993</v>
      </c>
      <c r="AM211" s="61">
        <v>52.713178294573652</v>
      </c>
      <c r="AO211" s="10">
        <v>83.000000000000028</v>
      </c>
      <c r="AP211" s="10">
        <v>125.00000000000003</v>
      </c>
      <c r="AQ211" s="52">
        <v>80.3</v>
      </c>
      <c r="BG211" s="10">
        <v>182</v>
      </c>
      <c r="BJ211" s="10">
        <v>266</v>
      </c>
      <c r="BK211" s="52">
        <v>100.8</v>
      </c>
      <c r="BM211" s="10">
        <v>29.999999999999972</v>
      </c>
      <c r="BN211" s="10">
        <v>44.999999999999922</v>
      </c>
      <c r="BO211" s="10">
        <v>74.999999999999886</v>
      </c>
      <c r="BS211" s="10">
        <v>5</v>
      </c>
      <c r="BT211" s="10">
        <v>10</v>
      </c>
      <c r="BV211" s="61">
        <v>7.8947368421052628</v>
      </c>
      <c r="BW211" s="61">
        <v>0.10526315789473467</v>
      </c>
      <c r="BZ211" s="61">
        <v>8.8345864661654137</v>
      </c>
      <c r="CA211" s="10">
        <v>0</v>
      </c>
      <c r="CB211" s="52">
        <v>101</v>
      </c>
      <c r="CG211" s="10">
        <v>2605</v>
      </c>
      <c r="CI211" s="10">
        <v>9.9999999999999645</v>
      </c>
      <c r="CJ211" s="10">
        <v>9.9999999999999645</v>
      </c>
      <c r="CK211" s="3">
        <v>-3.5527136788005009E-14</v>
      </c>
      <c r="CM211" s="3">
        <v>0.65517241379310343</v>
      </c>
      <c r="CN211" s="10">
        <v>51.999999999999972</v>
      </c>
      <c r="CP211" s="52">
        <v>2.8</v>
      </c>
      <c r="CQ211" s="3">
        <v>12.068965517241379</v>
      </c>
      <c r="CS211" s="10">
        <v>232</v>
      </c>
      <c r="CT211" s="10">
        <v>220.99999999999977</v>
      </c>
      <c r="CU211" s="59">
        <v>9.9999999999997726</v>
      </c>
      <c r="CV211" s="10">
        <v>348.99999999999977</v>
      </c>
      <c r="CW211" s="10">
        <v>8.000000000000238</v>
      </c>
      <c r="CX211" s="60">
        <v>100.52631578947572</v>
      </c>
      <c r="CY211" s="3">
        <v>17.940000000000001</v>
      </c>
      <c r="CZ211" s="3">
        <v>5.25</v>
      </c>
      <c r="DC211" s="24">
        <v>45860.422222222223</v>
      </c>
      <c r="DD211" s="24">
        <v>45860.473611111112</v>
      </c>
      <c r="DG211" s="24">
        <v>45861</v>
      </c>
      <c r="DJ211" s="58">
        <v>45861</v>
      </c>
    </row>
    <row r="212" spans="2:114" x14ac:dyDescent="0.25">
      <c r="B212" s="1">
        <v>10327</v>
      </c>
      <c r="C212" s="12">
        <v>45860</v>
      </c>
      <c r="D212" s="2">
        <v>0.43402777777777779</v>
      </c>
      <c r="E212" s="2">
        <v>0.67499999999999993</v>
      </c>
      <c r="F212" s="61">
        <v>13.513513513513514</v>
      </c>
      <c r="G212" s="10">
        <v>17.000000000000021</v>
      </c>
      <c r="H212" s="61">
        <v>2.8467908902691512</v>
      </c>
      <c r="I212" s="52">
        <v>79.8</v>
      </c>
      <c r="J212" s="10">
        <v>9.9999999999999645</v>
      </c>
      <c r="N212" s="10">
        <v>59.999999999999943</v>
      </c>
      <c r="O212" s="10">
        <v>24.999999999999993</v>
      </c>
      <c r="P212" s="10">
        <v>46.3</v>
      </c>
      <c r="Q212" s="61">
        <v>0.56165432729129439</v>
      </c>
      <c r="R212" s="52">
        <v>46.5</v>
      </c>
      <c r="S212" s="10">
        <v>1389.9999999999998</v>
      </c>
      <c r="T212" s="52">
        <v>65</v>
      </c>
      <c r="U212" s="10">
        <v>0</v>
      </c>
      <c r="V212" s="52">
        <v>65.5</v>
      </c>
      <c r="W212" s="10">
        <v>40.000000000000014</v>
      </c>
      <c r="Z212" s="52">
        <v>75.8</v>
      </c>
      <c r="AA212" s="10">
        <v>104.00000000000003</v>
      </c>
      <c r="AB212" s="10">
        <v>7.9999999999999716</v>
      </c>
      <c r="AC212" s="52">
        <v>8</v>
      </c>
      <c r="AD212" s="3">
        <v>22.35</v>
      </c>
      <c r="AE212" s="3">
        <v>2.44</v>
      </c>
      <c r="AF212" s="3">
        <v>0.67</v>
      </c>
      <c r="AG212" s="10">
        <v>90</v>
      </c>
      <c r="AH212" s="10">
        <v>1</v>
      </c>
      <c r="AI212" s="10">
        <v>136</v>
      </c>
      <c r="AJ212" s="10">
        <v>259</v>
      </c>
      <c r="AK212" s="3">
        <v>16.440000000000001</v>
      </c>
      <c r="AL212" s="61">
        <v>152.80898876404493</v>
      </c>
      <c r="AM212" s="61">
        <v>52.509652509652504</v>
      </c>
      <c r="AO212" s="10">
        <v>82.000000000000028</v>
      </c>
      <c r="AP212" s="10">
        <v>124.0000000000002</v>
      </c>
      <c r="AQ212" s="52">
        <v>79.7</v>
      </c>
      <c r="BG212" s="10">
        <v>182</v>
      </c>
      <c r="BJ212" s="10">
        <v>265</v>
      </c>
      <c r="BK212" s="52">
        <v>100.9</v>
      </c>
      <c r="BM212" s="10">
        <v>30.000000000000053</v>
      </c>
      <c r="BN212" s="10">
        <v>45</v>
      </c>
      <c r="BO212" s="10">
        <v>75.000000000000057</v>
      </c>
      <c r="BS212" s="10">
        <v>5</v>
      </c>
      <c r="BT212" s="10">
        <v>10</v>
      </c>
      <c r="BV212" s="61">
        <v>7.5471698113207548</v>
      </c>
      <c r="BW212" s="61">
        <v>0.45283018867924713</v>
      </c>
      <c r="BZ212" s="61">
        <v>8.8679245283018862</v>
      </c>
      <c r="CA212" s="10">
        <v>0</v>
      </c>
      <c r="CB212" s="52">
        <v>101.1</v>
      </c>
      <c r="CG212" s="10">
        <v>2488</v>
      </c>
      <c r="CI212" s="10">
        <v>9.9999999999999645</v>
      </c>
      <c r="CJ212" s="10">
        <v>9.9999999999999645</v>
      </c>
      <c r="CK212" s="3">
        <v>-3.5527136788005009E-14</v>
      </c>
      <c r="CM212" s="3">
        <v>0.65800865800865804</v>
      </c>
      <c r="CN212" s="10">
        <v>51.999999999999972</v>
      </c>
      <c r="CO212" s="52">
        <v>10.6</v>
      </c>
      <c r="CP212" s="52">
        <v>3.3</v>
      </c>
      <c r="CQ212" s="3">
        <v>14.285714285714286</v>
      </c>
      <c r="CS212" s="10">
        <v>231</v>
      </c>
      <c r="CT212" s="10">
        <v>217.99999999999986</v>
      </c>
      <c r="CU212" s="59">
        <v>6.9999999999998579</v>
      </c>
      <c r="CV212" s="10">
        <v>346.99999999999989</v>
      </c>
      <c r="CW212" s="10">
        <v>10.000000000000124</v>
      </c>
      <c r="CX212" s="60">
        <v>165.28301886792582</v>
      </c>
      <c r="CY212" s="3">
        <v>17.98</v>
      </c>
      <c r="CZ212" s="3">
        <v>5.26</v>
      </c>
      <c r="DC212" s="24">
        <v>45860.523611111108</v>
      </c>
      <c r="DD212" s="24">
        <v>45860.572916666664</v>
      </c>
      <c r="DG212" s="24">
        <v>45861</v>
      </c>
      <c r="DJ212" s="58">
        <v>45861</v>
      </c>
    </row>
    <row r="213" spans="2:114" x14ac:dyDescent="0.25">
      <c r="B213" s="1">
        <v>10328</v>
      </c>
      <c r="C213" s="12">
        <v>45860</v>
      </c>
      <c r="D213" s="2">
        <v>0.54513888888888884</v>
      </c>
      <c r="E213" s="2">
        <v>0.78749999999999987</v>
      </c>
      <c r="F213" s="61">
        <v>13.521457965902412</v>
      </c>
      <c r="G213" s="10">
        <v>18.000000000000096</v>
      </c>
      <c r="H213" s="61">
        <v>2.848265147591921</v>
      </c>
      <c r="I213" s="52">
        <v>79.900000000000006</v>
      </c>
      <c r="J213" s="10">
        <v>9.9999999999999645</v>
      </c>
      <c r="L213" s="10">
        <v>2.9999999999999893</v>
      </c>
      <c r="N213" s="10">
        <v>60.000000000000107</v>
      </c>
      <c r="O213" s="10">
        <v>22.999999999999918</v>
      </c>
      <c r="P213" s="10">
        <v>46</v>
      </c>
      <c r="Q213" s="61">
        <v>2.4040920716112533</v>
      </c>
      <c r="R213" s="52">
        <v>46.8</v>
      </c>
      <c r="S213" s="10">
        <v>10.000000000000124</v>
      </c>
      <c r="T213" s="52">
        <v>64</v>
      </c>
      <c r="U213" s="10">
        <v>0</v>
      </c>
      <c r="V213" s="52">
        <v>65.599999999999994</v>
      </c>
      <c r="W213" s="10">
        <v>40.000000000000014</v>
      </c>
      <c r="Z213" s="52">
        <v>76</v>
      </c>
      <c r="AA213" s="10">
        <v>102.99999999999996</v>
      </c>
      <c r="AB213" s="10">
        <v>7.9999999999999716</v>
      </c>
      <c r="AC213" s="52">
        <v>11.2</v>
      </c>
      <c r="AD213" s="3">
        <v>22.3</v>
      </c>
      <c r="AE213" s="3">
        <v>2.4700000000000002</v>
      </c>
      <c r="AF213" s="3">
        <v>0.78</v>
      </c>
      <c r="AG213" s="10">
        <v>63</v>
      </c>
      <c r="AH213" s="10">
        <v>1</v>
      </c>
      <c r="AI213" s="10">
        <v>136</v>
      </c>
      <c r="AJ213" s="10">
        <v>259</v>
      </c>
      <c r="AK213" s="3">
        <v>16.36</v>
      </c>
      <c r="AL213" s="61">
        <v>84.472049689440993</v>
      </c>
      <c r="AM213" s="61">
        <v>52.509652509652504</v>
      </c>
      <c r="AO213" s="10">
        <v>82.000000000000185</v>
      </c>
      <c r="AP213" s="10">
        <v>117.00000000000006</v>
      </c>
      <c r="AQ213" s="52">
        <v>80</v>
      </c>
      <c r="BG213" s="10">
        <v>179</v>
      </c>
      <c r="BJ213" s="10">
        <v>264</v>
      </c>
      <c r="BK213" s="52">
        <v>101</v>
      </c>
      <c r="BM213" s="10">
        <v>30.000000000000053</v>
      </c>
      <c r="BN213" s="10">
        <v>45</v>
      </c>
      <c r="BO213" s="10">
        <v>75.000000000000057</v>
      </c>
      <c r="BS213" s="10">
        <v>5</v>
      </c>
      <c r="BT213" s="10">
        <v>10</v>
      </c>
      <c r="BV213" s="61">
        <v>7.1969696969696972</v>
      </c>
      <c r="BW213" s="61">
        <v>0.80303030303029854</v>
      </c>
      <c r="BZ213" s="61">
        <v>9.2803030303030312</v>
      </c>
      <c r="CA213" s="10">
        <v>0</v>
      </c>
      <c r="CB213" s="52">
        <v>100.9</v>
      </c>
      <c r="CG213" s="10">
        <v>2716</v>
      </c>
      <c r="CI213" s="10">
        <v>9.9999999999999645</v>
      </c>
      <c r="CJ213" s="10">
        <v>9.9999999999999645</v>
      </c>
      <c r="CK213" s="3">
        <v>-3.5527136788005009E-14</v>
      </c>
      <c r="CM213" s="3">
        <v>0.66375545851528384</v>
      </c>
      <c r="CN213" s="10">
        <v>50.999999999999979</v>
      </c>
      <c r="CO213" s="52">
        <v>10.8</v>
      </c>
      <c r="CP213" s="52">
        <v>3.4</v>
      </c>
      <c r="CQ213" s="3">
        <v>14.847161572052402</v>
      </c>
      <c r="CS213" s="10">
        <v>229</v>
      </c>
      <c r="CT213" s="10">
        <v>219.99999999999986</v>
      </c>
      <c r="CU213" s="59">
        <v>8.9999999999998579</v>
      </c>
      <c r="CV213" s="10">
        <v>348.99999999999989</v>
      </c>
      <c r="CW213" s="10">
        <v>8.0000000000001315</v>
      </c>
      <c r="CX213" s="60">
        <v>180.30303030303125</v>
      </c>
      <c r="CY213" s="3">
        <v>18.100000000000001</v>
      </c>
      <c r="CZ213" s="3">
        <v>5.33</v>
      </c>
      <c r="DC213" s="24">
        <v>45860.634722222225</v>
      </c>
      <c r="DD213" s="24">
        <v>45860.686111111114</v>
      </c>
      <c r="DG213" s="24">
        <v>45861</v>
      </c>
      <c r="DJ213" s="58">
        <v>45861</v>
      </c>
    </row>
    <row r="214" spans="2:114" x14ac:dyDescent="0.25">
      <c r="CX214" s="60"/>
    </row>
    <row r="215" spans="2:114" x14ac:dyDescent="0.25">
      <c r="CX215" s="60"/>
    </row>
    <row r="216" spans="2:114" x14ac:dyDescent="0.25">
      <c r="CX216" s="60"/>
    </row>
    <row r="217" spans="2:114" x14ac:dyDescent="0.25">
      <c r="CX217" s="60"/>
    </row>
    <row r="218" spans="2:114" x14ac:dyDescent="0.25">
      <c r="CX218" s="60"/>
    </row>
    <row r="219" spans="2:114" x14ac:dyDescent="0.25">
      <c r="CX219" s="60"/>
    </row>
    <row r="220" spans="2:114" x14ac:dyDescent="0.25">
      <c r="CX220" s="60"/>
    </row>
    <row r="221" spans="2:114" x14ac:dyDescent="0.25">
      <c r="CX221" s="60"/>
    </row>
    <row r="222" spans="2:114" x14ac:dyDescent="0.25">
      <c r="CX222" s="60"/>
    </row>
    <row r="223" spans="2:114" x14ac:dyDescent="0.25">
      <c r="CX223" s="60"/>
    </row>
    <row r="224" spans="2:114" x14ac:dyDescent="0.25">
      <c r="CX224" s="60"/>
    </row>
    <row r="225" spans="102:102" x14ac:dyDescent="0.25">
      <c r="CX225" s="60"/>
    </row>
    <row r="226" spans="102:102" x14ac:dyDescent="0.25">
      <c r="CX226" s="60"/>
    </row>
    <row r="227" spans="102:102" x14ac:dyDescent="0.25">
      <c r="CX227" s="60"/>
    </row>
    <row r="228" spans="102:102" x14ac:dyDescent="0.25">
      <c r="CX228" s="60"/>
    </row>
    <row r="229" spans="102:102" x14ac:dyDescent="0.25">
      <c r="CX229" s="60"/>
    </row>
    <row r="230" spans="102:102" x14ac:dyDescent="0.25">
      <c r="CX230" s="60"/>
    </row>
    <row r="231" spans="102:102" x14ac:dyDescent="0.25">
      <c r="CX231" s="60"/>
    </row>
    <row r="232" spans="102:102" x14ac:dyDescent="0.25">
      <c r="CX232" s="60"/>
    </row>
    <row r="233" spans="102:102" x14ac:dyDescent="0.25">
      <c r="CX233" s="60"/>
    </row>
    <row r="234" spans="102:102" x14ac:dyDescent="0.25">
      <c r="CX234" s="60"/>
    </row>
    <row r="235" spans="102:102" x14ac:dyDescent="0.25">
      <c r="CX235" s="60"/>
    </row>
    <row r="236" spans="102:102" x14ac:dyDescent="0.25">
      <c r="CX236" s="60"/>
    </row>
    <row r="237" spans="102:102" x14ac:dyDescent="0.25">
      <c r="CX237" s="60"/>
    </row>
    <row r="238" spans="102:102" x14ac:dyDescent="0.25">
      <c r="CX238" s="60"/>
    </row>
    <row r="239" spans="102:102" x14ac:dyDescent="0.25">
      <c r="CX239" s="60"/>
    </row>
    <row r="240" spans="102:102" x14ac:dyDescent="0.25">
      <c r="CX240" s="60"/>
    </row>
    <row r="241" spans="102:102" x14ac:dyDescent="0.25">
      <c r="CX241" s="60"/>
    </row>
    <row r="242" spans="102:102" x14ac:dyDescent="0.25">
      <c r="CX242" s="60"/>
    </row>
    <row r="243" spans="102:102" x14ac:dyDescent="0.25">
      <c r="CX243" s="60"/>
    </row>
    <row r="244" spans="102:102" x14ac:dyDescent="0.25">
      <c r="CX244" s="60"/>
    </row>
    <row r="245" spans="102:102" x14ac:dyDescent="0.25">
      <c r="CX245" s="60"/>
    </row>
    <row r="246" spans="102:102" x14ac:dyDescent="0.25">
      <c r="CX246" s="60"/>
    </row>
    <row r="247" spans="102:102" x14ac:dyDescent="0.25">
      <c r="CX247" s="60"/>
    </row>
    <row r="248" spans="102:102" x14ac:dyDescent="0.25">
      <c r="CX248" s="60"/>
    </row>
    <row r="249" spans="102:102" x14ac:dyDescent="0.25">
      <c r="CX249" s="60"/>
    </row>
    <row r="250" spans="102:102" x14ac:dyDescent="0.25">
      <c r="CX250" s="60"/>
    </row>
    <row r="251" spans="102:102" x14ac:dyDescent="0.25">
      <c r="CX251" s="60"/>
    </row>
    <row r="252" spans="102:102" x14ac:dyDescent="0.25">
      <c r="CX252" s="60"/>
    </row>
    <row r="253" spans="102:102" x14ac:dyDescent="0.25">
      <c r="CX253" s="60"/>
    </row>
    <row r="254" spans="102:102" x14ac:dyDescent="0.25">
      <c r="CX254" s="60"/>
    </row>
    <row r="255" spans="102:102" x14ac:dyDescent="0.25">
      <c r="CX255" s="60"/>
    </row>
    <row r="256" spans="102:102" x14ac:dyDescent="0.25">
      <c r="CX256" s="60"/>
    </row>
    <row r="257" spans="102:102" x14ac:dyDescent="0.25">
      <c r="CX257" s="60"/>
    </row>
    <row r="258" spans="102:102" x14ac:dyDescent="0.25">
      <c r="CX258" s="60"/>
    </row>
    <row r="259" spans="102:102" x14ac:dyDescent="0.25">
      <c r="CX259" s="60"/>
    </row>
    <row r="260" spans="102:102" x14ac:dyDescent="0.25">
      <c r="CX260" s="60"/>
    </row>
    <row r="261" spans="102:102" x14ac:dyDescent="0.25">
      <c r="CX261" s="60"/>
    </row>
    <row r="262" spans="102:102" x14ac:dyDescent="0.25">
      <c r="CX262" s="60"/>
    </row>
    <row r="263" spans="102:102" x14ac:dyDescent="0.25">
      <c r="CX263" s="60"/>
    </row>
    <row r="264" spans="102:102" x14ac:dyDescent="0.25">
      <c r="CX264" s="60"/>
    </row>
    <row r="265" spans="102:102" x14ac:dyDescent="0.25">
      <c r="CX265" s="60"/>
    </row>
    <row r="266" spans="102:102" x14ac:dyDescent="0.25">
      <c r="CX266" s="60"/>
    </row>
    <row r="267" spans="102:102" x14ac:dyDescent="0.25">
      <c r="CX267" s="60"/>
    </row>
    <row r="268" spans="102:102" x14ac:dyDescent="0.25">
      <c r="CX268" s="60"/>
    </row>
    <row r="269" spans="102:102" x14ac:dyDescent="0.25">
      <c r="CX269" s="60"/>
    </row>
    <row r="270" spans="102:102" x14ac:dyDescent="0.25">
      <c r="CX270" s="60"/>
    </row>
    <row r="271" spans="102:102" x14ac:dyDescent="0.25">
      <c r="CX271" s="60"/>
    </row>
    <row r="272" spans="102:102" x14ac:dyDescent="0.25">
      <c r="CX272" s="60"/>
    </row>
    <row r="273" spans="102:102" x14ac:dyDescent="0.25">
      <c r="CX273" s="60"/>
    </row>
    <row r="274" spans="102:102" x14ac:dyDescent="0.25">
      <c r="CX274" s="60"/>
    </row>
    <row r="275" spans="102:102" x14ac:dyDescent="0.25">
      <c r="CX275" s="60"/>
    </row>
    <row r="276" spans="102:102" x14ac:dyDescent="0.25">
      <c r="CX276" s="60"/>
    </row>
    <row r="277" spans="102:102" x14ac:dyDescent="0.25">
      <c r="CX277" s="60"/>
    </row>
    <row r="278" spans="102:102" x14ac:dyDescent="0.25">
      <c r="CX278" s="60"/>
    </row>
    <row r="279" spans="102:102" x14ac:dyDescent="0.25">
      <c r="CX279" s="60"/>
    </row>
    <row r="280" spans="102:102" x14ac:dyDescent="0.25">
      <c r="CX280" s="60"/>
    </row>
    <row r="281" spans="102:102" x14ac:dyDescent="0.25">
      <c r="CX281" s="60"/>
    </row>
    <row r="282" spans="102:102" x14ac:dyDescent="0.25">
      <c r="CX282" s="60"/>
    </row>
    <row r="283" spans="102:102" x14ac:dyDescent="0.25">
      <c r="CX283" s="60"/>
    </row>
    <row r="284" spans="102:102" x14ac:dyDescent="0.25">
      <c r="CX284" s="60"/>
    </row>
    <row r="285" spans="102:102" x14ac:dyDescent="0.25">
      <c r="CX285" s="60"/>
    </row>
    <row r="286" spans="102:102" x14ac:dyDescent="0.25">
      <c r="CX286" s="60"/>
    </row>
    <row r="287" spans="102:102" x14ac:dyDescent="0.25">
      <c r="CX287" s="60"/>
    </row>
    <row r="288" spans="102:102" x14ac:dyDescent="0.25">
      <c r="CX288" s="60"/>
    </row>
    <row r="289" spans="102:102" x14ac:dyDescent="0.25">
      <c r="CX289" s="60"/>
    </row>
    <row r="290" spans="102:102" x14ac:dyDescent="0.25">
      <c r="CX290" s="60"/>
    </row>
    <row r="291" spans="102:102" x14ac:dyDescent="0.25">
      <c r="CX291" s="60"/>
    </row>
    <row r="292" spans="102:102" x14ac:dyDescent="0.25">
      <c r="CX292" s="60"/>
    </row>
    <row r="293" spans="102:102" x14ac:dyDescent="0.25">
      <c r="CX293" s="60"/>
    </row>
    <row r="294" spans="102:102" x14ac:dyDescent="0.25">
      <c r="CX294" s="60"/>
    </row>
    <row r="295" spans="102:102" x14ac:dyDescent="0.25">
      <c r="CX295" s="60"/>
    </row>
    <row r="296" spans="102:102" x14ac:dyDescent="0.25">
      <c r="CX296" s="60"/>
    </row>
    <row r="297" spans="102:102" x14ac:dyDescent="0.25">
      <c r="CX297" s="60"/>
    </row>
    <row r="298" spans="102:102" x14ac:dyDescent="0.25">
      <c r="CX298" s="60"/>
    </row>
    <row r="299" spans="102:102" x14ac:dyDescent="0.25">
      <c r="CX299" s="60"/>
    </row>
    <row r="300" spans="102:102" x14ac:dyDescent="0.25">
      <c r="CX300" s="60"/>
    </row>
    <row r="301" spans="102:102" x14ac:dyDescent="0.25">
      <c r="CX301" s="60"/>
    </row>
    <row r="302" spans="102:102" x14ac:dyDescent="0.25">
      <c r="CX302" s="60"/>
    </row>
    <row r="303" spans="102:102" x14ac:dyDescent="0.25">
      <c r="CX303" s="60"/>
    </row>
    <row r="304" spans="102:102" x14ac:dyDescent="0.25">
      <c r="CX304" s="60"/>
    </row>
    <row r="305" spans="102:102" x14ac:dyDescent="0.25">
      <c r="CX305" s="60"/>
    </row>
    <row r="306" spans="102:102" x14ac:dyDescent="0.25">
      <c r="CX306" s="60"/>
    </row>
    <row r="307" spans="102:102" x14ac:dyDescent="0.25">
      <c r="CX307" s="60"/>
    </row>
    <row r="308" spans="102:102" x14ac:dyDescent="0.25">
      <c r="CX308" s="60"/>
    </row>
    <row r="309" spans="102:102" x14ac:dyDescent="0.25">
      <c r="CX309" s="60"/>
    </row>
    <row r="310" spans="102:102" x14ac:dyDescent="0.25">
      <c r="CX310" s="60"/>
    </row>
    <row r="311" spans="102:102" x14ac:dyDescent="0.25">
      <c r="CX311" s="60"/>
    </row>
    <row r="312" spans="102:102" x14ac:dyDescent="0.25">
      <c r="CX312" s="60"/>
    </row>
    <row r="313" spans="102:102" x14ac:dyDescent="0.25">
      <c r="CX313" s="60"/>
    </row>
    <row r="314" spans="102:102" x14ac:dyDescent="0.25">
      <c r="CX314" s="60"/>
    </row>
    <row r="315" spans="102:102" x14ac:dyDescent="0.25">
      <c r="CX315" s="60"/>
    </row>
    <row r="316" spans="102:102" x14ac:dyDescent="0.25">
      <c r="CX316" s="60"/>
    </row>
    <row r="317" spans="102:102" x14ac:dyDescent="0.25">
      <c r="CX317" s="60"/>
    </row>
    <row r="318" spans="102:102" x14ac:dyDescent="0.25">
      <c r="CX318" s="60"/>
    </row>
    <row r="319" spans="102:102" x14ac:dyDescent="0.25">
      <c r="CX319" s="60"/>
    </row>
    <row r="320" spans="102:102" x14ac:dyDescent="0.25">
      <c r="CX320" s="60"/>
    </row>
    <row r="321" spans="102:102" x14ac:dyDescent="0.25">
      <c r="CX321" s="60"/>
    </row>
  </sheetData>
  <sortState xmlns:xlrd2="http://schemas.microsoft.com/office/spreadsheetml/2017/richdata2" ref="A5:CZ213">
    <sortCondition ref="B5:B213"/>
  </sortState>
  <mergeCells count="1">
    <mergeCell ref="A3:E3"/>
  </mergeCells>
  <phoneticPr fontId="3" type="noConversion"/>
  <conditionalFormatting sqref="F3:CZ3">
    <cfRule type="cellIs" dxfId="5" priority="1" operator="equal">
      <formula>"N"</formula>
    </cfRule>
    <cfRule type="cellIs" dxfId="4" priority="2" operator="equal">
      <formula>"Y"</formula>
    </cfRule>
  </conditionalFormatting>
  <dataValidations count="1">
    <dataValidation type="list" allowBlank="1" showInputMessage="1" showErrorMessage="1" sqref="F3:CZ3" xr:uid="{6D4EA31F-538A-4C54-9446-42D7179CD932}">
      <formula1>"Y,N"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A2F8-3093-4A87-8BAA-74435FEF36C9}">
  <sheetPr codeName="InFo"/>
  <dimension ref="A1:DK28"/>
  <sheetViews>
    <sheetView zoomScale="80" zoomScaleNormal="80" workbookViewId="0">
      <selection activeCell="A6" sqref="A6"/>
    </sheetView>
  </sheetViews>
  <sheetFormatPr defaultRowHeight="15" x14ac:dyDescent="0.25"/>
  <cols>
    <col min="1" max="1" width="8.85546875" customWidth="1"/>
    <col min="2" max="2" width="6.28515625" bestFit="1" customWidth="1"/>
    <col min="3" max="3" width="7.42578125" bestFit="1" customWidth="1"/>
    <col min="4" max="4" width="7.7109375" bestFit="1" customWidth="1"/>
    <col min="5" max="5" width="9.140625" bestFit="1" customWidth="1"/>
    <col min="6" max="6" width="10.5703125" bestFit="1" customWidth="1"/>
    <col min="7" max="7" width="48.42578125" customWidth="1"/>
    <col min="8" max="8" width="11.85546875" bestFit="1" customWidth="1"/>
    <col min="9" max="9" width="13.5703125" bestFit="1" customWidth="1"/>
    <col min="10" max="10" width="12.85546875" bestFit="1" customWidth="1"/>
    <col min="11" max="11" width="13.42578125" bestFit="1" customWidth="1"/>
    <col min="12" max="12" width="11.85546875" bestFit="1" customWidth="1"/>
    <col min="13" max="13" width="13.42578125" bestFit="1" customWidth="1"/>
    <col min="14" max="14" width="14.42578125" bestFit="1" customWidth="1"/>
    <col min="15" max="15" width="53.7109375" bestFit="1" customWidth="1"/>
    <col min="16" max="16" width="14.85546875" bestFit="1" customWidth="1"/>
    <col min="17" max="17" width="11.85546875" bestFit="1" customWidth="1"/>
    <col min="18" max="18" width="17.42578125" bestFit="1" customWidth="1"/>
    <col min="19" max="19" width="16.85546875" bestFit="1" customWidth="1"/>
    <col min="20" max="20" width="16.7109375" customWidth="1"/>
    <col min="21" max="21" width="28.140625" bestFit="1" customWidth="1"/>
    <col min="22" max="22" width="18.5703125" bestFit="1" customWidth="1"/>
    <col min="23" max="23" width="17.7109375" bestFit="1" customWidth="1"/>
    <col min="24" max="24" width="21.5703125" bestFit="1" customWidth="1"/>
    <col min="25" max="25" width="21.5703125" customWidth="1"/>
    <col min="26" max="26" width="14.85546875" bestFit="1" customWidth="1"/>
    <col min="27" max="27" width="20.42578125" bestFit="1" customWidth="1"/>
    <col min="28" max="28" width="16.5703125" bestFit="1" customWidth="1"/>
    <col min="29" max="29" width="24.85546875" bestFit="1" customWidth="1"/>
    <col min="30" max="30" width="17.140625" bestFit="1" customWidth="1"/>
    <col min="31" max="31" width="11.28515625" bestFit="1" customWidth="1"/>
    <col min="32" max="32" width="33.42578125" bestFit="1" customWidth="1"/>
    <col min="33" max="33" width="18.42578125" bestFit="1" customWidth="1"/>
    <col min="34" max="34" width="13.85546875" bestFit="1" customWidth="1"/>
    <col min="35" max="35" width="18" bestFit="1" customWidth="1"/>
    <col min="36" max="36" width="20.5703125" bestFit="1" customWidth="1"/>
    <col min="37" max="37" width="16.42578125" bestFit="1" customWidth="1"/>
    <col min="38" max="38" width="30.42578125" bestFit="1" customWidth="1"/>
    <col min="39" max="39" width="29.42578125" bestFit="1" customWidth="1"/>
    <col min="40" max="40" width="8.140625" bestFit="1" customWidth="1"/>
    <col min="41" max="41" width="12.7109375" bestFit="1" customWidth="1"/>
    <col min="42" max="42" width="21.42578125" bestFit="1" customWidth="1"/>
    <col min="43" max="43" width="19.140625" bestFit="1" customWidth="1"/>
    <col min="44" max="52" width="1.85546875" bestFit="1" customWidth="1"/>
    <col min="53" max="56" width="2.85546875" bestFit="1" customWidth="1"/>
    <col min="57" max="57" width="25.5703125" bestFit="1" customWidth="1"/>
    <col min="58" max="59" width="12.42578125" bestFit="1" customWidth="1"/>
    <col min="60" max="61" width="14.140625" bestFit="1" customWidth="1"/>
    <col min="62" max="62" width="18" bestFit="1" customWidth="1"/>
    <col min="63" max="63" width="16.140625" bestFit="1" customWidth="1"/>
    <col min="64" max="64" width="23.5703125" bestFit="1" customWidth="1"/>
    <col min="65" max="65" width="21.85546875" bestFit="1" customWidth="1"/>
    <col min="66" max="66" width="20.42578125" bestFit="1" customWidth="1"/>
    <col min="67" max="67" width="17.5703125" bestFit="1" customWidth="1"/>
    <col min="68" max="68" width="17.85546875" bestFit="1" customWidth="1"/>
    <col min="69" max="69" width="11.42578125" bestFit="1" customWidth="1"/>
    <col min="70" max="70" width="17.85546875" bestFit="1" customWidth="1"/>
    <col min="71" max="71" width="35.28515625" bestFit="1" customWidth="1"/>
    <col min="72" max="72" width="34.5703125" bestFit="1" customWidth="1"/>
    <col min="73" max="73" width="18.5703125" bestFit="1" customWidth="1"/>
    <col min="74" max="74" width="16.42578125" bestFit="1" customWidth="1"/>
    <col min="75" max="75" width="25.28515625" bestFit="1" customWidth="1"/>
    <col min="76" max="76" width="19.140625" bestFit="1" customWidth="1"/>
    <col min="77" max="77" width="34.7109375" bestFit="1" customWidth="1"/>
    <col min="78" max="78" width="20.42578125" bestFit="1" customWidth="1"/>
    <col min="79" max="79" width="19.140625" bestFit="1" customWidth="1"/>
    <col min="80" max="80" width="13.5703125" bestFit="1" customWidth="1"/>
    <col min="81" max="81" width="16.7109375" bestFit="1" customWidth="1"/>
    <col min="82" max="82" width="39.7109375" bestFit="1" customWidth="1"/>
    <col min="83" max="83" width="39.42578125" bestFit="1" customWidth="1"/>
    <col min="84" max="84" width="19.5703125" bestFit="1" customWidth="1"/>
    <col min="85" max="85" width="21.28515625" bestFit="1" customWidth="1"/>
    <col min="86" max="86" width="10.5703125" bestFit="1" customWidth="1"/>
    <col min="87" max="87" width="8.5703125" bestFit="1" customWidth="1"/>
    <col min="88" max="88" width="13.140625" bestFit="1" customWidth="1"/>
    <col min="89" max="89" width="17.42578125" bestFit="1" customWidth="1"/>
    <col min="90" max="90" width="26.140625" bestFit="1" customWidth="1"/>
    <col min="91" max="91" width="10" bestFit="1" customWidth="1"/>
    <col min="92" max="92" width="13" bestFit="1" customWidth="1"/>
    <col min="93" max="93" width="16.140625" bestFit="1" customWidth="1"/>
    <col min="94" max="94" width="12.42578125" bestFit="1" customWidth="1"/>
    <col min="95" max="95" width="29.42578125" bestFit="1" customWidth="1"/>
    <col min="96" max="96" width="32.7109375" bestFit="1" customWidth="1"/>
    <col min="97" max="97" width="18" bestFit="1" customWidth="1"/>
    <col min="98" max="98" width="17.140625" bestFit="1" customWidth="1"/>
    <col min="99" max="99" width="64.28515625" bestFit="1" customWidth="1"/>
    <col min="100" max="100" width="22.7109375" bestFit="1" customWidth="1"/>
    <col min="101" max="101" width="26.5703125" bestFit="1" customWidth="1"/>
    <col min="102" max="102" width="18.5703125" bestFit="1" customWidth="1"/>
    <col min="103" max="103" width="20.42578125" bestFit="1" customWidth="1"/>
    <col min="104" max="104" width="20.140625" bestFit="1" customWidth="1"/>
    <col min="106" max="106" width="33.85546875" bestFit="1" customWidth="1"/>
    <col min="107" max="107" width="21.28515625" bestFit="1" customWidth="1"/>
    <col min="108" max="108" width="36.85546875" bestFit="1" customWidth="1"/>
    <col min="109" max="109" width="32.140625" bestFit="1" customWidth="1"/>
    <col min="110" max="110" width="26.140625" bestFit="1" customWidth="1"/>
    <col min="111" max="111" width="22.85546875" bestFit="1" customWidth="1"/>
    <col min="112" max="112" width="28.28515625" bestFit="1" customWidth="1"/>
    <col min="113" max="113" width="33.5703125" bestFit="1" customWidth="1"/>
    <col min="114" max="114" width="31.5703125" bestFit="1" customWidth="1"/>
  </cols>
  <sheetData>
    <row r="1" spans="1:115" s="28" customForma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</row>
    <row r="2" spans="1:115" s="30" customFormat="1" x14ac:dyDescent="0.25">
      <c r="A2" s="11"/>
      <c r="B2" s="11"/>
      <c r="C2" s="11"/>
      <c r="D2" s="11"/>
      <c r="E2" s="11"/>
      <c r="F2" s="53" t="s">
        <v>0</v>
      </c>
      <c r="G2" s="53" t="s">
        <v>1</v>
      </c>
      <c r="H2" s="53" t="s">
        <v>2</v>
      </c>
      <c r="I2" s="54" t="s">
        <v>3</v>
      </c>
      <c r="J2" s="53" t="s">
        <v>4</v>
      </c>
      <c r="K2" s="53" t="s">
        <v>5</v>
      </c>
      <c r="L2" s="53" t="s">
        <v>6</v>
      </c>
      <c r="M2" s="53" t="s">
        <v>7</v>
      </c>
      <c r="N2" s="53" t="s">
        <v>8</v>
      </c>
      <c r="O2" s="53" t="s">
        <v>9</v>
      </c>
      <c r="P2" s="53" t="s">
        <v>10</v>
      </c>
      <c r="Q2" s="53" t="s">
        <v>2</v>
      </c>
      <c r="R2" s="53" t="s">
        <v>11</v>
      </c>
      <c r="S2" s="53" t="s">
        <v>12</v>
      </c>
      <c r="T2" s="53" t="s">
        <v>113</v>
      </c>
      <c r="U2" s="53" t="s">
        <v>14</v>
      </c>
      <c r="V2" s="53" t="s">
        <v>15</v>
      </c>
      <c r="W2" s="53" t="s">
        <v>16</v>
      </c>
      <c r="X2" s="53" t="s">
        <v>17</v>
      </c>
      <c r="Y2" s="53" t="s">
        <v>5</v>
      </c>
      <c r="Z2" s="53" t="s">
        <v>18</v>
      </c>
      <c r="AA2" s="53" t="s">
        <v>19</v>
      </c>
      <c r="AB2" s="53" t="s">
        <v>20</v>
      </c>
      <c r="AC2" s="53" t="s">
        <v>21</v>
      </c>
      <c r="AD2" s="53" t="s">
        <v>22</v>
      </c>
      <c r="AE2" s="53" t="s">
        <v>23</v>
      </c>
      <c r="AF2" s="53" t="s">
        <v>24</v>
      </c>
      <c r="AG2" s="53" t="s">
        <v>25</v>
      </c>
      <c r="AH2" s="53" t="s">
        <v>26</v>
      </c>
      <c r="AI2" s="53" t="s">
        <v>27</v>
      </c>
      <c r="AJ2" s="53" t="s">
        <v>28</v>
      </c>
      <c r="AK2" s="53" t="s">
        <v>29</v>
      </c>
      <c r="AL2" s="53" t="s">
        <v>30</v>
      </c>
      <c r="AM2" s="53" t="s">
        <v>31</v>
      </c>
      <c r="AN2" s="53" t="s">
        <v>32</v>
      </c>
      <c r="AO2" s="53" t="s">
        <v>33</v>
      </c>
      <c r="AP2" s="53" t="s">
        <v>34</v>
      </c>
      <c r="AQ2" s="53" t="s">
        <v>35</v>
      </c>
      <c r="AR2" s="53" t="s">
        <v>21</v>
      </c>
      <c r="AS2" s="53" t="s">
        <v>22</v>
      </c>
      <c r="AT2" s="53" t="s">
        <v>23</v>
      </c>
      <c r="AU2" s="53" t="s">
        <v>24</v>
      </c>
      <c r="AV2" s="53" t="s">
        <v>36</v>
      </c>
      <c r="AW2" s="53" t="s">
        <v>27</v>
      </c>
      <c r="AX2" s="53" t="s">
        <v>28</v>
      </c>
      <c r="AY2" s="53" t="s">
        <v>29</v>
      </c>
      <c r="AZ2" s="53" t="s">
        <v>30</v>
      </c>
      <c r="BA2" s="53" t="s">
        <v>31</v>
      </c>
      <c r="BB2" s="53" t="s">
        <v>33</v>
      </c>
      <c r="BC2" s="53" t="s">
        <v>37</v>
      </c>
      <c r="BD2" s="53" t="s">
        <v>38</v>
      </c>
      <c r="BE2" s="53" t="s">
        <v>39</v>
      </c>
      <c r="BF2" s="53" t="s">
        <v>40</v>
      </c>
      <c r="BG2" s="53" t="s">
        <v>41</v>
      </c>
      <c r="BH2" s="53" t="s">
        <v>42</v>
      </c>
      <c r="BI2" s="53" t="s">
        <v>43</v>
      </c>
      <c r="BJ2" s="53" t="s">
        <v>44</v>
      </c>
      <c r="BK2" s="53" t="s">
        <v>45</v>
      </c>
      <c r="BL2" s="53" t="s">
        <v>46</v>
      </c>
      <c r="BM2" s="53" t="s">
        <v>47</v>
      </c>
      <c r="BN2" s="53" t="s">
        <v>48</v>
      </c>
      <c r="BO2" s="53" t="s">
        <v>49</v>
      </c>
      <c r="BP2" s="53" t="s">
        <v>50</v>
      </c>
      <c r="BQ2" s="53" t="s">
        <v>51</v>
      </c>
      <c r="BR2" s="53" t="s">
        <v>52</v>
      </c>
      <c r="BS2" s="53" t="s">
        <v>53</v>
      </c>
      <c r="BT2" s="53" t="s">
        <v>54</v>
      </c>
      <c r="BU2" s="55" t="s">
        <v>55</v>
      </c>
      <c r="BV2" s="55" t="s">
        <v>56</v>
      </c>
      <c r="BW2" s="53" t="s">
        <v>57</v>
      </c>
      <c r="BX2" s="55" t="s">
        <v>58</v>
      </c>
      <c r="BY2" s="53" t="s">
        <v>59</v>
      </c>
      <c r="BZ2" s="53" t="s">
        <v>60</v>
      </c>
      <c r="CA2" s="53" t="s">
        <v>61</v>
      </c>
      <c r="CB2" s="53" t="s">
        <v>62</v>
      </c>
      <c r="CC2" s="53" t="s">
        <v>63</v>
      </c>
      <c r="CD2" s="53" t="s">
        <v>64</v>
      </c>
      <c r="CE2" s="53" t="s">
        <v>65</v>
      </c>
      <c r="CF2" s="53" t="s">
        <v>66</v>
      </c>
      <c r="CG2" s="53" t="s">
        <v>67</v>
      </c>
      <c r="CH2" s="53" t="s">
        <v>68</v>
      </c>
      <c r="CI2" s="53" t="s">
        <v>69</v>
      </c>
      <c r="CJ2" s="53" t="s">
        <v>70</v>
      </c>
      <c r="CK2" s="53" t="s">
        <v>71</v>
      </c>
      <c r="CL2" s="53" t="s">
        <v>72</v>
      </c>
      <c r="CM2" s="53" t="s">
        <v>73</v>
      </c>
      <c r="CN2" s="53" t="s">
        <v>74</v>
      </c>
      <c r="CO2" s="53" t="s">
        <v>75</v>
      </c>
      <c r="CP2" s="53" t="s">
        <v>76</v>
      </c>
      <c r="CQ2" s="55" t="s">
        <v>77</v>
      </c>
      <c r="CR2" s="55" t="s">
        <v>78</v>
      </c>
      <c r="CS2" s="53" t="s">
        <v>79</v>
      </c>
      <c r="CT2" s="53" t="s">
        <v>80</v>
      </c>
      <c r="CU2" s="53" t="s">
        <v>81</v>
      </c>
      <c r="CV2" s="53" t="s">
        <v>114</v>
      </c>
      <c r="CW2" s="53" t="s">
        <v>115</v>
      </c>
      <c r="CX2" s="53" t="s">
        <v>84</v>
      </c>
      <c r="CY2" s="53" t="s">
        <v>85</v>
      </c>
      <c r="CZ2" s="53" t="s">
        <v>86</v>
      </c>
      <c r="DA2" s="14"/>
      <c r="DB2" s="56" t="s">
        <v>87</v>
      </c>
      <c r="DC2" s="56" t="s">
        <v>88</v>
      </c>
      <c r="DD2" s="56" t="s">
        <v>89</v>
      </c>
      <c r="DE2" s="56" t="s">
        <v>90</v>
      </c>
      <c r="DF2" s="56" t="s">
        <v>91</v>
      </c>
      <c r="DG2" s="56" t="s">
        <v>92</v>
      </c>
      <c r="DH2" s="56" t="s">
        <v>93</v>
      </c>
      <c r="DI2" s="56" t="s">
        <v>94</v>
      </c>
      <c r="DJ2" s="57" t="s">
        <v>95</v>
      </c>
      <c r="DK2" s="29"/>
    </row>
    <row r="3" spans="1:115" s="30" customFormat="1" x14ac:dyDescent="0.25">
      <c r="A3" s="76"/>
      <c r="B3" s="76"/>
      <c r="C3" s="76"/>
      <c r="D3" s="76"/>
      <c r="E3" s="76"/>
      <c r="F3" s="44" t="s">
        <v>96</v>
      </c>
      <c r="G3" s="44"/>
      <c r="H3" s="44"/>
      <c r="I3" s="50" t="s">
        <v>96</v>
      </c>
      <c r="J3" s="44"/>
      <c r="K3" s="44"/>
      <c r="L3" s="44"/>
      <c r="M3" s="44" t="s">
        <v>96</v>
      </c>
      <c r="N3" s="44" t="s">
        <v>96</v>
      </c>
      <c r="O3" s="44" t="s">
        <v>96</v>
      </c>
      <c r="P3" s="44" t="s">
        <v>96</v>
      </c>
      <c r="Q3" s="44"/>
      <c r="R3" s="44" t="s">
        <v>96</v>
      </c>
      <c r="S3" s="44" t="s">
        <v>96</v>
      </c>
      <c r="T3" s="44" t="s">
        <v>96</v>
      </c>
      <c r="U3" s="44"/>
      <c r="V3" s="44"/>
      <c r="W3" s="44"/>
      <c r="X3" s="44" t="s">
        <v>96</v>
      </c>
      <c r="Y3" s="44"/>
      <c r="Z3" s="44" t="s">
        <v>96</v>
      </c>
      <c r="AA3" s="44" t="s">
        <v>96</v>
      </c>
      <c r="AB3" s="44"/>
      <c r="AC3" s="44" t="s">
        <v>96</v>
      </c>
      <c r="AD3" s="44" t="s">
        <v>96</v>
      </c>
      <c r="AE3" s="44" t="s">
        <v>96</v>
      </c>
      <c r="AF3" s="44" t="s">
        <v>96</v>
      </c>
      <c r="AG3" s="44" t="s">
        <v>96</v>
      </c>
      <c r="AH3" s="44" t="s">
        <v>96</v>
      </c>
      <c r="AI3" s="44" t="s">
        <v>96</v>
      </c>
      <c r="AJ3" s="44" t="s">
        <v>96</v>
      </c>
      <c r="AK3" s="44" t="s">
        <v>96</v>
      </c>
      <c r="AL3" s="44" t="s">
        <v>96</v>
      </c>
      <c r="AM3" s="44" t="s">
        <v>96</v>
      </c>
      <c r="AN3" s="44" t="s">
        <v>96</v>
      </c>
      <c r="AO3" s="44" t="s">
        <v>96</v>
      </c>
      <c r="AP3" s="44" t="s">
        <v>96</v>
      </c>
      <c r="AQ3" s="44" t="s">
        <v>96</v>
      </c>
      <c r="AR3" s="44" t="s">
        <v>96</v>
      </c>
      <c r="AS3" s="44" t="s">
        <v>96</v>
      </c>
      <c r="AT3" s="44" t="s">
        <v>96</v>
      </c>
      <c r="AU3" s="44" t="s">
        <v>96</v>
      </c>
      <c r="AV3" s="44" t="s">
        <v>96</v>
      </c>
      <c r="AW3" s="44"/>
      <c r="AX3" s="44"/>
      <c r="AY3" s="44"/>
      <c r="AZ3" s="44"/>
      <c r="BA3" s="44"/>
      <c r="BB3" s="44" t="s">
        <v>96</v>
      </c>
      <c r="BC3" s="44" t="s">
        <v>96</v>
      </c>
      <c r="BD3" s="44" t="s">
        <v>96</v>
      </c>
      <c r="BE3" s="44"/>
      <c r="BF3" s="44"/>
      <c r="BG3" s="44" t="s">
        <v>96</v>
      </c>
      <c r="BH3" s="44"/>
      <c r="BI3" s="44" t="s">
        <v>96</v>
      </c>
      <c r="BJ3" s="44"/>
      <c r="BK3" s="44"/>
      <c r="BL3" s="44" t="s">
        <v>96</v>
      </c>
      <c r="BM3" s="44" t="s">
        <v>96</v>
      </c>
      <c r="BN3" s="44" t="s">
        <v>96</v>
      </c>
      <c r="BO3" s="44" t="s">
        <v>96</v>
      </c>
      <c r="BP3" s="44" t="s">
        <v>96</v>
      </c>
      <c r="BQ3" s="44"/>
      <c r="BR3" s="44"/>
      <c r="BS3" s="44"/>
      <c r="BT3" s="44"/>
      <c r="BU3" s="45" t="s">
        <v>96</v>
      </c>
      <c r="BV3" s="45" t="s">
        <v>96</v>
      </c>
      <c r="BW3" s="44"/>
      <c r="BX3" s="45" t="s">
        <v>96</v>
      </c>
      <c r="BY3" s="44"/>
      <c r="BZ3" s="44"/>
      <c r="CA3" s="44" t="s">
        <v>96</v>
      </c>
      <c r="CB3" s="44" t="s">
        <v>96</v>
      </c>
      <c r="CC3" s="44" t="s">
        <v>96</v>
      </c>
      <c r="CD3" s="44"/>
      <c r="CE3" s="44"/>
      <c r="CF3" s="44"/>
      <c r="CG3" s="44" t="s">
        <v>96</v>
      </c>
      <c r="CH3" s="44"/>
      <c r="CI3" s="44" t="s">
        <v>96</v>
      </c>
      <c r="CJ3" s="44" t="s">
        <v>96</v>
      </c>
      <c r="CK3" s="44" t="s">
        <v>96</v>
      </c>
      <c r="CL3" s="44"/>
      <c r="CM3" s="44"/>
      <c r="CN3" s="44" t="s">
        <v>96</v>
      </c>
      <c r="CO3" s="44"/>
      <c r="CP3" s="44"/>
      <c r="CQ3" s="44" t="s">
        <v>96</v>
      </c>
      <c r="CR3" s="44"/>
      <c r="CS3" s="44" t="s">
        <v>96</v>
      </c>
      <c r="CT3" s="44" t="s">
        <v>96</v>
      </c>
      <c r="CU3" s="44"/>
      <c r="CV3" s="44" t="s">
        <v>96</v>
      </c>
      <c r="CW3" s="44"/>
      <c r="CX3" s="44" t="s">
        <v>96</v>
      </c>
      <c r="CY3" s="44" t="s">
        <v>96</v>
      </c>
      <c r="CZ3" s="44" t="s">
        <v>96</v>
      </c>
      <c r="DA3" s="14"/>
      <c r="DB3" s="14"/>
      <c r="DC3" s="14"/>
      <c r="DD3" s="14"/>
      <c r="DE3" s="14"/>
      <c r="DF3" s="14"/>
      <c r="DG3" s="14"/>
      <c r="DH3" s="14"/>
      <c r="DI3" s="14"/>
      <c r="DJ3" s="15"/>
    </row>
    <row r="4" spans="1:115" s="30" customFormat="1" ht="63.75" x14ac:dyDescent="0.25">
      <c r="A4" s="6" t="s">
        <v>97</v>
      </c>
      <c r="B4" s="6" t="s">
        <v>98</v>
      </c>
      <c r="C4" s="6" t="s">
        <v>99</v>
      </c>
      <c r="D4" s="6" t="s">
        <v>100</v>
      </c>
      <c r="E4" s="6" t="s">
        <v>101</v>
      </c>
      <c r="F4" s="46" t="s">
        <v>102</v>
      </c>
      <c r="G4" s="47" t="s">
        <v>103</v>
      </c>
      <c r="H4" s="46"/>
      <c r="I4" s="51" t="s">
        <v>104</v>
      </c>
      <c r="J4" s="48" t="s">
        <v>103</v>
      </c>
      <c r="K4" s="48" t="s">
        <v>105</v>
      </c>
      <c r="L4" s="48" t="s">
        <v>103</v>
      </c>
      <c r="M4" s="48" t="s">
        <v>104</v>
      </c>
      <c r="N4" s="48" t="s">
        <v>103</v>
      </c>
      <c r="O4" s="47" t="s">
        <v>103</v>
      </c>
      <c r="P4" s="47" t="s">
        <v>104</v>
      </c>
      <c r="Q4" s="47"/>
      <c r="R4" s="47" t="s">
        <v>104</v>
      </c>
      <c r="S4" s="47" t="s">
        <v>103</v>
      </c>
      <c r="T4" s="47" t="s">
        <v>104</v>
      </c>
      <c r="U4" s="47" t="s">
        <v>106</v>
      </c>
      <c r="V4" s="47" t="s">
        <v>104</v>
      </c>
      <c r="W4" s="47" t="s">
        <v>103</v>
      </c>
      <c r="X4" s="47" t="s">
        <v>103</v>
      </c>
      <c r="Y4" s="48" t="s">
        <v>105</v>
      </c>
      <c r="Z4" s="47" t="s">
        <v>104</v>
      </c>
      <c r="AA4" s="47" t="s">
        <v>103</v>
      </c>
      <c r="AB4" s="46" t="s">
        <v>103</v>
      </c>
      <c r="AC4" s="46" t="s">
        <v>107</v>
      </c>
      <c r="AD4" s="48" t="s">
        <v>108</v>
      </c>
      <c r="AE4" s="48" t="s">
        <v>108</v>
      </c>
      <c r="AF4" s="48" t="s">
        <v>108</v>
      </c>
      <c r="AG4" s="47" t="s">
        <v>109</v>
      </c>
      <c r="AH4" s="48"/>
      <c r="AI4" s="48" t="s">
        <v>109</v>
      </c>
      <c r="AJ4" s="48" t="s">
        <v>109</v>
      </c>
      <c r="AK4" s="48" t="s">
        <v>108</v>
      </c>
      <c r="AL4" s="48" t="s">
        <v>102</v>
      </c>
      <c r="AM4" s="48" t="s">
        <v>102</v>
      </c>
      <c r="AN4" s="48" t="s">
        <v>108</v>
      </c>
      <c r="AO4" s="47" t="s">
        <v>103</v>
      </c>
      <c r="AP4" s="47" t="s">
        <v>103</v>
      </c>
      <c r="AQ4" s="48" t="s">
        <v>104</v>
      </c>
      <c r="AR4" s="46" t="s">
        <v>107</v>
      </c>
      <c r="AS4" s="47" t="s">
        <v>108</v>
      </c>
      <c r="AT4" s="47" t="s">
        <v>108</v>
      </c>
      <c r="AU4" s="47" t="s">
        <v>108</v>
      </c>
      <c r="AV4" s="48" t="s">
        <v>109</v>
      </c>
      <c r="AW4" s="48" t="s">
        <v>109</v>
      </c>
      <c r="AX4" s="48" t="s">
        <v>109</v>
      </c>
      <c r="AY4" s="48" t="s">
        <v>108</v>
      </c>
      <c r="AZ4" s="48" t="s">
        <v>102</v>
      </c>
      <c r="BA4" s="48" t="s">
        <v>102</v>
      </c>
      <c r="BB4" s="47" t="s">
        <v>103</v>
      </c>
      <c r="BC4" s="47" t="s">
        <v>103</v>
      </c>
      <c r="BD4" s="47" t="s">
        <v>104</v>
      </c>
      <c r="BE4" s="47"/>
      <c r="BF4" s="47"/>
      <c r="BG4" s="48" t="s">
        <v>109</v>
      </c>
      <c r="BH4" s="48" t="s">
        <v>104</v>
      </c>
      <c r="BI4" s="48" t="s">
        <v>104</v>
      </c>
      <c r="BJ4" s="47" t="s">
        <v>109</v>
      </c>
      <c r="BK4" s="47" t="s">
        <v>104</v>
      </c>
      <c r="BL4" s="47" t="s">
        <v>103</v>
      </c>
      <c r="BM4" s="47" t="s">
        <v>103</v>
      </c>
      <c r="BN4" s="47" t="s">
        <v>103</v>
      </c>
      <c r="BO4" s="47" t="s">
        <v>103</v>
      </c>
      <c r="BP4" s="47" t="s">
        <v>103</v>
      </c>
      <c r="BQ4" s="47" t="s">
        <v>109</v>
      </c>
      <c r="BR4" s="48" t="s">
        <v>104</v>
      </c>
      <c r="BS4" s="48" t="s">
        <v>103</v>
      </c>
      <c r="BT4" s="48" t="s">
        <v>103</v>
      </c>
      <c r="BU4" s="49" t="s">
        <v>102</v>
      </c>
      <c r="BV4" s="49" t="s">
        <v>102</v>
      </c>
      <c r="BW4" s="48" t="s">
        <v>102</v>
      </c>
      <c r="BX4" s="49" t="s">
        <v>102</v>
      </c>
      <c r="BY4" s="48" t="s">
        <v>102</v>
      </c>
      <c r="BZ4" s="48" t="s">
        <v>102</v>
      </c>
      <c r="CA4" s="48"/>
      <c r="CB4" s="48" t="s">
        <v>104</v>
      </c>
      <c r="CC4" s="48" t="s">
        <v>110</v>
      </c>
      <c r="CD4" s="48" t="s">
        <v>105</v>
      </c>
      <c r="CE4" s="48" t="s">
        <v>105</v>
      </c>
      <c r="CF4" s="48" t="s">
        <v>106</v>
      </c>
      <c r="CG4" s="48" t="s">
        <v>106</v>
      </c>
      <c r="CH4" s="48" t="s">
        <v>108</v>
      </c>
      <c r="CI4" s="48" t="s">
        <v>103</v>
      </c>
      <c r="CJ4" s="48" t="s">
        <v>103</v>
      </c>
      <c r="CK4" s="48" t="s">
        <v>103</v>
      </c>
      <c r="CL4" s="48" t="s">
        <v>104</v>
      </c>
      <c r="CM4" s="48" t="s">
        <v>111</v>
      </c>
      <c r="CN4" s="48" t="s">
        <v>103</v>
      </c>
      <c r="CO4" s="48" t="s">
        <v>104</v>
      </c>
      <c r="CP4" s="48" t="s">
        <v>112</v>
      </c>
      <c r="CQ4" s="49" t="s">
        <v>111</v>
      </c>
      <c r="CR4" s="49" t="s">
        <v>102</v>
      </c>
      <c r="CS4" s="48" t="s">
        <v>109</v>
      </c>
      <c r="CT4" s="48" t="s">
        <v>103</v>
      </c>
      <c r="CU4" s="48" t="s">
        <v>103</v>
      </c>
      <c r="CV4" s="48" t="s">
        <v>103</v>
      </c>
      <c r="CW4" s="48" t="s">
        <v>103</v>
      </c>
      <c r="CX4" s="48"/>
      <c r="CY4" s="48" t="s">
        <v>108</v>
      </c>
      <c r="CZ4" s="48" t="s">
        <v>108</v>
      </c>
      <c r="DA4" s="14"/>
      <c r="DB4" s="14"/>
      <c r="DC4" s="14"/>
      <c r="DD4" s="14"/>
      <c r="DE4" s="14"/>
      <c r="DF4" s="14"/>
      <c r="DG4" s="14"/>
      <c r="DH4" s="14"/>
      <c r="DI4" s="14"/>
      <c r="DJ4" s="15"/>
    </row>
    <row r="5" spans="1:115" x14ac:dyDescent="0.25">
      <c r="A5" s="22"/>
      <c r="B5" s="22" t="str">
        <f>SUBSTITUTE(ADDRESS(1,COLUMN(B1),4),1,"")</f>
        <v>B</v>
      </c>
      <c r="C5" s="22" t="s">
        <v>116</v>
      </c>
      <c r="D5" s="22" t="str">
        <f t="shared" ref="D5:BS5" si="0">SUBSTITUTE(ADDRESS(1,COLUMN(D1),4),1,"")</f>
        <v>D</v>
      </c>
      <c r="E5" s="22" t="str">
        <f t="shared" si="0"/>
        <v>E</v>
      </c>
      <c r="F5" s="22" t="str">
        <f t="shared" si="0"/>
        <v>F</v>
      </c>
      <c r="G5" s="22" t="str">
        <f t="shared" si="0"/>
        <v>G</v>
      </c>
      <c r="H5" s="22" t="str">
        <f t="shared" si="0"/>
        <v>H</v>
      </c>
      <c r="I5" s="22" t="str">
        <f t="shared" si="0"/>
        <v>I</v>
      </c>
      <c r="J5" s="22" t="str">
        <f t="shared" si="0"/>
        <v>J</v>
      </c>
      <c r="K5" s="22" t="str">
        <f t="shared" si="0"/>
        <v>K</v>
      </c>
      <c r="L5" s="22" t="str">
        <f t="shared" si="0"/>
        <v>L</v>
      </c>
      <c r="M5" s="22" t="str">
        <f>SUBSTITUTE(ADDRESS(1,COLUMN(M1),4),1,"")</f>
        <v>M</v>
      </c>
      <c r="N5" s="22" t="str">
        <f t="shared" si="0"/>
        <v>N</v>
      </c>
      <c r="O5" s="22" t="str">
        <f t="shared" si="0"/>
        <v>O</v>
      </c>
      <c r="P5" s="22" t="str">
        <f t="shared" si="0"/>
        <v>P</v>
      </c>
      <c r="Q5" s="22" t="str">
        <f t="shared" si="0"/>
        <v>Q</v>
      </c>
      <c r="R5" s="22" t="str">
        <f t="shared" si="0"/>
        <v>R</v>
      </c>
      <c r="S5" s="22" t="str">
        <f t="shared" si="0"/>
        <v>S</v>
      </c>
      <c r="T5" s="22" t="str">
        <f t="shared" si="0"/>
        <v>T</v>
      </c>
      <c r="U5" s="22" t="str">
        <f t="shared" si="0"/>
        <v>U</v>
      </c>
      <c r="V5" s="22" t="str">
        <f t="shared" si="0"/>
        <v>V</v>
      </c>
      <c r="W5" s="22" t="str">
        <f t="shared" si="0"/>
        <v>W</v>
      </c>
      <c r="X5" s="22" t="str">
        <f t="shared" si="0"/>
        <v>X</v>
      </c>
      <c r="Y5" s="22" t="str">
        <f t="shared" si="0"/>
        <v>Y</v>
      </c>
      <c r="Z5" s="22" t="str">
        <f t="shared" si="0"/>
        <v>Z</v>
      </c>
      <c r="AA5" s="22" t="str">
        <f t="shared" si="0"/>
        <v>AA</v>
      </c>
      <c r="AB5" s="22" t="str">
        <f t="shared" si="0"/>
        <v>AB</v>
      </c>
      <c r="AC5" s="22" t="str">
        <f t="shared" si="0"/>
        <v>AC</v>
      </c>
      <c r="AD5" s="22" t="str">
        <f t="shared" si="0"/>
        <v>AD</v>
      </c>
      <c r="AE5" s="22" t="str">
        <f t="shared" si="0"/>
        <v>AE</v>
      </c>
      <c r="AF5" s="22" t="str">
        <f t="shared" si="0"/>
        <v>AF</v>
      </c>
      <c r="AG5" s="22" t="str">
        <f t="shared" si="0"/>
        <v>AG</v>
      </c>
      <c r="AH5" s="22" t="str">
        <f t="shared" si="0"/>
        <v>AH</v>
      </c>
      <c r="AI5" s="22" t="str">
        <f t="shared" si="0"/>
        <v>AI</v>
      </c>
      <c r="AJ5" s="22" t="str">
        <f t="shared" si="0"/>
        <v>AJ</v>
      </c>
      <c r="AK5" s="22" t="str">
        <f t="shared" si="0"/>
        <v>AK</v>
      </c>
      <c r="AL5" s="22" t="str">
        <f t="shared" si="0"/>
        <v>AL</v>
      </c>
      <c r="AM5" s="22" t="str">
        <f t="shared" si="0"/>
        <v>AM</v>
      </c>
      <c r="AN5" s="22" t="str">
        <f t="shared" si="0"/>
        <v>AN</v>
      </c>
      <c r="AO5" s="22" t="str">
        <f t="shared" si="0"/>
        <v>AO</v>
      </c>
      <c r="AP5" s="22" t="str">
        <f t="shared" si="0"/>
        <v>AP</v>
      </c>
      <c r="AQ5" s="22" t="str">
        <f t="shared" si="0"/>
        <v>AQ</v>
      </c>
      <c r="AR5" s="22" t="str">
        <f t="shared" si="0"/>
        <v>AR</v>
      </c>
      <c r="AS5" s="22" t="str">
        <f t="shared" si="0"/>
        <v>AS</v>
      </c>
      <c r="AT5" s="22" t="str">
        <f t="shared" si="0"/>
        <v>AT</v>
      </c>
      <c r="AU5" s="22" t="str">
        <f t="shared" si="0"/>
        <v>AU</v>
      </c>
      <c r="AV5" s="22" t="str">
        <f t="shared" si="0"/>
        <v>AV</v>
      </c>
      <c r="AW5" s="22" t="str">
        <f t="shared" si="0"/>
        <v>AW</v>
      </c>
      <c r="AX5" s="22" t="str">
        <f t="shared" si="0"/>
        <v>AX</v>
      </c>
      <c r="AY5" s="22" t="str">
        <f t="shared" si="0"/>
        <v>AY</v>
      </c>
      <c r="AZ5" s="22" t="str">
        <f t="shared" si="0"/>
        <v>AZ</v>
      </c>
      <c r="BA5" s="22" t="str">
        <f t="shared" si="0"/>
        <v>BA</v>
      </c>
      <c r="BB5" s="22" t="str">
        <f t="shared" si="0"/>
        <v>BB</v>
      </c>
      <c r="BC5" s="22" t="str">
        <f t="shared" si="0"/>
        <v>BC</v>
      </c>
      <c r="BD5" s="22" t="str">
        <f t="shared" si="0"/>
        <v>BD</v>
      </c>
      <c r="BE5" s="22" t="str">
        <f t="shared" si="0"/>
        <v>BE</v>
      </c>
      <c r="BF5" s="22" t="str">
        <f t="shared" si="0"/>
        <v>BF</v>
      </c>
      <c r="BG5" s="22" t="str">
        <f t="shared" si="0"/>
        <v>BG</v>
      </c>
      <c r="BH5" s="22" t="str">
        <f t="shared" si="0"/>
        <v>BH</v>
      </c>
      <c r="BI5" s="22" t="str">
        <f t="shared" si="0"/>
        <v>BI</v>
      </c>
      <c r="BJ5" s="22" t="str">
        <f t="shared" si="0"/>
        <v>BJ</v>
      </c>
      <c r="BK5" s="22" t="str">
        <f t="shared" si="0"/>
        <v>BK</v>
      </c>
      <c r="BL5" s="22" t="str">
        <f t="shared" si="0"/>
        <v>BL</v>
      </c>
      <c r="BM5" s="22" t="str">
        <f t="shared" si="0"/>
        <v>BM</v>
      </c>
      <c r="BN5" s="22" t="str">
        <f t="shared" si="0"/>
        <v>BN</v>
      </c>
      <c r="BO5" s="22" t="str">
        <f t="shared" si="0"/>
        <v>BO</v>
      </c>
      <c r="BP5" s="22" t="str">
        <f t="shared" si="0"/>
        <v>BP</v>
      </c>
      <c r="BQ5" s="22" t="str">
        <f t="shared" si="0"/>
        <v>BQ</v>
      </c>
      <c r="BR5" s="22" t="str">
        <f t="shared" si="0"/>
        <v>BR</v>
      </c>
      <c r="BS5" s="22" t="str">
        <f t="shared" si="0"/>
        <v>BS</v>
      </c>
      <c r="BT5" s="22" t="str">
        <f t="shared" ref="BT5:DJ5" si="1">SUBSTITUTE(ADDRESS(1,COLUMN(BT1),4),1,"")</f>
        <v>BT</v>
      </c>
      <c r="BU5" s="22" t="str">
        <f t="shared" si="1"/>
        <v>BU</v>
      </c>
      <c r="BV5" s="22" t="str">
        <f t="shared" si="1"/>
        <v>BV</v>
      </c>
      <c r="BW5" s="22" t="str">
        <f t="shared" si="1"/>
        <v>BW</v>
      </c>
      <c r="BX5" s="22" t="str">
        <f t="shared" si="1"/>
        <v>BX</v>
      </c>
      <c r="BY5" s="22" t="str">
        <f t="shared" si="1"/>
        <v>BY</v>
      </c>
      <c r="BZ5" s="22" t="str">
        <f t="shared" si="1"/>
        <v>BZ</v>
      </c>
      <c r="CA5" s="22" t="str">
        <f t="shared" si="1"/>
        <v>CA</v>
      </c>
      <c r="CB5" s="22" t="str">
        <f t="shared" si="1"/>
        <v>CB</v>
      </c>
      <c r="CC5" s="22" t="str">
        <f t="shared" si="1"/>
        <v>CC</v>
      </c>
      <c r="CD5" s="22" t="str">
        <f t="shared" si="1"/>
        <v>CD</v>
      </c>
      <c r="CE5" s="22" t="str">
        <f t="shared" si="1"/>
        <v>CE</v>
      </c>
      <c r="CF5" s="22" t="str">
        <f t="shared" si="1"/>
        <v>CF</v>
      </c>
      <c r="CG5" s="22" t="str">
        <f t="shared" si="1"/>
        <v>CG</v>
      </c>
      <c r="CH5" s="22" t="str">
        <f t="shared" si="1"/>
        <v>CH</v>
      </c>
      <c r="CI5" s="22" t="str">
        <f t="shared" si="1"/>
        <v>CI</v>
      </c>
      <c r="CJ5" s="22" t="str">
        <f t="shared" si="1"/>
        <v>CJ</v>
      </c>
      <c r="CK5" s="22" t="str">
        <f t="shared" si="1"/>
        <v>CK</v>
      </c>
      <c r="CL5" s="22" t="str">
        <f t="shared" si="1"/>
        <v>CL</v>
      </c>
      <c r="CM5" s="22" t="str">
        <f t="shared" si="1"/>
        <v>CM</v>
      </c>
      <c r="CN5" s="22" t="str">
        <f t="shared" si="1"/>
        <v>CN</v>
      </c>
      <c r="CO5" s="22" t="str">
        <f t="shared" si="1"/>
        <v>CO</v>
      </c>
      <c r="CP5" s="22" t="str">
        <f t="shared" si="1"/>
        <v>CP</v>
      </c>
      <c r="CQ5" s="22" t="str">
        <f t="shared" si="1"/>
        <v>CQ</v>
      </c>
      <c r="CR5" s="22" t="str">
        <f t="shared" si="1"/>
        <v>CR</v>
      </c>
      <c r="CS5" s="22" t="str">
        <f t="shared" si="1"/>
        <v>CS</v>
      </c>
      <c r="CT5" s="22" t="str">
        <f t="shared" si="1"/>
        <v>CT</v>
      </c>
      <c r="CU5" s="22" t="str">
        <f t="shared" si="1"/>
        <v>CU</v>
      </c>
      <c r="CV5" s="22" t="str">
        <f t="shared" si="1"/>
        <v>CV</v>
      </c>
      <c r="CW5" s="22" t="str">
        <f t="shared" si="1"/>
        <v>CW</v>
      </c>
      <c r="CX5" s="22" t="str">
        <f t="shared" si="1"/>
        <v>CX</v>
      </c>
      <c r="CY5" s="22" t="str">
        <f t="shared" si="1"/>
        <v>CY</v>
      </c>
      <c r="CZ5" s="22" t="str">
        <f t="shared" si="1"/>
        <v>CZ</v>
      </c>
      <c r="DA5" s="22" t="str">
        <f t="shared" si="1"/>
        <v>DA</v>
      </c>
      <c r="DB5" s="22" t="str">
        <f t="shared" si="1"/>
        <v>DB</v>
      </c>
      <c r="DC5" s="22" t="str">
        <f t="shared" si="1"/>
        <v>DC</v>
      </c>
      <c r="DD5" s="22" t="str">
        <f t="shared" si="1"/>
        <v>DD</v>
      </c>
      <c r="DE5" s="22" t="str">
        <f t="shared" si="1"/>
        <v>DE</v>
      </c>
      <c r="DF5" s="22" t="str">
        <f t="shared" si="1"/>
        <v>DF</v>
      </c>
      <c r="DG5" s="22" t="str">
        <f t="shared" si="1"/>
        <v>DG</v>
      </c>
      <c r="DH5" s="22" t="str">
        <f t="shared" si="1"/>
        <v>DH</v>
      </c>
      <c r="DI5" s="22" t="str">
        <f t="shared" si="1"/>
        <v>DI</v>
      </c>
      <c r="DJ5" s="22" t="str">
        <f t="shared" si="1"/>
        <v>DJ</v>
      </c>
      <c r="DK5" s="22"/>
    </row>
    <row r="6" spans="1:115" x14ac:dyDescent="0.25">
      <c r="A6" s="26" t="s">
        <v>117</v>
      </c>
      <c r="B6" s="26" t="s">
        <v>118</v>
      </c>
      <c r="C6" s="26" t="s">
        <v>119</v>
      </c>
      <c r="D6" s="26" t="s">
        <v>120</v>
      </c>
      <c r="E6" s="26" t="s">
        <v>529</v>
      </c>
      <c r="F6" s="26" t="s">
        <v>503</v>
      </c>
      <c r="G6" s="26" t="s">
        <v>122</v>
      </c>
      <c r="H6" s="26" t="s">
        <v>504</v>
      </c>
      <c r="I6" s="26" t="s">
        <v>123</v>
      </c>
      <c r="J6" s="26" t="s">
        <v>124</v>
      </c>
      <c r="K6" s="26"/>
      <c r="L6" s="26" t="s">
        <v>125</v>
      </c>
      <c r="M6" s="26"/>
      <c r="N6" s="26" t="s">
        <v>126</v>
      </c>
      <c r="O6" s="26" t="s">
        <v>127</v>
      </c>
      <c r="P6" s="26" t="s">
        <v>128</v>
      </c>
      <c r="Q6" s="26" t="s">
        <v>505</v>
      </c>
      <c r="R6" s="26" t="s">
        <v>129</v>
      </c>
      <c r="S6" s="26" t="s">
        <v>130</v>
      </c>
      <c r="T6" s="26" t="s">
        <v>131</v>
      </c>
      <c r="U6" s="26" t="s">
        <v>132</v>
      </c>
      <c r="V6" s="26" t="s">
        <v>133</v>
      </c>
      <c r="W6" s="27" t="s">
        <v>134</v>
      </c>
      <c r="X6" s="27"/>
      <c r="Y6" s="27"/>
      <c r="Z6" s="26" t="s">
        <v>135</v>
      </c>
      <c r="AA6" s="26" t="s">
        <v>136</v>
      </c>
      <c r="AB6" s="26" t="s">
        <v>137</v>
      </c>
      <c r="AC6" s="26" t="s">
        <v>138</v>
      </c>
      <c r="AD6" s="26" t="s">
        <v>139</v>
      </c>
      <c r="AE6" s="26" t="s">
        <v>140</v>
      </c>
      <c r="AF6" s="26" t="s">
        <v>141</v>
      </c>
      <c r="AG6" s="26" t="s">
        <v>142</v>
      </c>
      <c r="AH6" s="26" t="s">
        <v>143</v>
      </c>
      <c r="AI6" s="26" t="s">
        <v>144</v>
      </c>
      <c r="AJ6" s="26" t="s">
        <v>145</v>
      </c>
      <c r="AK6" s="26" t="s">
        <v>146</v>
      </c>
      <c r="AL6" s="26" t="s">
        <v>147</v>
      </c>
      <c r="AM6" s="26" t="s">
        <v>148</v>
      </c>
      <c r="AN6" s="27"/>
      <c r="AO6" s="26" t="s">
        <v>149</v>
      </c>
      <c r="AP6" s="26" t="s">
        <v>150</v>
      </c>
      <c r="AQ6" s="26" t="s">
        <v>151</v>
      </c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 t="s">
        <v>152</v>
      </c>
      <c r="BH6" s="26" t="s">
        <v>153</v>
      </c>
      <c r="BI6" s="26" t="s">
        <v>154</v>
      </c>
      <c r="BJ6" s="26" t="s">
        <v>506</v>
      </c>
      <c r="BK6" s="26" t="s">
        <v>507</v>
      </c>
      <c r="BL6" s="26"/>
      <c r="BM6" s="26" t="s">
        <v>157</v>
      </c>
      <c r="BN6" s="26" t="s">
        <v>508</v>
      </c>
      <c r="BO6" s="26" t="s">
        <v>509</v>
      </c>
      <c r="BP6" s="26"/>
      <c r="BQ6" s="26"/>
      <c r="BR6" s="26"/>
      <c r="BS6" s="26" t="s">
        <v>161</v>
      </c>
      <c r="BT6" s="26" t="s">
        <v>165</v>
      </c>
      <c r="BU6" s="26"/>
      <c r="BV6" s="26" t="s">
        <v>510</v>
      </c>
      <c r="BW6" s="26" t="s">
        <v>511</v>
      </c>
      <c r="BX6" s="26"/>
      <c r="BY6" s="26"/>
      <c r="BZ6" s="26" t="s">
        <v>512</v>
      </c>
      <c r="CA6" s="26" t="s">
        <v>156</v>
      </c>
      <c r="CB6" s="26" t="s">
        <v>513</v>
      </c>
      <c r="CC6" s="26"/>
      <c r="CD6" s="26"/>
      <c r="CE6" s="26"/>
      <c r="CF6" s="26"/>
      <c r="CG6" s="26" t="s">
        <v>514</v>
      </c>
      <c r="CH6" s="26"/>
      <c r="CI6" s="26" t="s">
        <v>515</v>
      </c>
      <c r="CJ6" s="26" t="s">
        <v>516</v>
      </c>
      <c r="CK6" s="26" t="s">
        <v>517</v>
      </c>
      <c r="CL6" s="26"/>
      <c r="CM6" s="26" t="s">
        <v>518</v>
      </c>
      <c r="CN6" s="26" t="s">
        <v>519</v>
      </c>
      <c r="CO6" s="26" t="s">
        <v>520</v>
      </c>
      <c r="CP6" s="26" t="s">
        <v>521</v>
      </c>
      <c r="CQ6" s="26" t="s">
        <v>522</v>
      </c>
      <c r="CR6" s="26"/>
      <c r="CS6" s="26" t="s">
        <v>523</v>
      </c>
      <c r="CT6" s="26" t="s">
        <v>524</v>
      </c>
      <c r="CU6" s="26" t="s">
        <v>525</v>
      </c>
      <c r="CV6" s="26" t="s">
        <v>526</v>
      </c>
      <c r="CW6" s="26" t="s">
        <v>527</v>
      </c>
      <c r="CX6" s="26" t="s">
        <v>528</v>
      </c>
      <c r="CY6" s="26" t="s">
        <v>183</v>
      </c>
      <c r="CZ6" s="26" t="s">
        <v>173</v>
      </c>
      <c r="DA6" s="26"/>
      <c r="DC6" s="26" t="s">
        <v>184</v>
      </c>
      <c r="DD6" s="26" t="s">
        <v>185</v>
      </c>
      <c r="DE6" s="26"/>
      <c r="DF6" s="26" t="s">
        <v>155</v>
      </c>
      <c r="DG6" s="26" t="s">
        <v>186</v>
      </c>
      <c r="DH6" s="26"/>
      <c r="DI6" s="26" t="s">
        <v>187</v>
      </c>
      <c r="DJ6" s="26" t="s">
        <v>188</v>
      </c>
      <c r="DK6" s="22"/>
    </row>
    <row r="7" spans="1:115" x14ac:dyDescent="0.25">
      <c r="DB7" s="26"/>
    </row>
    <row r="9" spans="1:115" x14ac:dyDescent="0.25">
      <c r="E9" s="19"/>
      <c r="L9" s="19"/>
    </row>
    <row r="12" spans="1:115" ht="18.75" x14ac:dyDescent="0.3">
      <c r="A12" s="32"/>
      <c r="D12" s="31"/>
    </row>
    <row r="13" spans="1:115" ht="18.75" x14ac:dyDescent="0.3">
      <c r="G13" s="35" t="s">
        <v>189</v>
      </c>
    </row>
    <row r="14" spans="1:115" ht="18.75" x14ac:dyDescent="0.3">
      <c r="A14" s="32" t="s">
        <v>190</v>
      </c>
      <c r="D14" s="31">
        <v>5</v>
      </c>
      <c r="G14" s="34" t="s">
        <v>191</v>
      </c>
    </row>
    <row r="15" spans="1:115" x14ac:dyDescent="0.25">
      <c r="L15" s="19"/>
    </row>
    <row r="16" spans="1:115" ht="23.25" x14ac:dyDescent="0.35">
      <c r="A16" s="36" t="s">
        <v>192</v>
      </c>
      <c r="G16" s="36" t="s">
        <v>193</v>
      </c>
      <c r="K16" s="36" t="s">
        <v>194</v>
      </c>
      <c r="O16" s="36" t="s">
        <v>195</v>
      </c>
    </row>
    <row r="17" spans="1:16" ht="21" x14ac:dyDescent="0.35">
      <c r="A17" s="37" t="s">
        <v>196</v>
      </c>
      <c r="G17" s="37" t="s">
        <v>197</v>
      </c>
      <c r="K17" s="37" t="s">
        <v>198</v>
      </c>
      <c r="O17" s="37" t="s">
        <v>199</v>
      </c>
    </row>
    <row r="18" spans="1:16" x14ac:dyDescent="0.25">
      <c r="A18" s="21" t="s">
        <v>200</v>
      </c>
      <c r="G18" s="21" t="s">
        <v>200</v>
      </c>
      <c r="K18" s="21" t="s">
        <v>200</v>
      </c>
      <c r="O18" s="21" t="s">
        <v>200</v>
      </c>
    </row>
    <row r="20" spans="1:16" x14ac:dyDescent="0.25">
      <c r="A20" s="20" t="s">
        <v>201</v>
      </c>
      <c r="G20" s="20" t="s">
        <v>202</v>
      </c>
      <c r="K20" s="20" t="s">
        <v>203</v>
      </c>
      <c r="O20" s="20" t="s">
        <v>204</v>
      </c>
      <c r="P20" s="20"/>
    </row>
    <row r="21" spans="1:16" x14ac:dyDescent="0.25">
      <c r="A21" t="s">
        <v>205</v>
      </c>
      <c r="G21" s="20" t="s">
        <v>206</v>
      </c>
      <c r="K21" s="20" t="s">
        <v>207</v>
      </c>
      <c r="O21" s="20" t="s">
        <v>208</v>
      </c>
    </row>
    <row r="22" spans="1:16" x14ac:dyDescent="0.25">
      <c r="A22" t="s">
        <v>209</v>
      </c>
      <c r="G22" s="20" t="s">
        <v>210</v>
      </c>
      <c r="K22" s="20" t="s">
        <v>211</v>
      </c>
      <c r="O22" s="20"/>
    </row>
    <row r="23" spans="1:16" x14ac:dyDescent="0.25">
      <c r="A23" t="s">
        <v>212</v>
      </c>
      <c r="K23" s="20" t="s">
        <v>213</v>
      </c>
      <c r="O23" s="25" t="s">
        <v>214</v>
      </c>
    </row>
    <row r="24" spans="1:16" x14ac:dyDescent="0.25">
      <c r="A24" t="s">
        <v>215</v>
      </c>
      <c r="K24" s="20" t="s">
        <v>216</v>
      </c>
      <c r="O24" s="33" t="s">
        <v>217</v>
      </c>
    </row>
    <row r="25" spans="1:16" x14ac:dyDescent="0.25">
      <c r="G25" s="25" t="s">
        <v>218</v>
      </c>
      <c r="K25" s="20" t="s">
        <v>219</v>
      </c>
    </row>
    <row r="26" spans="1:16" x14ac:dyDescent="0.25">
      <c r="G26" s="33" t="s">
        <v>217</v>
      </c>
    </row>
    <row r="27" spans="1:16" x14ac:dyDescent="0.25">
      <c r="K27" s="25" t="s">
        <v>220</v>
      </c>
    </row>
    <row r="28" spans="1:16" x14ac:dyDescent="0.25">
      <c r="K28" s="33" t="s">
        <v>217</v>
      </c>
    </row>
  </sheetData>
  <mergeCells count="1">
    <mergeCell ref="A3:E3"/>
  </mergeCells>
  <conditionalFormatting sqref="F3:CZ3">
    <cfRule type="cellIs" dxfId="3" priority="1" operator="equal">
      <formula>"N"</formula>
    </cfRule>
    <cfRule type="cellIs" dxfId="2" priority="2" operator="equal">
      <formula>"Y"</formula>
    </cfRule>
  </conditionalFormatting>
  <dataValidations count="1">
    <dataValidation type="list" allowBlank="1" showInputMessage="1" showErrorMessage="1" sqref="F3:CZ3" xr:uid="{C10323EF-DE98-41D2-B99B-2013186BB162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2EA8-026C-43E4-9109-7D7203113699}">
  <sheetPr codeName="Sheet1"/>
  <dimension ref="A1:DK5"/>
  <sheetViews>
    <sheetView topLeftCell="AG1" workbookViewId="0">
      <selection activeCell="AL6" sqref="AL6"/>
    </sheetView>
  </sheetViews>
  <sheetFormatPr defaultRowHeight="15" x14ac:dyDescent="0.25"/>
  <cols>
    <col min="1" max="1" width="8.85546875" bestFit="1" customWidth="1"/>
    <col min="2" max="2" width="5.7109375" bestFit="1" customWidth="1"/>
    <col min="3" max="3" width="6.85546875" bestFit="1" customWidth="1"/>
    <col min="4" max="4" width="7.42578125" bestFit="1" customWidth="1"/>
    <col min="5" max="5" width="8.5703125" bestFit="1" customWidth="1"/>
    <col min="6" max="6" width="12.85546875" bestFit="1" customWidth="1"/>
    <col min="7" max="7" width="51.85546875" bestFit="1" customWidth="1"/>
    <col min="8" max="8" width="18.42578125" bestFit="1" customWidth="1"/>
    <col min="10" max="10" width="8.140625" bestFit="1" customWidth="1"/>
    <col min="11" max="11" width="20.5703125" bestFit="1" customWidth="1"/>
    <col min="12" max="12" width="10.42578125" bestFit="1" customWidth="1"/>
    <col min="13" max="13" width="12.85546875" bestFit="1" customWidth="1"/>
    <col min="14" max="14" width="12.42578125" bestFit="1" customWidth="1"/>
    <col min="15" max="15" width="51.85546875" bestFit="1" customWidth="1"/>
    <col min="16" max="16" width="16.5703125" bestFit="1" customWidth="1"/>
    <col min="17" max="17" width="16.42578125" bestFit="1" customWidth="1"/>
    <col min="18" max="18" width="15.85546875" bestFit="1" customWidth="1"/>
    <col min="19" max="19" width="15.28515625" bestFit="1" customWidth="1"/>
    <col min="20" max="20" width="14.42578125" bestFit="1" customWidth="1"/>
    <col min="21" max="21" width="27.28515625" bestFit="1" customWidth="1"/>
    <col min="22" max="22" width="14.85546875" bestFit="1" customWidth="1"/>
    <col min="23" max="23" width="14.140625" bestFit="1" customWidth="1"/>
    <col min="24" max="24" width="18.85546875" bestFit="1" customWidth="1"/>
    <col min="25" max="25" width="20.5703125" bestFit="1" customWidth="1"/>
    <col min="26" max="26" width="13" bestFit="1" customWidth="1"/>
    <col min="27" max="27" width="18.28515625" bestFit="1" customWidth="1"/>
    <col min="28" max="28" width="13.7109375" bestFit="1" customWidth="1"/>
    <col min="29" max="29" width="20.85546875" bestFit="1" customWidth="1"/>
    <col min="30" max="30" width="15.140625" bestFit="1" customWidth="1"/>
    <col min="31" max="31" width="10.140625" bestFit="1" customWidth="1"/>
    <col min="32" max="32" width="29.5703125" bestFit="1" customWidth="1"/>
    <col min="33" max="33" width="17.140625" bestFit="1" customWidth="1"/>
    <col min="34" max="34" width="8.85546875" bestFit="1" customWidth="1"/>
    <col min="35" max="35" width="15.42578125" bestFit="1" customWidth="1"/>
    <col min="36" max="36" width="17.7109375" bestFit="1" customWidth="1"/>
    <col min="37" max="37" width="14.5703125" bestFit="1" customWidth="1"/>
    <col min="38" max="38" width="26.140625" bestFit="1" customWidth="1"/>
    <col min="39" max="39" width="25.140625" bestFit="1" customWidth="1"/>
    <col min="40" max="40" width="8.140625" bestFit="1" customWidth="1"/>
    <col min="41" max="41" width="11.42578125" bestFit="1" customWidth="1"/>
    <col min="42" max="42" width="19" bestFit="1" customWidth="1"/>
    <col min="43" max="43" width="17.42578125" bestFit="1" customWidth="1"/>
    <col min="44" max="44" width="20.85546875" bestFit="1" customWidth="1"/>
    <col min="45" max="45" width="15.140625" bestFit="1" customWidth="1"/>
    <col min="46" max="46" width="10.140625" bestFit="1" customWidth="1"/>
    <col min="47" max="47" width="29.5703125" bestFit="1" customWidth="1"/>
    <col min="48" max="48" width="24.7109375" bestFit="1" customWidth="1"/>
    <col min="49" max="49" width="15.42578125" bestFit="1" customWidth="1"/>
    <col min="50" max="50" width="17.7109375" bestFit="1" customWidth="1"/>
    <col min="51" max="51" width="14.5703125" bestFit="1" customWidth="1"/>
    <col min="52" max="52" width="26.140625" bestFit="1" customWidth="1"/>
    <col min="53" max="53" width="25.140625" bestFit="1" customWidth="1"/>
    <col min="54" max="54" width="11" bestFit="1" customWidth="1"/>
    <col min="55" max="55" width="18.85546875" bestFit="1" customWidth="1"/>
    <col min="56" max="56" width="23.140625" bestFit="1" customWidth="1"/>
    <col min="57" max="57" width="22.5703125" bestFit="1" customWidth="1"/>
    <col min="58" max="58" width="10.5703125" bestFit="1" customWidth="1"/>
    <col min="59" max="59" width="11.140625" bestFit="1" customWidth="1"/>
    <col min="60" max="60" width="23.5703125" bestFit="1" customWidth="1"/>
    <col min="61" max="61" width="20.42578125" bestFit="1" customWidth="1"/>
    <col min="62" max="62" width="15.28515625" bestFit="1" customWidth="1"/>
    <col min="63" max="63" width="13.85546875" bestFit="1" customWidth="1"/>
    <col min="64" max="64" width="20.5703125" bestFit="1" customWidth="1"/>
    <col min="65" max="65" width="19.42578125" bestFit="1" customWidth="1"/>
    <col min="66" max="66" width="17.85546875" bestFit="1" customWidth="1"/>
    <col min="67" max="67" width="15.140625" bestFit="1" customWidth="1"/>
    <col min="68" max="68" width="15.5703125" bestFit="1" customWidth="1"/>
    <col min="69" max="69" width="17.5703125" bestFit="1" customWidth="1"/>
    <col min="70" max="70" width="25.5703125" bestFit="1" customWidth="1"/>
    <col min="71" max="71" width="31.140625" bestFit="1" customWidth="1"/>
    <col min="72" max="72" width="30.5703125" bestFit="1" customWidth="1"/>
    <col min="73" max="73" width="17.5703125" bestFit="1" customWidth="1"/>
    <col min="74" max="74" width="19.42578125" bestFit="1" customWidth="1"/>
    <col min="75" max="75" width="25.42578125" bestFit="1" customWidth="1"/>
    <col min="76" max="76" width="18" bestFit="1" customWidth="1"/>
    <col min="77" max="77" width="30.140625" bestFit="1" customWidth="1"/>
    <col min="78" max="78" width="24.5703125" bestFit="1" customWidth="1"/>
    <col min="79" max="79" width="16.42578125" bestFit="1" customWidth="1"/>
    <col min="80" max="80" width="11.85546875" bestFit="1" customWidth="1"/>
    <col min="81" max="81" width="14.5703125" bestFit="1" customWidth="1"/>
    <col min="82" max="82" width="34.85546875" bestFit="1" customWidth="1"/>
    <col min="83" max="83" width="35" bestFit="1" customWidth="1"/>
    <col min="84" max="84" width="19.42578125" bestFit="1" customWidth="1"/>
    <col min="85" max="85" width="19.5703125" bestFit="1" customWidth="1"/>
    <col min="86" max="86" width="9.5703125" bestFit="1" customWidth="1"/>
    <col min="87" max="87" width="7.85546875" bestFit="1" customWidth="1"/>
    <col min="88" max="88" width="11.140625" bestFit="1" customWidth="1"/>
    <col min="89" max="89" width="15.140625" bestFit="1" customWidth="1"/>
    <col min="90" max="90" width="22.42578125" bestFit="1" customWidth="1"/>
    <col min="91" max="91" width="8.85546875" bestFit="1" customWidth="1"/>
    <col min="92" max="92" width="11.140625" bestFit="1" customWidth="1"/>
    <col min="93" max="93" width="14.140625" bestFit="1" customWidth="1"/>
    <col min="94" max="94" width="10.140625" bestFit="1" customWidth="1"/>
    <col min="95" max="95" width="25.85546875" bestFit="1" customWidth="1"/>
    <col min="96" max="96" width="28.7109375" bestFit="1" customWidth="1"/>
    <col min="97" max="97" width="15.42578125" bestFit="1" customWidth="1"/>
    <col min="98" max="98" width="53" bestFit="1" customWidth="1"/>
    <col min="99" max="99" width="66.42578125" bestFit="1" customWidth="1"/>
    <col min="100" max="100" width="22.7109375" bestFit="1" customWidth="1"/>
    <col min="101" max="101" width="26.42578125" bestFit="1" customWidth="1"/>
    <col min="102" max="102" width="106.42578125" bestFit="1" customWidth="1"/>
    <col min="103" max="103" width="20.42578125" bestFit="1" customWidth="1"/>
    <col min="104" max="104" width="20.140625" bestFit="1" customWidth="1"/>
    <col min="106" max="106" width="32.42578125" bestFit="1" customWidth="1"/>
    <col min="107" max="107" width="31.42578125" bestFit="1" customWidth="1"/>
    <col min="108" max="108" width="36.140625" bestFit="1" customWidth="1"/>
    <col min="109" max="109" width="31.42578125" bestFit="1" customWidth="1"/>
    <col min="110" max="110" width="24.85546875" bestFit="1" customWidth="1"/>
    <col min="111" max="111" width="31.5703125" bestFit="1" customWidth="1"/>
    <col min="112" max="112" width="26.85546875" bestFit="1" customWidth="1"/>
    <col min="113" max="113" width="31.85546875" bestFit="1" customWidth="1"/>
    <col min="114" max="114" width="31.5703125" bestFit="1" customWidth="1"/>
  </cols>
  <sheetData>
    <row r="1" spans="1:115" s="28" customForma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</row>
    <row r="2" spans="1:115" s="30" customFormat="1" x14ac:dyDescent="0.25">
      <c r="A2" s="11"/>
      <c r="B2" s="11"/>
      <c r="C2" s="11"/>
      <c r="D2" s="11"/>
      <c r="E2" s="11"/>
      <c r="F2" s="53" t="s">
        <v>0</v>
      </c>
      <c r="G2" s="53" t="s">
        <v>1</v>
      </c>
      <c r="H2" s="53" t="s">
        <v>2</v>
      </c>
      <c r="I2" s="54" t="s">
        <v>3</v>
      </c>
      <c r="J2" s="53" t="s">
        <v>4</v>
      </c>
      <c r="K2" s="53" t="s">
        <v>5</v>
      </c>
      <c r="L2" s="53" t="s">
        <v>6</v>
      </c>
      <c r="M2" s="53" t="s">
        <v>7</v>
      </c>
      <c r="N2" s="53" t="s">
        <v>8</v>
      </c>
      <c r="O2" s="53" t="s">
        <v>9</v>
      </c>
      <c r="P2" s="53" t="s">
        <v>10</v>
      </c>
      <c r="Q2" s="53" t="s">
        <v>2</v>
      </c>
      <c r="R2" s="53" t="s">
        <v>11</v>
      </c>
      <c r="S2" s="53" t="s">
        <v>12</v>
      </c>
      <c r="T2" s="53" t="s">
        <v>113</v>
      </c>
      <c r="U2" s="53" t="s">
        <v>14</v>
      </c>
      <c r="V2" s="53" t="s">
        <v>15</v>
      </c>
      <c r="W2" s="53" t="s">
        <v>16</v>
      </c>
      <c r="X2" s="53" t="s">
        <v>17</v>
      </c>
      <c r="Y2" s="53" t="s">
        <v>5</v>
      </c>
      <c r="Z2" s="53" t="s">
        <v>18</v>
      </c>
      <c r="AA2" s="53" t="s">
        <v>19</v>
      </c>
      <c r="AB2" s="53" t="s">
        <v>20</v>
      </c>
      <c r="AC2" s="53" t="s">
        <v>21</v>
      </c>
      <c r="AD2" s="53" t="s">
        <v>22</v>
      </c>
      <c r="AE2" s="53" t="s">
        <v>23</v>
      </c>
      <c r="AF2" s="53" t="s">
        <v>24</v>
      </c>
      <c r="AG2" s="53" t="s">
        <v>25</v>
      </c>
      <c r="AH2" s="53" t="s">
        <v>26</v>
      </c>
      <c r="AI2" s="53" t="s">
        <v>27</v>
      </c>
      <c r="AJ2" s="53" t="s">
        <v>28</v>
      </c>
      <c r="AK2" s="53" t="s">
        <v>29</v>
      </c>
      <c r="AL2" s="53" t="s">
        <v>30</v>
      </c>
      <c r="AM2" s="53" t="s">
        <v>31</v>
      </c>
      <c r="AN2" s="53" t="s">
        <v>32</v>
      </c>
      <c r="AO2" s="53" t="s">
        <v>33</v>
      </c>
      <c r="AP2" s="53" t="s">
        <v>34</v>
      </c>
      <c r="AQ2" s="53" t="s">
        <v>35</v>
      </c>
      <c r="AR2" s="53" t="s">
        <v>21</v>
      </c>
      <c r="AS2" s="53" t="s">
        <v>22</v>
      </c>
      <c r="AT2" s="53" t="s">
        <v>23</v>
      </c>
      <c r="AU2" s="53" t="s">
        <v>24</v>
      </c>
      <c r="AV2" s="53" t="s">
        <v>36</v>
      </c>
      <c r="AW2" s="53" t="s">
        <v>27</v>
      </c>
      <c r="AX2" s="53" t="s">
        <v>28</v>
      </c>
      <c r="AY2" s="53" t="s">
        <v>29</v>
      </c>
      <c r="AZ2" s="53" t="s">
        <v>30</v>
      </c>
      <c r="BA2" s="53" t="s">
        <v>31</v>
      </c>
      <c r="BB2" s="53" t="s">
        <v>33</v>
      </c>
      <c r="BC2" s="53" t="s">
        <v>37</v>
      </c>
      <c r="BD2" s="53" t="s">
        <v>38</v>
      </c>
      <c r="BE2" s="53" t="s">
        <v>39</v>
      </c>
      <c r="BF2" s="53" t="s">
        <v>40</v>
      </c>
      <c r="BG2" s="53" t="s">
        <v>41</v>
      </c>
      <c r="BH2" s="53" t="s">
        <v>42</v>
      </c>
      <c r="BI2" s="53" t="s">
        <v>43</v>
      </c>
      <c r="BJ2" s="53" t="s">
        <v>44</v>
      </c>
      <c r="BK2" s="53" t="s">
        <v>45</v>
      </c>
      <c r="BL2" s="53" t="s">
        <v>46</v>
      </c>
      <c r="BM2" s="53" t="s">
        <v>47</v>
      </c>
      <c r="BN2" s="53" t="s">
        <v>48</v>
      </c>
      <c r="BO2" s="53" t="s">
        <v>49</v>
      </c>
      <c r="BP2" s="53" t="s">
        <v>50</v>
      </c>
      <c r="BQ2" s="53" t="s">
        <v>51</v>
      </c>
      <c r="BR2" s="53" t="s">
        <v>52</v>
      </c>
      <c r="BS2" s="53" t="s">
        <v>53</v>
      </c>
      <c r="BT2" s="53" t="s">
        <v>54</v>
      </c>
      <c r="BU2" s="55" t="s">
        <v>55</v>
      </c>
      <c r="BV2" s="55" t="s">
        <v>56</v>
      </c>
      <c r="BW2" s="53" t="s">
        <v>57</v>
      </c>
      <c r="BX2" s="55" t="s">
        <v>58</v>
      </c>
      <c r="BY2" s="53" t="s">
        <v>59</v>
      </c>
      <c r="BZ2" s="53" t="s">
        <v>60</v>
      </c>
      <c r="CA2" s="53" t="s">
        <v>61</v>
      </c>
      <c r="CB2" s="53" t="s">
        <v>62</v>
      </c>
      <c r="CC2" s="53" t="s">
        <v>63</v>
      </c>
      <c r="CD2" s="53" t="s">
        <v>64</v>
      </c>
      <c r="CE2" s="53" t="s">
        <v>65</v>
      </c>
      <c r="CF2" s="53" t="s">
        <v>66</v>
      </c>
      <c r="CG2" s="53" t="s">
        <v>67</v>
      </c>
      <c r="CH2" s="53" t="s">
        <v>68</v>
      </c>
      <c r="CI2" s="53" t="s">
        <v>69</v>
      </c>
      <c r="CJ2" s="53" t="s">
        <v>70</v>
      </c>
      <c r="CK2" s="53" t="s">
        <v>71</v>
      </c>
      <c r="CL2" s="53" t="s">
        <v>72</v>
      </c>
      <c r="CM2" s="53" t="s">
        <v>73</v>
      </c>
      <c r="CN2" s="53" t="s">
        <v>74</v>
      </c>
      <c r="CO2" s="53" t="s">
        <v>75</v>
      </c>
      <c r="CP2" s="53" t="s">
        <v>76</v>
      </c>
      <c r="CQ2" s="55" t="s">
        <v>77</v>
      </c>
      <c r="CR2" s="55" t="s">
        <v>78</v>
      </c>
      <c r="CS2" s="53" t="s">
        <v>79</v>
      </c>
      <c r="CT2" s="53" t="s">
        <v>80</v>
      </c>
      <c r="CU2" s="53" t="s">
        <v>81</v>
      </c>
      <c r="CV2" s="53" t="s">
        <v>114</v>
      </c>
      <c r="CW2" s="53" t="s">
        <v>115</v>
      </c>
      <c r="CX2" s="53" t="s">
        <v>84</v>
      </c>
      <c r="CY2" s="53" t="s">
        <v>85</v>
      </c>
      <c r="CZ2" s="53" t="s">
        <v>86</v>
      </c>
      <c r="DA2" s="14"/>
      <c r="DB2" s="56" t="s">
        <v>87</v>
      </c>
      <c r="DC2" s="56" t="s">
        <v>88</v>
      </c>
      <c r="DD2" s="56" t="s">
        <v>89</v>
      </c>
      <c r="DE2" s="56" t="s">
        <v>90</v>
      </c>
      <c r="DF2" s="56" t="s">
        <v>91</v>
      </c>
      <c r="DG2" s="56" t="s">
        <v>92</v>
      </c>
      <c r="DH2" s="56" t="s">
        <v>93</v>
      </c>
      <c r="DI2" s="56" t="s">
        <v>94</v>
      </c>
      <c r="DJ2" s="57" t="s">
        <v>95</v>
      </c>
      <c r="DK2" s="29"/>
    </row>
    <row r="3" spans="1:115" s="30" customFormat="1" x14ac:dyDescent="0.25">
      <c r="A3" s="76"/>
      <c r="B3" s="76"/>
      <c r="C3" s="76"/>
      <c r="D3" s="76"/>
      <c r="E3" s="76"/>
      <c r="F3" s="44" t="s">
        <v>96</v>
      </c>
      <c r="G3" s="44"/>
      <c r="H3" s="44"/>
      <c r="I3" s="50" t="s">
        <v>96</v>
      </c>
      <c r="J3" s="44"/>
      <c r="K3" s="44"/>
      <c r="L3" s="44"/>
      <c r="M3" s="44" t="s">
        <v>96</v>
      </c>
      <c r="N3" s="44" t="s">
        <v>96</v>
      </c>
      <c r="O3" s="44" t="s">
        <v>96</v>
      </c>
      <c r="P3" s="44" t="s">
        <v>96</v>
      </c>
      <c r="Q3" s="44"/>
      <c r="R3" s="44" t="s">
        <v>96</v>
      </c>
      <c r="S3" s="44" t="s">
        <v>96</v>
      </c>
      <c r="T3" s="44" t="s">
        <v>96</v>
      </c>
      <c r="U3" s="44"/>
      <c r="V3" s="44"/>
      <c r="W3" s="44"/>
      <c r="X3" s="44" t="s">
        <v>96</v>
      </c>
      <c r="Y3" s="44"/>
      <c r="Z3" s="44" t="s">
        <v>96</v>
      </c>
      <c r="AA3" s="44" t="s">
        <v>96</v>
      </c>
      <c r="AB3" s="44"/>
      <c r="AC3" s="44" t="s">
        <v>96</v>
      </c>
      <c r="AD3" s="44" t="s">
        <v>96</v>
      </c>
      <c r="AE3" s="44" t="s">
        <v>96</v>
      </c>
      <c r="AF3" s="44" t="s">
        <v>96</v>
      </c>
      <c r="AG3" s="44" t="s">
        <v>96</v>
      </c>
      <c r="AH3" s="44" t="s">
        <v>96</v>
      </c>
      <c r="AI3" s="44" t="s">
        <v>96</v>
      </c>
      <c r="AJ3" s="44" t="s">
        <v>96</v>
      </c>
      <c r="AK3" s="44" t="s">
        <v>96</v>
      </c>
      <c r="AL3" s="44" t="s">
        <v>96</v>
      </c>
      <c r="AM3" s="44" t="s">
        <v>96</v>
      </c>
      <c r="AN3" s="44" t="s">
        <v>96</v>
      </c>
      <c r="AO3" s="44" t="s">
        <v>96</v>
      </c>
      <c r="AP3" s="44" t="s">
        <v>96</v>
      </c>
      <c r="AQ3" s="44" t="s">
        <v>96</v>
      </c>
      <c r="AR3" s="44" t="s">
        <v>96</v>
      </c>
      <c r="AS3" s="44" t="s">
        <v>96</v>
      </c>
      <c r="AT3" s="44" t="s">
        <v>96</v>
      </c>
      <c r="AU3" s="44" t="s">
        <v>96</v>
      </c>
      <c r="AV3" s="44" t="s">
        <v>96</v>
      </c>
      <c r="AW3" s="44"/>
      <c r="AX3" s="44"/>
      <c r="AY3" s="44"/>
      <c r="AZ3" s="44"/>
      <c r="BA3" s="44"/>
      <c r="BB3" s="44" t="s">
        <v>96</v>
      </c>
      <c r="BC3" s="44" t="s">
        <v>96</v>
      </c>
      <c r="BD3" s="44" t="s">
        <v>96</v>
      </c>
      <c r="BE3" s="44"/>
      <c r="BF3" s="44"/>
      <c r="BG3" s="44" t="s">
        <v>96</v>
      </c>
      <c r="BH3" s="44"/>
      <c r="BI3" s="44" t="s">
        <v>96</v>
      </c>
      <c r="BJ3" s="44"/>
      <c r="BK3" s="44"/>
      <c r="BL3" s="44" t="s">
        <v>96</v>
      </c>
      <c r="BM3" s="44" t="s">
        <v>96</v>
      </c>
      <c r="BN3" s="44" t="s">
        <v>96</v>
      </c>
      <c r="BO3" s="44" t="s">
        <v>96</v>
      </c>
      <c r="BP3" s="44" t="s">
        <v>96</v>
      </c>
      <c r="BQ3" s="44"/>
      <c r="BR3" s="44"/>
      <c r="BS3" s="44"/>
      <c r="BT3" s="44"/>
      <c r="BU3" s="45" t="s">
        <v>96</v>
      </c>
      <c r="BV3" s="45" t="s">
        <v>96</v>
      </c>
      <c r="BW3" s="44"/>
      <c r="BX3" s="45" t="s">
        <v>96</v>
      </c>
      <c r="BY3" s="44"/>
      <c r="BZ3" s="44"/>
      <c r="CA3" s="44" t="s">
        <v>96</v>
      </c>
      <c r="CB3" s="44" t="s">
        <v>96</v>
      </c>
      <c r="CC3" s="44" t="s">
        <v>96</v>
      </c>
      <c r="CD3" s="44"/>
      <c r="CE3" s="44"/>
      <c r="CF3" s="44"/>
      <c r="CG3" s="44" t="s">
        <v>96</v>
      </c>
      <c r="CH3" s="44"/>
      <c r="CI3" s="44" t="s">
        <v>96</v>
      </c>
      <c r="CJ3" s="44" t="s">
        <v>96</v>
      </c>
      <c r="CK3" s="44" t="s">
        <v>96</v>
      </c>
      <c r="CL3" s="44"/>
      <c r="CM3" s="44"/>
      <c r="CN3" s="44" t="s">
        <v>96</v>
      </c>
      <c r="CO3" s="44"/>
      <c r="CP3" s="44"/>
      <c r="CQ3" s="44" t="s">
        <v>96</v>
      </c>
      <c r="CR3" s="44"/>
      <c r="CS3" s="44" t="s">
        <v>96</v>
      </c>
      <c r="CT3" s="44" t="s">
        <v>96</v>
      </c>
      <c r="CU3" s="44"/>
      <c r="CV3" s="44" t="s">
        <v>96</v>
      </c>
      <c r="CW3" s="44"/>
      <c r="CX3" s="44" t="s">
        <v>96</v>
      </c>
      <c r="CY3" s="44" t="s">
        <v>96</v>
      </c>
      <c r="CZ3" s="44" t="s">
        <v>96</v>
      </c>
      <c r="DA3" s="14"/>
      <c r="DB3" s="14"/>
      <c r="DC3" s="14"/>
      <c r="DD3" s="14"/>
      <c r="DE3" s="14"/>
      <c r="DF3" s="14"/>
      <c r="DG3" s="14"/>
      <c r="DH3" s="14"/>
      <c r="DI3" s="14"/>
      <c r="DJ3" s="15"/>
    </row>
    <row r="4" spans="1:115" s="30" customFormat="1" x14ac:dyDescent="0.25">
      <c r="A4" s="6" t="s">
        <v>97</v>
      </c>
      <c r="B4" s="6" t="s">
        <v>98</v>
      </c>
      <c r="C4" s="6" t="s">
        <v>99</v>
      </c>
      <c r="D4" s="6" t="s">
        <v>100</v>
      </c>
      <c r="E4" s="6" t="s">
        <v>101</v>
      </c>
      <c r="F4" s="46" t="s">
        <v>102</v>
      </c>
      <c r="G4" s="47" t="s">
        <v>103</v>
      </c>
      <c r="H4" s="46"/>
      <c r="I4" s="51" t="s">
        <v>104</v>
      </c>
      <c r="J4" s="48" t="s">
        <v>103</v>
      </c>
      <c r="K4" s="48" t="s">
        <v>105</v>
      </c>
      <c r="L4" s="48" t="s">
        <v>103</v>
      </c>
      <c r="M4" s="48" t="s">
        <v>104</v>
      </c>
      <c r="N4" s="48" t="s">
        <v>103</v>
      </c>
      <c r="O4" s="47" t="s">
        <v>103</v>
      </c>
      <c r="P4" s="47" t="s">
        <v>104</v>
      </c>
      <c r="Q4" s="47"/>
      <c r="R4" s="47" t="s">
        <v>104</v>
      </c>
      <c r="S4" s="47" t="s">
        <v>103</v>
      </c>
      <c r="T4" s="47" t="s">
        <v>104</v>
      </c>
      <c r="U4" s="47" t="s">
        <v>106</v>
      </c>
      <c r="V4" s="47" t="s">
        <v>104</v>
      </c>
      <c r="W4" s="47" t="s">
        <v>103</v>
      </c>
      <c r="X4" s="47" t="s">
        <v>103</v>
      </c>
      <c r="Y4" s="48" t="s">
        <v>105</v>
      </c>
      <c r="Z4" s="47" t="s">
        <v>104</v>
      </c>
      <c r="AA4" s="47" t="s">
        <v>103</v>
      </c>
      <c r="AB4" s="46" t="s">
        <v>103</v>
      </c>
      <c r="AC4" s="46" t="s">
        <v>107</v>
      </c>
      <c r="AD4" s="48" t="s">
        <v>108</v>
      </c>
      <c r="AE4" s="48" t="s">
        <v>108</v>
      </c>
      <c r="AF4" s="48" t="s">
        <v>108</v>
      </c>
      <c r="AG4" s="47" t="s">
        <v>109</v>
      </c>
      <c r="AH4" s="48"/>
      <c r="AI4" s="48" t="s">
        <v>109</v>
      </c>
      <c r="AJ4" s="48" t="s">
        <v>109</v>
      </c>
      <c r="AK4" s="48" t="s">
        <v>108</v>
      </c>
      <c r="AL4" s="48" t="s">
        <v>102</v>
      </c>
      <c r="AM4" s="48" t="s">
        <v>102</v>
      </c>
      <c r="AN4" s="48" t="s">
        <v>108</v>
      </c>
      <c r="AO4" s="47" t="s">
        <v>103</v>
      </c>
      <c r="AP4" s="47" t="s">
        <v>103</v>
      </c>
      <c r="AQ4" s="48" t="s">
        <v>104</v>
      </c>
      <c r="AR4" s="46" t="s">
        <v>107</v>
      </c>
      <c r="AS4" s="47" t="s">
        <v>108</v>
      </c>
      <c r="AT4" s="47" t="s">
        <v>108</v>
      </c>
      <c r="AU4" s="47" t="s">
        <v>108</v>
      </c>
      <c r="AV4" s="48" t="s">
        <v>109</v>
      </c>
      <c r="AW4" s="48" t="s">
        <v>109</v>
      </c>
      <c r="AX4" s="48" t="s">
        <v>109</v>
      </c>
      <c r="AY4" s="48" t="s">
        <v>108</v>
      </c>
      <c r="AZ4" s="48" t="s">
        <v>102</v>
      </c>
      <c r="BA4" s="48" t="s">
        <v>102</v>
      </c>
      <c r="BB4" s="47" t="s">
        <v>103</v>
      </c>
      <c r="BC4" s="47" t="s">
        <v>103</v>
      </c>
      <c r="BD4" s="47" t="s">
        <v>104</v>
      </c>
      <c r="BE4" s="47"/>
      <c r="BF4" s="47"/>
      <c r="BG4" s="48" t="s">
        <v>109</v>
      </c>
      <c r="BH4" s="48" t="s">
        <v>104</v>
      </c>
      <c r="BI4" s="48" t="s">
        <v>104</v>
      </c>
      <c r="BJ4" s="47" t="s">
        <v>109</v>
      </c>
      <c r="BK4" s="47" t="s">
        <v>104</v>
      </c>
      <c r="BL4" s="47" t="s">
        <v>103</v>
      </c>
      <c r="BM4" s="47" t="s">
        <v>103</v>
      </c>
      <c r="BN4" s="47" t="s">
        <v>103</v>
      </c>
      <c r="BO4" s="47" t="s">
        <v>103</v>
      </c>
      <c r="BP4" s="47" t="s">
        <v>103</v>
      </c>
      <c r="BQ4" s="47" t="s">
        <v>109</v>
      </c>
      <c r="BR4" s="48" t="s">
        <v>104</v>
      </c>
      <c r="BS4" s="48" t="s">
        <v>103</v>
      </c>
      <c r="BT4" s="48" t="s">
        <v>103</v>
      </c>
      <c r="BU4" s="49" t="s">
        <v>102</v>
      </c>
      <c r="BV4" s="49" t="s">
        <v>102</v>
      </c>
      <c r="BW4" s="48" t="s">
        <v>102</v>
      </c>
      <c r="BX4" s="49" t="s">
        <v>102</v>
      </c>
      <c r="BY4" s="48" t="s">
        <v>102</v>
      </c>
      <c r="BZ4" s="48" t="s">
        <v>102</v>
      </c>
      <c r="CA4" s="48"/>
      <c r="CB4" s="48" t="s">
        <v>104</v>
      </c>
      <c r="CC4" s="48" t="s">
        <v>110</v>
      </c>
      <c r="CD4" s="48" t="s">
        <v>105</v>
      </c>
      <c r="CE4" s="48" t="s">
        <v>105</v>
      </c>
      <c r="CF4" s="48" t="s">
        <v>106</v>
      </c>
      <c r="CG4" s="48" t="s">
        <v>106</v>
      </c>
      <c r="CH4" s="48" t="s">
        <v>108</v>
      </c>
      <c r="CI4" s="48" t="s">
        <v>103</v>
      </c>
      <c r="CJ4" s="48" t="s">
        <v>103</v>
      </c>
      <c r="CK4" s="48" t="s">
        <v>103</v>
      </c>
      <c r="CL4" s="48" t="s">
        <v>104</v>
      </c>
      <c r="CM4" s="48" t="s">
        <v>111</v>
      </c>
      <c r="CN4" s="48" t="s">
        <v>103</v>
      </c>
      <c r="CO4" s="48" t="s">
        <v>104</v>
      </c>
      <c r="CP4" s="48" t="s">
        <v>112</v>
      </c>
      <c r="CQ4" s="49" t="s">
        <v>111</v>
      </c>
      <c r="CR4" s="49" t="s">
        <v>102</v>
      </c>
      <c r="CS4" s="48" t="s">
        <v>109</v>
      </c>
      <c r="CT4" s="48" t="s">
        <v>103</v>
      </c>
      <c r="CU4" s="48" t="s">
        <v>103</v>
      </c>
      <c r="CV4" s="48" t="s">
        <v>103</v>
      </c>
      <c r="CW4" s="48" t="s">
        <v>103</v>
      </c>
      <c r="CX4" s="48"/>
      <c r="CY4" s="48" t="s">
        <v>108</v>
      </c>
      <c r="CZ4" s="48" t="s">
        <v>108</v>
      </c>
      <c r="DA4" s="14"/>
      <c r="DB4" s="14"/>
      <c r="DC4" s="14"/>
      <c r="DD4" s="14"/>
      <c r="DE4" s="14"/>
      <c r="DF4" s="14"/>
      <c r="DG4" s="14"/>
      <c r="DH4" s="14"/>
      <c r="DI4" s="14"/>
      <c r="DJ4" s="15"/>
    </row>
    <row r="5" spans="1:115" x14ac:dyDescent="0.25">
      <c r="A5" s="26" t="s">
        <v>117</v>
      </c>
      <c r="B5" s="26" t="s">
        <v>118</v>
      </c>
      <c r="C5" s="26" t="s">
        <v>119</v>
      </c>
      <c r="D5" s="26" t="s">
        <v>120</v>
      </c>
      <c r="E5" s="26" t="s">
        <v>121</v>
      </c>
      <c r="F5" s="26" t="s">
        <v>503</v>
      </c>
      <c r="G5" s="26" t="s">
        <v>122</v>
      </c>
      <c r="H5" s="26" t="s">
        <v>504</v>
      </c>
      <c r="I5" s="26" t="s">
        <v>123</v>
      </c>
      <c r="J5" s="26" t="s">
        <v>124</v>
      </c>
      <c r="K5" s="26"/>
      <c r="L5" s="26" t="s">
        <v>125</v>
      </c>
      <c r="M5" s="26"/>
      <c r="N5" s="26" t="s">
        <v>126</v>
      </c>
      <c r="O5" s="26" t="s">
        <v>127</v>
      </c>
      <c r="P5" s="26" t="s">
        <v>128</v>
      </c>
      <c r="Q5" s="26" t="s">
        <v>505</v>
      </c>
      <c r="R5" s="26" t="s">
        <v>129</v>
      </c>
      <c r="S5" s="26" t="s">
        <v>130</v>
      </c>
      <c r="T5" s="26" t="s">
        <v>131</v>
      </c>
      <c r="U5" s="26" t="s">
        <v>132</v>
      </c>
      <c r="V5" s="26" t="s">
        <v>133</v>
      </c>
      <c r="W5" s="27" t="s">
        <v>134</v>
      </c>
      <c r="X5" s="27"/>
      <c r="Y5" s="27"/>
      <c r="Z5" s="26" t="s">
        <v>135</v>
      </c>
      <c r="AA5" s="26" t="s">
        <v>136</v>
      </c>
      <c r="AB5" s="26" t="s">
        <v>137</v>
      </c>
      <c r="AC5" s="26" t="s">
        <v>138</v>
      </c>
      <c r="AD5" s="26" t="s">
        <v>139</v>
      </c>
      <c r="AE5" s="26" t="s">
        <v>140</v>
      </c>
      <c r="AF5" s="26" t="s">
        <v>141</v>
      </c>
      <c r="AG5" s="26" t="s">
        <v>142</v>
      </c>
      <c r="AH5" s="26" t="s">
        <v>143</v>
      </c>
      <c r="AI5" s="26" t="s">
        <v>144</v>
      </c>
      <c r="AJ5" s="26" t="s">
        <v>145</v>
      </c>
      <c r="AK5" s="26" t="s">
        <v>146</v>
      </c>
      <c r="AL5" s="26" t="s">
        <v>147</v>
      </c>
      <c r="AM5" s="26" t="s">
        <v>148</v>
      </c>
      <c r="AN5" s="27"/>
      <c r="AO5" s="26" t="s">
        <v>149</v>
      </c>
      <c r="AP5" s="26" t="s">
        <v>150</v>
      </c>
      <c r="AQ5" s="26" t="s">
        <v>151</v>
      </c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 t="s">
        <v>152</v>
      </c>
      <c r="BH5" s="26" t="s">
        <v>153</v>
      </c>
      <c r="BI5" s="26" t="s">
        <v>154</v>
      </c>
      <c r="BJ5" s="26" t="s">
        <v>155</v>
      </c>
      <c r="BK5" s="26" t="s">
        <v>156</v>
      </c>
      <c r="BL5" s="26"/>
      <c r="BM5" s="26" t="s">
        <v>157</v>
      </c>
      <c r="BN5" s="26" t="s">
        <v>158</v>
      </c>
      <c r="BO5" s="26" t="s">
        <v>159</v>
      </c>
      <c r="BP5" s="26"/>
      <c r="BQ5" s="26"/>
      <c r="BR5" s="26"/>
      <c r="BS5" s="26" t="s">
        <v>160</v>
      </c>
      <c r="BT5" s="26" t="s">
        <v>161</v>
      </c>
      <c r="BU5" s="26"/>
      <c r="BV5" s="26" t="s">
        <v>162</v>
      </c>
      <c r="BW5" s="26" t="s">
        <v>163</v>
      </c>
      <c r="BX5" s="26"/>
      <c r="BY5" s="26"/>
      <c r="BZ5" s="26" t="s">
        <v>164</v>
      </c>
      <c r="CA5" s="26" t="s">
        <v>165</v>
      </c>
      <c r="CB5" s="26" t="s">
        <v>166</v>
      </c>
      <c r="CC5" s="26"/>
      <c r="CD5" s="26"/>
      <c r="CE5" s="26"/>
      <c r="CF5" s="26"/>
      <c r="CG5" s="26" t="s">
        <v>167</v>
      </c>
      <c r="CH5" s="26"/>
      <c r="CI5" s="26" t="s">
        <v>168</v>
      </c>
      <c r="CJ5" s="26" t="s">
        <v>169</v>
      </c>
      <c r="CK5" s="26" t="s">
        <v>170</v>
      </c>
      <c r="CL5" s="26"/>
      <c r="CM5" s="26" t="s">
        <v>171</v>
      </c>
      <c r="CN5" s="26" t="s">
        <v>172</v>
      </c>
      <c r="CO5" s="26" t="s">
        <v>173</v>
      </c>
      <c r="CP5" s="26" t="s">
        <v>174</v>
      </c>
      <c r="CQ5" s="26" t="s">
        <v>175</v>
      </c>
      <c r="CR5" s="26"/>
      <c r="CS5" s="26" t="s">
        <v>176</v>
      </c>
      <c r="CT5" s="26" t="s">
        <v>177</v>
      </c>
      <c r="CU5" s="26" t="s">
        <v>178</v>
      </c>
      <c r="CV5" s="26" t="s">
        <v>179</v>
      </c>
      <c r="CW5" s="26" t="s">
        <v>180</v>
      </c>
      <c r="CX5" s="26" t="s">
        <v>181</v>
      </c>
      <c r="CY5" s="26" t="s">
        <v>182</v>
      </c>
      <c r="CZ5" s="26" t="s">
        <v>183</v>
      </c>
      <c r="DA5" s="26"/>
      <c r="DC5" s="26" t="s">
        <v>184</v>
      </c>
      <c r="DD5" s="26" t="s">
        <v>185</v>
      </c>
      <c r="DE5" s="26"/>
      <c r="DF5" s="26" t="s">
        <v>155</v>
      </c>
      <c r="DG5" s="26" t="s">
        <v>186</v>
      </c>
      <c r="DH5" s="26"/>
      <c r="DI5" s="26" t="s">
        <v>187</v>
      </c>
      <c r="DJ5" s="26" t="s">
        <v>188</v>
      </c>
      <c r="DK5" s="22"/>
    </row>
  </sheetData>
  <mergeCells count="1">
    <mergeCell ref="A3:E3"/>
  </mergeCells>
  <conditionalFormatting sqref="F3:CZ3">
    <cfRule type="cellIs" dxfId="1" priority="1" operator="equal">
      <formula>"N"</formula>
    </cfRule>
    <cfRule type="cellIs" dxfId="0" priority="2" operator="equal">
      <formula>"Y"</formula>
    </cfRule>
  </conditionalFormatting>
  <dataValidations count="1">
    <dataValidation type="list" allowBlank="1" showInputMessage="1" showErrorMessage="1" sqref="F3:CZ3" xr:uid="{5DEE84E7-6AC7-4774-90EA-33F7C2491421}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53A1-3D11-4DB4-A310-A0627DCDA6A2}">
  <sheetPr codeName="CheckDta"/>
  <dimension ref="A1:BA200"/>
  <sheetViews>
    <sheetView topLeftCell="B1" workbookViewId="0">
      <selection activeCell="E5" sqref="E5"/>
    </sheetView>
  </sheetViews>
  <sheetFormatPr defaultRowHeight="15" x14ac:dyDescent="0.25"/>
  <cols>
    <col min="1" max="1" width="6.5703125" customWidth="1"/>
    <col min="2" max="2" width="35.85546875" bestFit="1" customWidth="1"/>
    <col min="3" max="3" width="40.5703125" style="66" customWidth="1"/>
    <col min="4" max="53" width="12.5703125" customWidth="1"/>
  </cols>
  <sheetData>
    <row r="1" spans="1:53" s="40" customFormat="1" x14ac:dyDescent="0.25">
      <c r="C1" s="63"/>
    </row>
    <row r="2" spans="1:53" x14ac:dyDescent="0.25">
      <c r="A2" s="38" t="s">
        <v>221</v>
      </c>
      <c r="B2" s="38" t="s">
        <v>222</v>
      </c>
      <c r="C2" s="64" t="s">
        <v>223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3" x14ac:dyDescent="0.25">
      <c r="A3" s="22">
        <v>1</v>
      </c>
      <c r="B3" s="39" t="s">
        <v>224</v>
      </c>
      <c r="C3" s="65" t="s">
        <v>118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</row>
    <row r="4" spans="1:53" x14ac:dyDescent="0.25">
      <c r="A4" s="22">
        <v>2</v>
      </c>
      <c r="B4" s="39" t="s">
        <v>225</v>
      </c>
      <c r="C4" s="65" t="s">
        <v>119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</row>
    <row r="5" spans="1:53" x14ac:dyDescent="0.25">
      <c r="A5" s="22">
        <v>3</v>
      </c>
      <c r="B5" s="39" t="s">
        <v>226</v>
      </c>
      <c r="C5" s="65" t="s">
        <v>120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</row>
    <row r="6" spans="1:53" x14ac:dyDescent="0.25">
      <c r="A6" s="22">
        <v>4</v>
      </c>
      <c r="B6" s="39" t="s">
        <v>227</v>
      </c>
      <c r="C6" s="65" t="s">
        <v>529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</row>
    <row r="7" spans="1:53" x14ac:dyDescent="0.25">
      <c r="A7" s="22">
        <v>5</v>
      </c>
      <c r="B7" s="39" t="s">
        <v>228</v>
      </c>
      <c r="C7" s="65" t="s">
        <v>503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</row>
    <row r="8" spans="1:53" ht="30" x14ac:dyDescent="0.25">
      <c r="A8" s="22">
        <v>6</v>
      </c>
      <c r="B8" s="39" t="s">
        <v>229</v>
      </c>
      <c r="C8" s="65" t="s">
        <v>122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</row>
    <row r="9" spans="1:53" ht="30" x14ac:dyDescent="0.25">
      <c r="A9" s="22">
        <v>7</v>
      </c>
      <c r="B9" s="62" t="s">
        <v>230</v>
      </c>
      <c r="C9" s="65" t="s">
        <v>504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</row>
    <row r="10" spans="1:53" x14ac:dyDescent="0.25">
      <c r="A10" s="22">
        <v>8</v>
      </c>
      <c r="B10" s="39" t="s">
        <v>231</v>
      </c>
      <c r="C10" s="65" t="s">
        <v>123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</row>
    <row r="11" spans="1:53" x14ac:dyDescent="0.25">
      <c r="A11" s="22">
        <v>9</v>
      </c>
      <c r="B11" s="39" t="s">
        <v>232</v>
      </c>
      <c r="C11" s="65" t="s">
        <v>124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</row>
    <row r="12" spans="1:53" ht="30" x14ac:dyDescent="0.25">
      <c r="A12" s="22">
        <v>10</v>
      </c>
      <c r="B12" s="62" t="s">
        <v>233</v>
      </c>
      <c r="C12" s="65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</row>
    <row r="13" spans="1:53" x14ac:dyDescent="0.25">
      <c r="A13" s="22">
        <v>11</v>
      </c>
      <c r="B13" s="39" t="s">
        <v>234</v>
      </c>
      <c r="C13" s="65" t="s">
        <v>125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</row>
    <row r="14" spans="1:53" x14ac:dyDescent="0.25">
      <c r="A14" s="22">
        <v>12</v>
      </c>
      <c r="B14" s="39" t="s">
        <v>235</v>
      </c>
      <c r="C14" s="6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</row>
    <row r="15" spans="1:53" x14ac:dyDescent="0.25">
      <c r="A15" s="22">
        <v>13</v>
      </c>
      <c r="B15" s="39" t="s">
        <v>236</v>
      </c>
      <c r="C15" s="65" t="s">
        <v>126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</row>
    <row r="16" spans="1:53" ht="30" x14ac:dyDescent="0.25">
      <c r="A16" s="22">
        <v>14</v>
      </c>
      <c r="B16" s="39" t="s">
        <v>237</v>
      </c>
      <c r="C16" s="65" t="s">
        <v>127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</row>
    <row r="17" spans="1:53" x14ac:dyDescent="0.25">
      <c r="A17" s="22">
        <v>15</v>
      </c>
      <c r="B17" s="39" t="s">
        <v>238</v>
      </c>
      <c r="C17" s="65" t="s">
        <v>128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</row>
    <row r="18" spans="1:53" ht="30" x14ac:dyDescent="0.25">
      <c r="A18" s="22">
        <v>16</v>
      </c>
      <c r="B18" s="62" t="s">
        <v>230</v>
      </c>
      <c r="C18" s="65" t="s">
        <v>505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</row>
    <row r="19" spans="1:53" x14ac:dyDescent="0.25">
      <c r="A19" s="22">
        <v>17</v>
      </c>
      <c r="B19" s="39" t="s">
        <v>239</v>
      </c>
      <c r="C19" s="65" t="s">
        <v>129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</row>
    <row r="20" spans="1:53" x14ac:dyDescent="0.25">
      <c r="A20" s="22">
        <v>18</v>
      </c>
      <c r="B20" s="39" t="s">
        <v>240</v>
      </c>
      <c r="C20" s="65" t="s">
        <v>130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</row>
    <row r="21" spans="1:53" x14ac:dyDescent="0.25">
      <c r="A21" s="22">
        <v>19</v>
      </c>
      <c r="B21" s="39" t="s">
        <v>241</v>
      </c>
      <c r="C21" s="65" t="s">
        <v>131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</row>
    <row r="22" spans="1:53" x14ac:dyDescent="0.25">
      <c r="A22" s="22">
        <v>20</v>
      </c>
      <c r="B22" s="39" t="s">
        <v>242</v>
      </c>
      <c r="C22" s="65" t="s">
        <v>132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</row>
    <row r="23" spans="1:53" x14ac:dyDescent="0.25">
      <c r="A23" s="22">
        <v>21</v>
      </c>
      <c r="B23" s="39" t="s">
        <v>243</v>
      </c>
      <c r="C23" s="65" t="s">
        <v>133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</row>
    <row r="24" spans="1:53" x14ac:dyDescent="0.25">
      <c r="A24" s="22">
        <v>22</v>
      </c>
      <c r="B24" s="39" t="s">
        <v>244</v>
      </c>
      <c r="C24" s="65" t="s">
        <v>134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</row>
    <row r="25" spans="1:53" x14ac:dyDescent="0.25">
      <c r="A25" s="22">
        <v>23</v>
      </c>
      <c r="B25" s="39" t="s">
        <v>245</v>
      </c>
      <c r="C25" s="65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</row>
    <row r="26" spans="1:53" ht="30" x14ac:dyDescent="0.25">
      <c r="A26" s="22">
        <v>24</v>
      </c>
      <c r="B26" s="62" t="s">
        <v>233</v>
      </c>
      <c r="C26" s="65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</row>
    <row r="27" spans="1:53" x14ac:dyDescent="0.25">
      <c r="A27" s="22">
        <v>25</v>
      </c>
      <c r="B27" s="39" t="s">
        <v>246</v>
      </c>
      <c r="C27" s="65" t="s">
        <v>135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</row>
    <row r="28" spans="1:53" x14ac:dyDescent="0.25">
      <c r="A28" s="22">
        <v>26</v>
      </c>
      <c r="B28" s="39" t="s">
        <v>247</v>
      </c>
      <c r="C28" s="65" t="s">
        <v>136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</row>
    <row r="29" spans="1:53" x14ac:dyDescent="0.25">
      <c r="A29" s="22">
        <v>27</v>
      </c>
      <c r="B29" s="39" t="s">
        <v>248</v>
      </c>
      <c r="C29" s="65" t="s">
        <v>137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</row>
    <row r="30" spans="1:53" x14ac:dyDescent="0.25">
      <c r="A30" s="22">
        <v>28</v>
      </c>
      <c r="B30" s="39" t="s">
        <v>249</v>
      </c>
      <c r="C30" s="65" t="s">
        <v>138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</row>
    <row r="31" spans="1:53" x14ac:dyDescent="0.25">
      <c r="A31" s="22">
        <v>29</v>
      </c>
      <c r="B31" s="39" t="s">
        <v>250</v>
      </c>
      <c r="C31" s="65" t="s">
        <v>139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</row>
    <row r="32" spans="1:53" x14ac:dyDescent="0.25">
      <c r="A32" s="22">
        <v>30</v>
      </c>
      <c r="B32" s="39" t="s">
        <v>251</v>
      </c>
      <c r="C32" s="65" t="s">
        <v>140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</row>
    <row r="33" spans="1:53" x14ac:dyDescent="0.25">
      <c r="A33" s="22">
        <v>31</v>
      </c>
      <c r="B33" s="39" t="s">
        <v>252</v>
      </c>
      <c r="C33" s="65" t="s">
        <v>141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</row>
    <row r="34" spans="1:53" x14ac:dyDescent="0.25">
      <c r="A34" s="22">
        <v>32</v>
      </c>
      <c r="B34" s="39" t="s">
        <v>253</v>
      </c>
      <c r="C34" s="65" t="s">
        <v>142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</row>
    <row r="35" spans="1:53" x14ac:dyDescent="0.25">
      <c r="A35" s="22">
        <v>33</v>
      </c>
      <c r="B35" s="39" t="s">
        <v>254</v>
      </c>
      <c r="C35" s="65" t="s">
        <v>143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</row>
    <row r="36" spans="1:53" x14ac:dyDescent="0.25">
      <c r="A36" s="22">
        <v>34</v>
      </c>
      <c r="B36" s="39" t="s">
        <v>255</v>
      </c>
      <c r="C36" s="65" t="s">
        <v>144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</row>
    <row r="37" spans="1:53" x14ac:dyDescent="0.25">
      <c r="A37" s="22">
        <v>35</v>
      </c>
      <c r="B37" s="39" t="s">
        <v>256</v>
      </c>
      <c r="C37" s="65" t="s">
        <v>145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</row>
    <row r="38" spans="1:53" x14ac:dyDescent="0.25">
      <c r="A38" s="22">
        <v>36</v>
      </c>
      <c r="B38" s="39" t="s">
        <v>257</v>
      </c>
      <c r="C38" s="65" t="s">
        <v>146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</row>
    <row r="39" spans="1:53" x14ac:dyDescent="0.25">
      <c r="A39" s="22">
        <v>37</v>
      </c>
      <c r="B39" s="39" t="s">
        <v>258</v>
      </c>
      <c r="C39" s="65" t="s">
        <v>147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</row>
    <row r="40" spans="1:53" x14ac:dyDescent="0.25">
      <c r="A40" s="22">
        <v>38</v>
      </c>
      <c r="B40" s="39" t="s">
        <v>259</v>
      </c>
      <c r="C40" s="65" t="s">
        <v>148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25">
      <c r="A41" s="22">
        <v>39</v>
      </c>
      <c r="B41" s="39" t="s">
        <v>260</v>
      </c>
      <c r="C41" s="65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</row>
    <row r="42" spans="1:53" x14ac:dyDescent="0.25">
      <c r="A42" s="22">
        <v>40</v>
      </c>
      <c r="B42" s="39" t="s">
        <v>261</v>
      </c>
      <c r="C42" s="65" t="s">
        <v>149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</row>
    <row r="43" spans="1:53" x14ac:dyDescent="0.25">
      <c r="A43" s="22">
        <v>41</v>
      </c>
      <c r="B43" s="39" t="s">
        <v>262</v>
      </c>
      <c r="C43" s="65" t="s">
        <v>150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</row>
    <row r="44" spans="1:53" x14ac:dyDescent="0.25">
      <c r="A44" s="22">
        <v>42</v>
      </c>
      <c r="B44" s="39" t="s">
        <v>263</v>
      </c>
      <c r="C44" s="65" t="s">
        <v>151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</row>
    <row r="45" spans="1:53" x14ac:dyDescent="0.25">
      <c r="A45" s="22">
        <v>43</v>
      </c>
      <c r="B45" s="39" t="s">
        <v>249</v>
      </c>
      <c r="C45" s="65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6" spans="1:53" x14ac:dyDescent="0.25">
      <c r="A46" s="22">
        <v>44</v>
      </c>
      <c r="B46" s="39" t="s">
        <v>250</v>
      </c>
      <c r="C46" s="65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</row>
    <row r="47" spans="1:53" x14ac:dyDescent="0.25">
      <c r="A47" s="22">
        <v>45</v>
      </c>
      <c r="B47" s="39" t="s">
        <v>251</v>
      </c>
      <c r="C47" s="65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</row>
    <row r="48" spans="1:53" x14ac:dyDescent="0.25">
      <c r="A48" s="22">
        <v>46</v>
      </c>
      <c r="B48" s="39" t="s">
        <v>252</v>
      </c>
      <c r="C48" s="65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</row>
    <row r="49" spans="1:53" x14ac:dyDescent="0.25">
      <c r="A49" s="22">
        <v>47</v>
      </c>
      <c r="B49" s="39" t="s">
        <v>264</v>
      </c>
      <c r="C49" s="65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</row>
    <row r="50" spans="1:53" x14ac:dyDescent="0.25">
      <c r="A50" s="22">
        <v>48</v>
      </c>
      <c r="B50" s="39" t="s">
        <v>255</v>
      </c>
      <c r="C50" s="65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</row>
    <row r="51" spans="1:53" x14ac:dyDescent="0.25">
      <c r="A51" s="22">
        <v>49</v>
      </c>
      <c r="B51" s="39" t="s">
        <v>256</v>
      </c>
      <c r="C51" s="65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</row>
    <row r="52" spans="1:53" x14ac:dyDescent="0.25">
      <c r="A52" s="22">
        <v>50</v>
      </c>
      <c r="B52" s="39" t="s">
        <v>257</v>
      </c>
      <c r="C52" s="65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</row>
    <row r="53" spans="1:53" x14ac:dyDescent="0.25">
      <c r="A53" s="22">
        <v>51</v>
      </c>
      <c r="B53" s="39" t="s">
        <v>258</v>
      </c>
      <c r="C53" s="65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</row>
    <row r="54" spans="1:53" x14ac:dyDescent="0.25">
      <c r="A54" s="22">
        <v>52</v>
      </c>
      <c r="B54" s="39" t="s">
        <v>259</v>
      </c>
      <c r="C54" s="65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</row>
    <row r="55" spans="1:53" x14ac:dyDescent="0.25">
      <c r="A55" s="22">
        <v>53</v>
      </c>
      <c r="B55" s="39" t="s">
        <v>261</v>
      </c>
      <c r="C55" s="65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</row>
    <row r="56" spans="1:53" x14ac:dyDescent="0.25">
      <c r="A56" s="22">
        <v>54</v>
      </c>
      <c r="B56" s="39" t="s">
        <v>265</v>
      </c>
      <c r="C56" s="65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</row>
    <row r="57" spans="1:53" x14ac:dyDescent="0.25">
      <c r="A57" s="22">
        <v>55</v>
      </c>
      <c r="B57" s="39" t="s">
        <v>266</v>
      </c>
      <c r="C57" s="65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</row>
    <row r="58" spans="1:53" x14ac:dyDescent="0.25">
      <c r="A58" s="22">
        <v>56</v>
      </c>
      <c r="B58" s="39" t="s">
        <v>267</v>
      </c>
      <c r="C58" s="65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</row>
    <row r="59" spans="1:53" x14ac:dyDescent="0.25">
      <c r="A59" s="22">
        <v>57</v>
      </c>
      <c r="B59" s="39" t="s">
        <v>268</v>
      </c>
      <c r="C59" s="65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</row>
    <row r="60" spans="1:53" x14ac:dyDescent="0.25">
      <c r="A60" s="22">
        <v>58</v>
      </c>
      <c r="B60" s="39" t="s">
        <v>269</v>
      </c>
      <c r="C60" s="65" t="s">
        <v>152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</row>
    <row r="61" spans="1:53" ht="30" x14ac:dyDescent="0.25">
      <c r="A61" s="22">
        <v>59</v>
      </c>
      <c r="B61" s="62" t="s">
        <v>270</v>
      </c>
      <c r="C61" s="65" t="s">
        <v>153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</row>
    <row r="62" spans="1:53" ht="30" x14ac:dyDescent="0.25">
      <c r="A62" s="22">
        <v>60</v>
      </c>
      <c r="B62" s="62" t="s">
        <v>271</v>
      </c>
      <c r="C62" s="65" t="s">
        <v>154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</row>
    <row r="63" spans="1:53" x14ac:dyDescent="0.25">
      <c r="A63" s="22">
        <v>61</v>
      </c>
      <c r="B63" s="39" t="s">
        <v>272</v>
      </c>
      <c r="C63" s="65" t="s">
        <v>506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</row>
    <row r="64" spans="1:53" x14ac:dyDescent="0.25">
      <c r="A64" s="22">
        <v>62</v>
      </c>
      <c r="B64" s="39" t="s">
        <v>273</v>
      </c>
      <c r="C64" s="65" t="s">
        <v>507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</row>
    <row r="65" spans="1:53" x14ac:dyDescent="0.25">
      <c r="A65" s="22">
        <v>63</v>
      </c>
      <c r="B65" s="39" t="s">
        <v>274</v>
      </c>
      <c r="C65" s="65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</row>
    <row r="66" spans="1:53" x14ac:dyDescent="0.25">
      <c r="A66" s="22">
        <v>64</v>
      </c>
      <c r="B66" s="39" t="s">
        <v>275</v>
      </c>
      <c r="C66" s="65" t="s">
        <v>157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</row>
    <row r="67" spans="1:53" x14ac:dyDescent="0.25">
      <c r="A67" s="22">
        <v>65</v>
      </c>
      <c r="B67" s="39" t="s">
        <v>276</v>
      </c>
      <c r="C67" s="65" t="s">
        <v>508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</row>
    <row r="68" spans="1:53" x14ac:dyDescent="0.25">
      <c r="A68" s="22">
        <v>66</v>
      </c>
      <c r="B68" s="39" t="s">
        <v>277</v>
      </c>
      <c r="C68" s="65" t="s">
        <v>509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</row>
    <row r="69" spans="1:53" x14ac:dyDescent="0.25">
      <c r="A69" s="22">
        <v>67</v>
      </c>
      <c r="B69" s="39" t="s">
        <v>278</v>
      </c>
      <c r="C69" s="65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</row>
    <row r="70" spans="1:53" ht="30" x14ac:dyDescent="0.25">
      <c r="A70" s="22">
        <v>68</v>
      </c>
      <c r="B70" s="62" t="s">
        <v>279</v>
      </c>
      <c r="C70" s="65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</row>
    <row r="71" spans="1:53" ht="30" x14ac:dyDescent="0.25">
      <c r="A71" s="22">
        <v>69</v>
      </c>
      <c r="B71" s="62" t="s">
        <v>280</v>
      </c>
      <c r="C71" s="65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</row>
    <row r="72" spans="1:53" x14ac:dyDescent="0.25">
      <c r="A72" s="22">
        <v>70</v>
      </c>
      <c r="B72" s="39" t="s">
        <v>281</v>
      </c>
      <c r="C72" s="65" t="s">
        <v>161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</row>
    <row r="73" spans="1:53" x14ac:dyDescent="0.25">
      <c r="A73" s="22">
        <v>71</v>
      </c>
      <c r="B73" s="39" t="s">
        <v>282</v>
      </c>
      <c r="C73" s="65" t="s">
        <v>165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</row>
    <row r="74" spans="1:53" x14ac:dyDescent="0.25">
      <c r="A74" s="22">
        <v>72</v>
      </c>
      <c r="B74" s="39" t="s">
        <v>283</v>
      </c>
      <c r="C74" s="65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</row>
    <row r="75" spans="1:53" x14ac:dyDescent="0.25">
      <c r="A75" s="22">
        <v>73</v>
      </c>
      <c r="B75" s="39" t="s">
        <v>284</v>
      </c>
      <c r="C75" s="65" t="s">
        <v>510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</row>
    <row r="76" spans="1:53" ht="30" x14ac:dyDescent="0.25">
      <c r="A76" s="22">
        <v>74</v>
      </c>
      <c r="B76" s="62" t="s">
        <v>285</v>
      </c>
      <c r="C76" s="65" t="s">
        <v>511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</row>
    <row r="77" spans="1:53" x14ac:dyDescent="0.25">
      <c r="A77" s="22">
        <v>75</v>
      </c>
      <c r="B77" s="39" t="s">
        <v>286</v>
      </c>
      <c r="C77" s="65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</row>
    <row r="78" spans="1:53" x14ac:dyDescent="0.25">
      <c r="A78" s="22">
        <v>76</v>
      </c>
      <c r="B78" s="39" t="s">
        <v>287</v>
      </c>
      <c r="C78" s="65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</row>
    <row r="79" spans="1:53" x14ac:dyDescent="0.25">
      <c r="A79" s="22">
        <v>77</v>
      </c>
      <c r="B79" s="39" t="s">
        <v>288</v>
      </c>
      <c r="C79" s="65" t="s">
        <v>512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</row>
    <row r="80" spans="1:53" x14ac:dyDescent="0.25">
      <c r="A80" s="22">
        <v>78</v>
      </c>
      <c r="B80" s="39" t="s">
        <v>289</v>
      </c>
      <c r="C80" s="65" t="s">
        <v>156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</row>
    <row r="81" spans="1:53" x14ac:dyDescent="0.25">
      <c r="A81" s="22">
        <v>79</v>
      </c>
      <c r="B81" s="39" t="s">
        <v>290</v>
      </c>
      <c r="C81" s="65" t="s">
        <v>513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</row>
    <row r="82" spans="1:53" x14ac:dyDescent="0.25">
      <c r="A82" s="22">
        <v>80</v>
      </c>
      <c r="B82" s="39" t="s">
        <v>291</v>
      </c>
      <c r="C82" s="65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</row>
    <row r="83" spans="1:53" x14ac:dyDescent="0.25">
      <c r="A83" s="22">
        <v>81</v>
      </c>
      <c r="B83" s="39" t="s">
        <v>292</v>
      </c>
      <c r="C83" s="65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</row>
    <row r="84" spans="1:53" x14ac:dyDescent="0.25">
      <c r="A84" s="22">
        <v>82</v>
      </c>
      <c r="B84" s="39" t="s">
        <v>293</v>
      </c>
      <c r="C84" s="65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</row>
    <row r="85" spans="1:53" ht="30" x14ac:dyDescent="0.25">
      <c r="A85" s="22">
        <v>83</v>
      </c>
      <c r="B85" s="62" t="s">
        <v>294</v>
      </c>
      <c r="C85" s="65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</row>
    <row r="86" spans="1:53" x14ac:dyDescent="0.25">
      <c r="A86" s="22">
        <v>84</v>
      </c>
      <c r="B86" s="39" t="s">
        <v>295</v>
      </c>
      <c r="C86" s="65" t="s">
        <v>514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</row>
    <row r="87" spans="1:53" x14ac:dyDescent="0.25">
      <c r="A87" s="22">
        <v>85</v>
      </c>
      <c r="B87" s="39" t="s">
        <v>296</v>
      </c>
      <c r="C87" s="65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</row>
    <row r="88" spans="1:53" x14ac:dyDescent="0.25">
      <c r="A88" s="22">
        <v>86</v>
      </c>
      <c r="B88" s="39" t="s">
        <v>297</v>
      </c>
      <c r="C88" s="65" t="s">
        <v>515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</row>
    <row r="89" spans="1:53" x14ac:dyDescent="0.25">
      <c r="A89" s="22">
        <v>87</v>
      </c>
      <c r="B89" s="39" t="s">
        <v>298</v>
      </c>
      <c r="C89" s="65" t="s">
        <v>516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</row>
    <row r="90" spans="1:53" x14ac:dyDescent="0.25">
      <c r="A90" s="22">
        <v>88</v>
      </c>
      <c r="B90" s="39" t="s">
        <v>299</v>
      </c>
      <c r="C90" s="65" t="s">
        <v>517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</row>
    <row r="91" spans="1:53" x14ac:dyDescent="0.25">
      <c r="A91" s="22">
        <v>89</v>
      </c>
      <c r="B91" s="39" t="s">
        <v>300</v>
      </c>
      <c r="C91" s="65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</row>
    <row r="92" spans="1:53" x14ac:dyDescent="0.25">
      <c r="A92" s="22">
        <v>90</v>
      </c>
      <c r="B92" s="39" t="s">
        <v>301</v>
      </c>
      <c r="C92" s="65" t="s">
        <v>518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</row>
    <row r="93" spans="1:53" x14ac:dyDescent="0.25">
      <c r="A93" s="22">
        <v>91</v>
      </c>
      <c r="B93" s="39" t="s">
        <v>302</v>
      </c>
      <c r="C93" s="65" t="s">
        <v>519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</row>
    <row r="94" spans="1:53" x14ac:dyDescent="0.25">
      <c r="A94" s="22">
        <v>92</v>
      </c>
      <c r="B94" s="39" t="s">
        <v>303</v>
      </c>
      <c r="C94" s="65" t="s">
        <v>520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</row>
    <row r="95" spans="1:53" x14ac:dyDescent="0.25">
      <c r="A95" s="22">
        <v>93</v>
      </c>
      <c r="B95" s="39" t="s">
        <v>304</v>
      </c>
      <c r="C95" s="65" t="s">
        <v>521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</row>
    <row r="96" spans="1:53" x14ac:dyDescent="0.25">
      <c r="A96" s="22">
        <v>94</v>
      </c>
      <c r="B96" s="39" t="s">
        <v>305</v>
      </c>
      <c r="C96" s="65" t="s">
        <v>522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</row>
    <row r="97" spans="1:53" x14ac:dyDescent="0.25">
      <c r="A97" s="22">
        <v>95</v>
      </c>
      <c r="B97" s="39" t="s">
        <v>306</v>
      </c>
      <c r="C97" s="65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</row>
    <row r="98" spans="1:53" x14ac:dyDescent="0.25">
      <c r="A98" s="22">
        <v>96</v>
      </c>
      <c r="B98" s="39" t="s">
        <v>307</v>
      </c>
      <c r="C98" s="65" t="s">
        <v>523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</row>
    <row r="99" spans="1:53" ht="30" x14ac:dyDescent="0.25">
      <c r="A99" s="22">
        <v>97</v>
      </c>
      <c r="B99" s="39" t="s">
        <v>308</v>
      </c>
      <c r="C99" s="65" t="s">
        <v>524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</row>
    <row r="100" spans="1:53" ht="30" x14ac:dyDescent="0.25">
      <c r="A100" s="22">
        <v>98</v>
      </c>
      <c r="B100" s="62" t="s">
        <v>309</v>
      </c>
      <c r="C100" s="65" t="s">
        <v>525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</row>
    <row r="101" spans="1:53" x14ac:dyDescent="0.25">
      <c r="A101" s="22">
        <v>99</v>
      </c>
      <c r="B101" s="39" t="s">
        <v>310</v>
      </c>
      <c r="C101" s="65" t="s">
        <v>526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</row>
    <row r="102" spans="1:53" ht="30" x14ac:dyDescent="0.25">
      <c r="A102" s="22">
        <v>100</v>
      </c>
      <c r="B102" s="62" t="s">
        <v>311</v>
      </c>
      <c r="C102" s="65" t="s">
        <v>527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</row>
    <row r="103" spans="1:53" x14ac:dyDescent="0.25">
      <c r="A103" s="22">
        <v>101</v>
      </c>
      <c r="B103" s="39" t="s">
        <v>312</v>
      </c>
      <c r="C103" s="65" t="s">
        <v>528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</row>
    <row r="104" spans="1:53" ht="30" x14ac:dyDescent="0.25">
      <c r="A104" s="22">
        <v>102</v>
      </c>
      <c r="B104" s="62" t="s">
        <v>313</v>
      </c>
      <c r="C104" s="65" t="s">
        <v>183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</row>
    <row r="105" spans="1:53" ht="30" x14ac:dyDescent="0.25">
      <c r="A105" s="22">
        <v>103</v>
      </c>
      <c r="B105" s="62" t="s">
        <v>314</v>
      </c>
      <c r="C105" s="65" t="s">
        <v>173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</row>
    <row r="106" spans="1:53" x14ac:dyDescent="0.25">
      <c r="A106" s="22">
        <v>104</v>
      </c>
      <c r="B106" s="39" t="s">
        <v>315</v>
      </c>
      <c r="C106" s="65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</row>
    <row r="107" spans="1:53" x14ac:dyDescent="0.25">
      <c r="A107" s="22">
        <v>105</v>
      </c>
      <c r="B107" s="39" t="s">
        <v>316</v>
      </c>
      <c r="C107" s="65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</row>
    <row r="108" spans="1:53" x14ac:dyDescent="0.25">
      <c r="A108" s="22">
        <v>106</v>
      </c>
      <c r="B108" s="39" t="s">
        <v>317</v>
      </c>
      <c r="C108" s="65" t="s">
        <v>184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</row>
    <row r="109" spans="1:53" x14ac:dyDescent="0.25">
      <c r="A109" s="22">
        <v>107</v>
      </c>
      <c r="B109" s="39" t="s">
        <v>318</v>
      </c>
      <c r="C109" s="65" t="s">
        <v>185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</row>
    <row r="110" spans="1:53" x14ac:dyDescent="0.25">
      <c r="A110" s="22">
        <v>108</v>
      </c>
      <c r="B110" s="39" t="s">
        <v>319</v>
      </c>
      <c r="C110" s="65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</row>
    <row r="111" spans="1:53" x14ac:dyDescent="0.25">
      <c r="A111" s="22">
        <v>109</v>
      </c>
      <c r="B111" s="39" t="s">
        <v>320</v>
      </c>
      <c r="C111" s="65" t="s">
        <v>155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</row>
    <row r="112" spans="1:53" x14ac:dyDescent="0.25">
      <c r="A112" s="22">
        <v>110</v>
      </c>
      <c r="B112" s="39" t="s">
        <v>321</v>
      </c>
      <c r="C112" s="65" t="s">
        <v>186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</row>
    <row r="113" spans="1:53" x14ac:dyDescent="0.25">
      <c r="A113" s="22">
        <v>111</v>
      </c>
      <c r="B113" s="39" t="s">
        <v>322</v>
      </c>
      <c r="C113" s="65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</row>
    <row r="114" spans="1:53" x14ac:dyDescent="0.25">
      <c r="A114" s="22">
        <v>112</v>
      </c>
      <c r="B114" s="39" t="s">
        <v>323</v>
      </c>
      <c r="C114" s="65" t="s">
        <v>187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</row>
    <row r="115" spans="1:53" x14ac:dyDescent="0.25">
      <c r="A115" s="22">
        <v>113</v>
      </c>
      <c r="B115" s="39" t="s">
        <v>324</v>
      </c>
      <c r="C115" s="65" t="s">
        <v>188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</row>
    <row r="116" spans="1:53" x14ac:dyDescent="0.25">
      <c r="A116" s="22"/>
      <c r="B116" s="39"/>
      <c r="C116" s="65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</row>
    <row r="117" spans="1:53" x14ac:dyDescent="0.25">
      <c r="A117" s="22"/>
      <c r="B117" s="39"/>
      <c r="C117" s="65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</row>
    <row r="118" spans="1:53" x14ac:dyDescent="0.25">
      <c r="A118" s="22"/>
      <c r="B118" s="39"/>
      <c r="C118" s="65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</row>
    <row r="119" spans="1:53" x14ac:dyDescent="0.25">
      <c r="A119" s="22"/>
      <c r="B119" s="39"/>
      <c r="C119" s="65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</row>
    <row r="120" spans="1:53" x14ac:dyDescent="0.25">
      <c r="A120" s="22"/>
      <c r="B120" s="39"/>
      <c r="C120" s="65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</row>
    <row r="121" spans="1:53" x14ac:dyDescent="0.25">
      <c r="A121" s="22"/>
      <c r="B121" s="39"/>
      <c r="C121" s="65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</row>
    <row r="122" spans="1:53" x14ac:dyDescent="0.25">
      <c r="A122" s="22"/>
      <c r="B122" s="39"/>
      <c r="C122" s="65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</row>
    <row r="123" spans="1:53" x14ac:dyDescent="0.25">
      <c r="A123" s="22"/>
      <c r="B123" s="39"/>
      <c r="C123" s="65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</row>
    <row r="124" spans="1:53" x14ac:dyDescent="0.25">
      <c r="A124" s="22"/>
      <c r="B124" s="39"/>
      <c r="C124" s="65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</row>
    <row r="125" spans="1:53" x14ac:dyDescent="0.25">
      <c r="A125" s="22"/>
      <c r="B125" s="39"/>
      <c r="C125" s="65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</row>
    <row r="126" spans="1:53" x14ac:dyDescent="0.25">
      <c r="A126" s="22"/>
      <c r="B126" s="39"/>
      <c r="C126" s="65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</row>
    <row r="127" spans="1:53" x14ac:dyDescent="0.25">
      <c r="A127" s="22"/>
      <c r="B127" s="39"/>
      <c r="C127" s="65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</row>
    <row r="128" spans="1:53" x14ac:dyDescent="0.25">
      <c r="A128" s="22"/>
      <c r="B128" s="39"/>
      <c r="C128" s="65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</row>
    <row r="129" spans="1:53" x14ac:dyDescent="0.25">
      <c r="A129" s="22"/>
      <c r="B129" s="39"/>
      <c r="C129" s="65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</row>
    <row r="130" spans="1:53" x14ac:dyDescent="0.25">
      <c r="A130" s="22"/>
      <c r="B130" s="39"/>
      <c r="C130" s="65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</row>
    <row r="131" spans="1:53" x14ac:dyDescent="0.25">
      <c r="A131" s="22"/>
      <c r="B131" s="39"/>
      <c r="C131" s="65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</row>
    <row r="132" spans="1:53" x14ac:dyDescent="0.25">
      <c r="A132" s="22"/>
      <c r="B132" s="39"/>
      <c r="C132" s="65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</row>
    <row r="133" spans="1:53" x14ac:dyDescent="0.25">
      <c r="A133" s="22"/>
      <c r="B133" s="39"/>
      <c r="C133" s="65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</row>
    <row r="134" spans="1:53" x14ac:dyDescent="0.25">
      <c r="A134" s="22"/>
      <c r="B134" s="39"/>
      <c r="C134" s="65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</row>
    <row r="135" spans="1:53" x14ac:dyDescent="0.25">
      <c r="A135" s="22"/>
      <c r="B135" s="39"/>
      <c r="C135" s="65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</row>
    <row r="136" spans="1:53" x14ac:dyDescent="0.25">
      <c r="A136" s="22"/>
      <c r="B136" s="39"/>
      <c r="C136" s="65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</row>
    <row r="137" spans="1:53" x14ac:dyDescent="0.25">
      <c r="A137" s="22"/>
      <c r="B137" s="39"/>
      <c r="C137" s="65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</row>
    <row r="138" spans="1:53" x14ac:dyDescent="0.25">
      <c r="A138" s="22"/>
      <c r="B138" s="39"/>
      <c r="C138" s="65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</row>
    <row r="139" spans="1:53" x14ac:dyDescent="0.25">
      <c r="A139" s="22"/>
      <c r="B139" s="39"/>
      <c r="C139" s="65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</row>
    <row r="140" spans="1:53" x14ac:dyDescent="0.25">
      <c r="A140" s="22"/>
      <c r="B140" s="39"/>
      <c r="C140" s="65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</row>
    <row r="141" spans="1:53" x14ac:dyDescent="0.25">
      <c r="A141" s="22"/>
      <c r="B141" s="39"/>
      <c r="C141" s="65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</row>
    <row r="142" spans="1:53" x14ac:dyDescent="0.25">
      <c r="A142" s="22"/>
      <c r="B142" s="39"/>
      <c r="C142" s="65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</row>
    <row r="143" spans="1:53" x14ac:dyDescent="0.25">
      <c r="A143" s="22"/>
      <c r="B143" s="39"/>
      <c r="C143" s="65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</row>
    <row r="144" spans="1:53" x14ac:dyDescent="0.25">
      <c r="A144" s="22"/>
      <c r="B144" s="39"/>
      <c r="C144" s="65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</row>
    <row r="145" spans="1:53" x14ac:dyDescent="0.25">
      <c r="A145" s="22"/>
      <c r="B145" s="39"/>
      <c r="C145" s="65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</row>
    <row r="146" spans="1:53" x14ac:dyDescent="0.25">
      <c r="A146" s="22"/>
      <c r="B146" s="39"/>
      <c r="C146" s="65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</row>
    <row r="147" spans="1:53" x14ac:dyDescent="0.25">
      <c r="A147" s="22"/>
      <c r="B147" s="39"/>
      <c r="C147" s="65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</row>
    <row r="148" spans="1:53" x14ac:dyDescent="0.25">
      <c r="A148" s="22"/>
      <c r="B148" s="39"/>
      <c r="C148" s="65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</row>
    <row r="149" spans="1:53" x14ac:dyDescent="0.25">
      <c r="A149" s="22"/>
      <c r="B149" s="39"/>
      <c r="C149" s="65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</row>
    <row r="150" spans="1:53" x14ac:dyDescent="0.25">
      <c r="A150" s="22"/>
      <c r="B150" s="39"/>
      <c r="C150" s="65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</row>
    <row r="151" spans="1:53" x14ac:dyDescent="0.25">
      <c r="A151" s="22"/>
      <c r="B151" s="39"/>
      <c r="C151" s="65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</row>
    <row r="152" spans="1:53" x14ac:dyDescent="0.25">
      <c r="A152" s="22"/>
      <c r="B152" s="39"/>
      <c r="C152" s="65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</row>
    <row r="153" spans="1:53" x14ac:dyDescent="0.25">
      <c r="A153" s="22"/>
      <c r="B153" s="39"/>
      <c r="C153" s="65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</row>
    <row r="154" spans="1:53" x14ac:dyDescent="0.25">
      <c r="A154" s="22"/>
      <c r="B154" s="39"/>
      <c r="C154" s="65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</row>
    <row r="155" spans="1:53" x14ac:dyDescent="0.25">
      <c r="A155" s="22"/>
      <c r="B155" s="39"/>
      <c r="C155" s="65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</row>
    <row r="156" spans="1:53" x14ac:dyDescent="0.25">
      <c r="A156" s="22"/>
      <c r="B156" s="39"/>
      <c r="C156" s="65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</row>
    <row r="157" spans="1:53" x14ac:dyDescent="0.25">
      <c r="A157" s="22"/>
      <c r="B157" s="39"/>
      <c r="C157" s="65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</row>
    <row r="158" spans="1:53" x14ac:dyDescent="0.25">
      <c r="A158" s="22"/>
      <c r="B158" s="39"/>
      <c r="C158" s="65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</row>
    <row r="159" spans="1:53" x14ac:dyDescent="0.25">
      <c r="A159" s="22"/>
      <c r="B159" s="39"/>
      <c r="C159" s="65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</row>
    <row r="160" spans="1:53" x14ac:dyDescent="0.25">
      <c r="A160" s="22"/>
      <c r="B160" s="39"/>
      <c r="C160" s="65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</row>
    <row r="161" spans="1:53" x14ac:dyDescent="0.25">
      <c r="A161" s="22"/>
      <c r="B161" s="39"/>
      <c r="C161" s="65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</row>
    <row r="162" spans="1:53" x14ac:dyDescent="0.25">
      <c r="A162" s="22"/>
      <c r="B162" s="39"/>
      <c r="C162" s="65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</row>
    <row r="163" spans="1:53" x14ac:dyDescent="0.25">
      <c r="A163" s="22"/>
      <c r="B163" s="39"/>
      <c r="C163" s="65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</row>
    <row r="164" spans="1:53" x14ac:dyDescent="0.25">
      <c r="A164" s="22"/>
      <c r="B164" s="39"/>
      <c r="C164" s="65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</row>
    <row r="165" spans="1:53" x14ac:dyDescent="0.25">
      <c r="A165" s="22"/>
      <c r="B165" s="39"/>
      <c r="C165" s="65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</row>
    <row r="166" spans="1:53" x14ac:dyDescent="0.25">
      <c r="A166" s="22"/>
      <c r="B166" s="39"/>
      <c r="C166" s="65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</row>
    <row r="167" spans="1:53" x14ac:dyDescent="0.25">
      <c r="A167" s="22"/>
      <c r="B167" s="39"/>
      <c r="C167" s="65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</row>
    <row r="168" spans="1:53" x14ac:dyDescent="0.25">
      <c r="A168" s="22"/>
      <c r="B168" s="39"/>
      <c r="C168" s="65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</row>
    <row r="169" spans="1:53" x14ac:dyDescent="0.25">
      <c r="A169" s="22"/>
      <c r="B169" s="39"/>
      <c r="C169" s="65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</row>
    <row r="170" spans="1:53" x14ac:dyDescent="0.25">
      <c r="A170" s="22"/>
      <c r="B170" s="39"/>
      <c r="C170" s="65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</row>
    <row r="171" spans="1:53" x14ac:dyDescent="0.25">
      <c r="A171" s="22"/>
      <c r="B171" s="39"/>
      <c r="C171" s="65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</row>
    <row r="172" spans="1:53" x14ac:dyDescent="0.25">
      <c r="A172" s="22"/>
      <c r="B172" s="39"/>
      <c r="C172" s="65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</row>
    <row r="173" spans="1:53" x14ac:dyDescent="0.25">
      <c r="A173" s="22"/>
      <c r="B173" s="39"/>
      <c r="C173" s="65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</row>
    <row r="174" spans="1:53" x14ac:dyDescent="0.25">
      <c r="A174" s="22"/>
      <c r="B174" s="39"/>
      <c r="C174" s="65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</row>
    <row r="175" spans="1:53" x14ac:dyDescent="0.25">
      <c r="A175" s="22"/>
      <c r="B175" s="39"/>
      <c r="C175" s="65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</row>
    <row r="176" spans="1:53" x14ac:dyDescent="0.25">
      <c r="A176" s="22"/>
      <c r="B176" s="39"/>
      <c r="C176" s="65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</row>
    <row r="177" spans="1:53" x14ac:dyDescent="0.25">
      <c r="A177" s="22"/>
      <c r="B177" s="39"/>
      <c r="C177" s="65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</row>
    <row r="178" spans="1:53" x14ac:dyDescent="0.25">
      <c r="A178" s="22"/>
      <c r="B178" s="39"/>
      <c r="C178" s="65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</row>
    <row r="179" spans="1:53" x14ac:dyDescent="0.25">
      <c r="A179" s="22"/>
      <c r="B179" s="39"/>
      <c r="C179" s="65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</row>
    <row r="180" spans="1:53" x14ac:dyDescent="0.25">
      <c r="A180" s="22"/>
      <c r="B180" s="39"/>
      <c r="C180" s="65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</row>
    <row r="181" spans="1:53" x14ac:dyDescent="0.25">
      <c r="A181" s="22"/>
      <c r="B181" s="39"/>
      <c r="C181" s="65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</row>
    <row r="182" spans="1:53" x14ac:dyDescent="0.25">
      <c r="A182" s="22"/>
      <c r="B182" s="39"/>
      <c r="C182" s="65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</row>
    <row r="183" spans="1:53" x14ac:dyDescent="0.25">
      <c r="A183" s="22"/>
      <c r="B183" s="39"/>
      <c r="C183" s="65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</row>
    <row r="184" spans="1:53" x14ac:dyDescent="0.25">
      <c r="A184" s="22"/>
      <c r="B184" s="39"/>
      <c r="C184" s="65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</row>
    <row r="185" spans="1:53" x14ac:dyDescent="0.25">
      <c r="A185" s="22"/>
      <c r="B185" s="39"/>
      <c r="C185" s="65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</row>
    <row r="186" spans="1:53" x14ac:dyDescent="0.25">
      <c r="A186" s="22"/>
      <c r="B186" s="39"/>
      <c r="C186" s="65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</row>
    <row r="187" spans="1:53" x14ac:dyDescent="0.25">
      <c r="A187" s="22"/>
      <c r="B187" s="39"/>
      <c r="C187" s="65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</row>
    <row r="188" spans="1:53" x14ac:dyDescent="0.25">
      <c r="A188" s="22"/>
      <c r="B188" s="39"/>
      <c r="C188" s="65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</row>
    <row r="189" spans="1:53" x14ac:dyDescent="0.25">
      <c r="A189" s="22"/>
      <c r="B189" s="39"/>
      <c r="C189" s="65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</row>
    <row r="190" spans="1:53" x14ac:dyDescent="0.25">
      <c r="A190" s="22"/>
      <c r="B190" s="39"/>
      <c r="C190" s="65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</row>
    <row r="191" spans="1:53" x14ac:dyDescent="0.25">
      <c r="A191" s="22"/>
      <c r="B191" s="39"/>
      <c r="C191" s="65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</row>
    <row r="192" spans="1:53" x14ac:dyDescent="0.25">
      <c r="A192" s="22"/>
      <c r="B192" s="39"/>
      <c r="C192" s="65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</row>
    <row r="193" spans="1:53" x14ac:dyDescent="0.25">
      <c r="A193" s="22"/>
      <c r="B193" s="39"/>
      <c r="C193" s="65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</row>
    <row r="194" spans="1:53" x14ac:dyDescent="0.25">
      <c r="A194" s="22"/>
      <c r="B194" s="39"/>
      <c r="C194" s="65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</row>
    <row r="195" spans="1:53" x14ac:dyDescent="0.25">
      <c r="A195" s="22"/>
      <c r="B195" s="39"/>
      <c r="C195" s="65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</row>
    <row r="196" spans="1:53" x14ac:dyDescent="0.25">
      <c r="A196" s="22"/>
      <c r="B196" s="39"/>
      <c r="C196" s="65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</row>
    <row r="197" spans="1:53" x14ac:dyDescent="0.25">
      <c r="A197" s="22"/>
      <c r="B197" s="39"/>
      <c r="C197" s="65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</row>
    <row r="198" spans="1:53" x14ac:dyDescent="0.25">
      <c r="A198" s="22"/>
      <c r="B198" s="39"/>
      <c r="C198" s="65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</row>
    <row r="199" spans="1:53" x14ac:dyDescent="0.25">
      <c r="A199" s="22"/>
      <c r="B199" s="39"/>
      <c r="C199" s="65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</row>
    <row r="200" spans="1:53" x14ac:dyDescent="0.25">
      <c r="A200" s="22"/>
      <c r="B200" s="39"/>
      <c r="C200" s="65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</row>
  </sheetData>
  <dataConsolidate function="var" link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F66F-E275-486D-B239-918289554FFB}">
  <sheetPr codeName="Sheet3"/>
  <dimension ref="A1:AY67"/>
  <sheetViews>
    <sheetView topLeftCell="V1" workbookViewId="0">
      <selection sqref="A1:U1048576"/>
    </sheetView>
  </sheetViews>
  <sheetFormatPr defaultRowHeight="15" x14ac:dyDescent="0.25"/>
  <cols>
    <col min="1" max="1" width="60.28515625" hidden="1" customWidth="1"/>
    <col min="2" max="2" width="25.85546875" hidden="1" customWidth="1"/>
    <col min="3" max="4" width="0" hidden="1" customWidth="1"/>
    <col min="5" max="5" width="25.85546875" hidden="1" customWidth="1"/>
    <col min="6" max="21" width="0" hidden="1" customWidth="1"/>
    <col min="23" max="23" width="8.7109375" customWidth="1"/>
  </cols>
  <sheetData>
    <row r="1" spans="1:9" x14ac:dyDescent="0.25">
      <c r="A1" t="s">
        <v>325</v>
      </c>
      <c r="C1">
        <v>123123</v>
      </c>
      <c r="I1" t="s">
        <v>326</v>
      </c>
    </row>
    <row r="2" spans="1:9" x14ac:dyDescent="0.25">
      <c r="A2" t="str">
        <f>"A$3="&amp;B2&amp;",INDEX('18V1'!$"&amp;C2&amp;":$"&amp;C2&amp;",ROW("&amp;C2&amp;"15))"</f>
        <v>A$3="Batch",INDEX('18V1'!$A:$A,ROW(A15))</v>
      </c>
      <c r="B2" s="7" t="s">
        <v>327</v>
      </c>
      <c r="C2" t="s">
        <v>328</v>
      </c>
      <c r="D2">
        <v>1</v>
      </c>
      <c r="E2" s="7" t="s">
        <v>327</v>
      </c>
      <c r="H2" t="s">
        <v>328</v>
      </c>
      <c r="I2" t="s">
        <v>98</v>
      </c>
    </row>
    <row r="3" spans="1:9" x14ac:dyDescent="0.25">
      <c r="A3" t="str">
        <f t="shared" ref="A3:A65" si="0">"A$3="&amp;B3&amp;",INDEX('18V1'!$"&amp;C3&amp;":$"&amp;C3&amp;",ROW("&amp;C3&amp;"15))"</f>
        <v>A$3="Time in",INDEX('18V1'!$B:$B,ROW(B15))</v>
      </c>
      <c r="B3" s="7" t="s">
        <v>329</v>
      </c>
      <c r="C3" t="s">
        <v>330</v>
      </c>
      <c r="D3">
        <v>2</v>
      </c>
      <c r="E3" s="7"/>
      <c r="H3" t="s">
        <v>330</v>
      </c>
    </row>
    <row r="4" spans="1:9" ht="15.75" x14ac:dyDescent="0.25">
      <c r="A4" t="str">
        <f t="shared" si="0"/>
        <v>A$3="Water flow rate",INDEX('18V1'!$C:$C,ROW(C15))</v>
      </c>
      <c r="B4" s="4" t="s">
        <v>331</v>
      </c>
      <c r="C4" t="s">
        <v>116</v>
      </c>
      <c r="D4">
        <v>3</v>
      </c>
      <c r="E4" s="4"/>
      <c r="F4" s="7"/>
      <c r="I4" t="s">
        <v>98</v>
      </c>
    </row>
    <row r="5" spans="1:9" ht="15.75" x14ac:dyDescent="0.25">
      <c r="A5" t="str">
        <f t="shared" si="0"/>
        <v>A$3="Malt",INDEX('18V1'!$D:$D,ROW(D15))</v>
      </c>
      <c r="B5" s="7" t="s">
        <v>332</v>
      </c>
      <c r="C5" t="s">
        <v>333</v>
      </c>
      <c r="D5">
        <v>4</v>
      </c>
      <c r="E5" s="7" t="s">
        <v>332</v>
      </c>
      <c r="F5">
        <v>2</v>
      </c>
      <c r="I5" s="4" t="s">
        <v>334</v>
      </c>
    </row>
    <row r="6" spans="1:9" ht="15.75" x14ac:dyDescent="0.25">
      <c r="A6" t="str">
        <f t="shared" si="0"/>
        <v>A$3="Rice",INDEX('18V1'!$E:$E,ROW(E15))</v>
      </c>
      <c r="B6" s="7" t="s">
        <v>335</v>
      </c>
      <c r="C6" t="s">
        <v>336</v>
      </c>
      <c r="D6">
        <v>5</v>
      </c>
      <c r="E6" s="7" t="s">
        <v>335</v>
      </c>
      <c r="F6">
        <v>3</v>
      </c>
      <c r="I6" s="4" t="s">
        <v>337</v>
      </c>
    </row>
    <row r="7" spans="1:9" ht="15.75" x14ac:dyDescent="0.25">
      <c r="A7" t="str">
        <f t="shared" si="0"/>
        <v>A$3="Water flow rate",INDEX('18V1'!$F:$F,ROW(F15))</v>
      </c>
      <c r="B7" s="7" t="s">
        <v>331</v>
      </c>
      <c r="C7" t="s">
        <v>338</v>
      </c>
      <c r="D7">
        <v>6</v>
      </c>
      <c r="E7" s="7" t="s">
        <v>331</v>
      </c>
      <c r="F7">
        <v>4</v>
      </c>
      <c r="I7" s="4" t="s">
        <v>339</v>
      </c>
    </row>
    <row r="8" spans="1:9" ht="15.75" x14ac:dyDescent="0.25">
      <c r="A8" t="str">
        <f t="shared" si="0"/>
        <v>A$3="Volume rice mashing-in",INDEX('18V1'!$G:$G,ROW(G15))</v>
      </c>
      <c r="B8" s="7" t="s">
        <v>340</v>
      </c>
      <c r="C8" t="s">
        <v>341</v>
      </c>
      <c r="D8">
        <v>7</v>
      </c>
      <c r="E8" s="7" t="s">
        <v>340</v>
      </c>
      <c r="F8">
        <v>5</v>
      </c>
      <c r="I8" s="4" t="s">
        <v>342</v>
      </c>
    </row>
    <row r="9" spans="1:9" ht="15.75" x14ac:dyDescent="0.25">
      <c r="A9" t="str">
        <f t="shared" si="0"/>
        <v>A$3="Time rice mashing-in",INDEX('18V1'!$H:$H,ROW(H15))</v>
      </c>
      <c r="B9" s="7" t="s">
        <v>343</v>
      </c>
      <c r="C9" t="s">
        <v>344</v>
      </c>
      <c r="D9">
        <v>8</v>
      </c>
      <c r="E9" s="7" t="s">
        <v>343</v>
      </c>
      <c r="F9">
        <v>6</v>
      </c>
      <c r="I9" s="5" t="s">
        <v>345</v>
      </c>
    </row>
    <row r="10" spans="1:9" ht="15.75" x14ac:dyDescent="0.25">
      <c r="A10" t="str">
        <f t="shared" si="0"/>
        <v>A$3="Volume malt mashing-in",INDEX('18V1'!$I:$I,ROW(I15))</v>
      </c>
      <c r="B10" s="7" t="s">
        <v>346</v>
      </c>
      <c r="C10" t="s">
        <v>347</v>
      </c>
      <c r="D10">
        <v>9</v>
      </c>
      <c r="E10" s="7" t="s">
        <v>346</v>
      </c>
      <c r="F10">
        <v>7</v>
      </c>
      <c r="I10" s="5" t="s">
        <v>348</v>
      </c>
    </row>
    <row r="11" spans="1:9" ht="15.75" x14ac:dyDescent="0.25">
      <c r="A11" t="str">
        <f t="shared" si="0"/>
        <v>A$3="Time malt mashing-in",INDEX('18V1'!$J:$J,ROW(J15))</v>
      </c>
      <c r="B11" s="7" t="s">
        <v>349</v>
      </c>
      <c r="C11" t="s">
        <v>350</v>
      </c>
      <c r="D11">
        <v>10</v>
      </c>
      <c r="E11" s="7" t="s">
        <v>349</v>
      </c>
      <c r="F11">
        <v>8</v>
      </c>
      <c r="I11" s="5" t="s">
        <v>351</v>
      </c>
    </row>
    <row r="12" spans="1:9" ht="15.75" x14ac:dyDescent="0.25">
      <c r="A12" t="str">
        <f t="shared" si="0"/>
        <v>A$3="Mashing-in temp",INDEX('18V1'!$K:$K,ROW(K15))</v>
      </c>
      <c r="B12" s="7" t="s">
        <v>352</v>
      </c>
      <c r="C12" t="s">
        <v>353</v>
      </c>
      <c r="D12">
        <v>11</v>
      </c>
      <c r="E12" s="7" t="s">
        <v>352</v>
      </c>
      <c r="F12">
        <v>9</v>
      </c>
      <c r="I12" s="5" t="s">
        <v>354</v>
      </c>
    </row>
    <row r="13" spans="1:9" ht="15.75" x14ac:dyDescent="0.25">
      <c r="A13" t="str">
        <f t="shared" si="0"/>
        <v>A$3="Steam flow",INDEX('18V1'!$L:$L,ROW(L15))</v>
      </c>
      <c r="B13" s="7" t="s">
        <v>355</v>
      </c>
      <c r="C13" t="s">
        <v>356</v>
      </c>
      <c r="D13">
        <v>12</v>
      </c>
      <c r="E13" s="7" t="s">
        <v>355</v>
      </c>
      <c r="F13">
        <v>10</v>
      </c>
      <c r="I13" s="5" t="s">
        <v>357</v>
      </c>
    </row>
    <row r="14" spans="1:9" ht="15.75" x14ac:dyDescent="0.25">
      <c r="A14" t="str">
        <f t="shared" si="0"/>
        <v>A$3="Heating to Gel",INDEX('18V1'!$M:$M,ROW(M15))</v>
      </c>
      <c r="B14" s="7" t="s">
        <v>358</v>
      </c>
      <c r="C14" t="s">
        <v>359</v>
      </c>
      <c r="D14">
        <v>13</v>
      </c>
      <c r="E14" s="7" t="s">
        <v>358</v>
      </c>
      <c r="F14">
        <v>11</v>
      </c>
      <c r="I14" s="5" t="s">
        <v>360</v>
      </c>
    </row>
    <row r="15" spans="1:9" ht="15.75" x14ac:dyDescent="0.25">
      <c r="A15" t="str">
        <f t="shared" si="0"/>
        <v>A$3="Gel rest time",INDEX('18V1'!$N:$N,ROW(N15))</v>
      </c>
      <c r="B15" s="7" t="s">
        <v>361</v>
      </c>
      <c r="C15" t="s">
        <v>362</v>
      </c>
      <c r="D15">
        <v>14</v>
      </c>
      <c r="E15" s="7" t="s">
        <v>361</v>
      </c>
      <c r="F15">
        <v>12</v>
      </c>
      <c r="I15" s="5" t="s">
        <v>363</v>
      </c>
    </row>
    <row r="16" spans="1:9" ht="15.75" x14ac:dyDescent="0.25">
      <c r="A16" t="str">
        <f t="shared" si="0"/>
        <v>A$3="Gel rest temp",INDEX('18V1'!$O :$O ,ROW(O 15))</v>
      </c>
      <c r="B16" s="7" t="s">
        <v>364</v>
      </c>
      <c r="C16" t="s">
        <v>365</v>
      </c>
      <c r="D16">
        <v>15</v>
      </c>
      <c r="E16" s="7" t="s">
        <v>364</v>
      </c>
      <c r="F16">
        <v>13</v>
      </c>
      <c r="I16" s="5" t="s">
        <v>366</v>
      </c>
    </row>
    <row r="17" spans="1:9" ht="15.75" x14ac:dyDescent="0.25">
      <c r="A17" t="str">
        <f t="shared" si="0"/>
        <v>A$3="Heating up to Boil",INDEX('18V1'!$P:$P,ROW(P15))</v>
      </c>
      <c r="B17" s="7" t="s">
        <v>367</v>
      </c>
      <c r="C17" t="s">
        <v>368</v>
      </c>
      <c r="D17">
        <v>16</v>
      </c>
      <c r="E17" s="7" t="s">
        <v>367</v>
      </c>
      <c r="F17">
        <v>14</v>
      </c>
      <c r="I17" s="5" t="s">
        <v>369</v>
      </c>
    </row>
    <row r="18" spans="1:9" ht="15.75" x14ac:dyDescent="0.25">
      <c r="A18" t="str">
        <f t="shared" si="0"/>
        <v>A$3="Boiling time",INDEX('18V1'!$Q:$Q,ROW(Q15))</v>
      </c>
      <c r="B18" s="7" t="s">
        <v>370</v>
      </c>
      <c r="C18" t="s">
        <v>371</v>
      </c>
      <c r="D18">
        <v>17</v>
      </c>
      <c r="E18" s="7" t="s">
        <v>370</v>
      </c>
      <c r="F18">
        <v>15</v>
      </c>
      <c r="I18" s="5" t="s">
        <v>372</v>
      </c>
    </row>
    <row r="19" spans="1:9" ht="15.75" x14ac:dyDescent="0.25">
      <c r="A19" t="str">
        <f t="shared" si="0"/>
        <v>A$3="Boiling temp",INDEX('18V1'!$R:$R,ROW(R15))</v>
      </c>
      <c r="B19" s="7" t="s">
        <v>373</v>
      </c>
      <c r="C19" t="s">
        <v>374</v>
      </c>
      <c r="D19">
        <v>18</v>
      </c>
      <c r="E19" s="7" t="s">
        <v>373</v>
      </c>
      <c r="F19">
        <v>16</v>
      </c>
      <c r="I19" s="5" t="s">
        <v>375</v>
      </c>
    </row>
    <row r="20" spans="1:9" ht="15.75" x14ac:dyDescent="0.25">
      <c r="A20" t="str">
        <f t="shared" si="0"/>
        <v>A$3="Residence time",INDEX('18V1'!$S:$S,ROW(S15))</v>
      </c>
      <c r="B20" s="7" t="s">
        <v>376</v>
      </c>
      <c r="C20" t="s">
        <v>377</v>
      </c>
      <c r="D20">
        <v>19</v>
      </c>
      <c r="E20" s="7" t="s">
        <v>376</v>
      </c>
      <c r="F20">
        <v>17</v>
      </c>
      <c r="I20" s="5" t="s">
        <v>378</v>
      </c>
    </row>
    <row r="21" spans="1:9" ht="15.75" x14ac:dyDescent="0.25">
      <c r="A21" t="str">
        <f t="shared" si="0"/>
        <v>A$3="Pump mash to MT",INDEX('18V1'!$T:$T,ROW(T15))</v>
      </c>
      <c r="B21" s="7" t="s">
        <v>379</v>
      </c>
      <c r="C21" t="s">
        <v>380</v>
      </c>
      <c r="D21">
        <v>20</v>
      </c>
      <c r="E21" s="7" t="s">
        <v>379</v>
      </c>
      <c r="F21">
        <v>18</v>
      </c>
      <c r="I21" s="5" t="s">
        <v>381</v>
      </c>
    </row>
    <row r="22" spans="1:9" ht="15.75" x14ac:dyDescent="0.25">
      <c r="A22" t="str">
        <f t="shared" si="0"/>
        <v>A$3="Water flow rate",INDEX('18V1'!$U:$U,ROW(U15))</v>
      </c>
      <c r="B22" s="7" t="s">
        <v>331</v>
      </c>
      <c r="C22" t="s">
        <v>382</v>
      </c>
      <c r="D22">
        <v>21</v>
      </c>
      <c r="E22" s="7" t="s">
        <v>331</v>
      </c>
      <c r="F22">
        <v>19</v>
      </c>
      <c r="I22" s="5" t="s">
        <v>339</v>
      </c>
    </row>
    <row r="23" spans="1:9" ht="15.75" x14ac:dyDescent="0.25">
      <c r="A23" t="str">
        <f t="shared" si="0"/>
        <v>A$3="Volume mashing-in",INDEX('18V1'!$V:$V,ROW(V15))</v>
      </c>
      <c r="B23" s="7" t="s">
        <v>383</v>
      </c>
      <c r="C23" t="s">
        <v>384</v>
      </c>
      <c r="D23">
        <v>22</v>
      </c>
      <c r="E23" s="7" t="s">
        <v>383</v>
      </c>
      <c r="F23">
        <v>20</v>
      </c>
      <c r="I23" s="5" t="s">
        <v>385</v>
      </c>
    </row>
    <row r="24" spans="1:9" ht="15.75" x14ac:dyDescent="0.25">
      <c r="A24" t="str">
        <f t="shared" si="0"/>
        <v>A$3="Time mashing-in",INDEX('18V1'!$W:$W,ROW(W15))</v>
      </c>
      <c r="B24" s="7" t="s">
        <v>386</v>
      </c>
      <c r="C24" t="s">
        <v>387</v>
      </c>
      <c r="D24">
        <v>23</v>
      </c>
      <c r="E24" s="7" t="s">
        <v>386</v>
      </c>
      <c r="F24">
        <v>21</v>
      </c>
      <c r="I24" s="5" t="s">
        <v>388</v>
      </c>
    </row>
    <row r="25" spans="1:9" ht="15.75" x14ac:dyDescent="0.25">
      <c r="A25" t="str">
        <f t="shared" si="0"/>
        <v>A$3="Mashing-in temp",INDEX('18V1'!$X:$X,ROW(X15))</v>
      </c>
      <c r="B25" s="7" t="s">
        <v>352</v>
      </c>
      <c r="C25" t="s">
        <v>389</v>
      </c>
      <c r="D25">
        <v>24</v>
      </c>
      <c r="E25" s="7" t="s">
        <v>352</v>
      </c>
      <c r="F25">
        <v>22</v>
      </c>
      <c r="I25" s="5" t="s">
        <v>354</v>
      </c>
    </row>
    <row r="26" spans="1:9" ht="15.75" x14ac:dyDescent="0.25">
      <c r="A26" t="str">
        <f t="shared" si="0"/>
        <v>A$3="Holding 45 time",INDEX('18V1'!$Y:$Y,ROW(Y15))</v>
      </c>
      <c r="B26" s="7" t="s">
        <v>390</v>
      </c>
      <c r="C26" t="s">
        <v>96</v>
      </c>
      <c r="D26">
        <v>25</v>
      </c>
      <c r="E26" s="7" t="s">
        <v>390</v>
      </c>
      <c r="F26">
        <v>23</v>
      </c>
      <c r="I26" s="5" t="s">
        <v>391</v>
      </c>
    </row>
    <row r="27" spans="1:9" ht="15.75" x14ac:dyDescent="0.25">
      <c r="A27" t="str">
        <f t="shared" si="0"/>
        <v>A$3="Holding 45 temp",INDEX('18V1'!$Z:$Z,ROW(Z15))</v>
      </c>
      <c r="B27" s="7" t="s">
        <v>392</v>
      </c>
      <c r="C27" t="s">
        <v>393</v>
      </c>
      <c r="D27">
        <v>26</v>
      </c>
      <c r="E27" s="7" t="s">
        <v>392</v>
      </c>
      <c r="F27">
        <v>24</v>
      </c>
      <c r="I27" s="5" t="s">
        <v>394</v>
      </c>
    </row>
    <row r="28" spans="1:9" ht="15.75" x14ac:dyDescent="0.25">
      <c r="A28" t="str">
        <f t="shared" si="0"/>
        <v>A$3="Receiving Mash from RC",INDEX('18V1'!$AA:$AA,ROW(AA15))</v>
      </c>
      <c r="B28" s="7" t="s">
        <v>395</v>
      </c>
      <c r="C28" t="s">
        <v>396</v>
      </c>
      <c r="E28" s="7" t="s">
        <v>395</v>
      </c>
      <c r="F28">
        <v>25</v>
      </c>
      <c r="I28" s="5" t="s">
        <v>397</v>
      </c>
    </row>
    <row r="29" spans="1:9" ht="15.75" x14ac:dyDescent="0.25">
      <c r="A29" t="str">
        <f t="shared" si="0"/>
        <v>A$3="Steam flow",INDEX('18V1'!$AB:$AB,ROW(AB15))</v>
      </c>
      <c r="B29" s="7" t="s">
        <v>355</v>
      </c>
      <c r="C29" t="s">
        <v>398</v>
      </c>
      <c r="E29" s="7" t="s">
        <v>355</v>
      </c>
      <c r="F29">
        <v>26</v>
      </c>
      <c r="I29" s="5" t="s">
        <v>357</v>
      </c>
    </row>
    <row r="30" spans="1:9" ht="15.75" x14ac:dyDescent="0.25">
      <c r="A30" t="str">
        <f t="shared" si="0"/>
        <v>A$3="Heating up to 65.5",INDEX('18V1'!$AC:$AC,ROW(AC15))</v>
      </c>
      <c r="B30" s="7" t="s">
        <v>399</v>
      </c>
      <c r="C30" t="s">
        <v>400</v>
      </c>
      <c r="E30" s="7" t="s">
        <v>399</v>
      </c>
      <c r="F30">
        <v>27</v>
      </c>
      <c r="I30" s="5" t="s">
        <v>401</v>
      </c>
    </row>
    <row r="31" spans="1:9" ht="15.75" x14ac:dyDescent="0.25">
      <c r="A31" t="str">
        <f t="shared" si="0"/>
        <v>A$3="Holding 65.5 time",INDEX('18V1'!$AD:$AD,ROW(AD15))</v>
      </c>
      <c r="B31" s="7" t="s">
        <v>402</v>
      </c>
      <c r="C31" t="s">
        <v>403</v>
      </c>
      <c r="E31" s="7" t="s">
        <v>402</v>
      </c>
      <c r="F31">
        <v>28</v>
      </c>
      <c r="I31" s="5" t="s">
        <v>404</v>
      </c>
    </row>
    <row r="32" spans="1:9" ht="15.75" x14ac:dyDescent="0.25">
      <c r="A32" t="str">
        <f t="shared" si="0"/>
        <v>A$3="Holding 65.5 temp",INDEX('18V1'!$AE:$AE,ROW(AE15))</v>
      </c>
      <c r="B32" s="7" t="s">
        <v>405</v>
      </c>
      <c r="C32" t="s">
        <v>406</v>
      </c>
      <c r="E32" s="7" t="s">
        <v>405</v>
      </c>
      <c r="F32">
        <v>29</v>
      </c>
      <c r="I32" s="5" t="s">
        <v>407</v>
      </c>
    </row>
    <row r="33" spans="1:9" ht="15.75" x14ac:dyDescent="0.25">
      <c r="A33" t="str">
        <f t="shared" si="0"/>
        <v>A$3="Heating up to 75",INDEX('18V1'!$AF:$AF,ROW(AF15))</v>
      </c>
      <c r="B33" s="7" t="s">
        <v>408</v>
      </c>
      <c r="C33" t="s">
        <v>409</v>
      </c>
      <c r="E33" s="7" t="s">
        <v>408</v>
      </c>
      <c r="F33">
        <v>30</v>
      </c>
      <c r="I33" s="5" t="s">
        <v>410</v>
      </c>
    </row>
    <row r="34" spans="1:9" ht="15.75" x14ac:dyDescent="0.25">
      <c r="A34" t="str">
        <f t="shared" si="0"/>
        <v>A$3="Rest at 76 time",INDEX('18V1'!$AG:$AG,ROW(AG15))</v>
      </c>
      <c r="B34" s="7" t="s">
        <v>411</v>
      </c>
      <c r="C34" t="s">
        <v>412</v>
      </c>
      <c r="E34" s="7" t="s">
        <v>411</v>
      </c>
      <c r="F34">
        <v>31</v>
      </c>
      <c r="I34" s="5" t="s">
        <v>413</v>
      </c>
    </row>
    <row r="35" spans="1:9" ht="15.75" x14ac:dyDescent="0.25">
      <c r="A35" t="str">
        <f t="shared" si="0"/>
        <v>A$3="Rest at 76 temp",INDEX('18V1'!$AH:$AH,ROW(AH15))</v>
      </c>
      <c r="B35" s="7" t="s">
        <v>414</v>
      </c>
      <c r="C35" t="s">
        <v>415</v>
      </c>
      <c r="E35" s="7" t="s">
        <v>414</v>
      </c>
      <c r="F35">
        <v>32</v>
      </c>
      <c r="I35" s="5" t="s">
        <v>416</v>
      </c>
    </row>
    <row r="36" spans="1:9" ht="15.75" x14ac:dyDescent="0.25">
      <c r="A36" t="str">
        <f t="shared" si="0"/>
        <v>A$3="Residence time",INDEX('18V1'!$AI:$AI,ROW(AI15))</v>
      </c>
      <c r="B36" s="7" t="s">
        <v>376</v>
      </c>
      <c r="C36" t="s">
        <v>417</v>
      </c>
      <c r="E36" s="7" t="s">
        <v>376</v>
      </c>
      <c r="F36">
        <v>33</v>
      </c>
      <c r="I36" s="5" t="s">
        <v>378</v>
      </c>
    </row>
    <row r="37" spans="1:9" ht="15.75" x14ac:dyDescent="0.25">
      <c r="A37" t="str">
        <f t="shared" si="0"/>
        <v>A$3="Pump mash to LT",INDEX('18V1'!$AJ:$AJ,ROW(AJ15))</v>
      </c>
      <c r="B37" s="7" t="s">
        <v>418</v>
      </c>
      <c r="C37" t="s">
        <v>419</v>
      </c>
      <c r="E37" s="7" t="s">
        <v>418</v>
      </c>
      <c r="F37">
        <v>34</v>
      </c>
      <c r="I37" s="5" t="s">
        <v>420</v>
      </c>
    </row>
    <row r="38" spans="1:9" ht="15.75" x14ac:dyDescent="0.25">
      <c r="A38" t="str">
        <f t="shared" si="0"/>
        <v>A$3="Main wort flowrate",INDEX('18V1'!$AK:$AK,ROW(AK15))</v>
      </c>
      <c r="B38" s="7" t="s">
        <v>421</v>
      </c>
      <c r="C38" t="s">
        <v>422</v>
      </c>
      <c r="E38" s="7" t="s">
        <v>421</v>
      </c>
      <c r="F38">
        <v>35</v>
      </c>
      <c r="I38" s="5" t="s">
        <v>423</v>
      </c>
    </row>
    <row r="39" spans="1:9" ht="15.75" x14ac:dyDescent="0.25">
      <c r="A39" t="str">
        <f t="shared" si="0"/>
        <v>A$3="Circulation",INDEX('18V1'!$AL:$AL,ROW(AL15))</v>
      </c>
      <c r="B39" s="7" t="s">
        <v>424</v>
      </c>
      <c r="C39" t="s">
        <v>425</v>
      </c>
      <c r="E39" s="7" t="s">
        <v>424</v>
      </c>
      <c r="F39">
        <v>36</v>
      </c>
      <c r="I39" s="5" t="s">
        <v>426</v>
      </c>
    </row>
    <row r="40" spans="1:9" ht="15.75" x14ac:dyDescent="0.25">
      <c r="A40" t="str">
        <f t="shared" si="0"/>
        <v>A$3="EBC Cir",INDEX('18V1'!$AM:$AM,ROW(AM15))</v>
      </c>
      <c r="B40" s="7" t="s">
        <v>427</v>
      </c>
      <c r="C40" t="s">
        <v>428</v>
      </c>
      <c r="E40" s="7" t="s">
        <v>427</v>
      </c>
      <c r="F40">
        <v>37</v>
      </c>
      <c r="I40" s="5" t="s">
        <v>429</v>
      </c>
    </row>
    <row r="41" spans="1:9" ht="15.75" x14ac:dyDescent="0.25">
      <c r="A41" t="str">
        <f t="shared" si="0"/>
        <v>A$3="Lautering 1st wort",INDEX('18V1'!$AN:$AN,ROW(AN15))</v>
      </c>
      <c r="B41" s="7" t="s">
        <v>430</v>
      </c>
      <c r="C41" t="s">
        <v>431</v>
      </c>
      <c r="E41" s="7" t="s">
        <v>430</v>
      </c>
      <c r="F41">
        <v>38</v>
      </c>
      <c r="I41" s="5" t="s">
        <v>432</v>
      </c>
    </row>
    <row r="42" spans="1:9" ht="15.75" x14ac:dyDescent="0.25">
      <c r="A42" t="str">
        <f t="shared" si="0"/>
        <v>A$3="2nd wort flow rate",INDEX('18V1'!$AO:$AO,ROW(AO15))</v>
      </c>
      <c r="B42" s="7" t="s">
        <v>433</v>
      </c>
      <c r="C42" t="s">
        <v>434</v>
      </c>
      <c r="E42" s="7" t="s">
        <v>433</v>
      </c>
      <c r="F42">
        <v>39</v>
      </c>
      <c r="I42" s="5" t="s">
        <v>435</v>
      </c>
    </row>
    <row r="43" spans="1:9" ht="15.75" x14ac:dyDescent="0.25">
      <c r="A43" t="str">
        <f t="shared" si="0"/>
        <v>A$3="Lauter and Sparge 2nd wort",INDEX('18V1'!$AP:$AP,ROW(AP15))</v>
      </c>
      <c r="B43" s="7" t="s">
        <v>436</v>
      </c>
      <c r="C43" t="s">
        <v>437</v>
      </c>
      <c r="E43" s="7" t="s">
        <v>436</v>
      </c>
      <c r="F43">
        <v>40</v>
      </c>
      <c r="I43" s="5" t="s">
        <v>438</v>
      </c>
    </row>
    <row r="44" spans="1:9" ht="15.75" x14ac:dyDescent="0.25">
      <c r="A44" t="str">
        <f t="shared" si="0"/>
        <v>A$3="Deep cut time",INDEX('18V1'!$AQ:$AQ,ROW(AQ15))</v>
      </c>
      <c r="B44" s="7" t="s">
        <v>439</v>
      </c>
      <c r="C44" t="s">
        <v>440</v>
      </c>
      <c r="E44" s="7" t="s">
        <v>439</v>
      </c>
      <c r="F44">
        <v>41</v>
      </c>
      <c r="I44" s="5" t="s">
        <v>441</v>
      </c>
    </row>
    <row r="45" spans="1:9" ht="15.75" x14ac:dyDescent="0.25">
      <c r="A45" t="str">
        <f t="shared" si="0"/>
        <v>A$3="Weak wort recovery",INDEX('18V1'!$AR:$AR,ROW(AR15))</v>
      </c>
      <c r="B45" s="7" t="s">
        <v>442</v>
      </c>
      <c r="C45" t="s">
        <v>443</v>
      </c>
      <c r="E45" s="7" t="s">
        <v>442</v>
      </c>
      <c r="F45">
        <v>42</v>
      </c>
      <c r="I45" s="5" t="s">
        <v>444</v>
      </c>
    </row>
    <row r="46" spans="1:9" ht="15.75" x14ac:dyDescent="0.25">
      <c r="A46" t="str">
        <f t="shared" si="0"/>
        <v>A$3="Residence time",INDEX('18V1'!$AS:$AS,ROW(AS15))</v>
      </c>
      <c r="B46" s="7" t="s">
        <v>376</v>
      </c>
      <c r="C46" t="s">
        <v>445</v>
      </c>
      <c r="E46" s="7" t="s">
        <v>376</v>
      </c>
      <c r="F46">
        <v>43</v>
      </c>
      <c r="I46" s="5" t="s">
        <v>378</v>
      </c>
    </row>
    <row r="47" spans="1:9" ht="15.75" x14ac:dyDescent="0.25">
      <c r="A47" t="str">
        <f t="shared" si="0"/>
        <v>A$3="Volume filling from LT",INDEX('18V1'!$AT:$AT,ROW(AT15))</v>
      </c>
      <c r="B47" s="7" t="s">
        <v>446</v>
      </c>
      <c r="C47" t="s">
        <v>447</v>
      </c>
      <c r="E47" s="7" t="s">
        <v>446</v>
      </c>
      <c r="F47">
        <v>44</v>
      </c>
      <c r="I47" s="5" t="s">
        <v>448</v>
      </c>
    </row>
    <row r="48" spans="1:9" ht="15.75" x14ac:dyDescent="0.25">
      <c r="A48" t="str">
        <f t="shared" si="0"/>
        <v>A$3="Temp in",INDEX('18V1'!$AU:$AU,ROW(AU15))</v>
      </c>
      <c r="B48" s="7" t="s">
        <v>449</v>
      </c>
      <c r="C48" t="s">
        <v>450</v>
      </c>
      <c r="E48" s="7" t="s">
        <v>449</v>
      </c>
      <c r="F48">
        <v>45</v>
      </c>
      <c r="I48" s="5" t="s">
        <v>451</v>
      </c>
    </row>
    <row r="49" spans="1:9" ht="15.75" x14ac:dyDescent="0.25">
      <c r="A49" t="str">
        <f t="shared" si="0"/>
        <v>A$3="Temp out",INDEX('18V1'!$AV:$AV,ROW(AV15))</v>
      </c>
      <c r="B49" s="7" t="s">
        <v>452</v>
      </c>
      <c r="C49" t="s">
        <v>453</v>
      </c>
      <c r="E49" s="7" t="s">
        <v>452</v>
      </c>
      <c r="F49">
        <v>46</v>
      </c>
      <c r="I49" s="5" t="s">
        <v>454</v>
      </c>
    </row>
    <row r="50" spans="1:9" ht="15.75" x14ac:dyDescent="0.25">
      <c r="A50" t="str">
        <f t="shared" si="0"/>
        <v>A$3="Pump wort to WK",INDEX('18V1'!$AW:$AW,ROW(AW15))</v>
      </c>
      <c r="B50" s="7" t="s">
        <v>455</v>
      </c>
      <c r="C50" t="s">
        <v>456</v>
      </c>
      <c r="E50" s="7" t="s">
        <v>455</v>
      </c>
      <c r="F50">
        <v>47</v>
      </c>
      <c r="I50" s="5" t="s">
        <v>457</v>
      </c>
    </row>
    <row r="51" spans="1:9" ht="15.75" x14ac:dyDescent="0.25">
      <c r="A51" t="str">
        <f t="shared" si="0"/>
        <v>A$3="Heating to boiling temp",INDEX('18V1'!$AX:$AX,ROW(AX15))</v>
      </c>
      <c r="B51" s="7" t="s">
        <v>458</v>
      </c>
      <c r="C51" t="s">
        <v>459</v>
      </c>
      <c r="E51" s="7" t="s">
        <v>458</v>
      </c>
      <c r="F51">
        <v>48</v>
      </c>
      <c r="I51" s="5" t="s">
        <v>460</v>
      </c>
    </row>
    <row r="52" spans="1:9" ht="14.45" customHeight="1" x14ac:dyDescent="0.25">
      <c r="A52" t="str">
        <f t="shared" si="0"/>
        <v>A$3="Steam start to boil 30",INDEX('18V1'!$AY:$AY,ROW(AY15))</v>
      </c>
      <c r="B52" s="7" t="s">
        <v>461</v>
      </c>
      <c r="C52" t="s">
        <v>462</v>
      </c>
      <c r="E52" s="7" t="s">
        <v>461</v>
      </c>
      <c r="F52">
        <v>49</v>
      </c>
      <c r="I52" s="5" t="s">
        <v>463</v>
      </c>
    </row>
    <row r="53" spans="1:9" ht="14.45" customHeight="1" x14ac:dyDescent="0.25">
      <c r="A53" t="str">
        <f t="shared" si="0"/>
        <v>A$3="Steam kettle full boil 25",INDEX('18V1'!$AZ:$AZ,ROW(AZ15))</v>
      </c>
      <c r="B53" s="7" t="s">
        <v>464</v>
      </c>
      <c r="C53" t="s">
        <v>465</v>
      </c>
      <c r="E53" s="7" t="s">
        <v>464</v>
      </c>
      <c r="F53">
        <v>50</v>
      </c>
      <c r="I53" s="5" t="s">
        <v>466</v>
      </c>
    </row>
    <row r="54" spans="1:9" ht="14.45" customHeight="1" x14ac:dyDescent="0.25">
      <c r="A54" t="str">
        <f t="shared" si="0"/>
        <v>A$3="Steam kettle full boil 20",INDEX('18V1'!$BA:$BA,ROW(BA15))</v>
      </c>
      <c r="B54" s="7" t="s">
        <v>467</v>
      </c>
      <c r="C54" t="s">
        <v>468</v>
      </c>
      <c r="E54" s="7" t="s">
        <v>467</v>
      </c>
      <c r="F54">
        <v>51</v>
      </c>
      <c r="I54" s="5" t="s">
        <v>469</v>
      </c>
    </row>
    <row r="55" spans="1:9" ht="14.45" customHeight="1" x14ac:dyDescent="0.25">
      <c r="A55" t="str">
        <f t="shared" si="0"/>
        <v>A$3="Casting",INDEX('18V1'!$BH:$BH,ROW(BH15))</v>
      </c>
      <c r="B55" s="7" t="s">
        <v>470</v>
      </c>
      <c r="C55" t="s">
        <v>471</v>
      </c>
      <c r="E55" s="7" t="s">
        <v>470</v>
      </c>
      <c r="F55">
        <v>52</v>
      </c>
      <c r="I55" s="5" t="s">
        <v>472</v>
      </c>
    </row>
    <row r="56" spans="1:9" ht="14.45" customHeight="1" x14ac:dyDescent="0.25">
      <c r="A56" t="str">
        <f t="shared" si="0"/>
        <v>A$3="Residence time",INDEX('18V1'!$BI:$BI,ROW(BI15))</v>
      </c>
      <c r="B56" s="7" t="s">
        <v>376</v>
      </c>
      <c r="C56" t="s">
        <v>473</v>
      </c>
      <c r="E56" s="7" t="s">
        <v>376</v>
      </c>
      <c r="F56">
        <v>53</v>
      </c>
      <c r="I56" s="5" t="s">
        <v>378</v>
      </c>
    </row>
    <row r="57" spans="1:9" ht="14.45" customHeight="1" x14ac:dyDescent="0.25">
      <c r="A57" t="str">
        <f t="shared" si="0"/>
        <v>A$3="Whirlpool rest",INDEX('18V1'!$BJ:$BJ,ROW(BJ15))</v>
      </c>
      <c r="B57" s="7" t="s">
        <v>474</v>
      </c>
      <c r="C57" t="s">
        <v>475</v>
      </c>
      <c r="E57" s="7" t="s">
        <v>474</v>
      </c>
      <c r="F57">
        <v>54</v>
      </c>
      <c r="I57" s="5" t="s">
        <v>476</v>
      </c>
    </row>
    <row r="58" spans="1:9" ht="15.75" x14ac:dyDescent="0.25">
      <c r="A58" t="str">
        <f t="shared" si="0"/>
        <v>A$3="Cold wort flowrate",INDEX('18V1'!$BK:$BK,ROW(BK15))</v>
      </c>
      <c r="B58" s="7" t="s">
        <v>477</v>
      </c>
      <c r="C58" t="s">
        <v>478</v>
      </c>
      <c r="E58" s="7" t="s">
        <v>477</v>
      </c>
      <c r="F58">
        <v>55</v>
      </c>
      <c r="I58" s="5" t="s">
        <v>479</v>
      </c>
    </row>
    <row r="59" spans="1:9" ht="15.75" x14ac:dyDescent="0.25">
      <c r="A59" t="str">
        <f t="shared" si="0"/>
        <v>A$3="Trub removal",INDEX('18V1'!$BL:$BL,ROW(BL15))</v>
      </c>
      <c r="B59" s="7" t="s">
        <v>480</v>
      </c>
      <c r="C59" t="s">
        <v>481</v>
      </c>
      <c r="E59" s="7" t="s">
        <v>480</v>
      </c>
      <c r="F59">
        <v>56</v>
      </c>
      <c r="I59" s="5" t="s">
        <v>482</v>
      </c>
    </row>
    <row r="60" spans="1:9" ht="15.75" x14ac:dyDescent="0.25">
      <c r="A60" t="str">
        <f t="shared" si="0"/>
        <v>A$3="Wort cooling time",INDEX('18V1'!$BM:$BM,ROW(BM15))</v>
      </c>
      <c r="B60" s="7" t="s">
        <v>483</v>
      </c>
      <c r="C60" t="s">
        <v>484</v>
      </c>
      <c r="E60" s="7" t="s">
        <v>483</v>
      </c>
      <c r="F60">
        <v>57</v>
      </c>
      <c r="I60" s="5" t="s">
        <v>485</v>
      </c>
    </row>
    <row r="61" spans="1:9" ht="15.75" x14ac:dyDescent="0.25">
      <c r="A61" t="str">
        <f t="shared" si="0"/>
        <v>A$3="Total time",INDEX('18V1'!$BN:$BN,ROW(BN15))</v>
      </c>
      <c r="B61" s="7" t="s">
        <v>486</v>
      </c>
      <c r="C61" t="s">
        <v>487</v>
      </c>
      <c r="E61" s="7" t="s">
        <v>486</v>
      </c>
      <c r="F61">
        <v>58</v>
      </c>
      <c r="I61" s="5" t="s">
        <v>488</v>
      </c>
    </row>
    <row r="62" spans="1:9" ht="15.75" x14ac:dyDescent="0.25">
      <c r="A62" t="str">
        <f t="shared" si="0"/>
        <v>A$3="OG",INDEX('18V1'!$BO:$BO,ROW(BO15))</v>
      </c>
      <c r="B62" s="7" t="s">
        <v>489</v>
      </c>
      <c r="C62" t="s">
        <v>490</v>
      </c>
      <c r="E62" s="7" t="s">
        <v>489</v>
      </c>
      <c r="F62">
        <v>59</v>
      </c>
      <c r="I62" s="5" t="s">
        <v>491</v>
      </c>
    </row>
    <row r="63" spans="1:9" ht="15.75" x14ac:dyDescent="0.25">
      <c r="A63" t="str">
        <f t="shared" si="0"/>
        <v>A$3="pH",INDEX('18V1'!$BP:$BP,ROW(BP15))</v>
      </c>
      <c r="B63" s="7" t="s">
        <v>492</v>
      </c>
      <c r="C63" t="s">
        <v>493</v>
      </c>
      <c r="E63" s="7" t="s">
        <v>492</v>
      </c>
      <c r="F63">
        <v>60</v>
      </c>
      <c r="I63" s="5" t="s">
        <v>494</v>
      </c>
    </row>
    <row r="64" spans="1:9" ht="15.75" x14ac:dyDescent="0.25">
      <c r="A64" t="str">
        <f t="shared" si="0"/>
        <v>A$3="Temp",INDEX('18V1'!$BQ:$BQ,ROW(BQ15))</v>
      </c>
      <c r="B64" s="7" t="s">
        <v>495</v>
      </c>
      <c r="C64" t="s">
        <v>496</v>
      </c>
      <c r="E64" s="7" t="s">
        <v>495</v>
      </c>
      <c r="F64">
        <v>61</v>
      </c>
      <c r="I64" s="5" t="s">
        <v>497</v>
      </c>
    </row>
    <row r="65" spans="1:51" ht="15.75" x14ac:dyDescent="0.25">
      <c r="A65" t="str">
        <f t="shared" si="0"/>
        <v>A$3="Cool wort volume",INDEX('18V1'!$BR:$BR,ROW(BR15))</v>
      </c>
      <c r="B65" t="s">
        <v>498</v>
      </c>
      <c r="C65" t="s">
        <v>499</v>
      </c>
      <c r="E65" t="s">
        <v>498</v>
      </c>
      <c r="F65">
        <v>62</v>
      </c>
      <c r="I65" s="5" t="s">
        <v>500</v>
      </c>
    </row>
    <row r="67" spans="1:51" hidden="1" x14ac:dyDescent="0.25">
      <c r="A67" s="8" t="s">
        <v>334</v>
      </c>
      <c r="B67" s="8" t="s">
        <v>337</v>
      </c>
      <c r="C67" s="8" t="s">
        <v>342</v>
      </c>
      <c r="D67" s="8" t="s">
        <v>345</v>
      </c>
      <c r="E67" s="8" t="s">
        <v>348</v>
      </c>
      <c r="F67" s="8" t="s">
        <v>351</v>
      </c>
      <c r="G67" s="8" t="s">
        <v>354</v>
      </c>
      <c r="H67" s="8" t="s">
        <v>360</v>
      </c>
      <c r="I67" s="8" t="s">
        <v>363</v>
      </c>
      <c r="J67" s="8" t="s">
        <v>366</v>
      </c>
      <c r="K67" s="8" t="s">
        <v>369</v>
      </c>
      <c r="L67" s="8" t="s">
        <v>372</v>
      </c>
      <c r="M67" s="8" t="s">
        <v>375</v>
      </c>
      <c r="N67" s="8" t="s">
        <v>378</v>
      </c>
      <c r="O67" s="8" t="s">
        <v>381</v>
      </c>
      <c r="P67" s="8" t="s">
        <v>385</v>
      </c>
      <c r="Q67" s="8" t="s">
        <v>388</v>
      </c>
      <c r="R67" s="8" t="s">
        <v>354</v>
      </c>
      <c r="S67" s="8" t="s">
        <v>391</v>
      </c>
      <c r="T67" s="8" t="s">
        <v>394</v>
      </c>
      <c r="U67" s="8" t="s">
        <v>397</v>
      </c>
      <c r="V67" s="8" t="s">
        <v>401</v>
      </c>
      <c r="W67" s="8" t="s">
        <v>404</v>
      </c>
      <c r="X67" s="8" t="s">
        <v>407</v>
      </c>
      <c r="Y67" s="8" t="s">
        <v>410</v>
      </c>
      <c r="Z67" s="8" t="s">
        <v>501</v>
      </c>
      <c r="AA67" s="8" t="s">
        <v>502</v>
      </c>
      <c r="AB67" s="8" t="s">
        <v>378</v>
      </c>
      <c r="AC67" s="8" t="s">
        <v>420</v>
      </c>
      <c r="AD67" s="8" t="s">
        <v>426</v>
      </c>
      <c r="AE67" s="8" t="s">
        <v>432</v>
      </c>
      <c r="AF67" s="8" t="s">
        <v>438</v>
      </c>
      <c r="AG67" s="8" t="s">
        <v>441</v>
      </c>
      <c r="AH67" s="8" t="s">
        <v>444</v>
      </c>
      <c r="AI67" s="8" t="s">
        <v>378</v>
      </c>
      <c r="AJ67" s="8" t="s">
        <v>448</v>
      </c>
      <c r="AK67" s="8" t="s">
        <v>457</v>
      </c>
      <c r="AL67" s="8" t="s">
        <v>460</v>
      </c>
      <c r="AM67" s="8" t="s">
        <v>463</v>
      </c>
      <c r="AN67" s="8" t="s">
        <v>466</v>
      </c>
      <c r="AO67" s="8" t="s">
        <v>469</v>
      </c>
      <c r="AP67" s="8" t="s">
        <v>472</v>
      </c>
      <c r="AQ67" s="8" t="s">
        <v>378</v>
      </c>
      <c r="AR67" s="8" t="s">
        <v>476</v>
      </c>
      <c r="AS67" s="8" t="s">
        <v>479</v>
      </c>
      <c r="AT67" s="8" t="s">
        <v>485</v>
      </c>
      <c r="AU67" s="8" t="s">
        <v>488</v>
      </c>
      <c r="AV67" s="8" t="s">
        <v>491</v>
      </c>
      <c r="AW67" s="9" t="s">
        <v>494</v>
      </c>
      <c r="AX67" s="8" t="s">
        <v>497</v>
      </c>
      <c r="AY67" s="8" t="s">
        <v>500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D35539F85BA42BC5E751CC4051F5A" ma:contentTypeVersion="21" ma:contentTypeDescription="Create a new document." ma:contentTypeScope="" ma:versionID="775511b3bfe2766bf047b13abadf6e61">
  <xsd:schema xmlns:xsd="http://www.w3.org/2001/XMLSchema" xmlns:xs="http://www.w3.org/2001/XMLSchema" xmlns:p="http://schemas.microsoft.com/office/2006/metadata/properties" xmlns:ns2="5318484c-ef13-47f8-9214-217523e40a0a" xmlns:ns3="758ff83c-f29c-40a3-b974-d11e8e089546" targetNamespace="http://schemas.microsoft.com/office/2006/metadata/properties" ma:root="true" ma:fieldsID="cebd02261915f1af83ab8c337f729649" ns2:_="" ns3:_="">
    <xsd:import namespace="5318484c-ef13-47f8-9214-217523e40a0a"/>
    <xsd:import namespace="758ff83c-f29c-40a3-b974-d11e8e089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nu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8484c-ef13-47f8-9214-217523e40a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nu" ma:index="25" nillable="true" ma:displayName="Menu" ma:format="Dropdown" ma:internalName="Menu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ff83c-f29c-40a3-b974-d11e8e08954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4679d2-7a10-48f8-b8d6-fa3e3a718de7}" ma:internalName="TaxCatchAll" ma:showField="CatchAllData" ma:web="758ff83c-f29c-40a3-b974-d11e8e089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8ff83c-f29c-40a3-b974-d11e8e089546" xsi:nil="true"/>
    <lcf76f155ced4ddcb4097134ff3c332f xmlns="5318484c-ef13-47f8-9214-217523e40a0a">
      <Terms xmlns="http://schemas.microsoft.com/office/infopath/2007/PartnerControls"/>
    </lcf76f155ced4ddcb4097134ff3c332f>
    <Menu xmlns="5318484c-ef13-47f8-9214-217523e40a0a" xsi:nil="true"/>
  </documentManagement>
</p:properties>
</file>

<file path=customXml/itemProps1.xml><?xml version="1.0" encoding="utf-8"?>
<ds:datastoreItem xmlns:ds="http://schemas.openxmlformats.org/officeDocument/2006/customXml" ds:itemID="{241151E0-554C-4997-86B6-51BED006CD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20E2C0-3BBC-4A2E-A006-C5DA83074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18484c-ef13-47f8-9214-217523e40a0a"/>
    <ds:schemaRef ds:uri="758ff83c-f29c-40a3-b974-d11e8e0895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33DD93-B38A-4788-922C-DC385289A346}">
  <ds:schemaRefs>
    <ds:schemaRef ds:uri="http://schemas.microsoft.com/office/2006/metadata/properties"/>
    <ds:schemaRef ds:uri="http://schemas.microsoft.com/office/infopath/2007/PartnerControls"/>
    <ds:schemaRef ds:uri="758ff83c-f29c-40a3-b974-d11e8e089546"/>
    <ds:schemaRef ds:uri="5318484c-ef13-47f8-9214-217523e40a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InFo</vt:lpstr>
      <vt:lpstr>Sheet1</vt:lpstr>
      <vt:lpstr>Check Data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Thuy Le Quan (VietNam)</dc:creator>
  <cp:keywords/>
  <dc:description/>
  <cp:lastModifiedBy>Chương Lê Quang</cp:lastModifiedBy>
  <cp:revision/>
  <dcterms:created xsi:type="dcterms:W3CDTF">2024-03-12T01:36:48Z</dcterms:created>
  <dcterms:modified xsi:type="dcterms:W3CDTF">2026-05-18T10:50:00Z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0x010100D85D35539F85BA42BC5E751CC4051F5A</vt:lpwstr>
  </property>
  <property fmtid="{D5CDD505-2E9C-101B-9397-08002B2CF9AE}" pid="3" name="MediaServiceImageTags">
    <vt:lpwstr/>
  </property>
</Properties>
</file>