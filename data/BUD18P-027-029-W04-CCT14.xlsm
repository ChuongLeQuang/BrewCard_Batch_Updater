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nheuserbuschinbev.sharepoint.com/sites/APAC-South/SEA/Brewing-Team/Shared Documents/01. Brewing-VSIP/SHARED/18. Electric records/01. Brewhouse/2026/01. Jan/"/>
    </mc:Choice>
  </mc:AlternateContent>
  <xr:revisionPtr revIDLastSave="1225" documentId="13_ncr:1_{9173CBDC-C66D-4324-9E04-FD5E50333658}" xr6:coauthVersionLast="47" xr6:coauthVersionMax="47" xr10:uidLastSave="{A7943A38-5D0A-4F5D-AF02-ABECE1AA0424}"/>
  <bookViews>
    <workbookView xWindow="-110" yWindow="-110" windowWidth="19420" windowHeight="10300" tabRatio="672" firstSheet="1" activeTab="1" xr2:uid="{00000000-000D-0000-FFFF-FFFF00000000}"/>
  </bookViews>
  <sheets>
    <sheet name="Version" sheetId="20" state="hidden" r:id="rId1"/>
    <sheet name="10027" sheetId="146" r:id="rId2"/>
    <sheet name="Budweiser brewcard" sheetId="8" state="hidden" r:id="rId3"/>
    <sheet name="Diagram" sheetId="15" state="hidden" r:id="rId4"/>
    <sheet name="Sheet2" sheetId="16" state="hidden" r:id="rId5"/>
    <sheet name="Sheet1" sheetId="13" state="hidden" r:id="rId6"/>
    <sheet name="Extract inputs" sheetId="1" state="hidden" r:id="rId7"/>
    <sheet name="Ca addition" sheetId="2" state="hidden" r:id="rId8"/>
    <sheet name="CaCl2 addition" sheetId="7" state="hidden" r:id="rId9"/>
    <sheet name="CaSO4 addition" sheetId="18" state="hidden" r:id="rId10"/>
    <sheet name="Zn addition" sheetId="4" state="hidden" r:id="rId11"/>
    <sheet name="Hop calculation" sheetId="5" state="hidden" r:id="rId12"/>
    <sheet name="Hop trial" sheetId="19" state="hidden" r:id="rId13"/>
    <sheet name="Heat calculation" sheetId="9" state="hidden" r:id="rId14"/>
    <sheet name="Heat calculation (no PHE)" sheetId="12" state="hidden" r:id="rId15"/>
    <sheet name="Steam Enthalpy" sheetId="10" state="hidden" r:id="rId16"/>
    <sheet name="Piping length" sheetId="11" state="hidden" r:id="rId17"/>
    <sheet name="Platotable - wv - oP" sheetId="17" state="hidden" r:id="rId18"/>
    <sheet name="10028" sheetId="147" r:id="rId19"/>
    <sheet name="10029" sheetId="162" r:id="rId20"/>
    <sheet name="Brew (4)" sheetId="163" state="hidden" r:id="rId21"/>
    <sheet name="Brew (5)" sheetId="164" state="hidden" r:id="rId22"/>
    <sheet name="Brew (6)" sheetId="165" state="hidden" r:id="rId23"/>
    <sheet name="Sensory PI" sheetId="166" r:id="rId24"/>
  </sheets>
  <definedNames>
    <definedName name="COST" localSheetId="1">#REF!</definedName>
    <definedName name="COST" localSheetId="18">#REF!</definedName>
    <definedName name="COST" localSheetId="19">#REF!</definedName>
    <definedName name="COST" localSheetId="20">#REF!</definedName>
    <definedName name="COST" localSheetId="21">#REF!</definedName>
    <definedName name="COST" localSheetId="22">#REF!</definedName>
    <definedName name="COST" localSheetId="2">#REF!</definedName>
    <definedName name="COST" localSheetId="7">#REF!</definedName>
    <definedName name="COST" localSheetId="8">#REF!</definedName>
    <definedName name="COST" localSheetId="14">#REF!</definedName>
    <definedName name="COST" localSheetId="12">#REF!</definedName>
    <definedName name="COST">#REF!</definedName>
    <definedName name="_xlnm.Print_Area" localSheetId="1">'10027'!$B$1:$M$106</definedName>
    <definedName name="_xlnm.Print_Area" localSheetId="18">'10028'!$B$1:$M$106</definedName>
    <definedName name="_xlnm.Print_Area" localSheetId="19">'10029'!$B$1:$M$106</definedName>
    <definedName name="_xlnm.Print_Area" localSheetId="20">'Brew (4)'!$B$1:$M$106</definedName>
    <definedName name="_xlnm.Print_Area" localSheetId="21">'Brew (5)'!$B$1:$M$106</definedName>
    <definedName name="_xlnm.Print_Area" localSheetId="22">'Brew (6)'!$B$1:$M$106</definedName>
    <definedName name="_xlnm.Print_Area" localSheetId="6">'Extract inputs'!$A$1:$J$25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O8" i="162" l="1"/>
  <c r="EN8" i="162"/>
  <c r="EM8" i="162"/>
  <c r="EL8" i="162"/>
  <c r="EK8" i="162"/>
  <c r="EJ8" i="162"/>
  <c r="EI8" i="162"/>
  <c r="EH8" i="162"/>
  <c r="EF8" i="162"/>
  <c r="EE8" i="162"/>
  <c r="ED8" i="162"/>
  <c r="EC8" i="162"/>
  <c r="EB8" i="162"/>
  <c r="DY8" i="162"/>
  <c r="DZ8" i="162" s="1"/>
  <c r="DX8" i="162"/>
  <c r="DV8" i="162"/>
  <c r="DU8" i="162"/>
  <c r="DP8" i="162"/>
  <c r="DO8" i="162"/>
  <c r="DK8" i="162"/>
  <c r="DI8" i="162"/>
  <c r="DH8" i="162"/>
  <c r="DC8" i="162"/>
  <c r="DB8" i="162"/>
  <c r="DD8" i="162" s="1"/>
  <c r="DE8" i="162" s="1"/>
  <c r="CY8" i="162"/>
  <c r="CV8" i="162"/>
  <c r="CE8" i="162"/>
  <c r="CD8" i="162"/>
  <c r="BY8" i="162"/>
  <c r="BX8" i="162"/>
  <c r="CB8" i="162" s="1"/>
  <c r="BW8" i="162"/>
  <c r="BV8" i="162"/>
  <c r="BU8" i="162"/>
  <c r="BT8" i="162"/>
  <c r="BS8" i="162"/>
  <c r="BR8" i="162"/>
  <c r="BQ8" i="162"/>
  <c r="BP8" i="162"/>
  <c r="BO8" i="162"/>
  <c r="BM8" i="162"/>
  <c r="BL8" i="162"/>
  <c r="BK8" i="162"/>
  <c r="BJ8" i="162"/>
  <c r="BI8" i="162"/>
  <c r="BH8" i="162"/>
  <c r="BG8" i="162"/>
  <c r="BF8" i="162"/>
  <c r="BD8" i="162"/>
  <c r="BC8" i="162"/>
  <c r="BB8" i="162"/>
  <c r="BA8" i="162"/>
  <c r="AY8" i="162"/>
  <c r="AX8" i="162"/>
  <c r="AW8" i="162"/>
  <c r="AV8" i="162"/>
  <c r="AU8" i="162"/>
  <c r="EO8" i="147"/>
  <c r="EN8" i="147"/>
  <c r="EM8" i="147"/>
  <c r="EL8" i="147"/>
  <c r="EK8" i="147"/>
  <c r="EJ8" i="147"/>
  <c r="EI8" i="147"/>
  <c r="EH8" i="147"/>
  <c r="EE8" i="147"/>
  <c r="EF8" i="147" s="1"/>
  <c r="ED8" i="147"/>
  <c r="EC8" i="147"/>
  <c r="EB8" i="147"/>
  <c r="DZ8" i="147"/>
  <c r="DY8" i="147"/>
  <c r="DX8" i="147"/>
  <c r="DV8" i="147"/>
  <c r="DU8" i="147"/>
  <c r="DP8" i="147"/>
  <c r="DO8" i="147"/>
  <c r="DK8" i="147"/>
  <c r="DI8" i="147"/>
  <c r="DH8" i="147"/>
  <c r="DC8" i="147"/>
  <c r="DB8" i="147"/>
  <c r="DD8" i="147" s="1"/>
  <c r="DE8" i="147" s="1"/>
  <c r="CY8" i="147"/>
  <c r="CV8" i="147"/>
  <c r="CE8" i="147"/>
  <c r="CD8" i="147"/>
  <c r="CA8" i="147"/>
  <c r="BY8" i="147"/>
  <c r="BX8" i="147"/>
  <c r="CB8" i="147" s="1"/>
  <c r="BW8" i="147"/>
  <c r="BV8" i="147"/>
  <c r="BU8" i="147"/>
  <c r="BT8" i="147"/>
  <c r="BS8" i="147"/>
  <c r="BR8" i="147"/>
  <c r="BQ8" i="147"/>
  <c r="BP8" i="147"/>
  <c r="BO8" i="147"/>
  <c r="BM8" i="147"/>
  <c r="BL8" i="147"/>
  <c r="BK8" i="147"/>
  <c r="BJ8" i="147"/>
  <c r="BI8" i="147"/>
  <c r="BH8" i="147"/>
  <c r="BG8" i="147"/>
  <c r="BF8" i="147"/>
  <c r="BD8" i="147"/>
  <c r="BC8" i="147"/>
  <c r="BB8" i="147"/>
  <c r="BA8" i="147"/>
  <c r="AY8" i="147"/>
  <c r="AX8" i="147"/>
  <c r="AW8" i="147"/>
  <c r="AV8" i="147"/>
  <c r="AU8" i="147"/>
  <c r="EO8" i="146"/>
  <c r="EN8" i="146"/>
  <c r="EM8" i="146"/>
  <c r="EL8" i="146"/>
  <c r="EK8" i="146"/>
  <c r="EJ8" i="146"/>
  <c r="EI8" i="146"/>
  <c r="EH8" i="146"/>
  <c r="EE8" i="146"/>
  <c r="EF8" i="146" s="1"/>
  <c r="ED8" i="146"/>
  <c r="EC8" i="146"/>
  <c r="EB8" i="146"/>
  <c r="DZ8" i="146"/>
  <c r="DY8" i="146"/>
  <c r="DX8" i="146"/>
  <c r="DV8" i="146"/>
  <c r="DU8" i="146"/>
  <c r="DP8" i="146"/>
  <c r="DO8" i="146"/>
  <c r="DK8" i="146"/>
  <c r="DI8" i="146"/>
  <c r="DH8" i="146"/>
  <c r="DC8" i="146"/>
  <c r="DB8" i="146"/>
  <c r="DD8" i="146" s="1"/>
  <c r="DE8" i="146" s="1"/>
  <c r="CY8" i="146"/>
  <c r="CV8" i="146"/>
  <c r="CE8" i="146"/>
  <c r="CD8" i="146"/>
  <c r="BY8" i="146"/>
  <c r="BX8" i="146"/>
  <c r="CB8" i="146" s="1"/>
  <c r="BW8" i="146"/>
  <c r="BV8" i="146"/>
  <c r="BU8" i="146"/>
  <c r="BT8" i="146"/>
  <c r="BS8" i="146"/>
  <c r="BR8" i="146"/>
  <c r="BQ8" i="146"/>
  <c r="BP8" i="146"/>
  <c r="BO8" i="146"/>
  <c r="BM8" i="146"/>
  <c r="BL8" i="146"/>
  <c r="BK8" i="146"/>
  <c r="BJ8" i="146"/>
  <c r="BI8" i="146"/>
  <c r="BH8" i="146"/>
  <c r="BG8" i="146"/>
  <c r="BF8" i="146"/>
  <c r="BD8" i="146"/>
  <c r="BC8" i="146"/>
  <c r="BB8" i="146"/>
  <c r="BA8" i="146"/>
  <c r="AY8" i="146"/>
  <c r="AX8" i="146"/>
  <c r="AW8" i="146"/>
  <c r="AV8" i="146"/>
  <c r="AU8" i="146"/>
  <c r="E280" i="166" a="1"/>
  <c r="E280" i="166" s="1"/>
  <c r="D280" i="166" a="1"/>
  <c r="D280" i="166" s="1"/>
  <c r="C280" i="166" a="1"/>
  <c r="C280" i="166" s="1"/>
  <c r="E279" i="166" a="1"/>
  <c r="E279" i="166" s="1"/>
  <c r="D279" i="166" a="1"/>
  <c r="D279" i="166" s="1"/>
  <c r="C279" i="166" a="1"/>
  <c r="C279" i="166" s="1"/>
  <c r="Q272" i="166" a="1"/>
  <c r="Q272" i="166" s="1"/>
  <c r="P272" i="166" a="1"/>
  <c r="P272" i="166" s="1"/>
  <c r="O272" i="166" a="1"/>
  <c r="O272" i="166" s="1"/>
  <c r="N272" i="166" a="1"/>
  <c r="N272" i="166" s="1"/>
  <c r="M272" i="166" a="1"/>
  <c r="M272" i="166" s="1"/>
  <c r="L272" i="166" a="1"/>
  <c r="L272" i="166" s="1"/>
  <c r="K272" i="166" a="1"/>
  <c r="K272" i="166" s="1"/>
  <c r="J272" i="166" a="1"/>
  <c r="J272" i="166" s="1"/>
  <c r="I272" i="166" a="1"/>
  <c r="I272" i="166" s="1"/>
  <c r="H272" i="166" a="1"/>
  <c r="H272" i="166" s="1"/>
  <c r="G272" i="166" a="1"/>
  <c r="G272" i="166" s="1"/>
  <c r="F272" i="166" a="1"/>
  <c r="F272" i="166" s="1"/>
  <c r="E272" i="166" a="1"/>
  <c r="E272" i="166" s="1"/>
  <c r="D272" i="166" a="1"/>
  <c r="D272" i="166" s="1"/>
  <c r="A272" i="166" a="1"/>
  <c r="A272" i="166" s="1"/>
  <c r="Q271" i="166" a="1"/>
  <c r="Q271" i="166" s="1"/>
  <c r="P271" i="166" a="1"/>
  <c r="P271" i="166" s="1"/>
  <c r="O271" i="166" a="1"/>
  <c r="O271" i="166" s="1"/>
  <c r="N271" i="166" a="1"/>
  <c r="N271" i="166" s="1"/>
  <c r="M271" i="166" a="1"/>
  <c r="M271" i="166" s="1"/>
  <c r="L271" i="166" a="1"/>
  <c r="L271" i="166" s="1"/>
  <c r="K271" i="166" a="1"/>
  <c r="K271" i="166" s="1"/>
  <c r="J271" i="166" a="1"/>
  <c r="J271" i="166" s="1"/>
  <c r="I271" i="166" a="1"/>
  <c r="I271" i="166" s="1"/>
  <c r="H271" i="166" a="1"/>
  <c r="H271" i="166" s="1"/>
  <c r="G271" i="166" a="1"/>
  <c r="G271" i="166" s="1"/>
  <c r="F271" i="166" a="1"/>
  <c r="F271" i="166" s="1"/>
  <c r="E271" i="166" a="1"/>
  <c r="E271" i="166" s="1"/>
  <c r="D271" i="166" a="1"/>
  <c r="D271" i="166" s="1"/>
  <c r="A271" i="166" a="1"/>
  <c r="A271" i="166" s="1"/>
  <c r="Q270" i="166" a="1"/>
  <c r="Q270" i="166" s="1"/>
  <c r="P270" i="166" a="1"/>
  <c r="P270" i="166" s="1"/>
  <c r="O270" i="166" a="1"/>
  <c r="O270" i="166" s="1"/>
  <c r="N270" i="166" a="1"/>
  <c r="N270" i="166" s="1"/>
  <c r="M270" i="166" a="1"/>
  <c r="M270" i="166" s="1"/>
  <c r="L270" i="166" a="1"/>
  <c r="L270" i="166" s="1"/>
  <c r="K270" i="166" a="1"/>
  <c r="K270" i="166" s="1"/>
  <c r="J270" i="166" a="1"/>
  <c r="J270" i="166" s="1"/>
  <c r="I270" i="166" a="1"/>
  <c r="I270" i="166" s="1"/>
  <c r="H270" i="166" a="1"/>
  <c r="H270" i="166" s="1"/>
  <c r="G270" i="166" a="1"/>
  <c r="G270" i="166" s="1"/>
  <c r="F270" i="166" a="1"/>
  <c r="F270" i="166" s="1"/>
  <c r="E270" i="166" a="1"/>
  <c r="E270" i="166" s="1"/>
  <c r="D270" i="166" a="1"/>
  <c r="D270" i="166" s="1"/>
  <c r="A270" i="166" a="1"/>
  <c r="A270" i="166" s="1"/>
  <c r="Q269" i="166" a="1"/>
  <c r="Q269" i="166" s="1"/>
  <c r="P269" i="166" a="1"/>
  <c r="P269" i="166" s="1"/>
  <c r="O269" i="166" a="1"/>
  <c r="O269" i="166" s="1"/>
  <c r="N269" i="166" a="1"/>
  <c r="N269" i="166" s="1"/>
  <c r="M269" i="166" a="1"/>
  <c r="M269" i="166" s="1"/>
  <c r="L269" i="166" a="1"/>
  <c r="L269" i="166" s="1"/>
  <c r="K269" i="166" a="1"/>
  <c r="K269" i="166" s="1"/>
  <c r="J269" i="166" a="1"/>
  <c r="J269" i="166" s="1"/>
  <c r="I269" i="166" a="1"/>
  <c r="I269" i="166" s="1"/>
  <c r="H269" i="166" a="1"/>
  <c r="H269" i="166" s="1"/>
  <c r="G269" i="166" a="1"/>
  <c r="G269" i="166" s="1"/>
  <c r="F269" i="166" a="1"/>
  <c r="F269" i="166" s="1"/>
  <c r="E269" i="166" a="1"/>
  <c r="E269" i="166" s="1"/>
  <c r="D269" i="166" a="1"/>
  <c r="D269" i="166" s="1"/>
  <c r="A269" i="166" a="1"/>
  <c r="A269" i="166" s="1"/>
  <c r="Q268" i="166" a="1"/>
  <c r="Q268" i="166" s="1"/>
  <c r="P268" i="166" a="1"/>
  <c r="P268" i="166" s="1"/>
  <c r="O268" i="166" a="1"/>
  <c r="O268" i="166" s="1"/>
  <c r="N268" i="166" a="1"/>
  <c r="N268" i="166" s="1"/>
  <c r="M268" i="166" a="1"/>
  <c r="M268" i="166" s="1"/>
  <c r="L268" i="166" a="1"/>
  <c r="L268" i="166" s="1"/>
  <c r="K268" i="166" a="1"/>
  <c r="K268" i="166" s="1"/>
  <c r="J268" i="166" a="1"/>
  <c r="J268" i="166" s="1"/>
  <c r="I268" i="166" a="1"/>
  <c r="I268" i="166" s="1"/>
  <c r="H268" i="166" a="1"/>
  <c r="H268" i="166" s="1"/>
  <c r="G268" i="166" a="1"/>
  <c r="G268" i="166" s="1"/>
  <c r="F268" i="166" a="1"/>
  <c r="F268" i="166" s="1"/>
  <c r="E268" i="166" a="1"/>
  <c r="E268" i="166" s="1"/>
  <c r="D268" i="166" a="1"/>
  <c r="D268" i="166" s="1"/>
  <c r="A268" i="166" a="1"/>
  <c r="A268" i="166" s="1"/>
  <c r="Q267" i="166" a="1"/>
  <c r="Q267" i="166" s="1"/>
  <c r="P267" i="166" a="1"/>
  <c r="P267" i="166" s="1"/>
  <c r="O267" i="166" a="1"/>
  <c r="O267" i="166" s="1"/>
  <c r="N267" i="166" a="1"/>
  <c r="N267" i="166" s="1"/>
  <c r="M267" i="166" a="1"/>
  <c r="M267" i="166" s="1"/>
  <c r="L267" i="166" a="1"/>
  <c r="L267" i="166" s="1"/>
  <c r="K267" i="166" a="1"/>
  <c r="K267" i="166" s="1"/>
  <c r="J267" i="166" a="1"/>
  <c r="J267" i="166" s="1"/>
  <c r="I267" i="166" a="1"/>
  <c r="I267" i="166" s="1"/>
  <c r="H267" i="166" a="1"/>
  <c r="H267" i="166" s="1"/>
  <c r="G267" i="166" a="1"/>
  <c r="G267" i="166" s="1"/>
  <c r="F267" i="166" a="1"/>
  <c r="F267" i="166" s="1"/>
  <c r="E267" i="166" a="1"/>
  <c r="E267" i="166" s="1"/>
  <c r="D267" i="166" a="1"/>
  <c r="D267" i="166" s="1"/>
  <c r="A267" i="166" a="1"/>
  <c r="A267" i="166" s="1"/>
  <c r="P264" i="166" a="1"/>
  <c r="P264" i="166" s="1"/>
  <c r="P263" i="166" a="1"/>
  <c r="P263" i="166" s="1"/>
  <c r="P262" i="166" a="1"/>
  <c r="P262" i="166" s="1"/>
  <c r="P261" i="166" a="1"/>
  <c r="P261" i="166" s="1"/>
  <c r="P260" i="166"/>
  <c r="P260" i="166" a="1"/>
  <c r="P259" i="166" a="1"/>
  <c r="P259" i="166" s="1"/>
  <c r="P258" i="166" a="1"/>
  <c r="P258" i="166" s="1"/>
  <c r="P257" i="166" a="1"/>
  <c r="P257" i="166" s="1"/>
  <c r="P256" i="166"/>
  <c r="P256" i="166" a="1"/>
  <c r="P255" i="166" a="1"/>
  <c r="P255" i="166" s="1"/>
  <c r="P254" i="166" a="1"/>
  <c r="P254" i="166" s="1"/>
  <c r="P253" i="166" a="1"/>
  <c r="P253" i="166" s="1"/>
  <c r="P252" i="166" a="1"/>
  <c r="P252" i="166" s="1"/>
  <c r="P251" i="166" a="1"/>
  <c r="P251" i="166" s="1"/>
  <c r="P250" i="166" a="1"/>
  <c r="P250" i="166" s="1"/>
  <c r="P249" i="166" a="1"/>
  <c r="P249" i="166" s="1"/>
  <c r="P248" i="166"/>
  <c r="P248" i="166" a="1"/>
  <c r="P247" i="166" a="1"/>
  <c r="P247" i="166" s="1"/>
  <c r="P246" i="166" a="1"/>
  <c r="P246" i="166" s="1"/>
  <c r="P245" i="166" a="1"/>
  <c r="P245" i="166" s="1"/>
  <c r="P244" i="166" a="1"/>
  <c r="P244" i="166" s="1"/>
  <c r="P243" i="166" a="1"/>
  <c r="P243" i="166" s="1"/>
  <c r="P242" i="166" a="1"/>
  <c r="P242" i="166" s="1"/>
  <c r="P241" i="166" a="1"/>
  <c r="P241" i="166" s="1"/>
  <c r="P240" i="166" a="1"/>
  <c r="P240" i="166" s="1"/>
  <c r="P239" i="166" a="1"/>
  <c r="P239" i="166" s="1"/>
  <c r="P238" i="166" a="1"/>
  <c r="P238" i="166" s="1"/>
  <c r="P237" i="166" a="1"/>
  <c r="P237" i="166" s="1"/>
  <c r="P236" i="166" a="1"/>
  <c r="P236" i="166" s="1"/>
  <c r="P235" i="166" a="1"/>
  <c r="P235" i="166" s="1"/>
  <c r="P234" i="166" a="1"/>
  <c r="P234" i="166" s="1"/>
  <c r="P233" i="166" a="1"/>
  <c r="P233" i="166" s="1"/>
  <c r="P232" i="166" a="1"/>
  <c r="P232" i="166" s="1"/>
  <c r="P231" i="166" a="1"/>
  <c r="P231" i="166" s="1"/>
  <c r="P230" i="166" a="1"/>
  <c r="P230" i="166" s="1"/>
  <c r="P229" i="166" a="1"/>
  <c r="P229" i="166" s="1"/>
  <c r="P228" i="166"/>
  <c r="P228" i="166" a="1"/>
  <c r="P227" i="166" a="1"/>
  <c r="P227" i="166" s="1"/>
  <c r="P226" i="166" a="1"/>
  <c r="P226" i="166" s="1"/>
  <c r="P225" i="166" a="1"/>
  <c r="P225" i="166" s="1"/>
  <c r="P224" i="166"/>
  <c r="P224" i="166" a="1"/>
  <c r="P223" i="166" a="1"/>
  <c r="P223" i="166" s="1"/>
  <c r="P222" i="166" a="1"/>
  <c r="P222" i="166" s="1"/>
  <c r="P221" i="166" a="1"/>
  <c r="P221" i="166" s="1"/>
  <c r="P220" i="166" a="1"/>
  <c r="P220" i="166" s="1"/>
  <c r="P219" i="166" a="1"/>
  <c r="P219" i="166" s="1"/>
  <c r="P218" i="166" a="1"/>
  <c r="P218" i="166" s="1"/>
  <c r="P217" i="166" a="1"/>
  <c r="P217" i="166" s="1"/>
  <c r="P216" i="166"/>
  <c r="P216" i="166" a="1"/>
  <c r="P215" i="166" a="1"/>
  <c r="P215" i="166" s="1"/>
  <c r="P214" i="166" a="1"/>
  <c r="P214" i="166" s="1"/>
  <c r="P213" i="166" a="1"/>
  <c r="P213" i="166" s="1"/>
  <c r="P212" i="166" a="1"/>
  <c r="P212" i="166" s="1"/>
  <c r="P211" i="166" a="1"/>
  <c r="P211" i="166" s="1"/>
  <c r="P210" i="166" a="1"/>
  <c r="P210" i="166" s="1"/>
  <c r="P209" i="166" a="1"/>
  <c r="P209" i="166" s="1"/>
  <c r="P208" i="166" a="1"/>
  <c r="P208" i="166" s="1"/>
  <c r="P207" i="166" a="1"/>
  <c r="P207" i="166" s="1"/>
  <c r="P206" i="166" a="1"/>
  <c r="P206" i="166" s="1"/>
  <c r="P205" i="166" a="1"/>
  <c r="P205" i="166" s="1"/>
  <c r="P204" i="166" a="1"/>
  <c r="P204" i="166" s="1"/>
  <c r="P203" i="166" a="1"/>
  <c r="P203" i="166" s="1"/>
  <c r="P202" i="166" a="1"/>
  <c r="P202" i="166" s="1"/>
  <c r="P201" i="166" a="1"/>
  <c r="P201" i="166" s="1"/>
  <c r="P200" i="166" a="1"/>
  <c r="P200" i="166" s="1"/>
  <c r="P199" i="166" a="1"/>
  <c r="P199" i="166" s="1"/>
  <c r="P198" i="166" a="1"/>
  <c r="P198" i="166" s="1"/>
  <c r="P197" i="166" a="1"/>
  <c r="P197" i="166" s="1"/>
  <c r="P196" i="166"/>
  <c r="P196" i="166" a="1"/>
  <c r="P195" i="166" a="1"/>
  <c r="P195" i="166" s="1"/>
  <c r="P194" i="166" a="1"/>
  <c r="P194" i="166" s="1"/>
  <c r="P193" i="166" a="1"/>
  <c r="P193" i="166" s="1"/>
  <c r="P192" i="166"/>
  <c r="P192" i="166" a="1"/>
  <c r="P191" i="166" a="1"/>
  <c r="P191" i="166" s="1"/>
  <c r="P190" i="166" a="1"/>
  <c r="P190" i="166" s="1"/>
  <c r="P189" i="166" a="1"/>
  <c r="P189" i="166" s="1"/>
  <c r="P188" i="166" a="1"/>
  <c r="P188" i="166" s="1"/>
  <c r="P187" i="166" a="1"/>
  <c r="P187" i="166" s="1"/>
  <c r="P186" i="166" a="1"/>
  <c r="P186" i="166" s="1"/>
  <c r="P185" i="166" a="1"/>
  <c r="P185" i="166" s="1"/>
  <c r="P184" i="166"/>
  <c r="P184" i="166" a="1"/>
  <c r="P183" i="166" a="1"/>
  <c r="P183" i="166" s="1"/>
  <c r="P182" i="166" a="1"/>
  <c r="P182" i="166" s="1"/>
  <c r="P181" i="166" a="1"/>
  <c r="P181" i="166" s="1"/>
  <c r="P180" i="166" a="1"/>
  <c r="P180" i="166" s="1"/>
  <c r="P179" i="166" a="1"/>
  <c r="P179" i="166" s="1"/>
  <c r="P178" i="166" a="1"/>
  <c r="P178" i="166" s="1"/>
  <c r="P177" i="166" a="1"/>
  <c r="P177" i="166" s="1"/>
  <c r="P176" i="166" a="1"/>
  <c r="P176" i="166" s="1"/>
  <c r="P175" i="166" a="1"/>
  <c r="P175" i="166" s="1"/>
  <c r="P174" i="166" a="1"/>
  <c r="P174" i="166" s="1"/>
  <c r="P173" i="166" a="1"/>
  <c r="P173" i="166" s="1"/>
  <c r="P172" i="166" a="1"/>
  <c r="P172" i="166" s="1"/>
  <c r="P171" i="166" a="1"/>
  <c r="P171" i="166" s="1"/>
  <c r="P170" i="166" a="1"/>
  <c r="P170" i="166" s="1"/>
  <c r="P169" i="166" a="1"/>
  <c r="P169" i="166" s="1"/>
  <c r="P168" i="166" a="1"/>
  <c r="P168" i="166" s="1"/>
  <c r="P167" i="166" a="1"/>
  <c r="P167" i="166" s="1"/>
  <c r="P166" i="166" a="1"/>
  <c r="P166" i="166" s="1"/>
  <c r="P165" i="166" a="1"/>
  <c r="P165" i="166" s="1"/>
  <c r="P164" i="166"/>
  <c r="P164" i="166" a="1"/>
  <c r="P163" i="166" a="1"/>
  <c r="P163" i="166" s="1"/>
  <c r="P162" i="166" a="1"/>
  <c r="P162" i="166" s="1"/>
  <c r="P161" i="166" a="1"/>
  <c r="P161" i="166" s="1"/>
  <c r="P160" i="166"/>
  <c r="P160" i="166" a="1"/>
  <c r="P159" i="166" a="1"/>
  <c r="P159" i="166" s="1"/>
  <c r="P158" i="166" a="1"/>
  <c r="P158" i="166" s="1"/>
  <c r="P157" i="166" a="1"/>
  <c r="P157" i="166" s="1"/>
  <c r="P156" i="166" a="1"/>
  <c r="P156" i="166" s="1"/>
  <c r="P155" i="166" a="1"/>
  <c r="P155" i="166" s="1"/>
  <c r="P154" i="166" a="1"/>
  <c r="P154" i="166" s="1"/>
  <c r="P153" i="166" a="1"/>
  <c r="P153" i="166" s="1"/>
  <c r="P152" i="166"/>
  <c r="P152" i="166" a="1"/>
  <c r="P151" i="166" a="1"/>
  <c r="P151" i="166" s="1"/>
  <c r="P150" i="166" a="1"/>
  <c r="P150" i="166" s="1"/>
  <c r="P149" i="166" a="1"/>
  <c r="P149" i="166" s="1"/>
  <c r="P148" i="166" a="1"/>
  <c r="P148" i="166" s="1"/>
  <c r="P147" i="166" a="1"/>
  <c r="P147" i="166" s="1"/>
  <c r="P146" i="166" a="1"/>
  <c r="P146" i="166" s="1"/>
  <c r="P145" i="166" a="1"/>
  <c r="P145" i="166" s="1"/>
  <c r="O144" i="166" a="1"/>
  <c r="O144" i="166" s="1"/>
  <c r="N144" i="166" a="1"/>
  <c r="N144" i="166" s="1"/>
  <c r="M144" i="166" a="1"/>
  <c r="M144" i="166" s="1"/>
  <c r="L144" i="166" a="1"/>
  <c r="L144" i="166" s="1"/>
  <c r="K144" i="166" a="1"/>
  <c r="K144" i="166" s="1"/>
  <c r="J144" i="166" a="1"/>
  <c r="J144" i="166" s="1"/>
  <c r="O142" i="166" a="1"/>
  <c r="O142" i="166" s="1"/>
  <c r="O143" i="166" s="1"/>
  <c r="N142" i="166" a="1"/>
  <c r="N142" i="166" s="1"/>
  <c r="N143" i="166" s="1"/>
  <c r="M142" i="166" a="1"/>
  <c r="M142" i="166" s="1"/>
  <c r="M143" i="166" s="1"/>
  <c r="L142" i="166" a="1"/>
  <c r="L142" i="166" s="1"/>
  <c r="L143" i="166" s="1"/>
  <c r="K142" i="166" a="1"/>
  <c r="K142" i="166" s="1"/>
  <c r="K143" i="166" s="1"/>
  <c r="J142" i="166" a="1"/>
  <c r="J142" i="166" s="1"/>
  <c r="J143" i="166" s="1"/>
  <c r="O141" i="166" a="1"/>
  <c r="O141" i="166" s="1"/>
  <c r="N141" i="166" a="1"/>
  <c r="N141" i="166" s="1"/>
  <c r="M141" i="166" a="1"/>
  <c r="M141" i="166" s="1"/>
  <c r="L141" i="166" a="1"/>
  <c r="L141" i="166" s="1"/>
  <c r="K141" i="166" a="1"/>
  <c r="K141" i="166" s="1"/>
  <c r="J141" i="166" a="1"/>
  <c r="J141" i="166" s="1"/>
  <c r="P140" i="166" a="1"/>
  <c r="P140" i="166" s="1"/>
  <c r="O139" i="166" a="1"/>
  <c r="O139" i="166" s="1"/>
  <c r="N139" i="166" a="1"/>
  <c r="N139" i="166" s="1"/>
  <c r="M139" i="166" a="1"/>
  <c r="M139" i="166" s="1"/>
  <c r="L139" i="166" a="1"/>
  <c r="L139" i="166" s="1"/>
  <c r="K139" i="166" a="1"/>
  <c r="K139" i="166" s="1"/>
  <c r="J139" i="166" a="1"/>
  <c r="J139" i="166" s="1"/>
  <c r="O138" i="166" a="1"/>
  <c r="O138" i="166" s="1"/>
  <c r="N138" i="166" a="1"/>
  <c r="N138" i="166" s="1"/>
  <c r="M138" i="166" a="1"/>
  <c r="M138" i="166" s="1"/>
  <c r="L138" i="166" a="1"/>
  <c r="L138" i="166" s="1"/>
  <c r="K138" i="166" a="1"/>
  <c r="K138" i="166" s="1"/>
  <c r="J138" i="166" a="1"/>
  <c r="J138" i="166" s="1"/>
  <c r="O137" i="166" a="1"/>
  <c r="O137" i="166" s="1"/>
  <c r="N137" i="166" a="1"/>
  <c r="N137" i="166" s="1"/>
  <c r="M137" i="166" a="1"/>
  <c r="M137" i="166" s="1"/>
  <c r="L137" i="166" a="1"/>
  <c r="L137" i="166" s="1"/>
  <c r="K137" i="166" a="1"/>
  <c r="K137" i="166" s="1"/>
  <c r="J137" i="166" a="1"/>
  <c r="J137" i="166" s="1"/>
  <c r="O136" i="166" a="1"/>
  <c r="O136" i="166" s="1"/>
  <c r="N136" i="166" a="1"/>
  <c r="N136" i="166" s="1"/>
  <c r="M136" i="166" a="1"/>
  <c r="M136" i="166" s="1"/>
  <c r="L136" i="166" a="1"/>
  <c r="L136" i="166" s="1"/>
  <c r="K136" i="166" a="1"/>
  <c r="K136" i="166" s="1"/>
  <c r="J136" i="166" a="1"/>
  <c r="J136" i="166" s="1"/>
  <c r="P135" i="166" a="1"/>
  <c r="P135" i="166" s="1"/>
  <c r="P134" i="166" a="1"/>
  <c r="P134" i="166" s="1"/>
  <c r="P133" i="166"/>
  <c r="P133" i="166" a="1"/>
  <c r="P132" i="166" a="1"/>
  <c r="P132" i="166" s="1"/>
  <c r="P131" i="166" a="1"/>
  <c r="P131" i="166" s="1"/>
  <c r="O130" i="166" a="1"/>
  <c r="O130" i="166" s="1"/>
  <c r="N130" i="166" a="1"/>
  <c r="N130" i="166" s="1"/>
  <c r="M130" i="166" a="1"/>
  <c r="M130" i="166" s="1"/>
  <c r="L130" i="166" a="1"/>
  <c r="L130" i="166" s="1"/>
  <c r="K130" i="166" a="1"/>
  <c r="K130" i="166" s="1"/>
  <c r="J130" i="166" a="1"/>
  <c r="J130" i="166" s="1"/>
  <c r="O129" i="166" a="1"/>
  <c r="O129" i="166" s="1"/>
  <c r="N129" i="166" a="1"/>
  <c r="N129" i="166" s="1"/>
  <c r="M129" i="166" a="1"/>
  <c r="M129" i="166" s="1"/>
  <c r="L129" i="166" a="1"/>
  <c r="L129" i="166" s="1"/>
  <c r="K129" i="166" a="1"/>
  <c r="K129" i="166" s="1"/>
  <c r="J129" i="166" a="1"/>
  <c r="J129" i="166" s="1"/>
  <c r="O128" i="166" a="1"/>
  <c r="O128" i="166" s="1"/>
  <c r="N128" i="166" a="1"/>
  <c r="N128" i="166" s="1"/>
  <c r="M128" i="166" a="1"/>
  <c r="M128" i="166" s="1"/>
  <c r="L128" i="166" a="1"/>
  <c r="L128" i="166" s="1"/>
  <c r="K128" i="166" a="1"/>
  <c r="K128" i="166" s="1"/>
  <c r="J128" i="166" a="1"/>
  <c r="J128" i="166" s="1"/>
  <c r="O127" i="166" a="1"/>
  <c r="O127" i="166" s="1"/>
  <c r="N127" i="166" a="1"/>
  <c r="N127" i="166" s="1"/>
  <c r="M127" i="166" a="1"/>
  <c r="M127" i="166" s="1"/>
  <c r="L127" i="166" a="1"/>
  <c r="L127" i="166" s="1"/>
  <c r="K127" i="166" a="1"/>
  <c r="K127" i="166" s="1"/>
  <c r="J127" i="166" a="1"/>
  <c r="J127" i="166" s="1"/>
  <c r="O126" i="166" a="1"/>
  <c r="O126" i="166" s="1"/>
  <c r="N126" i="166" a="1"/>
  <c r="N126" i="166" s="1"/>
  <c r="M126" i="166" a="1"/>
  <c r="M126" i="166" s="1"/>
  <c r="L126" i="166" a="1"/>
  <c r="L126" i="166" s="1"/>
  <c r="K126" i="166" a="1"/>
  <c r="K126" i="166" s="1"/>
  <c r="J126" i="166" a="1"/>
  <c r="J126" i="166" s="1"/>
  <c r="O125" i="166" a="1"/>
  <c r="O125" i="166" s="1"/>
  <c r="N125" i="166" a="1"/>
  <c r="N125" i="166" s="1"/>
  <c r="M125" i="166" a="1"/>
  <c r="M125" i="166" s="1"/>
  <c r="L125" i="166" a="1"/>
  <c r="L125" i="166" s="1"/>
  <c r="K125" i="166" a="1"/>
  <c r="K125" i="166" s="1"/>
  <c r="J125" i="166" a="1"/>
  <c r="J125" i="166" s="1"/>
  <c r="O123" i="166" a="1"/>
  <c r="O123" i="166" s="1"/>
  <c r="N123" i="166" a="1"/>
  <c r="N123" i="166" s="1"/>
  <c r="M123" i="166" a="1"/>
  <c r="M123" i="166" s="1"/>
  <c r="L123" i="166" a="1"/>
  <c r="L123" i="166" s="1"/>
  <c r="K123" i="166" a="1"/>
  <c r="K123" i="166" s="1"/>
  <c r="J123" i="166" a="1"/>
  <c r="J123" i="166" s="1"/>
  <c r="O122" i="166" a="1"/>
  <c r="O122" i="166" s="1"/>
  <c r="N122" i="166" a="1"/>
  <c r="N122" i="166" s="1"/>
  <c r="M122" i="166" a="1"/>
  <c r="M122" i="166" s="1"/>
  <c r="L122" i="166" a="1"/>
  <c r="L122" i="166" s="1"/>
  <c r="K122" i="166" a="1"/>
  <c r="K122" i="166" s="1"/>
  <c r="J122" i="166" a="1"/>
  <c r="J122" i="166" s="1"/>
  <c r="O121" i="166" a="1"/>
  <c r="O121" i="166" s="1"/>
  <c r="N121" i="166" a="1"/>
  <c r="N121" i="166" s="1"/>
  <c r="M121" i="166" a="1"/>
  <c r="M121" i="166" s="1"/>
  <c r="L121" i="166" a="1"/>
  <c r="L121" i="166" s="1"/>
  <c r="K121" i="166" a="1"/>
  <c r="K121" i="166" s="1"/>
  <c r="J121" i="166" a="1"/>
  <c r="J121" i="166" s="1"/>
  <c r="O119" i="166" a="1"/>
  <c r="O119" i="166" s="1"/>
  <c r="N119" i="166" a="1"/>
  <c r="N119" i="166" s="1"/>
  <c r="M119" i="166" a="1"/>
  <c r="M119" i="166" s="1"/>
  <c r="L119" i="166" a="1"/>
  <c r="L119" i="166" s="1"/>
  <c r="K119" i="166" a="1"/>
  <c r="K119" i="166" s="1"/>
  <c r="J119" i="166" a="1"/>
  <c r="J119" i="166" s="1"/>
  <c r="O118" i="166" a="1"/>
  <c r="O118" i="166" s="1"/>
  <c r="N118" i="166" a="1"/>
  <c r="N118" i="166" s="1"/>
  <c r="M118" i="166" a="1"/>
  <c r="M118" i="166" s="1"/>
  <c r="L118" i="166" a="1"/>
  <c r="L118" i="166" s="1"/>
  <c r="K118" i="166" a="1"/>
  <c r="K118" i="166" s="1"/>
  <c r="J118" i="166" a="1"/>
  <c r="J118" i="166" s="1"/>
  <c r="P117" i="166" a="1"/>
  <c r="P117" i="166" s="1"/>
  <c r="O116" i="166" a="1"/>
  <c r="O116" i="166" s="1"/>
  <c r="N116" i="166" a="1"/>
  <c r="N116" i="166" s="1"/>
  <c r="M116" i="166" a="1"/>
  <c r="M116" i="166" s="1"/>
  <c r="L116" i="166" a="1"/>
  <c r="L116" i="166" s="1"/>
  <c r="K116" i="166" a="1"/>
  <c r="K116" i="166" s="1"/>
  <c r="J116" i="166" a="1"/>
  <c r="J116" i="166" s="1"/>
  <c r="O115" i="166" a="1"/>
  <c r="O115" i="166" s="1"/>
  <c r="N115" i="166" a="1"/>
  <c r="N115" i="166" s="1"/>
  <c r="M115" i="166" a="1"/>
  <c r="M115" i="166" s="1"/>
  <c r="L115" i="166" a="1"/>
  <c r="L115" i="166" s="1"/>
  <c r="K115" i="166" a="1"/>
  <c r="K115" i="166" s="1"/>
  <c r="J115" i="166" a="1"/>
  <c r="J115" i="166" s="1"/>
  <c r="O114" i="166" a="1"/>
  <c r="O114" i="166" s="1"/>
  <c r="N114" i="166" a="1"/>
  <c r="N114" i="166" s="1"/>
  <c r="M114" i="166" a="1"/>
  <c r="M114" i="166" s="1"/>
  <c r="L114" i="166" a="1"/>
  <c r="L114" i="166" s="1"/>
  <c r="K114" i="166" a="1"/>
  <c r="K114" i="166" s="1"/>
  <c r="J114" i="166" a="1"/>
  <c r="J114" i="166" s="1"/>
  <c r="O113" i="166" a="1"/>
  <c r="O113" i="166" s="1"/>
  <c r="N113" i="166" a="1"/>
  <c r="N113" i="166" s="1"/>
  <c r="M113" i="166" a="1"/>
  <c r="M113" i="166" s="1"/>
  <c r="L113" i="166" a="1"/>
  <c r="L113" i="166" s="1"/>
  <c r="K113" i="166" a="1"/>
  <c r="K113" i="166" s="1"/>
  <c r="J113" i="166" a="1"/>
  <c r="J113" i="166" s="1"/>
  <c r="O112" i="166" a="1"/>
  <c r="O112" i="166" s="1"/>
  <c r="N112" i="166" a="1"/>
  <c r="N112" i="166" s="1"/>
  <c r="M112" i="166" a="1"/>
  <c r="M112" i="166" s="1"/>
  <c r="L112" i="166" a="1"/>
  <c r="L112" i="166" s="1"/>
  <c r="K112" i="166" a="1"/>
  <c r="K112" i="166" s="1"/>
  <c r="J112" i="166" a="1"/>
  <c r="J112" i="166" s="1"/>
  <c r="P111" i="166" a="1"/>
  <c r="P111" i="166" s="1"/>
  <c r="O110" i="166" a="1"/>
  <c r="O110" i="166" s="1"/>
  <c r="N110" i="166" a="1"/>
  <c r="N110" i="166" s="1"/>
  <c r="M110" i="166" a="1"/>
  <c r="M110" i="166" s="1"/>
  <c r="L110" i="166" a="1"/>
  <c r="L110" i="166" s="1"/>
  <c r="K110" i="166" a="1"/>
  <c r="K110" i="166" s="1"/>
  <c r="J110" i="166" a="1"/>
  <c r="J110" i="166" s="1"/>
  <c r="O109" i="166" a="1"/>
  <c r="O109" i="166" s="1"/>
  <c r="N109" i="166" a="1"/>
  <c r="N109" i="166" s="1"/>
  <c r="M109" i="166" a="1"/>
  <c r="M109" i="166" s="1"/>
  <c r="L109" i="166" a="1"/>
  <c r="L109" i="166" s="1"/>
  <c r="K109" i="166" a="1"/>
  <c r="K109" i="166" s="1"/>
  <c r="J109" i="166" a="1"/>
  <c r="J109" i="166" s="1"/>
  <c r="O108" i="166" a="1"/>
  <c r="O108" i="166" s="1"/>
  <c r="N108" i="166" a="1"/>
  <c r="N108" i="166" s="1"/>
  <c r="M108" i="166" a="1"/>
  <c r="M108" i="166" s="1"/>
  <c r="L108" i="166" a="1"/>
  <c r="L108" i="166" s="1"/>
  <c r="K108" i="166" a="1"/>
  <c r="K108" i="166" s="1"/>
  <c r="J108" i="166" a="1"/>
  <c r="J108" i="166" s="1"/>
  <c r="O107" i="166" a="1"/>
  <c r="O107" i="166" s="1"/>
  <c r="N107" i="166" a="1"/>
  <c r="N107" i="166" s="1"/>
  <c r="M107" i="166" a="1"/>
  <c r="M107" i="166" s="1"/>
  <c r="L107" i="166" a="1"/>
  <c r="L107" i="166" s="1"/>
  <c r="K107" i="166" a="1"/>
  <c r="K107" i="166" s="1"/>
  <c r="J107" i="166" a="1"/>
  <c r="J107" i="166" s="1"/>
  <c r="O106" i="166" a="1"/>
  <c r="O106" i="166" s="1"/>
  <c r="N106" i="166" a="1"/>
  <c r="N106" i="166" s="1"/>
  <c r="M106" i="166" a="1"/>
  <c r="M106" i="166" s="1"/>
  <c r="L106" i="166" a="1"/>
  <c r="L106" i="166" s="1"/>
  <c r="K106" i="166" a="1"/>
  <c r="K106" i="166" s="1"/>
  <c r="J106" i="166" a="1"/>
  <c r="J106" i="166" s="1"/>
  <c r="O105" i="166" a="1"/>
  <c r="O105" i="166" s="1"/>
  <c r="N105" i="166" a="1"/>
  <c r="N105" i="166" s="1"/>
  <c r="M105" i="166" a="1"/>
  <c r="M105" i="166" s="1"/>
  <c r="L105" i="166" a="1"/>
  <c r="L105" i="166" s="1"/>
  <c r="K105" i="166" a="1"/>
  <c r="K105" i="166" s="1"/>
  <c r="J105" i="166" a="1"/>
  <c r="J105" i="166" s="1"/>
  <c r="O104" i="166" a="1"/>
  <c r="O104" i="166" s="1"/>
  <c r="N104" i="166" a="1"/>
  <c r="N104" i="166" s="1"/>
  <c r="M104" i="166" a="1"/>
  <c r="M104" i="166" s="1"/>
  <c r="L104" i="166" a="1"/>
  <c r="L104" i="166" s="1"/>
  <c r="K104" i="166" a="1"/>
  <c r="K104" i="166" s="1"/>
  <c r="J104" i="166" a="1"/>
  <c r="J104" i="166" s="1"/>
  <c r="O103" i="166" a="1"/>
  <c r="O103" i="166" s="1"/>
  <c r="N103" i="166" a="1"/>
  <c r="N103" i="166" s="1"/>
  <c r="M103" i="166" a="1"/>
  <c r="M103" i="166" s="1"/>
  <c r="L103" i="166" a="1"/>
  <c r="L103" i="166" s="1"/>
  <c r="K103" i="166" a="1"/>
  <c r="K103" i="166" s="1"/>
  <c r="J103" i="166" a="1"/>
  <c r="J103" i="166" s="1"/>
  <c r="O102" i="166" a="1"/>
  <c r="O102" i="166" s="1"/>
  <c r="N102" i="166" a="1"/>
  <c r="N102" i="166" s="1"/>
  <c r="M102" i="166" a="1"/>
  <c r="M102" i="166" s="1"/>
  <c r="L102" i="166" a="1"/>
  <c r="L102" i="166" s="1"/>
  <c r="K102" i="166" a="1"/>
  <c r="K102" i="166" s="1"/>
  <c r="J102" i="166" a="1"/>
  <c r="J102" i="166" s="1"/>
  <c r="O101" i="166" a="1"/>
  <c r="O101" i="166" s="1"/>
  <c r="N101" i="166" a="1"/>
  <c r="N101" i="166" s="1"/>
  <c r="M101" i="166" a="1"/>
  <c r="M101" i="166" s="1"/>
  <c r="L101" i="166" a="1"/>
  <c r="L101" i="166" s="1"/>
  <c r="K101" i="166" a="1"/>
  <c r="K101" i="166" s="1"/>
  <c r="J101" i="166" a="1"/>
  <c r="J101" i="166" s="1"/>
  <c r="O100" i="166" a="1"/>
  <c r="O100" i="166" s="1"/>
  <c r="N100" i="166" a="1"/>
  <c r="N100" i="166" s="1"/>
  <c r="M100" i="166" a="1"/>
  <c r="M100" i="166" s="1"/>
  <c r="L100" i="166" a="1"/>
  <c r="L100" i="166" s="1"/>
  <c r="K100" i="166" a="1"/>
  <c r="K100" i="166" s="1"/>
  <c r="J100" i="166" a="1"/>
  <c r="J100" i="166" s="1"/>
  <c r="O98" i="166" a="1"/>
  <c r="O98" i="166" s="1"/>
  <c r="N98" i="166" a="1"/>
  <c r="N98" i="166" s="1"/>
  <c r="M98" i="166" a="1"/>
  <c r="M98" i="166" s="1"/>
  <c r="L98" i="166" a="1"/>
  <c r="L98" i="166" s="1"/>
  <c r="K98" i="166" a="1"/>
  <c r="K98" i="166" s="1"/>
  <c r="J98" i="166" a="1"/>
  <c r="J98" i="166" s="1"/>
  <c r="O97" i="166"/>
  <c r="N97" i="166"/>
  <c r="P97" i="166" s="1" a="1"/>
  <c r="P97" i="166" s="1"/>
  <c r="M97" i="166"/>
  <c r="L97" i="166"/>
  <c r="K97" i="166"/>
  <c r="J97" i="166"/>
  <c r="O96" i="166"/>
  <c r="N96" i="166"/>
  <c r="P96" i="166" s="1" a="1"/>
  <c r="P96" i="166" s="1"/>
  <c r="M96" i="166"/>
  <c r="L96" i="166"/>
  <c r="K96" i="166"/>
  <c r="J96" i="166"/>
  <c r="O95" i="166"/>
  <c r="N95" i="166"/>
  <c r="P95" i="166" s="1" a="1"/>
  <c r="P95" i="166" s="1"/>
  <c r="M95" i="166"/>
  <c r="L95" i="166"/>
  <c r="K95" i="166"/>
  <c r="J95" i="166"/>
  <c r="O94" i="166"/>
  <c r="N94" i="166"/>
  <c r="P94" i="166" s="1" a="1"/>
  <c r="P94" i="166" s="1"/>
  <c r="M94" i="166"/>
  <c r="L94" i="166"/>
  <c r="K94" i="166"/>
  <c r="J94" i="166"/>
  <c r="O88" i="166" a="1"/>
  <c r="O88" i="166" s="1"/>
  <c r="N88" i="166" a="1"/>
  <c r="N88" i="166" s="1"/>
  <c r="M88" i="166" a="1"/>
  <c r="M88" i="166" s="1"/>
  <c r="L88" i="166" a="1"/>
  <c r="L88" i="166" s="1"/>
  <c r="K88" i="166" a="1"/>
  <c r="K88" i="166" s="1"/>
  <c r="J88" i="166" a="1"/>
  <c r="J88" i="166" s="1"/>
  <c r="O87" i="166" a="1"/>
  <c r="O87" i="166" s="1"/>
  <c r="N87" i="166" a="1"/>
  <c r="N87" i="166" s="1"/>
  <c r="M87" i="166" a="1"/>
  <c r="M87" i="166" s="1"/>
  <c r="L87" i="166" a="1"/>
  <c r="L87" i="166" s="1"/>
  <c r="K87" i="166" a="1"/>
  <c r="K87" i="166" s="1"/>
  <c r="J87" i="166" a="1"/>
  <c r="J87" i="166" s="1"/>
  <c r="O86" i="166" a="1"/>
  <c r="O86" i="166" s="1"/>
  <c r="N86" i="166" a="1"/>
  <c r="N86" i="166" s="1"/>
  <c r="M86" i="166" a="1"/>
  <c r="M86" i="166" s="1"/>
  <c r="L86" i="166" a="1"/>
  <c r="L86" i="166" s="1"/>
  <c r="K86" i="166" a="1"/>
  <c r="K86" i="166" s="1"/>
  <c r="J86" i="166" a="1"/>
  <c r="J86" i="166" s="1"/>
  <c r="O85" i="166" a="1"/>
  <c r="O85" i="166" s="1"/>
  <c r="N85" i="166" a="1"/>
  <c r="N85" i="166" s="1"/>
  <c r="M85" i="166" a="1"/>
  <c r="M85" i="166" s="1"/>
  <c r="L85" i="166" a="1"/>
  <c r="L85" i="166" s="1"/>
  <c r="K85" i="166" a="1"/>
  <c r="K85" i="166" s="1"/>
  <c r="J85" i="166" a="1"/>
  <c r="J85" i="166" s="1"/>
  <c r="O84" i="166" a="1"/>
  <c r="O84" i="166" s="1"/>
  <c r="N84" i="166" a="1"/>
  <c r="N84" i="166" s="1"/>
  <c r="M84" i="166" a="1"/>
  <c r="M84" i="166" s="1"/>
  <c r="L84" i="166" a="1"/>
  <c r="L84" i="166" s="1"/>
  <c r="K84" i="166" a="1"/>
  <c r="K84" i="166" s="1"/>
  <c r="J84" i="166" a="1"/>
  <c r="J84" i="166" s="1"/>
  <c r="O83" i="166" a="1"/>
  <c r="O83" i="166" s="1"/>
  <c r="N83" i="166" a="1"/>
  <c r="N83" i="166" s="1"/>
  <c r="M83" i="166" a="1"/>
  <c r="M83" i="166" s="1"/>
  <c r="L83" i="166" a="1"/>
  <c r="L83" i="166" s="1"/>
  <c r="K83" i="166" a="1"/>
  <c r="K83" i="166" s="1"/>
  <c r="J83" i="166" a="1"/>
  <c r="J83" i="166" s="1"/>
  <c r="L96" i="162"/>
  <c r="L96" i="147"/>
  <c r="H280" i="166" a="1"/>
  <c r="H279" i="166" a="1"/>
  <c r="H278" i="166" a="1"/>
  <c r="E278" i="166" a="1"/>
  <c r="E277" i="166" a="1"/>
  <c r="E276" i="166" a="1"/>
  <c r="E275" i="166" a="1"/>
  <c r="D278" i="166" a="1"/>
  <c r="C278" i="166" a="1"/>
  <c r="D275" i="166" a="1"/>
  <c r="C275" i="166" a="1"/>
  <c r="D277" i="166" a="1"/>
  <c r="C277" i="166" a="1"/>
  <c r="D276" i="166" a="1"/>
  <c r="C276" i="166" a="1"/>
  <c r="CA8" i="162" l="1"/>
  <c r="CA8" i="146"/>
  <c r="P139" i="166" a="1"/>
  <c r="P139" i="166" s="1"/>
  <c r="P100" i="166" a="1"/>
  <c r="P100" i="166" s="1"/>
  <c r="P104" i="166" a="1"/>
  <c r="P104" i="166" s="1"/>
  <c r="N124" i="166"/>
  <c r="P113" i="166" a="1"/>
  <c r="P113" i="166" s="1"/>
  <c r="O124" i="166"/>
  <c r="P108" i="166" a="1"/>
  <c r="P108" i="166" s="1"/>
  <c r="P119" i="166" a="1"/>
  <c r="P119" i="166" s="1"/>
  <c r="P125" i="166" a="1"/>
  <c r="P125" i="166" s="1"/>
  <c r="P141" i="166" a="1"/>
  <c r="P141" i="166" s="1"/>
  <c r="P128" i="166" a="1"/>
  <c r="P128" i="166" s="1"/>
  <c r="P130" i="166" a="1"/>
  <c r="P130" i="166" s="1"/>
  <c r="P137" i="166" a="1"/>
  <c r="P137" i="166" s="1"/>
  <c r="P143" i="166" a="1"/>
  <c r="P143" i="166" s="1"/>
  <c r="P129" i="166" a="1"/>
  <c r="P129" i="166" s="1"/>
  <c r="P83" i="166" a="1"/>
  <c r="P83" i="166" s="1"/>
  <c r="P144" i="166" a="1"/>
  <c r="P144" i="166" s="1"/>
  <c r="P85" i="166" a="1"/>
  <c r="P85" i="166" s="1"/>
  <c r="P136" i="166" a="1"/>
  <c r="P136" i="166" s="1"/>
  <c r="P138" i="166" a="1"/>
  <c r="P138" i="166" s="1"/>
  <c r="C276" i="166"/>
  <c r="D276" i="166"/>
  <c r="C277" i="166"/>
  <c r="D277" i="166"/>
  <c r="C275" i="166"/>
  <c r="D275" i="166"/>
  <c r="C278" i="166"/>
  <c r="D278" i="166"/>
  <c r="E275" i="166"/>
  <c r="E276" i="166"/>
  <c r="E277" i="166"/>
  <c r="E278" i="166"/>
  <c r="H278" i="166"/>
  <c r="H279" i="166"/>
  <c r="H280" i="166"/>
  <c r="L89" i="166" a="1"/>
  <c r="L89" i="166" s="1"/>
  <c r="L91" i="166" s="1"/>
  <c r="L93" i="166" a="1"/>
  <c r="L93" i="166" s="1"/>
  <c r="P98" i="166" a="1"/>
  <c r="P98" i="166" s="1"/>
  <c r="P103" i="166" a="1"/>
  <c r="P103" i="166" s="1"/>
  <c r="P107" i="166" a="1"/>
  <c r="P107" i="166" s="1"/>
  <c r="P118" i="166" a="1"/>
  <c r="P118" i="166" s="1"/>
  <c r="P123" i="166" a="1"/>
  <c r="P123" i="166" s="1"/>
  <c r="P112" i="166" a="1"/>
  <c r="P112" i="166" s="1"/>
  <c r="P116" i="166" a="1"/>
  <c r="P116" i="166" s="1"/>
  <c r="P84" i="166" a="1"/>
  <c r="P84" i="166" s="1"/>
  <c r="N93" i="166" a="1"/>
  <c r="N93" i="166" s="1"/>
  <c r="N89" i="166" a="1"/>
  <c r="N89" i="166" s="1"/>
  <c r="N90" i="166" s="1"/>
  <c r="P88" i="166" a="1"/>
  <c r="P88" i="166" s="1"/>
  <c r="P102" i="166" a="1"/>
  <c r="P102" i="166" s="1"/>
  <c r="P106" i="166" a="1"/>
  <c r="P106" i="166" s="1"/>
  <c r="P110" i="166" a="1"/>
  <c r="P110" i="166" s="1"/>
  <c r="P122" i="166" a="1"/>
  <c r="P122" i="166" s="1"/>
  <c r="J124" i="166"/>
  <c r="J93" i="166" a="1"/>
  <c r="J93" i="166" s="1"/>
  <c r="P86" i="166" a="1"/>
  <c r="P86" i="166" s="1"/>
  <c r="J89" i="166" a="1"/>
  <c r="J89" i="166" s="1"/>
  <c r="J91" i="166" s="1"/>
  <c r="K93" i="166" a="1"/>
  <c r="K93" i="166" s="1"/>
  <c r="K89" i="166" a="1"/>
  <c r="K89" i="166" s="1"/>
  <c r="K92" i="166" s="1"/>
  <c r="M89" i="166" a="1"/>
  <c r="M89" i="166" s="1"/>
  <c r="M90" i="166" s="1"/>
  <c r="M93" i="166" a="1"/>
  <c r="M93" i="166" s="1"/>
  <c r="O93" i="166" a="1"/>
  <c r="O93" i="166" s="1"/>
  <c r="O89" i="166" a="1"/>
  <c r="O89" i="166" s="1"/>
  <c r="O92" i="166" s="1"/>
  <c r="P115" i="166" a="1"/>
  <c r="P115" i="166" s="1"/>
  <c r="K124" i="166"/>
  <c r="P105" i="166" a="1"/>
  <c r="P105" i="166" s="1"/>
  <c r="P121" i="166" a="1"/>
  <c r="P121" i="166" s="1"/>
  <c r="L124" i="166"/>
  <c r="P127" i="166" a="1"/>
  <c r="P127" i="166" s="1"/>
  <c r="P87" i="166" a="1"/>
  <c r="P87" i="166" s="1"/>
  <c r="P101" i="166" a="1"/>
  <c r="P101" i="166" s="1"/>
  <c r="P109" i="166" a="1"/>
  <c r="P109" i="166" s="1"/>
  <c r="P114" i="166" a="1"/>
  <c r="P114" i="166" s="1"/>
  <c r="M124" i="166"/>
  <c r="P126" i="166" a="1"/>
  <c r="P126" i="166" s="1"/>
  <c r="P142" i="166" a="1"/>
  <c r="P142" i="166" s="1"/>
  <c r="F30" i="162"/>
  <c r="L96" i="146"/>
  <c r="F30" i="147"/>
  <c r="E10" i="147"/>
  <c r="EN8" i="165"/>
  <c r="EM8" i="165"/>
  <c r="EL8" i="165"/>
  <c r="EK8" i="165"/>
  <c r="EJ8" i="165"/>
  <c r="EI8" i="165"/>
  <c r="EH8" i="165"/>
  <c r="EG8" i="165"/>
  <c r="ED8" i="165"/>
  <c r="EE8" i="165" s="1"/>
  <c r="EC8" i="165"/>
  <c r="EB8" i="165"/>
  <c r="DY8" i="165"/>
  <c r="DX8" i="165"/>
  <c r="DW8" i="165"/>
  <c r="DU8" i="165"/>
  <c r="DT8" i="165"/>
  <c r="DO8" i="165"/>
  <c r="DN8" i="165"/>
  <c r="DJ8" i="165"/>
  <c r="DH8" i="165"/>
  <c r="DG8" i="165"/>
  <c r="DB8" i="165"/>
  <c r="DA8" i="165"/>
  <c r="DC8" i="165" s="1"/>
  <c r="DD8" i="165" s="1"/>
  <c r="CX8" i="165"/>
  <c r="CU8" i="165"/>
  <c r="CE8" i="165"/>
  <c r="CD8" i="165"/>
  <c r="BY8" i="165"/>
  <c r="BX8" i="165"/>
  <c r="CB8" i="165" s="1"/>
  <c r="BW8" i="165"/>
  <c r="BV8" i="165"/>
  <c r="BU8" i="165"/>
  <c r="BT8" i="165"/>
  <c r="BS8" i="165"/>
  <c r="BR8" i="165"/>
  <c r="BQ8" i="165"/>
  <c r="BP8" i="165"/>
  <c r="BO8" i="165"/>
  <c r="BM8" i="165"/>
  <c r="BL8" i="165"/>
  <c r="BK8" i="165"/>
  <c r="BJ8" i="165"/>
  <c r="BI8" i="165"/>
  <c r="BH8" i="165"/>
  <c r="BG8" i="165"/>
  <c r="BF8" i="165"/>
  <c r="BD8" i="165"/>
  <c r="BC8" i="165"/>
  <c r="BB8" i="165"/>
  <c r="BA8" i="165"/>
  <c r="AY8" i="165"/>
  <c r="AX8" i="165"/>
  <c r="AW8" i="165"/>
  <c r="AV8" i="165"/>
  <c r="AU8" i="165"/>
  <c r="EN8" i="164"/>
  <c r="EM8" i="164"/>
  <c r="EL8" i="164"/>
  <c r="EK8" i="164"/>
  <c r="EJ8" i="164"/>
  <c r="EI8" i="164"/>
  <c r="EH8" i="164"/>
  <c r="EG8" i="164"/>
  <c r="EE8" i="164"/>
  <c r="ED8" i="164"/>
  <c r="EC8" i="164"/>
  <c r="EB8" i="164"/>
  <c r="DY8" i="164"/>
  <c r="DX8" i="164"/>
  <c r="DW8" i="164"/>
  <c r="DU8" i="164"/>
  <c r="DT8" i="164"/>
  <c r="DO8" i="164"/>
  <c r="DN8" i="164"/>
  <c r="DJ8" i="164"/>
  <c r="DH8" i="164"/>
  <c r="DG8" i="164"/>
  <c r="DB8" i="164"/>
  <c r="DA8" i="164"/>
  <c r="DC8" i="164" s="1"/>
  <c r="DD8" i="164" s="1"/>
  <c r="CX8" i="164"/>
  <c r="CU8" i="164"/>
  <c r="CE8" i="164"/>
  <c r="CD8" i="164"/>
  <c r="CA8" i="164"/>
  <c r="BY8" i="164"/>
  <c r="BX8" i="164"/>
  <c r="CB8" i="164" s="1"/>
  <c r="BW8" i="164"/>
  <c r="BV8" i="164"/>
  <c r="BU8" i="164"/>
  <c r="BT8" i="164"/>
  <c r="BS8" i="164"/>
  <c r="BR8" i="164"/>
  <c r="BQ8" i="164"/>
  <c r="BP8" i="164"/>
  <c r="BO8" i="164"/>
  <c r="BM8" i="164"/>
  <c r="BL8" i="164"/>
  <c r="BK8" i="164"/>
  <c r="BJ8" i="164"/>
  <c r="BI8" i="164"/>
  <c r="BH8" i="164"/>
  <c r="BG8" i="164"/>
  <c r="BF8" i="164"/>
  <c r="BD8" i="164"/>
  <c r="BC8" i="164"/>
  <c r="BB8" i="164"/>
  <c r="BA8" i="164"/>
  <c r="AY8" i="164"/>
  <c r="AX8" i="164"/>
  <c r="AW8" i="164"/>
  <c r="AV8" i="164"/>
  <c r="AU8" i="164"/>
  <c r="EN8" i="163"/>
  <c r="EM8" i="163"/>
  <c r="EL8" i="163"/>
  <c r="EK8" i="163"/>
  <c r="EJ8" i="163"/>
  <c r="EI8" i="163"/>
  <c r="EH8" i="163"/>
  <c r="EG8" i="163"/>
  <c r="EE8" i="163"/>
  <c r="ED8" i="163"/>
  <c r="EC8" i="163"/>
  <c r="EB8" i="163"/>
  <c r="DY8" i="163"/>
  <c r="DX8" i="163"/>
  <c r="DW8" i="163"/>
  <c r="DU8" i="163"/>
  <c r="DT8" i="163"/>
  <c r="DO8" i="163"/>
  <c r="DN8" i="163"/>
  <c r="DJ8" i="163"/>
  <c r="DH8" i="163"/>
  <c r="DG8" i="163"/>
  <c r="DB8" i="163"/>
  <c r="DA8" i="163"/>
  <c r="DC8" i="163" s="1"/>
  <c r="DD8" i="163" s="1"/>
  <c r="CX8" i="163"/>
  <c r="CU8" i="163"/>
  <c r="CE8" i="163"/>
  <c r="CD8" i="163"/>
  <c r="CA8" i="163"/>
  <c r="BY8" i="163"/>
  <c r="BX8" i="163"/>
  <c r="CB8" i="163" s="1"/>
  <c r="BW8" i="163"/>
  <c r="BV8" i="163"/>
  <c r="BU8" i="163"/>
  <c r="BT8" i="163"/>
  <c r="BS8" i="163"/>
  <c r="BR8" i="163"/>
  <c r="BQ8" i="163"/>
  <c r="BP8" i="163"/>
  <c r="BO8" i="163"/>
  <c r="BM8" i="163"/>
  <c r="BL8" i="163"/>
  <c r="BK8" i="163"/>
  <c r="BJ8" i="163"/>
  <c r="BI8" i="163"/>
  <c r="BH8" i="163"/>
  <c r="BG8" i="163"/>
  <c r="BF8" i="163"/>
  <c r="BD8" i="163"/>
  <c r="BC8" i="163"/>
  <c r="BB8" i="163"/>
  <c r="BA8" i="163"/>
  <c r="AY8" i="163"/>
  <c r="AX8" i="163"/>
  <c r="AW8" i="163"/>
  <c r="AV8" i="163"/>
  <c r="AU8" i="163"/>
  <c r="L92" i="166" l="1"/>
  <c r="M92" i="166"/>
  <c r="M91" i="166"/>
  <c r="P124" i="166" a="1"/>
  <c r="P124" i="166" s="1"/>
  <c r="O91" i="166"/>
  <c r="O90" i="166"/>
  <c r="K90" i="166"/>
  <c r="K91" i="166"/>
  <c r="N92" i="166"/>
  <c r="P89" i="166" a="1"/>
  <c r="P89" i="166" s="1"/>
  <c r="L90" i="166"/>
  <c r="N91" i="166"/>
  <c r="P93" i="166" a="1"/>
  <c r="P93" i="166" s="1"/>
  <c r="J92" i="166"/>
  <c r="J90" i="166"/>
  <c r="CA8" i="165"/>
  <c r="P92" i="166" l="1" a="1"/>
  <c r="P92" i="166" s="1"/>
  <c r="P91" i="166" a="1"/>
  <c r="P91" i="166" s="1"/>
  <c r="P90" i="166" a="1"/>
  <c r="P90" i="166" s="1"/>
  <c r="AT105" i="165"/>
  <c r="L104" i="165"/>
  <c r="L103" i="165"/>
  <c r="I102" i="165"/>
  <c r="D102" i="165"/>
  <c r="K103" i="165" s="1"/>
  <c r="G99" i="165"/>
  <c r="D99" i="165"/>
  <c r="I98" i="165"/>
  <c r="H98" i="165"/>
  <c r="G98" i="165"/>
  <c r="L105" i="165" s="1"/>
  <c r="F98" i="165"/>
  <c r="H92" i="165"/>
  <c r="I88" i="165"/>
  <c r="G88" i="165"/>
  <c r="F88" i="165"/>
  <c r="AI86" i="165"/>
  <c r="AL86" i="165" s="1"/>
  <c r="AI85" i="165"/>
  <c r="AL84" i="165" s="1"/>
  <c r="AN84" i="165"/>
  <c r="AI84" i="165"/>
  <c r="I84" i="165"/>
  <c r="AL83" i="165"/>
  <c r="AI83" i="165"/>
  <c r="K83" i="165"/>
  <c r="D83" i="165"/>
  <c r="EA8" i="165" s="1"/>
  <c r="D82" i="165"/>
  <c r="BO20" i="165" s="1"/>
  <c r="O80" i="165"/>
  <c r="I80" i="165"/>
  <c r="G80" i="165"/>
  <c r="F84" i="165" s="1"/>
  <c r="F80" i="165"/>
  <c r="O78" i="165"/>
  <c r="I78" i="165"/>
  <c r="G78" i="165"/>
  <c r="F78" i="165"/>
  <c r="E78" i="165"/>
  <c r="L77" i="165"/>
  <c r="DP8" i="165" s="1"/>
  <c r="I77" i="165"/>
  <c r="CY8" i="165" s="1"/>
  <c r="D77" i="165"/>
  <c r="BN20" i="165" s="1"/>
  <c r="C77" i="165"/>
  <c r="D76" i="165"/>
  <c r="BM20" i="165" s="1"/>
  <c r="C76" i="165"/>
  <c r="D75" i="165"/>
  <c r="C75" i="165"/>
  <c r="O72" i="165"/>
  <c r="I72" i="165"/>
  <c r="G72" i="165"/>
  <c r="O71" i="165"/>
  <c r="I71" i="165"/>
  <c r="H71" i="165"/>
  <c r="F71" i="165"/>
  <c r="I70" i="165" s="1"/>
  <c r="H70" i="165"/>
  <c r="D66" i="165"/>
  <c r="H64" i="165"/>
  <c r="T61" i="165"/>
  <c r="I61" i="165"/>
  <c r="H61" i="165"/>
  <c r="G61" i="165"/>
  <c r="I64" i="165" s="1"/>
  <c r="L60" i="165"/>
  <c r="BZ8" i="165" s="1"/>
  <c r="H60" i="165"/>
  <c r="X59" i="165"/>
  <c r="W60" i="165" s="1"/>
  <c r="W59" i="165"/>
  <c r="I59" i="165"/>
  <c r="H59" i="165"/>
  <c r="H66" i="165" s="1"/>
  <c r="W58" i="165"/>
  <c r="U58" i="165"/>
  <c r="U59" i="165" s="1"/>
  <c r="T58" i="165"/>
  <c r="T59" i="165" s="1"/>
  <c r="T60" i="165" s="1"/>
  <c r="I58" i="165"/>
  <c r="H58" i="165"/>
  <c r="I57" i="165"/>
  <c r="L56" i="165"/>
  <c r="CF8" i="165" s="1"/>
  <c r="F56" i="165"/>
  <c r="AS55" i="165"/>
  <c r="I55" i="165"/>
  <c r="H55" i="165"/>
  <c r="F55" i="165"/>
  <c r="I54" i="165"/>
  <c r="AR50" i="165"/>
  <c r="AR49" i="165"/>
  <c r="AS49" i="165" s="1"/>
  <c r="G49" i="165"/>
  <c r="I49" i="165" s="1"/>
  <c r="I48" i="165"/>
  <c r="AP47" i="165"/>
  <c r="AO47" i="165"/>
  <c r="I47" i="165"/>
  <c r="F46" i="165"/>
  <c r="I46" i="165" s="1"/>
  <c r="G45" i="165"/>
  <c r="G43" i="165"/>
  <c r="F44" i="165" s="1"/>
  <c r="AO42" i="165"/>
  <c r="AP42" i="165" s="1"/>
  <c r="I42" i="165"/>
  <c r="H41" i="165"/>
  <c r="F41" i="165"/>
  <c r="I41" i="165" s="1"/>
  <c r="I40" i="165"/>
  <c r="G40" i="165"/>
  <c r="AO37" i="165"/>
  <c r="AP37" i="165" s="1"/>
  <c r="L37" i="165"/>
  <c r="BE8" i="165" s="1"/>
  <c r="I37" i="165"/>
  <c r="H37" i="165"/>
  <c r="AR36" i="165"/>
  <c r="V36" i="165"/>
  <c r="L36" i="165"/>
  <c r="H36" i="165"/>
  <c r="H51" i="165" s="1"/>
  <c r="F36" i="165"/>
  <c r="I36" i="165" s="1"/>
  <c r="I33" i="165"/>
  <c r="AP32" i="165"/>
  <c r="AO32" i="165"/>
  <c r="AR31" i="165"/>
  <c r="G31" i="165"/>
  <c r="I31" i="165" s="1"/>
  <c r="I30" i="165"/>
  <c r="I29" i="165"/>
  <c r="I28" i="165"/>
  <c r="I27" i="165"/>
  <c r="I26" i="165"/>
  <c r="I25" i="165"/>
  <c r="I24" i="165"/>
  <c r="I23" i="165"/>
  <c r="I22" i="165"/>
  <c r="G22" i="165"/>
  <c r="AM21" i="165"/>
  <c r="T21" i="165"/>
  <c r="CR20" i="165"/>
  <c r="AT104" i="165" s="1"/>
  <c r="CM20" i="165"/>
  <c r="CL20" i="165"/>
  <c r="CU20" i="165" s="1"/>
  <c r="CK20" i="165"/>
  <c r="CF20" i="165"/>
  <c r="CE20" i="165"/>
  <c r="CD20" i="165"/>
  <c r="CC20" i="165"/>
  <c r="CB20" i="165"/>
  <c r="CN20" i="165" s="1"/>
  <c r="CA20" i="165"/>
  <c r="BX20" i="165"/>
  <c r="BW20" i="165"/>
  <c r="BV20" i="165"/>
  <c r="CO20" i="165" s="1"/>
  <c r="BU20" i="165"/>
  <c r="BT20" i="165"/>
  <c r="BS20" i="165"/>
  <c r="BR20" i="165"/>
  <c r="BQ20" i="165"/>
  <c r="BP20" i="165"/>
  <c r="BK20" i="165"/>
  <c r="BI20" i="165"/>
  <c r="BH20" i="165"/>
  <c r="BG20" i="165"/>
  <c r="BF20" i="165"/>
  <c r="BB20" i="165"/>
  <c r="BE20" i="165" s="1"/>
  <c r="AW20" i="165"/>
  <c r="BD20" i="165" s="1"/>
  <c r="AU20" i="165"/>
  <c r="AM20" i="165"/>
  <c r="AN20" i="165" s="1"/>
  <c r="G20" i="165"/>
  <c r="F21" i="165" s="1"/>
  <c r="V19" i="165"/>
  <c r="T19" i="165"/>
  <c r="I19" i="165"/>
  <c r="V16" i="165"/>
  <c r="V20" i="165" s="1"/>
  <c r="AD15" i="165"/>
  <c r="I15" i="165"/>
  <c r="H15" i="165"/>
  <c r="L14" i="165"/>
  <c r="I14" i="165"/>
  <c r="AD13" i="165"/>
  <c r="AE13" i="165" s="1"/>
  <c r="AD16" i="165" s="1"/>
  <c r="L13" i="165"/>
  <c r="I13" i="165"/>
  <c r="H13" i="165"/>
  <c r="H102" i="165" s="1"/>
  <c r="BE12" i="165"/>
  <c r="BD12" i="165"/>
  <c r="BB12" i="165"/>
  <c r="BA12" i="165"/>
  <c r="AY12" i="165"/>
  <c r="AX12" i="165"/>
  <c r="AW12" i="165"/>
  <c r="AV12" i="165"/>
  <c r="AG12" i="165"/>
  <c r="AG13" i="165" s="1"/>
  <c r="Y12" i="165"/>
  <c r="V12" i="165"/>
  <c r="AD11" i="165"/>
  <c r="I10" i="165"/>
  <c r="H10" i="165"/>
  <c r="U9" i="165"/>
  <c r="V9" i="165" s="1"/>
  <c r="T9" i="165"/>
  <c r="R9" i="165"/>
  <c r="O9" i="165"/>
  <c r="L9" i="165"/>
  <c r="K9" i="165"/>
  <c r="V13" i="165" s="1"/>
  <c r="I9" i="165"/>
  <c r="H9" i="165"/>
  <c r="AH8" i="165"/>
  <c r="AH9" i="165" s="1"/>
  <c r="AC8" i="165"/>
  <c r="AB8" i="165"/>
  <c r="U8" i="165"/>
  <c r="T8" i="165"/>
  <c r="V8" i="165" s="1"/>
  <c r="R8" i="165"/>
  <c r="O8" i="165"/>
  <c r="W11" i="165" s="1"/>
  <c r="L8" i="165"/>
  <c r="K8" i="165"/>
  <c r="Y42" i="165" s="1"/>
  <c r="H8" i="165"/>
  <c r="AN3" i="165"/>
  <c r="AM3" i="165"/>
  <c r="AL3" i="165"/>
  <c r="P3" i="165"/>
  <c r="P4" i="165" s="1"/>
  <c r="L3" i="165"/>
  <c r="H3" i="165"/>
  <c r="AV20" i="165" s="1"/>
  <c r="AT105" i="164"/>
  <c r="L104" i="164"/>
  <c r="L103" i="164"/>
  <c r="I102" i="164"/>
  <c r="D102" i="164"/>
  <c r="K103" i="164" s="1"/>
  <c r="G99" i="164"/>
  <c r="D99" i="164"/>
  <c r="I98" i="164"/>
  <c r="H98" i="164"/>
  <c r="G98" i="164"/>
  <c r="L105" i="164" s="1"/>
  <c r="F98" i="164"/>
  <c r="H92" i="164"/>
  <c r="I88" i="164"/>
  <c r="G88" i="164"/>
  <c r="F88" i="164"/>
  <c r="AI86" i="164"/>
  <c r="AL86" i="164" s="1"/>
  <c r="AI85" i="164"/>
  <c r="AL84" i="164" s="1"/>
  <c r="AN84" i="164"/>
  <c r="AI84" i="164"/>
  <c r="I84" i="164"/>
  <c r="AL83" i="164"/>
  <c r="AI83" i="164"/>
  <c r="K83" i="164"/>
  <c r="D83" i="164"/>
  <c r="EA8" i="164" s="1"/>
  <c r="D82" i="164"/>
  <c r="BO20" i="164" s="1"/>
  <c r="O80" i="164"/>
  <c r="I80" i="164"/>
  <c r="G80" i="164"/>
  <c r="F84" i="164" s="1"/>
  <c r="O78" i="164"/>
  <c r="I78" i="164"/>
  <c r="G78" i="164"/>
  <c r="F80" i="164" s="1"/>
  <c r="E78" i="164"/>
  <c r="L77" i="164"/>
  <c r="DP8" i="164" s="1"/>
  <c r="I77" i="164"/>
  <c r="CY8" i="164" s="1"/>
  <c r="D77" i="164"/>
  <c r="BN20" i="164" s="1"/>
  <c r="C77" i="164"/>
  <c r="D76" i="164"/>
  <c r="BM20" i="164" s="1"/>
  <c r="C76" i="164"/>
  <c r="D75" i="164"/>
  <c r="C75" i="164"/>
  <c r="O72" i="164"/>
  <c r="I72" i="164"/>
  <c r="G72" i="164"/>
  <c r="F78" i="164" s="1"/>
  <c r="O71" i="164"/>
  <c r="I71" i="164"/>
  <c r="H71" i="164"/>
  <c r="F71" i="164"/>
  <c r="I70" i="164" s="1"/>
  <c r="H70" i="164"/>
  <c r="D66" i="164"/>
  <c r="T61" i="164"/>
  <c r="H61" i="164"/>
  <c r="G61" i="164"/>
  <c r="I61" i="164" s="1"/>
  <c r="L60" i="164"/>
  <c r="BZ8" i="164" s="1"/>
  <c r="H60" i="164"/>
  <c r="H64" i="164" s="1"/>
  <c r="X59" i="164"/>
  <c r="W60" i="164" s="1"/>
  <c r="W59" i="164"/>
  <c r="I59" i="164"/>
  <c r="H59" i="164"/>
  <c r="H66" i="164" s="1"/>
  <c r="W58" i="164"/>
  <c r="U58" i="164"/>
  <c r="U59" i="164" s="1"/>
  <c r="T58" i="164"/>
  <c r="T59" i="164" s="1"/>
  <c r="T60" i="164" s="1"/>
  <c r="I58" i="164"/>
  <c r="H58" i="164"/>
  <c r="I57" i="164"/>
  <c r="L56" i="164"/>
  <c r="CF8" i="164" s="1"/>
  <c r="F56" i="164"/>
  <c r="AS55" i="164"/>
  <c r="I55" i="164"/>
  <c r="H55" i="164"/>
  <c r="F55" i="164"/>
  <c r="I54" i="164"/>
  <c r="AR50" i="164"/>
  <c r="AS49" i="164" s="1"/>
  <c r="AR49" i="164"/>
  <c r="G49" i="164"/>
  <c r="I49" i="164" s="1"/>
  <c r="I48" i="164"/>
  <c r="AP47" i="164"/>
  <c r="AO47" i="164"/>
  <c r="I47" i="164"/>
  <c r="G45" i="164"/>
  <c r="F46" i="164" s="1"/>
  <c r="G43" i="164"/>
  <c r="F44" i="164" s="1"/>
  <c r="AP42" i="164"/>
  <c r="AO42" i="164"/>
  <c r="I42" i="164"/>
  <c r="AR41" i="164"/>
  <c r="H41" i="164"/>
  <c r="F41" i="164"/>
  <c r="I40" i="164" s="1"/>
  <c r="G40" i="164"/>
  <c r="AP37" i="164"/>
  <c r="AO37" i="164"/>
  <c r="L37" i="164"/>
  <c r="BE8" i="164" s="1"/>
  <c r="I37" i="164"/>
  <c r="H37" i="164"/>
  <c r="AR36" i="164"/>
  <c r="L36" i="164"/>
  <c r="I36" i="164"/>
  <c r="H36" i="164"/>
  <c r="H51" i="164" s="1"/>
  <c r="F36" i="164"/>
  <c r="I33" i="164"/>
  <c r="H33" i="164"/>
  <c r="AP32" i="164"/>
  <c r="AO32" i="164"/>
  <c r="AR31" i="164"/>
  <c r="G31" i="164"/>
  <c r="I31" i="164" s="1"/>
  <c r="I30" i="164"/>
  <c r="I29" i="164"/>
  <c r="I28" i="164"/>
  <c r="I27" i="164"/>
  <c r="I26" i="164"/>
  <c r="I25" i="164"/>
  <c r="I24" i="164"/>
  <c r="I23" i="164"/>
  <c r="I22" i="164"/>
  <c r="G22" i="164"/>
  <c r="T21" i="164"/>
  <c r="F21" i="164"/>
  <c r="I21" i="164" s="1"/>
  <c r="CM20" i="164"/>
  <c r="CL20" i="164"/>
  <c r="CU20" i="164" s="1"/>
  <c r="CK20" i="164"/>
  <c r="CF20" i="164"/>
  <c r="CE20" i="164"/>
  <c r="CD20" i="164"/>
  <c r="CC20" i="164"/>
  <c r="CB20" i="164"/>
  <c r="CA20" i="164"/>
  <c r="BX20" i="164"/>
  <c r="BW20" i="164"/>
  <c r="BV20" i="164"/>
  <c r="CO20" i="164" s="1"/>
  <c r="BU20" i="164"/>
  <c r="BT20" i="164"/>
  <c r="BS20" i="164"/>
  <c r="BR20" i="164"/>
  <c r="BQ20" i="164"/>
  <c r="CR20" i="164" s="1"/>
  <c r="AT104" i="164" s="1"/>
  <c r="BK20" i="164"/>
  <c r="BI20" i="164"/>
  <c r="BH20" i="164"/>
  <c r="BG20" i="164"/>
  <c r="BD20" i="164"/>
  <c r="BB20" i="164"/>
  <c r="BE20" i="164" s="1"/>
  <c r="AW20" i="164"/>
  <c r="BF20" i="164" s="1"/>
  <c r="CN20" i="164" s="1"/>
  <c r="AU20" i="164"/>
  <c r="AM20" i="164"/>
  <c r="I20" i="164"/>
  <c r="G20" i="164"/>
  <c r="V19" i="164"/>
  <c r="T19" i="164"/>
  <c r="I19" i="164"/>
  <c r="V16" i="164"/>
  <c r="V20" i="164" s="1"/>
  <c r="AD15" i="164"/>
  <c r="I15" i="164"/>
  <c r="H15" i="164"/>
  <c r="L14" i="164"/>
  <c r="I14" i="164"/>
  <c r="AE13" i="164"/>
  <c r="AD16" i="164" s="1"/>
  <c r="AD13" i="164"/>
  <c r="L13" i="164"/>
  <c r="I13" i="164"/>
  <c r="H13" i="164"/>
  <c r="H102" i="164" s="1"/>
  <c r="BE12" i="164"/>
  <c r="BD12" i="164"/>
  <c r="BB12" i="164"/>
  <c r="BA12" i="164"/>
  <c r="AY12" i="164"/>
  <c r="AX12" i="164"/>
  <c r="AW12" i="164"/>
  <c r="AV12" i="164"/>
  <c r="AG12" i="164"/>
  <c r="AG13" i="164" s="1"/>
  <c r="Y12" i="164"/>
  <c r="AD11" i="164"/>
  <c r="I10" i="164"/>
  <c r="H10" i="164"/>
  <c r="U9" i="164"/>
  <c r="T9" i="164"/>
  <c r="V9" i="164" s="1"/>
  <c r="R9" i="164"/>
  <c r="O9" i="164"/>
  <c r="L9" i="164"/>
  <c r="K9" i="164"/>
  <c r="V13" i="164" s="1"/>
  <c r="I9" i="164"/>
  <c r="H9" i="164"/>
  <c r="AH8" i="164"/>
  <c r="AH9" i="164" s="1"/>
  <c r="AC8" i="164"/>
  <c r="AB8" i="164"/>
  <c r="U8" i="164"/>
  <c r="T8" i="164"/>
  <c r="V8" i="164" s="1"/>
  <c r="R8" i="164"/>
  <c r="L8" i="164"/>
  <c r="K8" i="164"/>
  <c r="AM21" i="164" s="1"/>
  <c r="AN20" i="164" s="1"/>
  <c r="H8" i="164"/>
  <c r="P4" i="164"/>
  <c r="AM3" i="164"/>
  <c r="AL3" i="164"/>
  <c r="P3" i="164"/>
  <c r="L3" i="164"/>
  <c r="H3" i="164"/>
  <c r="AV20" i="164" s="1"/>
  <c r="AT105" i="163"/>
  <c r="L104" i="163"/>
  <c r="L103" i="163"/>
  <c r="I102" i="163"/>
  <c r="D102" i="163"/>
  <c r="K103" i="163" s="1"/>
  <c r="G99" i="163"/>
  <c r="D99" i="163"/>
  <c r="I98" i="163"/>
  <c r="H98" i="163"/>
  <c r="G98" i="163"/>
  <c r="L105" i="163" s="1"/>
  <c r="F98" i="163"/>
  <c r="H92" i="163"/>
  <c r="I88" i="163"/>
  <c r="G88" i="163"/>
  <c r="F88" i="163"/>
  <c r="AI86" i="163"/>
  <c r="AL86" i="163" s="1"/>
  <c r="AI85" i="163"/>
  <c r="AL84" i="163" s="1"/>
  <c r="AN84" i="163"/>
  <c r="AI84" i="163"/>
  <c r="I84" i="163"/>
  <c r="AL83" i="163"/>
  <c r="AI83" i="163"/>
  <c r="K83" i="163"/>
  <c r="D83" i="163"/>
  <c r="EA8" i="163" s="1"/>
  <c r="D82" i="163"/>
  <c r="BO20" i="163" s="1"/>
  <c r="O80" i="163"/>
  <c r="I80" i="163"/>
  <c r="G80" i="163"/>
  <c r="F84" i="163" s="1"/>
  <c r="F80" i="163"/>
  <c r="O78" i="163"/>
  <c r="I78" i="163"/>
  <c r="G78" i="163"/>
  <c r="E78" i="163"/>
  <c r="L77" i="163"/>
  <c r="DP8" i="163" s="1"/>
  <c r="I77" i="163"/>
  <c r="CY8" i="163" s="1"/>
  <c r="D77" i="163"/>
  <c r="BN20" i="163" s="1"/>
  <c r="C77" i="163"/>
  <c r="D76" i="163"/>
  <c r="BM20" i="163" s="1"/>
  <c r="C76" i="163"/>
  <c r="D75" i="163"/>
  <c r="BK20" i="163" s="1"/>
  <c r="C75" i="163"/>
  <c r="O72" i="163"/>
  <c r="I72" i="163"/>
  <c r="G72" i="163"/>
  <c r="F78" i="163" s="1"/>
  <c r="O71" i="163"/>
  <c r="I71" i="163"/>
  <c r="H71" i="163"/>
  <c r="F71" i="163"/>
  <c r="I70" i="163" s="1"/>
  <c r="H70" i="163"/>
  <c r="D66" i="163"/>
  <c r="H64" i="163"/>
  <c r="T61" i="163"/>
  <c r="I61" i="163"/>
  <c r="H61" i="163"/>
  <c r="G61" i="163"/>
  <c r="I64" i="163" s="1"/>
  <c r="L60" i="163"/>
  <c r="BZ8" i="163" s="1"/>
  <c r="H60" i="163"/>
  <c r="X59" i="163"/>
  <c r="W60" i="163" s="1"/>
  <c r="W59" i="163"/>
  <c r="I59" i="163"/>
  <c r="H59" i="163"/>
  <c r="H66" i="163" s="1"/>
  <c r="W58" i="163"/>
  <c r="U58" i="163"/>
  <c r="U59" i="163" s="1"/>
  <c r="T58" i="163"/>
  <c r="T59" i="163" s="1"/>
  <c r="T60" i="163" s="1"/>
  <c r="I58" i="163"/>
  <c r="H58" i="163"/>
  <c r="I57" i="163"/>
  <c r="L56" i="163"/>
  <c r="CF8" i="163" s="1"/>
  <c r="F56" i="163"/>
  <c r="AS55" i="163"/>
  <c r="I55" i="163"/>
  <c r="H55" i="163"/>
  <c r="F55" i="163"/>
  <c r="I54" i="163"/>
  <c r="AR50" i="163"/>
  <c r="AR49" i="163"/>
  <c r="AS49" i="163" s="1"/>
  <c r="G49" i="163"/>
  <c r="I49" i="163" s="1"/>
  <c r="I48" i="163"/>
  <c r="AP47" i="163"/>
  <c r="AO47" i="163"/>
  <c r="I47" i="163"/>
  <c r="F46" i="163"/>
  <c r="I46" i="163" s="1"/>
  <c r="G45" i="163"/>
  <c r="G43" i="163"/>
  <c r="F44" i="163" s="1"/>
  <c r="AO42" i="163"/>
  <c r="AP42" i="163" s="1"/>
  <c r="I42" i="163"/>
  <c r="H41" i="163"/>
  <c r="F41" i="163"/>
  <c r="I41" i="163" s="1"/>
  <c r="I40" i="163"/>
  <c r="G40" i="163"/>
  <c r="AO37" i="163"/>
  <c r="AP37" i="163" s="1"/>
  <c r="L37" i="163"/>
  <c r="BE8" i="163" s="1"/>
  <c r="I37" i="163"/>
  <c r="H37" i="163"/>
  <c r="AR36" i="163"/>
  <c r="V36" i="163"/>
  <c r="L36" i="163"/>
  <c r="H36" i="163"/>
  <c r="H51" i="163" s="1"/>
  <c r="F36" i="163"/>
  <c r="I36" i="163" s="1"/>
  <c r="I33" i="163"/>
  <c r="AP32" i="163"/>
  <c r="AO32" i="163"/>
  <c r="AR31" i="163" s="1"/>
  <c r="G31" i="163"/>
  <c r="I31" i="163" s="1"/>
  <c r="I30" i="163"/>
  <c r="I29" i="163"/>
  <c r="I28" i="163"/>
  <c r="I27" i="163"/>
  <c r="I26" i="163"/>
  <c r="I25" i="163"/>
  <c r="I24" i="163"/>
  <c r="I23" i="163"/>
  <c r="I22" i="163"/>
  <c r="G22" i="163"/>
  <c r="AM21" i="163"/>
  <c r="T21" i="163"/>
  <c r="CR20" i="163"/>
  <c r="AT104" i="163" s="1"/>
  <c r="CM20" i="163"/>
  <c r="CL20" i="163"/>
  <c r="CU20" i="163" s="1"/>
  <c r="CK20" i="163"/>
  <c r="CF20" i="163"/>
  <c r="CE20" i="163"/>
  <c r="CD20" i="163"/>
  <c r="CC20" i="163"/>
  <c r="CB20" i="163"/>
  <c r="CN20" i="163" s="1"/>
  <c r="CO20" i="163" s="1"/>
  <c r="CA20" i="163"/>
  <c r="BX20" i="163"/>
  <c r="BW20" i="163"/>
  <c r="BV20" i="163"/>
  <c r="BU20" i="163"/>
  <c r="BT20" i="163"/>
  <c r="BS20" i="163"/>
  <c r="BR20" i="163"/>
  <c r="BQ20" i="163"/>
  <c r="BI20" i="163"/>
  <c r="BH20" i="163"/>
  <c r="BG20" i="163"/>
  <c r="BF20" i="163"/>
  <c r="BB20" i="163"/>
  <c r="BE20" i="163" s="1"/>
  <c r="AW20" i="163"/>
  <c r="BD20" i="163" s="1"/>
  <c r="AU20" i="163"/>
  <c r="AM20" i="163"/>
  <c r="AN20" i="163" s="1"/>
  <c r="G20" i="163"/>
  <c r="F21" i="163" s="1"/>
  <c r="V19" i="163"/>
  <c r="T19" i="163"/>
  <c r="I19" i="163"/>
  <c r="V16" i="163"/>
  <c r="V20" i="163" s="1"/>
  <c r="AD15" i="163"/>
  <c r="I15" i="163"/>
  <c r="H15" i="163"/>
  <c r="L14" i="163"/>
  <c r="I14" i="163"/>
  <c r="AD13" i="163"/>
  <c r="AE13" i="163" s="1"/>
  <c r="AD16" i="163" s="1"/>
  <c r="L13" i="163"/>
  <c r="I13" i="163"/>
  <c r="H13" i="163"/>
  <c r="H102" i="163" s="1"/>
  <c r="BE12" i="163"/>
  <c r="BD12" i="163"/>
  <c r="BB12" i="163"/>
  <c r="BA12" i="163"/>
  <c r="AY12" i="163"/>
  <c r="AX12" i="163"/>
  <c r="AW12" i="163"/>
  <c r="AV12" i="163"/>
  <c r="AG12" i="163"/>
  <c r="AH12" i="163" s="1"/>
  <c r="Y12" i="163"/>
  <c r="V12" i="163"/>
  <c r="AD11" i="163"/>
  <c r="AN10" i="163"/>
  <c r="AO10" i="163" s="1"/>
  <c r="AM10" i="163"/>
  <c r="I10" i="163"/>
  <c r="H10" i="163"/>
  <c r="U9" i="163"/>
  <c r="V9" i="163" s="1"/>
  <c r="T9" i="163"/>
  <c r="R9" i="163"/>
  <c r="O9" i="163"/>
  <c r="L9" i="163"/>
  <c r="K9" i="163"/>
  <c r="V13" i="163" s="1"/>
  <c r="I9" i="163"/>
  <c r="H9" i="163"/>
  <c r="AH8" i="163"/>
  <c r="AH9" i="163" s="1"/>
  <c r="AC8" i="163"/>
  <c r="AB8" i="163"/>
  <c r="U8" i="163"/>
  <c r="T8" i="163"/>
  <c r="V8" i="163" s="1"/>
  <c r="R8" i="163"/>
  <c r="O8" i="163"/>
  <c r="W11" i="163" s="1"/>
  <c r="L8" i="163"/>
  <c r="K8" i="163"/>
  <c r="Y42" i="163" s="1"/>
  <c r="H8" i="163"/>
  <c r="AN3" i="163"/>
  <c r="AM3" i="163"/>
  <c r="AL3" i="163"/>
  <c r="P3" i="163"/>
  <c r="P4" i="163" s="1"/>
  <c r="L3" i="163"/>
  <c r="H3" i="163"/>
  <c r="AV20" i="163" s="1"/>
  <c r="L104" i="162"/>
  <c r="K103" i="162"/>
  <c r="D102" i="162"/>
  <c r="G99" i="162"/>
  <c r="D99" i="162"/>
  <c r="H98" i="162"/>
  <c r="H92" i="162"/>
  <c r="AI86" i="162"/>
  <c r="AL86" i="162" s="1"/>
  <c r="AI85" i="162"/>
  <c r="AL84" i="162" s="1"/>
  <c r="AN84" i="162"/>
  <c r="AI84" i="162"/>
  <c r="AI83" i="162"/>
  <c r="AL83" i="162" s="1"/>
  <c r="K83" i="162"/>
  <c r="D83" i="162"/>
  <c r="D82" i="162"/>
  <c r="O80" i="162"/>
  <c r="O78" i="162"/>
  <c r="E78" i="162"/>
  <c r="L77" i="162"/>
  <c r="DQ8" i="162" s="1"/>
  <c r="I77" i="162"/>
  <c r="CZ8" i="162" s="1"/>
  <c r="D77" i="162"/>
  <c r="BN20" i="162" s="1"/>
  <c r="C77" i="162"/>
  <c r="D76" i="162"/>
  <c r="BM20" i="162" s="1"/>
  <c r="C76" i="162"/>
  <c r="D75" i="162"/>
  <c r="BK20" i="162" s="1"/>
  <c r="C75" i="162"/>
  <c r="O72" i="162"/>
  <c r="G72" i="162"/>
  <c r="F78" i="162" s="1"/>
  <c r="G78" i="162" s="1"/>
  <c r="O71" i="162"/>
  <c r="H71" i="162"/>
  <c r="F71" i="162"/>
  <c r="I70" i="162" s="1"/>
  <c r="H70" i="162"/>
  <c r="H66" i="162"/>
  <c r="D66" i="162"/>
  <c r="T61" i="162"/>
  <c r="H61" i="162"/>
  <c r="G61" i="162"/>
  <c r="I61" i="162" s="1"/>
  <c r="L60" i="162"/>
  <c r="BZ8" i="162" s="1"/>
  <c r="H60" i="162"/>
  <c r="H64" i="162" s="1"/>
  <c r="X59" i="162"/>
  <c r="W60" i="162" s="1"/>
  <c r="I59" i="162"/>
  <c r="H59" i="162"/>
  <c r="W58" i="162"/>
  <c r="W59" i="162" s="1"/>
  <c r="U58" i="162"/>
  <c r="U59" i="162" s="1"/>
  <c r="T58" i="162"/>
  <c r="T59" i="162" s="1"/>
  <c r="T60" i="162" s="1"/>
  <c r="I58" i="162"/>
  <c r="H58" i="162"/>
  <c r="I57" i="162"/>
  <c r="L56" i="162"/>
  <c r="CF8" i="162" s="1"/>
  <c r="F56" i="162"/>
  <c r="AS55" i="162"/>
  <c r="H55" i="162"/>
  <c r="F55" i="162"/>
  <c r="I54" i="162"/>
  <c r="AR50" i="162"/>
  <c r="AS49" i="162" s="1"/>
  <c r="AR49" i="162"/>
  <c r="G49" i="162"/>
  <c r="I49" i="162" s="1"/>
  <c r="I48" i="162"/>
  <c r="AO47" i="162"/>
  <c r="AP47" i="162" s="1"/>
  <c r="I47" i="162"/>
  <c r="G45" i="162"/>
  <c r="F46" i="162" s="1"/>
  <c r="G43" i="162"/>
  <c r="F44" i="162" s="1"/>
  <c r="AP42" i="162"/>
  <c r="AO42" i="162"/>
  <c r="I42" i="162"/>
  <c r="AR41" i="162"/>
  <c r="H41" i="162"/>
  <c r="F41" i="162"/>
  <c r="I40" i="162" s="1"/>
  <c r="G40" i="162"/>
  <c r="AO37" i="162"/>
  <c r="AP37" i="162" s="1"/>
  <c r="L37" i="162"/>
  <c r="BE8" i="162" s="1"/>
  <c r="I37" i="162"/>
  <c r="H37" i="162"/>
  <c r="H51" i="162" s="1"/>
  <c r="AR36" i="162"/>
  <c r="L36" i="162"/>
  <c r="H36" i="162"/>
  <c r="F36" i="162"/>
  <c r="I36" i="162" s="1"/>
  <c r="V35" i="162"/>
  <c r="I33" i="162"/>
  <c r="H33" i="162"/>
  <c r="AO32" i="162"/>
  <c r="AP32" i="162" s="1"/>
  <c r="AR31" i="162"/>
  <c r="I31" i="162"/>
  <c r="G31" i="162"/>
  <c r="I30" i="162"/>
  <c r="I29" i="162"/>
  <c r="I28" i="162"/>
  <c r="I27" i="162"/>
  <c r="I26" i="162"/>
  <c r="I25" i="162"/>
  <c r="I24" i="162"/>
  <c r="I23" i="162"/>
  <c r="I22" i="162"/>
  <c r="G22" i="162"/>
  <c r="AM21" i="162"/>
  <c r="T21" i="162"/>
  <c r="CM20" i="162"/>
  <c r="CU20" i="162" s="1"/>
  <c r="CL20" i="162"/>
  <c r="CK20" i="162"/>
  <c r="CF20" i="162"/>
  <c r="CE20" i="162"/>
  <c r="CD20" i="162"/>
  <c r="CC20" i="162"/>
  <c r="BX20" i="162"/>
  <c r="BW20" i="162"/>
  <c r="BV20" i="162"/>
  <c r="BU20" i="162"/>
  <c r="CA20" i="162" s="1"/>
  <c r="BT20" i="162"/>
  <c r="BS20" i="162"/>
  <c r="BR20" i="162"/>
  <c r="BQ20" i="162"/>
  <c r="BO20" i="162"/>
  <c r="BI20" i="162"/>
  <c r="BH20" i="162"/>
  <c r="BG20" i="162"/>
  <c r="BB20" i="162"/>
  <c r="BE20" i="162" s="1"/>
  <c r="AW20" i="162"/>
  <c r="BF20" i="162" s="1"/>
  <c r="AU20" i="162"/>
  <c r="G20" i="162"/>
  <c r="F21" i="162" s="1"/>
  <c r="V19" i="162"/>
  <c r="V20" i="162" s="1"/>
  <c r="T19" i="162"/>
  <c r="I19" i="162"/>
  <c r="V16" i="162"/>
  <c r="AD15" i="162"/>
  <c r="I15" i="162"/>
  <c r="H15" i="162"/>
  <c r="L14" i="162"/>
  <c r="I14" i="162"/>
  <c r="L13" i="162"/>
  <c r="I13" i="162"/>
  <c r="H13" i="162"/>
  <c r="H102" i="162" s="1"/>
  <c r="BD12" i="162"/>
  <c r="BA12" i="162"/>
  <c r="AY12" i="162"/>
  <c r="AX12" i="162"/>
  <c r="AW12" i="162"/>
  <c r="AV12" i="162"/>
  <c r="AG12" i="162"/>
  <c r="AH12" i="162" s="1"/>
  <c r="Y12" i="162"/>
  <c r="AD11" i="162"/>
  <c r="AD13" i="162" s="1"/>
  <c r="AE13" i="162" s="1"/>
  <c r="AD16" i="162" s="1"/>
  <c r="AM10" i="162"/>
  <c r="AN10" i="162" s="1"/>
  <c r="AO10" i="162" s="1"/>
  <c r="I10" i="162"/>
  <c r="H10" i="162"/>
  <c r="U9" i="162"/>
  <c r="T9" i="162"/>
  <c r="V9" i="162" s="1"/>
  <c r="R9" i="162"/>
  <c r="O9" i="162"/>
  <c r="L9" i="162"/>
  <c r="K9" i="162"/>
  <c r="AM20" i="162" s="1"/>
  <c r="AN20" i="162" s="1"/>
  <c r="I9" i="162"/>
  <c r="H9" i="162"/>
  <c r="AH8" i="162"/>
  <c r="AH9" i="162" s="1"/>
  <c r="AB8" i="162"/>
  <c r="AC8" i="162" s="1"/>
  <c r="U8" i="162"/>
  <c r="T8" i="162"/>
  <c r="V8" i="162" s="1"/>
  <c r="R8" i="162"/>
  <c r="L8" i="162"/>
  <c r="K8" i="162"/>
  <c r="V36" i="162" s="1"/>
  <c r="H8" i="162"/>
  <c r="P4" i="162"/>
  <c r="AN3" i="162"/>
  <c r="AM3" i="162"/>
  <c r="AL3" i="162"/>
  <c r="P3" i="162"/>
  <c r="L3" i="162"/>
  <c r="H3" i="162"/>
  <c r="AV20" i="162" s="1"/>
  <c r="H277" i="166" a="1"/>
  <c r="H277" i="166" l="1"/>
  <c r="CR20" i="162"/>
  <c r="AT104" i="162" s="1"/>
  <c r="CB20" i="162"/>
  <c r="I64" i="162"/>
  <c r="F80" i="162"/>
  <c r="G80" i="162" s="1"/>
  <c r="I78" i="162"/>
  <c r="I72" i="162"/>
  <c r="I71" i="162"/>
  <c r="I55" i="162"/>
  <c r="BP20" i="162"/>
  <c r="BP20" i="163"/>
  <c r="BP20" i="164"/>
  <c r="AA8" i="165"/>
  <c r="AD8" i="165" s="1"/>
  <c r="X8" i="165"/>
  <c r="AA9" i="165"/>
  <c r="X9" i="165"/>
  <c r="I44" i="165"/>
  <c r="I43" i="165"/>
  <c r="I21" i="165"/>
  <c r="I20" i="165"/>
  <c r="L106" i="165"/>
  <c r="AM10" i="165"/>
  <c r="AN10" i="165" s="1"/>
  <c r="AO10" i="165" s="1"/>
  <c r="AH12" i="165"/>
  <c r="V35" i="165"/>
  <c r="AL85" i="165"/>
  <c r="AR41" i="165"/>
  <c r="I51" i="165"/>
  <c r="V42" i="165"/>
  <c r="N54" i="165"/>
  <c r="N55" i="165" s="1"/>
  <c r="I45" i="165"/>
  <c r="H33" i="165"/>
  <c r="I46" i="164"/>
  <c r="I45" i="164"/>
  <c r="AA9" i="164"/>
  <c r="X9" i="164"/>
  <c r="L106" i="164"/>
  <c r="I44" i="164"/>
  <c r="I43" i="164"/>
  <c r="AA8" i="164"/>
  <c r="AD8" i="164" s="1"/>
  <c r="X8" i="164"/>
  <c r="AN3" i="164"/>
  <c r="AM10" i="164"/>
  <c r="AN10" i="164" s="1"/>
  <c r="AO10" i="164" s="1"/>
  <c r="AH12" i="164"/>
  <c r="V35" i="164"/>
  <c r="I41" i="164"/>
  <c r="I64" i="164"/>
  <c r="AL85" i="164"/>
  <c r="I51" i="164"/>
  <c r="V42" i="164"/>
  <c r="N54" i="164"/>
  <c r="N55" i="164" s="1"/>
  <c r="Y42" i="164"/>
  <c r="O8" i="164"/>
  <c r="W11" i="164" s="1"/>
  <c r="V12" i="164"/>
  <c r="V36" i="164"/>
  <c r="AA8" i="163"/>
  <c r="AD8" i="163" s="1"/>
  <c r="X8" i="163"/>
  <c r="I21" i="163"/>
  <c r="I20" i="163"/>
  <c r="AA9" i="163"/>
  <c r="X9" i="163"/>
  <c r="I44" i="163"/>
  <c r="I43" i="163"/>
  <c r="L106" i="163"/>
  <c r="AG13" i="163"/>
  <c r="V35" i="163"/>
  <c r="AL85" i="163"/>
  <c r="AR41" i="163"/>
  <c r="I51" i="163"/>
  <c r="V42" i="163"/>
  <c r="N54" i="163"/>
  <c r="N55" i="163" s="1"/>
  <c r="I45" i="163"/>
  <c r="H33" i="163"/>
  <c r="I44" i="162"/>
  <c r="I43" i="162"/>
  <c r="AA9" i="162"/>
  <c r="X9" i="162"/>
  <c r="I21" i="162"/>
  <c r="I20" i="162"/>
  <c r="I46" i="162"/>
  <c r="I45" i="162"/>
  <c r="AA8" i="162"/>
  <c r="AD8" i="162" s="1"/>
  <c r="X8" i="162"/>
  <c r="CN20" i="162"/>
  <c r="CO20" i="162" s="1"/>
  <c r="I41" i="162"/>
  <c r="AL85" i="162"/>
  <c r="I51" i="162"/>
  <c r="AG13" i="162"/>
  <c r="BD20" i="162"/>
  <c r="V42" i="162"/>
  <c r="N54" i="162"/>
  <c r="N55" i="162" s="1"/>
  <c r="V13" i="162"/>
  <c r="Y42" i="162"/>
  <c r="O8" i="162"/>
  <c r="W11" i="162" s="1"/>
  <c r="V12" i="162"/>
  <c r="F84" i="162" l="1"/>
  <c r="F88" i="162" s="1"/>
  <c r="I80" i="162"/>
  <c r="BB12" i="162"/>
  <c r="L13" i="146"/>
  <c r="L13" i="147"/>
  <c r="I84" i="162" l="1"/>
  <c r="G88" i="162"/>
  <c r="F98" i="162" l="1"/>
  <c r="G98" i="162" s="1"/>
  <c r="I88" i="162"/>
  <c r="AT105" i="162" l="1"/>
  <c r="BE12" i="162"/>
  <c r="I98" i="162"/>
  <c r="I102" i="162"/>
  <c r="L105" i="162"/>
  <c r="L103" i="162"/>
  <c r="L106" i="162" l="1"/>
  <c r="L104" i="147" l="1"/>
  <c r="C77" i="147"/>
  <c r="C76" i="147"/>
  <c r="C75" i="147"/>
  <c r="D102" i="147"/>
  <c r="K103" i="147" s="1"/>
  <c r="H102" i="147"/>
  <c r="F71" i="147"/>
  <c r="I71" i="147" s="1"/>
  <c r="H71" i="147"/>
  <c r="H70" i="147"/>
  <c r="H66" i="147"/>
  <c r="D66" i="147"/>
  <c r="H60" i="147"/>
  <c r="H102" i="146"/>
  <c r="H60" i="146"/>
  <c r="H66" i="146"/>
  <c r="H71" i="146"/>
  <c r="F71" i="146"/>
  <c r="H70" i="146"/>
  <c r="H3" i="147"/>
  <c r="AV20" i="147" s="1"/>
  <c r="H3" i="146"/>
  <c r="K83" i="147"/>
  <c r="K83" i="146"/>
  <c r="E78" i="146"/>
  <c r="E78" i="147"/>
  <c r="AV20" i="146"/>
  <c r="D82" i="147"/>
  <c r="BO20" i="147" s="1"/>
  <c r="D77" i="147"/>
  <c r="BN20" i="147" s="1"/>
  <c r="D76" i="147"/>
  <c r="BM20" i="147" s="1"/>
  <c r="D75" i="147"/>
  <c r="BK20" i="147" s="1"/>
  <c r="D83" i="147"/>
  <c r="G99" i="147"/>
  <c r="L3" i="147"/>
  <c r="D99" i="147"/>
  <c r="H98" i="147"/>
  <c r="H92" i="147"/>
  <c r="AL86" i="147"/>
  <c r="AI86" i="147"/>
  <c r="AI85" i="147"/>
  <c r="AL85" i="147" s="1"/>
  <c r="AN84" i="147"/>
  <c r="AL84" i="147"/>
  <c r="AI84" i="147"/>
  <c r="AL83" i="147" s="1"/>
  <c r="AI83" i="147"/>
  <c r="O80" i="147"/>
  <c r="O78" i="147"/>
  <c r="L77" i="147"/>
  <c r="DQ8" i="147" s="1"/>
  <c r="I77" i="147"/>
  <c r="CZ8" i="147" s="1"/>
  <c r="O72" i="147"/>
  <c r="G72" i="147"/>
  <c r="F78" i="147" s="1"/>
  <c r="G78" i="147" s="1"/>
  <c r="F80" i="147" s="1"/>
  <c r="G80" i="147" s="1"/>
  <c r="O71" i="147"/>
  <c r="T61" i="147"/>
  <c r="H61" i="147"/>
  <c r="G61" i="147"/>
  <c r="I61" i="147" s="1"/>
  <c r="L60" i="147"/>
  <c r="BZ8" i="147" s="1"/>
  <c r="X59" i="147"/>
  <c r="W60" i="147" s="1"/>
  <c r="I59" i="147"/>
  <c r="H59" i="147"/>
  <c r="W58" i="147"/>
  <c r="W59" i="147" s="1"/>
  <c r="T58" i="147"/>
  <c r="T59" i="147" s="1"/>
  <c r="T60" i="147" s="1"/>
  <c r="I58" i="147"/>
  <c r="H58" i="147"/>
  <c r="I57" i="147"/>
  <c r="L56" i="147"/>
  <c r="CF8" i="147" s="1"/>
  <c r="F56" i="147"/>
  <c r="AS55" i="147"/>
  <c r="H55" i="147"/>
  <c r="F55" i="147"/>
  <c r="I55" i="147" s="1"/>
  <c r="I54" i="147"/>
  <c r="AR50" i="147"/>
  <c r="AS49" i="147" s="1"/>
  <c r="AR49" i="147"/>
  <c r="G49" i="147"/>
  <c r="I49" i="147" s="1"/>
  <c r="I48" i="147"/>
  <c r="AO47" i="147"/>
  <c r="AP47" i="147" s="1"/>
  <c r="I47" i="147"/>
  <c r="G45" i="147"/>
  <c r="F46" i="147" s="1"/>
  <c r="G43" i="147"/>
  <c r="F44" i="147" s="1"/>
  <c r="AP42" i="147"/>
  <c r="AO42" i="147"/>
  <c r="I42" i="147"/>
  <c r="AR41" i="147"/>
  <c r="H41" i="147"/>
  <c r="F41" i="147"/>
  <c r="I40" i="147" s="1"/>
  <c r="G40" i="147"/>
  <c r="AO37" i="147"/>
  <c r="AP37" i="147" s="1"/>
  <c r="L37" i="147"/>
  <c r="BE8" i="147" s="1"/>
  <c r="I37" i="147"/>
  <c r="H37" i="147"/>
  <c r="H51" i="147" s="1"/>
  <c r="AR36" i="147"/>
  <c r="L36" i="147"/>
  <c r="H36" i="147"/>
  <c r="V35" i="147" s="1"/>
  <c r="F36" i="147"/>
  <c r="I51" i="147" s="1"/>
  <c r="H33" i="147"/>
  <c r="AP32" i="147"/>
  <c r="AO32" i="147"/>
  <c r="AR31" i="147"/>
  <c r="G31" i="147"/>
  <c r="I31" i="147" s="1"/>
  <c r="I30" i="147"/>
  <c r="I29" i="147"/>
  <c r="I28" i="147"/>
  <c r="I27" i="147"/>
  <c r="I26" i="147"/>
  <c r="I25" i="147"/>
  <c r="I24" i="147"/>
  <c r="I23" i="147"/>
  <c r="I22" i="147"/>
  <c r="G22" i="147"/>
  <c r="T21" i="147"/>
  <c r="CM20" i="147"/>
  <c r="CL20" i="147"/>
  <c r="CK20" i="147"/>
  <c r="CF20" i="147"/>
  <c r="CE20" i="147"/>
  <c r="CD20" i="147"/>
  <c r="CC20" i="147"/>
  <c r="BX20" i="147"/>
  <c r="BW20" i="147"/>
  <c r="BV20" i="147"/>
  <c r="BU20" i="147"/>
  <c r="CA20" i="147" s="1"/>
  <c r="CB20" i="147" s="1"/>
  <c r="BT20" i="147"/>
  <c r="BS20" i="147"/>
  <c r="BR20" i="147"/>
  <c r="BQ20" i="147"/>
  <c r="BP20" i="147"/>
  <c r="BI20" i="147"/>
  <c r="BH20" i="147"/>
  <c r="BG20" i="147"/>
  <c r="BB20" i="147"/>
  <c r="AW20" i="147"/>
  <c r="AU20" i="147"/>
  <c r="AM20" i="147"/>
  <c r="G20" i="147"/>
  <c r="F21" i="147" s="1"/>
  <c r="V19" i="147"/>
  <c r="T19" i="147"/>
  <c r="I19" i="147"/>
  <c r="V16" i="147"/>
  <c r="V20" i="147" s="1"/>
  <c r="AD15" i="147"/>
  <c r="I15" i="147"/>
  <c r="H15" i="147"/>
  <c r="L14" i="147"/>
  <c r="I14" i="147"/>
  <c r="AE13" i="147"/>
  <c r="AD16" i="147" s="1"/>
  <c r="AD13" i="147"/>
  <c r="I13" i="147"/>
  <c r="H13" i="147"/>
  <c r="V12" i="147" s="1"/>
  <c r="BD12" i="147"/>
  <c r="AY12" i="147"/>
  <c r="AX12" i="147"/>
  <c r="AW12" i="147"/>
  <c r="AV12" i="147"/>
  <c r="Y12" i="147"/>
  <c r="AD11" i="147"/>
  <c r="I10" i="147"/>
  <c r="H10" i="147"/>
  <c r="U9" i="147"/>
  <c r="T9" i="147"/>
  <c r="V9" i="147" s="1"/>
  <c r="R9" i="147"/>
  <c r="O9" i="147"/>
  <c r="L9" i="147"/>
  <c r="K9" i="147"/>
  <c r="V13" i="147" s="1"/>
  <c r="I9" i="147"/>
  <c r="H9" i="147"/>
  <c r="AH8" i="147"/>
  <c r="AH9" i="147" s="1"/>
  <c r="AB8" i="147"/>
  <c r="AC8" i="147" s="1"/>
  <c r="U8" i="147"/>
  <c r="R8" i="147"/>
  <c r="L8" i="147"/>
  <c r="K8" i="147"/>
  <c r="AM21" i="147" s="1"/>
  <c r="AN20" i="147" s="1"/>
  <c r="H8" i="147"/>
  <c r="AL3" i="147"/>
  <c r="P3" i="147"/>
  <c r="P4" i="147" s="1"/>
  <c r="H276" i="166" a="1"/>
  <c r="H276" i="166" l="1"/>
  <c r="CU20" i="147"/>
  <c r="I64" i="147"/>
  <c r="I33" i="147"/>
  <c r="I41" i="147"/>
  <c r="BE20" i="147"/>
  <c r="BF20" i="147"/>
  <c r="CN20" i="147" s="1"/>
  <c r="CO20" i="147" s="1"/>
  <c r="CR20" i="147"/>
  <c r="AT104" i="147" s="1"/>
  <c r="H64" i="147"/>
  <c r="I70" i="147"/>
  <c r="I72" i="147"/>
  <c r="F84" i="147"/>
  <c r="F88" i="147" s="1"/>
  <c r="BB12" i="147"/>
  <c r="I80" i="147"/>
  <c r="I78" i="147"/>
  <c r="BA12" i="147"/>
  <c r="I46" i="147"/>
  <c r="I45" i="147"/>
  <c r="I44" i="147"/>
  <c r="I43" i="147"/>
  <c r="AA9" i="147"/>
  <c r="X9" i="147"/>
  <c r="I21" i="147"/>
  <c r="I20" i="147"/>
  <c r="U58" i="147"/>
  <c r="U59" i="147" s="1"/>
  <c r="O8" i="147"/>
  <c r="W11" i="147" s="1"/>
  <c r="AM3" i="147"/>
  <c r="BD20" i="147"/>
  <c r="I36" i="147"/>
  <c r="V42" i="147"/>
  <c r="N54" i="147"/>
  <c r="N55" i="147" s="1"/>
  <c r="AN3" i="147"/>
  <c r="Y42" i="147"/>
  <c r="AG12" i="147"/>
  <c r="AM10" i="147"/>
  <c r="AN10" i="147" s="1"/>
  <c r="AO10" i="147" s="1"/>
  <c r="T8" i="147"/>
  <c r="V8" i="147" s="1"/>
  <c r="V36" i="147"/>
  <c r="I84" i="147" l="1"/>
  <c r="G88" i="147"/>
  <c r="X8" i="147"/>
  <c r="AA8" i="147"/>
  <c r="AD8" i="147" s="1"/>
  <c r="AH12" i="147"/>
  <c r="AG13" i="147"/>
  <c r="F98" i="147" l="1"/>
  <c r="G98" i="147" s="1"/>
  <c r="I88" i="147"/>
  <c r="L104" i="146"/>
  <c r="K103" i="146"/>
  <c r="H92" i="146"/>
  <c r="L77" i="146"/>
  <c r="DQ8" i="146" s="1"/>
  <c r="I77" i="146"/>
  <c r="CZ8" i="146" s="1"/>
  <c r="D66" i="146"/>
  <c r="L60" i="146"/>
  <c r="BZ8" i="146" s="1"/>
  <c r="L56" i="146"/>
  <c r="CF8" i="146" s="1"/>
  <c r="H61" i="146"/>
  <c r="H59" i="146"/>
  <c r="H58" i="146"/>
  <c r="H55" i="146"/>
  <c r="H36" i="146"/>
  <c r="H37" i="146"/>
  <c r="H41" i="146"/>
  <c r="H33" i="146"/>
  <c r="H15" i="146"/>
  <c r="H13" i="146"/>
  <c r="H98" i="146"/>
  <c r="AL86" i="146"/>
  <c r="AI86" i="146"/>
  <c r="AI85" i="146"/>
  <c r="AL85" i="146" s="1"/>
  <c r="AN84" i="146"/>
  <c r="AI84" i="146"/>
  <c r="AL83" i="146" s="1"/>
  <c r="AI83" i="146"/>
  <c r="O80" i="146"/>
  <c r="O78" i="146"/>
  <c r="O72" i="146"/>
  <c r="G72" i="146"/>
  <c r="F78" i="146" s="1"/>
  <c r="G78" i="146" s="1"/>
  <c r="O71" i="146"/>
  <c r="T61" i="146"/>
  <c r="G61" i="146"/>
  <c r="W60" i="146"/>
  <c r="X59" i="146"/>
  <c r="W59" i="146"/>
  <c r="I59" i="146"/>
  <c r="W58" i="146"/>
  <c r="T58" i="146"/>
  <c r="T59" i="146" s="1"/>
  <c r="I58" i="146"/>
  <c r="I57" i="146"/>
  <c r="F56" i="146"/>
  <c r="AS55" i="146"/>
  <c r="F55" i="146"/>
  <c r="I55" i="146" s="1"/>
  <c r="I54" i="146"/>
  <c r="AR49" i="146"/>
  <c r="AR50" i="146" s="1"/>
  <c r="G49" i="146"/>
  <c r="I49" i="146" s="1"/>
  <c r="I48" i="146"/>
  <c r="AP47" i="146"/>
  <c r="AO47" i="146"/>
  <c r="I47" i="146"/>
  <c r="G45" i="146"/>
  <c r="F46" i="146" s="1"/>
  <c r="I46" i="146" s="1"/>
  <c r="G43" i="146"/>
  <c r="F44" i="146" s="1"/>
  <c r="I43" i="146" s="1"/>
  <c r="AO42" i="146"/>
  <c r="AP42" i="146" s="1"/>
  <c r="I42" i="146"/>
  <c r="AR41" i="146"/>
  <c r="F41" i="146"/>
  <c r="I41" i="146" s="1"/>
  <c r="G40" i="146"/>
  <c r="AO37" i="146"/>
  <c r="AR36" i="146" s="1"/>
  <c r="L37" i="146"/>
  <c r="BE8" i="146" s="1"/>
  <c r="I37" i="146"/>
  <c r="L36" i="146"/>
  <c r="H51" i="146"/>
  <c r="F36" i="146"/>
  <c r="I36" i="146" s="1"/>
  <c r="AP32" i="146"/>
  <c r="AO32" i="146"/>
  <c r="AR31" i="146"/>
  <c r="G31" i="146"/>
  <c r="I33" i="146" s="1"/>
  <c r="I30" i="146"/>
  <c r="I29" i="146"/>
  <c r="I28" i="146"/>
  <c r="I27" i="146"/>
  <c r="I26" i="146"/>
  <c r="I25" i="146"/>
  <c r="I24" i="146"/>
  <c r="I23" i="146"/>
  <c r="I22" i="146"/>
  <c r="G22" i="146"/>
  <c r="T21" i="146"/>
  <c r="CU20" i="146"/>
  <c r="CM20" i="146"/>
  <c r="CL20" i="146"/>
  <c r="CK20" i="146"/>
  <c r="CF20" i="146"/>
  <c r="CE20" i="146"/>
  <c r="CD20" i="146"/>
  <c r="CC20" i="146"/>
  <c r="BX20" i="146"/>
  <c r="BW20" i="146"/>
  <c r="BV20" i="146"/>
  <c r="BU20" i="146"/>
  <c r="CA20" i="146" s="1"/>
  <c r="BT20" i="146"/>
  <c r="BS20" i="146"/>
  <c r="BR20" i="146"/>
  <c r="BQ20" i="146"/>
  <c r="BP20" i="146"/>
  <c r="BO20" i="146"/>
  <c r="BN20" i="146"/>
  <c r="BM20" i="146"/>
  <c r="BK20" i="146"/>
  <c r="BI20" i="146"/>
  <c r="BH20" i="146"/>
  <c r="BG20" i="146"/>
  <c r="BB20" i="146"/>
  <c r="BE20" i="146" s="1"/>
  <c r="AW20" i="146"/>
  <c r="BF20" i="146" s="1"/>
  <c r="AU20" i="146"/>
  <c r="G20" i="146"/>
  <c r="F21" i="146" s="1"/>
  <c r="V19" i="146"/>
  <c r="T19" i="146"/>
  <c r="I19" i="146"/>
  <c r="V16" i="146"/>
  <c r="V20" i="146" s="1"/>
  <c r="AD15" i="146"/>
  <c r="I15" i="146"/>
  <c r="L14" i="146"/>
  <c r="I14" i="146"/>
  <c r="AD13" i="146"/>
  <c r="AE13" i="146" s="1"/>
  <c r="AD16" i="146" s="1"/>
  <c r="I13" i="146"/>
  <c r="BD12" i="146"/>
  <c r="BA12" i="146"/>
  <c r="AY12" i="146"/>
  <c r="AX12" i="146"/>
  <c r="AW12" i="146"/>
  <c r="AV12" i="146"/>
  <c r="Y12" i="146"/>
  <c r="AD11" i="146"/>
  <c r="I10" i="146"/>
  <c r="H10" i="146"/>
  <c r="U9" i="146"/>
  <c r="V9" i="146" s="1"/>
  <c r="T9" i="146"/>
  <c r="R9" i="146"/>
  <c r="O9" i="146"/>
  <c r="L9" i="146"/>
  <c r="K9" i="146"/>
  <c r="V13" i="146" s="1"/>
  <c r="I9" i="146"/>
  <c r="H9" i="146"/>
  <c r="AH8" i="146"/>
  <c r="AH9" i="146" s="1"/>
  <c r="AC8" i="146"/>
  <c r="AB8" i="146"/>
  <c r="U8" i="146"/>
  <c r="R8" i="146"/>
  <c r="O8" i="146"/>
  <c r="L8" i="146"/>
  <c r="K8" i="146"/>
  <c r="AM3" i="146" s="1"/>
  <c r="H8" i="146"/>
  <c r="AL3" i="146"/>
  <c r="P3" i="146"/>
  <c r="P4" i="146" s="1"/>
  <c r="H275" i="166" a="1"/>
  <c r="H275" i="166" l="1"/>
  <c r="L103" i="147"/>
  <c r="L105" i="147"/>
  <c r="BE12" i="147"/>
  <c r="I98" i="147"/>
  <c r="AT105" i="147"/>
  <c r="I102" i="147"/>
  <c r="CB20" i="146"/>
  <c r="CN20" i="146" s="1"/>
  <c r="CO20" i="146" s="1"/>
  <c r="T8" i="146"/>
  <c r="V8" i="146" s="1"/>
  <c r="I64" i="146"/>
  <c r="I70" i="146"/>
  <c r="I71" i="146"/>
  <c r="CR20" i="146"/>
  <c r="AT104" i="146" s="1"/>
  <c r="F80" i="146"/>
  <c r="G80" i="146" s="1"/>
  <c r="I78" i="146"/>
  <c r="I72" i="146"/>
  <c r="I40" i="146"/>
  <c r="T60" i="146"/>
  <c r="H64" i="146"/>
  <c r="AM10" i="146"/>
  <c r="AN10" i="146" s="1"/>
  <c r="AO10" i="146" s="1"/>
  <c r="AM20" i="146"/>
  <c r="W11" i="146"/>
  <c r="AA9" i="146"/>
  <c r="X9" i="146"/>
  <c r="AA8" i="146"/>
  <c r="AD8" i="146" s="1"/>
  <c r="X8" i="146"/>
  <c r="I21" i="146"/>
  <c r="I20" i="146"/>
  <c r="I51" i="146"/>
  <c r="BD20" i="146"/>
  <c r="AP37" i="146"/>
  <c r="V42" i="146"/>
  <c r="N54" i="146"/>
  <c r="N55" i="146" s="1"/>
  <c r="AN3" i="146"/>
  <c r="Y42" i="146"/>
  <c r="I45" i="146"/>
  <c r="I61" i="146"/>
  <c r="AL84" i="146"/>
  <c r="V12" i="146"/>
  <c r="V36" i="146"/>
  <c r="AM21" i="146"/>
  <c r="AS49" i="146"/>
  <c r="I31" i="146"/>
  <c r="I44" i="146"/>
  <c r="AG12" i="146"/>
  <c r="U58" i="146"/>
  <c r="U59" i="146" s="1"/>
  <c r="V35" i="146"/>
  <c r="L106" i="147" l="1"/>
  <c r="F84" i="146"/>
  <c r="F88" i="146" s="1"/>
  <c r="BB12" i="146"/>
  <c r="I80" i="146"/>
  <c r="AN20" i="146"/>
  <c r="AH12" i="146"/>
  <c r="AG13" i="146"/>
  <c r="I84" i="146" l="1"/>
  <c r="G88" i="146"/>
  <c r="K4" i="4"/>
  <c r="K3" i="4"/>
  <c r="K2" i="4"/>
  <c r="F98" i="146" l="1"/>
  <c r="G98" i="146" s="1"/>
  <c r="I88" i="146"/>
  <c r="K19" i="4"/>
  <c r="AT105" i="146" l="1"/>
  <c r="L105" i="146"/>
  <c r="L103" i="146"/>
  <c r="I98" i="146"/>
  <c r="BE12" i="146"/>
  <c r="I102" i="146"/>
  <c r="J6" i="4"/>
  <c r="L4" i="4" s="1"/>
  <c r="L106" i="146" l="1"/>
  <c r="L2" i="4"/>
  <c r="M2" i="4" s="1"/>
  <c r="L3" i="4"/>
  <c r="M3" i="4" s="1"/>
  <c r="M4" i="4"/>
  <c r="J11" i="19" l="1"/>
  <c r="J7" i="19"/>
  <c r="K8" i="19" s="1"/>
  <c r="L20" i="19" l="1"/>
  <c r="K20" i="19"/>
  <c r="N17" i="19"/>
  <c r="P19" i="19" s="1"/>
  <c r="D7" i="19"/>
  <c r="D5" i="19"/>
  <c r="D8" i="19" l="1"/>
  <c r="D11" i="19" s="1"/>
  <c r="D14" i="19" s="1"/>
  <c r="F23" i="19" s="1"/>
  <c r="O19" i="19"/>
  <c r="Q20" i="19" s="1"/>
  <c r="Q19" i="19"/>
  <c r="F22" i="19" l="1"/>
  <c r="F24" i="19"/>
  <c r="F19" i="19"/>
  <c r="D13" i="19"/>
  <c r="F17" i="19"/>
  <c r="F18" i="19"/>
  <c r="F25" i="19"/>
  <c r="F20" i="19"/>
  <c r="F35" i="5" l="1"/>
  <c r="A35" i="5" s="1"/>
  <c r="B35" i="5" s="1"/>
  <c r="F36" i="5"/>
  <c r="A36" i="5" s="1"/>
  <c r="B36" i="5" s="1"/>
  <c r="F34" i="5"/>
  <c r="A34" i="5" s="1"/>
  <c r="B34" i="5" s="1"/>
  <c r="L21" i="5" l="1"/>
  <c r="L22" i="5"/>
  <c r="L23" i="5"/>
  <c r="L24" i="5"/>
  <c r="L25" i="5"/>
  <c r="L26" i="5"/>
  <c r="L27" i="5"/>
  <c r="L28" i="5"/>
  <c r="L29" i="5"/>
  <c r="L3" i="5"/>
  <c r="E3" i="4" l="1"/>
  <c r="L18" i="5" l="1"/>
  <c r="L19" i="5"/>
  <c r="L20" i="5"/>
  <c r="D26" i="5" l="1"/>
  <c r="D27" i="5"/>
  <c r="D28" i="5"/>
  <c r="D29" i="5" s="1"/>
  <c r="D30" i="5" s="1"/>
  <c r="D31" i="5" s="1"/>
  <c r="Q5" i="5" l="1"/>
  <c r="Q4" i="5"/>
  <c r="L4" i="5"/>
  <c r="L5" i="5"/>
  <c r="L6" i="5"/>
  <c r="L7" i="5"/>
  <c r="L8" i="5"/>
  <c r="L9" i="5"/>
  <c r="L10" i="5"/>
  <c r="L11" i="5"/>
  <c r="L12" i="5"/>
  <c r="L13" i="5"/>
  <c r="L14" i="5"/>
  <c r="L15" i="5"/>
  <c r="I14" i="18"/>
  <c r="I32" i="18"/>
  <c r="I31" i="18"/>
  <c r="K27" i="18"/>
  <c r="D7" i="18"/>
  <c r="C9" i="18" s="1"/>
  <c r="B12" i="18" s="1"/>
  <c r="D15" i="7"/>
  <c r="B16" i="7" s="1"/>
  <c r="E39" i="18"/>
  <c r="D15" i="18"/>
  <c r="B16" i="18" s="1"/>
  <c r="B23" i="1"/>
  <c r="B15" i="1"/>
  <c r="B19" i="1" s="1"/>
  <c r="B20" i="1" s="1"/>
  <c r="E16" i="1"/>
  <c r="E17" i="1"/>
  <c r="E18" i="1"/>
  <c r="C7" i="9"/>
  <c r="H7" i="9" s="1"/>
  <c r="L27" i="9"/>
  <c r="E24" i="9"/>
  <c r="E26" i="9" s="1"/>
  <c r="G24" i="9"/>
  <c r="G26" i="9" s="1"/>
  <c r="G27" i="9" s="1"/>
  <c r="L21" i="9"/>
  <c r="L22" i="9" s="1"/>
  <c r="I19" i="9"/>
  <c r="C153" i="17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C181" i="17" s="1"/>
  <c r="C182" i="17" s="1"/>
  <c r="C183" i="17" s="1"/>
  <c r="C184" i="17" s="1"/>
  <c r="C185" i="17" s="1"/>
  <c r="C186" i="17" s="1"/>
  <c r="C187" i="17" s="1"/>
  <c r="C188" i="17" s="1"/>
  <c r="C189" i="17" s="1"/>
  <c r="C190" i="17" s="1"/>
  <c r="C191" i="17" s="1"/>
  <c r="C192" i="17" s="1"/>
  <c r="C193" i="17" s="1"/>
  <c r="C194" i="17" s="1"/>
  <c r="C195" i="17" s="1"/>
  <c r="C196" i="17" s="1"/>
  <c r="C197" i="17" s="1"/>
  <c r="C198" i="17" s="1"/>
  <c r="C199" i="17" s="1"/>
  <c r="C200" i="17" s="1"/>
  <c r="C201" i="17" s="1"/>
  <c r="A153" i="17"/>
  <c r="A154" i="17" s="1"/>
  <c r="B152" i="17"/>
  <c r="C103" i="17"/>
  <c r="C104" i="17" s="1"/>
  <c r="C105" i="17" s="1"/>
  <c r="C106" i="17" s="1"/>
  <c r="C107" i="17" s="1"/>
  <c r="C108" i="17" s="1"/>
  <c r="C109" i="17" s="1"/>
  <c r="C110" i="17" s="1"/>
  <c r="C111" i="17" s="1"/>
  <c r="C112" i="17" s="1"/>
  <c r="C113" i="17" s="1"/>
  <c r="C114" i="17" s="1"/>
  <c r="C115" i="17" s="1"/>
  <c r="C116" i="17" s="1"/>
  <c r="C117" i="17" s="1"/>
  <c r="C118" i="17" s="1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A103" i="17"/>
  <c r="A104" i="17" s="1"/>
  <c r="B102" i="17"/>
  <c r="C53" i="17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C98" i="17" s="1"/>
  <c r="C99" i="17" s="1"/>
  <c r="C100" i="17" s="1"/>
  <c r="C101" i="17" s="1"/>
  <c r="A53" i="17"/>
  <c r="A54" i="17" s="1"/>
  <c r="B53" i="17"/>
  <c r="B52" i="17"/>
  <c r="C3" i="17"/>
  <c r="C4" i="17" s="1"/>
  <c r="C5" i="17" s="1"/>
  <c r="C6" i="17" s="1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7" i="17" s="1"/>
  <c r="C38" i="17" s="1"/>
  <c r="C39" i="17" s="1"/>
  <c r="C40" i="17" s="1"/>
  <c r="C41" i="17" s="1"/>
  <c r="C42" i="17" s="1"/>
  <c r="C43" i="17" s="1"/>
  <c r="C44" i="17" s="1"/>
  <c r="C45" i="17" s="1"/>
  <c r="C46" i="17" s="1"/>
  <c r="C47" i="17" s="1"/>
  <c r="C48" i="17" s="1"/>
  <c r="C49" i="17" s="1"/>
  <c r="C50" i="17" s="1"/>
  <c r="C51" i="17" s="1"/>
  <c r="A3" i="17"/>
  <c r="B3" i="17" s="1"/>
  <c r="B2" i="17"/>
  <c r="B103" i="17"/>
  <c r="I4" i="15"/>
  <c r="E4" i="15"/>
  <c r="H4" i="15" s="1"/>
  <c r="K4" i="15" s="1"/>
  <c r="E4" i="1"/>
  <c r="C31" i="15"/>
  <c r="D31" i="15" s="1"/>
  <c r="C10" i="13"/>
  <c r="C8" i="13"/>
  <c r="B8" i="13"/>
  <c r="O74" i="8"/>
  <c r="K22" i="12"/>
  <c r="K20" i="12"/>
  <c r="K21" i="12" s="1"/>
  <c r="D3" i="13"/>
  <c r="D2" i="13"/>
  <c r="D1" i="13"/>
  <c r="AC14" i="8"/>
  <c r="AC11" i="8"/>
  <c r="AC13" i="8" s="1"/>
  <c r="AD13" i="8" s="1"/>
  <c r="AA8" i="8"/>
  <c r="AB8" i="8" s="1"/>
  <c r="W56" i="8"/>
  <c r="V55" i="8"/>
  <c r="V56" i="8" s="1"/>
  <c r="W14" i="8"/>
  <c r="G7" i="12"/>
  <c r="H7" i="12"/>
  <c r="H18" i="12"/>
  <c r="F19" i="12"/>
  <c r="H19" i="12" s="1"/>
  <c r="C16" i="12"/>
  <c r="H16" i="12" s="1"/>
  <c r="C13" i="12"/>
  <c r="H13" i="12" s="1"/>
  <c r="C10" i="12"/>
  <c r="H10" i="12"/>
  <c r="C8" i="12"/>
  <c r="H8" i="12" s="1"/>
  <c r="G6" i="12"/>
  <c r="G5" i="12"/>
  <c r="G4" i="12"/>
  <c r="D29" i="11"/>
  <c r="G29" i="11" s="1"/>
  <c r="H29" i="11" s="1"/>
  <c r="D27" i="11"/>
  <c r="G27" i="11" s="1"/>
  <c r="H27" i="11" s="1"/>
  <c r="D26" i="11"/>
  <c r="G26" i="11" s="1"/>
  <c r="H26" i="11" s="1"/>
  <c r="F25" i="11"/>
  <c r="D25" i="11"/>
  <c r="F24" i="11"/>
  <c r="D24" i="11"/>
  <c r="D22" i="11"/>
  <c r="G22" i="11" s="1"/>
  <c r="H22" i="11" s="1"/>
  <c r="D21" i="11"/>
  <c r="G21" i="11" s="1"/>
  <c r="H21" i="11" s="1"/>
  <c r="F20" i="11"/>
  <c r="D20" i="11"/>
  <c r="D19" i="11"/>
  <c r="G19" i="11" s="1"/>
  <c r="H19" i="11" s="1"/>
  <c r="H18" i="11"/>
  <c r="F17" i="11"/>
  <c r="D17" i="11"/>
  <c r="H16" i="11"/>
  <c r="D15" i="11"/>
  <c r="G15" i="11" s="1"/>
  <c r="H15" i="11" s="1"/>
  <c r="D14" i="11"/>
  <c r="G14" i="11" s="1"/>
  <c r="H14" i="11" s="1"/>
  <c r="D13" i="11"/>
  <c r="G13" i="11" s="1"/>
  <c r="H13" i="11" s="1"/>
  <c r="D11" i="11"/>
  <c r="G11" i="11"/>
  <c r="H11" i="11" s="1"/>
  <c r="F10" i="11"/>
  <c r="D10" i="11"/>
  <c r="F9" i="11"/>
  <c r="D9" i="11"/>
  <c r="G9" i="11" s="1"/>
  <c r="H9" i="11" s="1"/>
  <c r="F7" i="11"/>
  <c r="D7" i="11"/>
  <c r="D6" i="11"/>
  <c r="G6" i="11" s="1"/>
  <c r="H6" i="11" s="1"/>
  <c r="D5" i="11"/>
  <c r="G5" i="11" s="1"/>
  <c r="H5" i="11" s="1"/>
  <c r="J91" i="8"/>
  <c r="C70" i="8"/>
  <c r="J36" i="8"/>
  <c r="J15" i="8"/>
  <c r="C15" i="9"/>
  <c r="H15" i="9" s="1"/>
  <c r="C12" i="9"/>
  <c r="H12" i="9" s="1"/>
  <c r="C9" i="9"/>
  <c r="H9" i="9" s="1"/>
  <c r="G6" i="9"/>
  <c r="G5" i="9"/>
  <c r="G4" i="9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8" i="10"/>
  <c r="U18" i="8"/>
  <c r="S55" i="8"/>
  <c r="S56" i="8" s="1"/>
  <c r="G39" i="8"/>
  <c r="J53" i="8"/>
  <c r="C75" i="8"/>
  <c r="S75" i="8" s="1"/>
  <c r="G84" i="8"/>
  <c r="C63" i="8"/>
  <c r="G64" i="8" s="1"/>
  <c r="G67" i="8" s="1"/>
  <c r="G78" i="8" s="1"/>
  <c r="C80" i="8"/>
  <c r="G56" i="8"/>
  <c r="G57" i="8"/>
  <c r="G32" i="8"/>
  <c r="G48" i="8"/>
  <c r="G52" i="8"/>
  <c r="G55" i="8"/>
  <c r="C58" i="8"/>
  <c r="G58" i="8" s="1"/>
  <c r="C67" i="8"/>
  <c r="D5" i="1"/>
  <c r="Q9" i="8"/>
  <c r="E37" i="7"/>
  <c r="G37" i="7" s="1"/>
  <c r="D7" i="7"/>
  <c r="C9" i="7" s="1"/>
  <c r="B12" i="7" s="1"/>
  <c r="E37" i="2"/>
  <c r="G37" i="2" s="1"/>
  <c r="D7" i="5"/>
  <c r="D5" i="5"/>
  <c r="E2" i="4"/>
  <c r="E5" i="4"/>
  <c r="C4" i="4"/>
  <c r="E4" i="4" s="1"/>
  <c r="D15" i="2"/>
  <c r="B16" i="2" s="1"/>
  <c r="D7" i="2"/>
  <c r="C9" i="2" s="1"/>
  <c r="D7" i="1"/>
  <c r="C24" i="1"/>
  <c r="C25" i="1" s="1"/>
  <c r="G24" i="11" l="1"/>
  <c r="H24" i="11" s="1"/>
  <c r="AC15" i="8"/>
  <c r="G61" i="8"/>
  <c r="G7" i="11"/>
  <c r="H7" i="11" s="1"/>
  <c r="B104" i="17"/>
  <c r="A105" i="17"/>
  <c r="B105" i="17" s="1"/>
  <c r="B153" i="17"/>
  <c r="J6" i="12"/>
  <c r="G20" i="11"/>
  <c r="H20" i="11" s="1"/>
  <c r="G25" i="11"/>
  <c r="H25" i="11" s="1"/>
  <c r="G10" i="11"/>
  <c r="H10" i="11" s="1"/>
  <c r="D16" i="18"/>
  <c r="S57" i="8"/>
  <c r="E6" i="4"/>
  <c r="E7" i="4" s="1"/>
  <c r="D8" i="1"/>
  <c r="G63" i="8"/>
  <c r="J6" i="9"/>
  <c r="J9" i="9"/>
  <c r="K9" i="9" s="1"/>
  <c r="H20" i="12"/>
  <c r="H21" i="12" s="1"/>
  <c r="B20" i="7"/>
  <c r="J5" i="9"/>
  <c r="J15" i="9"/>
  <c r="K15" i="9" s="1"/>
  <c r="J74" i="8" s="1"/>
  <c r="G17" i="11"/>
  <c r="H17" i="11" s="1"/>
  <c r="V57" i="8"/>
  <c r="A4" i="17"/>
  <c r="B4" i="17" s="1"/>
  <c r="B11" i="2"/>
  <c r="B19" i="2" s="1"/>
  <c r="B12" i="2"/>
  <c r="B20" i="2" s="1"/>
  <c r="C97" i="8"/>
  <c r="A55" i="17"/>
  <c r="B54" i="17"/>
  <c r="D9" i="1"/>
  <c r="D11" i="1" s="1"/>
  <c r="D22" i="1" s="1"/>
  <c r="D23" i="1" s="1"/>
  <c r="D24" i="1" s="1"/>
  <c r="D25" i="1" s="1"/>
  <c r="B11" i="7"/>
  <c r="B19" i="7" s="1"/>
  <c r="S58" i="8"/>
  <c r="J8" i="12"/>
  <c r="K8" i="12" s="1"/>
  <c r="J12" i="9"/>
  <c r="J7" i="9"/>
  <c r="K7" i="9" s="1"/>
  <c r="J7" i="12"/>
  <c r="K7" i="12" s="1"/>
  <c r="J13" i="12"/>
  <c r="K13" i="12" s="1"/>
  <c r="J10" i="12"/>
  <c r="K10" i="12" s="1"/>
  <c r="J5" i="12"/>
  <c r="J16" i="12"/>
  <c r="K16" i="12" s="1"/>
  <c r="J4" i="9"/>
  <c r="K12" i="9"/>
  <c r="J4" i="12"/>
  <c r="A155" i="17"/>
  <c r="B154" i="17"/>
  <c r="J20" i="9"/>
  <c r="J19" i="9"/>
  <c r="I20" i="9"/>
  <c r="B11" i="18"/>
  <c r="B19" i="18" s="1"/>
  <c r="B20" i="18"/>
  <c r="D8" i="5"/>
  <c r="D11" i="5" s="1"/>
  <c r="D14" i="5" s="1"/>
  <c r="E31" i="15"/>
  <c r="H31" i="15" s="1"/>
  <c r="I31" i="15" s="1"/>
  <c r="K31" i="15" s="1"/>
  <c r="I5" i="15"/>
  <c r="L4" i="15"/>
  <c r="M4" i="15" s="1"/>
  <c r="N4" i="15" s="1"/>
  <c r="O4" i="15" s="1"/>
  <c r="P4" i="15" s="1"/>
  <c r="A106" i="17" l="1"/>
  <c r="A5" i="17"/>
  <c r="A6" i="17" s="1"/>
  <c r="J69" i="8"/>
  <c r="D14" i="1"/>
  <c r="D15" i="1" s="1"/>
  <c r="J68" i="8"/>
  <c r="F23" i="1"/>
  <c r="F24" i="1" s="1"/>
  <c r="B5" i="17"/>
  <c r="B55" i="17"/>
  <c r="A56" i="17"/>
  <c r="B30" i="2"/>
  <c r="B25" i="2"/>
  <c r="B35" i="2"/>
  <c r="B155" i="17"/>
  <c r="A156" i="17"/>
  <c r="B34" i="2"/>
  <c r="B29" i="2"/>
  <c r="B24" i="2"/>
  <c r="B12" i="4"/>
  <c r="E8" i="4"/>
  <c r="F31" i="15"/>
  <c r="G31" i="15" s="1"/>
  <c r="J31" i="15" s="1"/>
  <c r="L31" i="15" s="1"/>
  <c r="M31" i="15" s="1"/>
  <c r="B106" i="17" l="1"/>
  <c r="A107" i="17"/>
  <c r="D18" i="1"/>
  <c r="F18" i="1" s="1"/>
  <c r="D17" i="1"/>
  <c r="F17" i="1" s="1"/>
  <c r="D16" i="1"/>
  <c r="F16" i="1" s="1"/>
  <c r="G16" i="1" s="1"/>
  <c r="H23" i="1"/>
  <c r="C9" i="8" s="1"/>
  <c r="B156" i="17"/>
  <c r="A157" i="17"/>
  <c r="B6" i="17"/>
  <c r="A7" i="17"/>
  <c r="B56" i="17"/>
  <c r="A57" i="17"/>
  <c r="B15" i="4"/>
  <c r="B13" i="4"/>
  <c r="B14" i="4"/>
  <c r="L16" i="5"/>
  <c r="F17" i="5"/>
  <c r="F18" i="5"/>
  <c r="C71" i="8"/>
  <c r="F19" i="5"/>
  <c r="D13" i="5"/>
  <c r="F15" i="1"/>
  <c r="B107" i="17" l="1"/>
  <c r="A108" i="17"/>
  <c r="D19" i="1"/>
  <c r="D20" i="1" s="1"/>
  <c r="H24" i="1"/>
  <c r="H25" i="1" s="1"/>
  <c r="G18" i="5"/>
  <c r="G17" i="5"/>
  <c r="G19" i="5"/>
  <c r="B57" i="17"/>
  <c r="A58" i="17"/>
  <c r="B7" i="17"/>
  <c r="A8" i="17"/>
  <c r="A158" i="17"/>
  <c r="B157" i="17"/>
  <c r="F20" i="5"/>
  <c r="J36" i="5" s="1"/>
  <c r="R37" i="5"/>
  <c r="Q37" i="5" s="1"/>
  <c r="I37" i="5"/>
  <c r="H36" i="5"/>
  <c r="C73" i="8"/>
  <c r="I38" i="5"/>
  <c r="H38" i="5"/>
  <c r="R38" i="5"/>
  <c r="Q38" i="5" s="1"/>
  <c r="H37" i="5"/>
  <c r="I36" i="5"/>
  <c r="R36" i="5"/>
  <c r="Q36" i="5" s="1"/>
  <c r="C72" i="8"/>
  <c r="U12" i="8"/>
  <c r="J14" i="8"/>
  <c r="C14" i="8" s="1"/>
  <c r="L14" i="8" s="1"/>
  <c r="J9" i="8"/>
  <c r="G15" i="1"/>
  <c r="H15" i="1"/>
  <c r="F19" i="1"/>
  <c r="A109" i="17" l="1"/>
  <c r="B108" i="17"/>
  <c r="G20" i="5"/>
  <c r="B58" i="17"/>
  <c r="A59" i="17"/>
  <c r="A9" i="17"/>
  <c r="B8" i="17"/>
  <c r="A159" i="17"/>
  <c r="B158" i="17"/>
  <c r="J37" i="5"/>
  <c r="J38" i="5"/>
  <c r="X12" i="8"/>
  <c r="C5" i="9" s="1"/>
  <c r="H5" i="9" s="1"/>
  <c r="K5" i="9" s="1"/>
  <c r="J20" i="8" s="1"/>
  <c r="S20" i="8" s="1"/>
  <c r="T9" i="8"/>
  <c r="C8" i="8"/>
  <c r="H19" i="1"/>
  <c r="H20" i="1" s="1"/>
  <c r="B23" i="7"/>
  <c r="U13" i="8"/>
  <c r="N9" i="8"/>
  <c r="C13" i="8"/>
  <c r="A110" i="17" l="1"/>
  <c r="B109" i="17"/>
  <c r="C5" i="12"/>
  <c r="H5" i="12" s="1"/>
  <c r="K5" i="12" s="1"/>
  <c r="C4" i="12"/>
  <c r="H4" i="12" s="1"/>
  <c r="K4" i="12" s="1"/>
  <c r="A160" i="17"/>
  <c r="B159" i="17"/>
  <c r="A60" i="17"/>
  <c r="B59" i="17"/>
  <c r="C4" i="9"/>
  <c r="H4" i="9" s="1"/>
  <c r="K4" i="9" s="1"/>
  <c r="J18" i="8" s="1"/>
  <c r="S18" i="8" s="1"/>
  <c r="B9" i="17"/>
  <c r="A10" i="17"/>
  <c r="B24" i="7"/>
  <c r="B25" i="7"/>
  <c r="Q8" i="8"/>
  <c r="U34" i="8"/>
  <c r="T8" i="8"/>
  <c r="J8" i="8"/>
  <c r="X40" i="8" s="1"/>
  <c r="S9" i="8"/>
  <c r="U9" i="8" s="1"/>
  <c r="J12" i="8"/>
  <c r="B23" i="18"/>
  <c r="A111" i="17" l="1"/>
  <c r="B110" i="17"/>
  <c r="B35" i="18"/>
  <c r="I39" i="18" s="1"/>
  <c r="B29" i="18"/>
  <c r="B10" i="17"/>
  <c r="A11" i="17"/>
  <c r="B60" i="17"/>
  <c r="A61" i="17"/>
  <c r="B160" i="17"/>
  <c r="A161" i="17"/>
  <c r="B25" i="18"/>
  <c r="I16" i="18"/>
  <c r="I37" i="18"/>
  <c r="B24" i="18"/>
  <c r="Z9" i="8"/>
  <c r="W9" i="8"/>
  <c r="C6" i="9"/>
  <c r="H6" i="9" s="1"/>
  <c r="K6" i="9" s="1"/>
  <c r="J43" i="8" s="1"/>
  <c r="C6" i="12"/>
  <c r="H6" i="12" s="1"/>
  <c r="K6" i="12" s="1"/>
  <c r="S8" i="8"/>
  <c r="U8" i="8" s="1"/>
  <c r="B28" i="7"/>
  <c r="U35" i="8"/>
  <c r="J56" i="8"/>
  <c r="B33" i="7" s="1"/>
  <c r="T55" i="8"/>
  <c r="U40" i="8"/>
  <c r="C35" i="8"/>
  <c r="J34" i="8" s="1"/>
  <c r="N8" i="8"/>
  <c r="B111" i="17" l="1"/>
  <c r="A112" i="17"/>
  <c r="I18" i="18"/>
  <c r="B36" i="18"/>
  <c r="B37" i="18"/>
  <c r="I17" i="18"/>
  <c r="I38" i="18"/>
  <c r="B30" i="18"/>
  <c r="B31" i="18"/>
  <c r="A62" i="17"/>
  <c r="B61" i="17"/>
  <c r="A12" i="17"/>
  <c r="B11" i="17"/>
  <c r="B161" i="17"/>
  <c r="A162" i="17"/>
  <c r="T56" i="8"/>
  <c r="B30" i="7"/>
  <c r="B29" i="7"/>
  <c r="W8" i="8"/>
  <c r="W10" i="8" s="1"/>
  <c r="Z8" i="8"/>
  <c r="AC8" i="8" s="1"/>
  <c r="U10" i="8"/>
  <c r="U15" i="8" s="1"/>
  <c r="U19" i="8" s="1"/>
  <c r="B35" i="7"/>
  <c r="B34" i="7"/>
  <c r="B112" i="17" l="1"/>
  <c r="A113" i="17"/>
  <c r="I19" i="18"/>
  <c r="B162" i="17"/>
  <c r="A163" i="17"/>
  <c r="B12" i="17"/>
  <c r="A13" i="17"/>
  <c r="B62" i="17"/>
  <c r="A63" i="17"/>
  <c r="V10" i="8"/>
  <c r="B113" i="17" l="1"/>
  <c r="A114" i="17"/>
  <c r="B13" i="17"/>
  <c r="A14" i="17"/>
  <c r="B163" i="17"/>
  <c r="A164" i="17"/>
  <c r="B63" i="17"/>
  <c r="A64" i="17"/>
  <c r="A115" i="17" l="1"/>
  <c r="B114" i="17"/>
  <c r="B14" i="17"/>
  <c r="A15" i="17"/>
  <c r="A165" i="17"/>
  <c r="B164" i="17"/>
  <c r="B64" i="17"/>
  <c r="A65" i="17"/>
  <c r="B115" i="17" l="1"/>
  <c r="A116" i="17"/>
  <c r="A66" i="17"/>
  <c r="B65" i="17"/>
  <c r="B165" i="17"/>
  <c r="A166" i="17"/>
  <c r="A16" i="17"/>
  <c r="B15" i="17"/>
  <c r="B116" i="17" l="1"/>
  <c r="A117" i="17"/>
  <c r="B16" i="17"/>
  <c r="A17" i="17"/>
  <c r="B166" i="17"/>
  <c r="A167" i="17"/>
  <c r="B66" i="17"/>
  <c r="A67" i="17"/>
  <c r="B117" i="17" l="1"/>
  <c r="A118" i="17"/>
  <c r="B67" i="17"/>
  <c r="A68" i="17"/>
  <c r="A168" i="17"/>
  <c r="B167" i="17"/>
  <c r="A18" i="17"/>
  <c r="B17" i="17"/>
  <c r="A119" i="17" l="1"/>
  <c r="B118" i="17"/>
  <c r="B168" i="17"/>
  <c r="A169" i="17"/>
  <c r="A69" i="17"/>
  <c r="B68" i="17"/>
  <c r="B18" i="17"/>
  <c r="A19" i="17"/>
  <c r="B119" i="17" l="1"/>
  <c r="A120" i="17"/>
  <c r="B19" i="17"/>
  <c r="A20" i="17"/>
  <c r="B169" i="17"/>
  <c r="A170" i="17"/>
  <c r="B69" i="17"/>
  <c r="A70" i="17"/>
  <c r="A121" i="17" l="1"/>
  <c r="B120" i="17"/>
  <c r="A71" i="17"/>
  <c r="B70" i="17"/>
  <c r="A171" i="17"/>
  <c r="B170" i="17"/>
  <c r="B20" i="17"/>
  <c r="A21" i="17"/>
  <c r="B121" i="17" l="1"/>
  <c r="A122" i="17"/>
  <c r="A22" i="17"/>
  <c r="B21" i="17"/>
  <c r="A172" i="17"/>
  <c r="B171" i="17"/>
  <c r="B71" i="17"/>
  <c r="A72" i="17"/>
  <c r="B122" i="17" l="1"/>
  <c r="A123" i="17"/>
  <c r="B72" i="17"/>
  <c r="A73" i="17"/>
  <c r="B172" i="17"/>
  <c r="A173" i="17"/>
  <c r="B22" i="17"/>
  <c r="A23" i="17"/>
  <c r="B123" i="17" l="1"/>
  <c r="A124" i="17"/>
  <c r="B73" i="17"/>
  <c r="A74" i="17"/>
  <c r="A174" i="17"/>
  <c r="B173" i="17"/>
  <c r="B23" i="17"/>
  <c r="A24" i="17"/>
  <c r="B124" i="17" l="1"/>
  <c r="A125" i="17"/>
  <c r="B24" i="17"/>
  <c r="A25" i="17"/>
  <c r="A175" i="17"/>
  <c r="B174" i="17"/>
  <c r="A75" i="17"/>
  <c r="B74" i="17"/>
  <c r="A126" i="17" l="1"/>
  <c r="B125" i="17"/>
  <c r="A76" i="17"/>
  <c r="B75" i="17"/>
  <c r="A26" i="17"/>
  <c r="B25" i="17"/>
  <c r="B175" i="17"/>
  <c r="A176" i="17"/>
  <c r="B126" i="17" l="1"/>
  <c r="A127" i="17"/>
  <c r="B176" i="17"/>
  <c r="A177" i="17"/>
  <c r="B76" i="17"/>
  <c r="A77" i="17"/>
  <c r="A27" i="17"/>
  <c r="B26" i="17"/>
  <c r="A128" i="17" l="1"/>
  <c r="B127" i="17"/>
  <c r="A178" i="17"/>
  <c r="B177" i="17"/>
  <c r="B77" i="17"/>
  <c r="A78" i="17"/>
  <c r="B27" i="17"/>
  <c r="A28" i="17"/>
  <c r="A129" i="17" l="1"/>
  <c r="B128" i="17"/>
  <c r="A29" i="17"/>
  <c r="B28" i="17"/>
  <c r="A79" i="17"/>
  <c r="B78" i="17"/>
  <c r="A179" i="17"/>
  <c r="B178" i="17"/>
  <c r="B129" i="17" l="1"/>
  <c r="A130" i="17"/>
  <c r="A180" i="17"/>
  <c r="B179" i="17"/>
  <c r="A30" i="17"/>
  <c r="B29" i="17"/>
  <c r="A80" i="17"/>
  <c r="B79" i="17"/>
  <c r="B130" i="17" l="1"/>
  <c r="A131" i="17"/>
  <c r="B80" i="17"/>
  <c r="A81" i="17"/>
  <c r="A31" i="17"/>
  <c r="B30" i="17"/>
  <c r="A181" i="17"/>
  <c r="B180" i="17"/>
  <c r="A132" i="17" l="1"/>
  <c r="B131" i="17"/>
  <c r="A182" i="17"/>
  <c r="B181" i="17"/>
  <c r="A32" i="17"/>
  <c r="B31" i="17"/>
  <c r="B81" i="17"/>
  <c r="A82" i="17"/>
  <c r="A133" i="17" l="1"/>
  <c r="B132" i="17"/>
  <c r="A83" i="17"/>
  <c r="B82" i="17"/>
  <c r="B32" i="17"/>
  <c r="A33" i="17"/>
  <c r="A183" i="17"/>
  <c r="B182" i="17"/>
  <c r="A134" i="17" l="1"/>
  <c r="B133" i="17"/>
  <c r="B33" i="17"/>
  <c r="A34" i="17"/>
  <c r="A184" i="17"/>
  <c r="B183" i="17"/>
  <c r="B83" i="17"/>
  <c r="A84" i="17"/>
  <c r="A135" i="17" l="1"/>
  <c r="B134" i="17"/>
  <c r="B84" i="17"/>
  <c r="A85" i="17"/>
  <c r="B34" i="17"/>
  <c r="A35" i="17"/>
  <c r="B184" i="17"/>
  <c r="A185" i="17"/>
  <c r="B135" i="17" l="1"/>
  <c r="A136" i="17"/>
  <c r="B185" i="17"/>
  <c r="A186" i="17"/>
  <c r="A36" i="17"/>
  <c r="B35" i="17"/>
  <c r="A86" i="17"/>
  <c r="B85" i="17"/>
  <c r="A137" i="17" l="1"/>
  <c r="B136" i="17"/>
  <c r="A187" i="17"/>
  <c r="B186" i="17"/>
  <c r="B86" i="17"/>
  <c r="A87" i="17"/>
  <c r="A37" i="17"/>
  <c r="B36" i="17"/>
  <c r="A138" i="17" l="1"/>
  <c r="B137" i="17"/>
  <c r="B87" i="17"/>
  <c r="A88" i="17"/>
  <c r="B37" i="17"/>
  <c r="A38" i="17"/>
  <c r="B187" i="17"/>
  <c r="A188" i="17"/>
  <c r="A139" i="17" l="1"/>
  <c r="B138" i="17"/>
  <c r="B188" i="17"/>
  <c r="A189" i="17"/>
  <c r="A89" i="17"/>
  <c r="B88" i="17"/>
  <c r="B38" i="17"/>
  <c r="A39" i="17"/>
  <c r="B139" i="17" l="1"/>
  <c r="A140" i="17"/>
  <c r="B39" i="17"/>
  <c r="A40" i="17"/>
  <c r="A190" i="17"/>
  <c r="B189" i="17"/>
  <c r="A90" i="17"/>
  <c r="B89" i="17"/>
  <c r="A141" i="17" l="1"/>
  <c r="B140" i="17"/>
  <c r="B90" i="17"/>
  <c r="A91" i="17"/>
  <c r="B40" i="17"/>
  <c r="A41" i="17"/>
  <c r="A191" i="17"/>
  <c r="B190" i="17"/>
  <c r="B141" i="17" l="1"/>
  <c r="A142" i="17"/>
  <c r="B191" i="17"/>
  <c r="A192" i="17"/>
  <c r="B41" i="17"/>
  <c r="A42" i="17"/>
  <c r="B91" i="17"/>
  <c r="A92" i="17"/>
  <c r="B142" i="17" l="1"/>
  <c r="A143" i="17"/>
  <c r="A93" i="17"/>
  <c r="B92" i="17"/>
  <c r="B192" i="17"/>
  <c r="A193" i="17"/>
  <c r="A43" i="17"/>
  <c r="B42" i="17"/>
  <c r="A144" i="17" l="1"/>
  <c r="B143" i="17"/>
  <c r="A194" i="17"/>
  <c r="B193" i="17"/>
  <c r="A44" i="17"/>
  <c r="B43" i="17"/>
  <c r="A94" i="17"/>
  <c r="B93" i="17"/>
  <c r="A145" i="17" l="1"/>
  <c r="B144" i="17"/>
  <c r="A95" i="17"/>
  <c r="B94" i="17"/>
  <c r="A45" i="17"/>
  <c r="B44" i="17"/>
  <c r="A195" i="17"/>
  <c r="B194" i="17"/>
  <c r="A146" i="17" l="1"/>
  <c r="B145" i="17"/>
  <c r="A96" i="17"/>
  <c r="B95" i="17"/>
  <c r="A196" i="17"/>
  <c r="B195" i="17"/>
  <c r="A46" i="17"/>
  <c r="B45" i="17"/>
  <c r="A147" i="17" l="1"/>
  <c r="B146" i="17"/>
  <c r="B196" i="17"/>
  <c r="A197" i="17"/>
  <c r="B46" i="17"/>
  <c r="A47" i="17"/>
  <c r="B96" i="17"/>
  <c r="A97" i="17"/>
  <c r="A148" i="17" l="1"/>
  <c r="B147" i="17"/>
  <c r="A98" i="17"/>
  <c r="B97" i="17"/>
  <c r="A198" i="17"/>
  <c r="B197" i="17"/>
  <c r="A48" i="17"/>
  <c r="B47" i="17"/>
  <c r="B148" i="17" l="1"/>
  <c r="A149" i="17"/>
  <c r="A199" i="17"/>
  <c r="B198" i="17"/>
  <c r="A49" i="17"/>
  <c r="B48" i="17"/>
  <c r="A99" i="17"/>
  <c r="B98" i="17"/>
  <c r="B149" i="17" l="1"/>
  <c r="A150" i="17"/>
  <c r="B199" i="17"/>
  <c r="A200" i="17"/>
  <c r="B99" i="17"/>
  <c r="A100" i="17"/>
  <c r="A50" i="17"/>
  <c r="B49" i="17"/>
  <c r="B150" i="17" l="1"/>
  <c r="A151" i="17"/>
  <c r="B151" i="17" s="1"/>
  <c r="B100" i="17"/>
  <c r="A101" i="17"/>
  <c r="B101" i="17" s="1"/>
  <c r="A201" i="17"/>
  <c r="B201" i="17" s="1"/>
  <c r="B200" i="17"/>
  <c r="A51" i="17"/>
  <c r="B51" i="17" s="1"/>
  <c r="B50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Hung, Nguyen (VietNam)</author>
  </authors>
  <commentList>
    <comment ref="L15" authorId="0" shapeId="0" xr:uid="{12BD8575-5F48-42F4-A687-A79F7CD53822}">
      <text>
        <r>
          <rPr>
            <sz val="9"/>
            <color indexed="81"/>
            <rFont val="Tahoma"/>
            <family val="2"/>
          </rPr>
          <t xml:space="preserve">Nhập số malt khi mashing được 5HL vào RC
</t>
        </r>
      </text>
    </comment>
    <comment ref="L83" authorId="1" shapeId="0" xr:uid="{39092F0F-B7F9-4C1B-8795-024FC811A634}">
      <text>
        <r>
          <rPr>
            <b/>
            <sz val="9"/>
            <color indexed="81"/>
            <rFont val="Tahoma"/>
            <family val="2"/>
          </rPr>
          <t xml:space="preserve">ZnSO₄ history
</t>
        </r>
        <r>
          <rPr>
            <sz val="9"/>
            <color indexed="81"/>
            <rFont val="Tahoma"/>
            <family val="2"/>
          </rPr>
          <t>- Updated 15 Mar 24
- Updated 23 Oct 24: increase 5%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Van, Dinh (VietNam)</author>
  </authors>
  <commentList>
    <comment ref="I13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Van, Dinh (VietNam):</t>
        </r>
        <r>
          <rPr>
            <sz val="9"/>
            <color indexed="81"/>
            <rFont val="Tahoma"/>
            <family val="2"/>
          </rPr>
          <t xml:space="preserve">
Anton paar hư, không có kết quả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Hung, Nguyen (VietNam)</author>
  </authors>
  <commentList>
    <comment ref="L15" authorId="0" shapeId="0" xr:uid="{D81C9938-6D3E-4094-B31B-EB38316ED5BA}">
      <text>
        <r>
          <rPr>
            <sz val="9"/>
            <color indexed="81"/>
            <rFont val="Tahoma"/>
            <family val="2"/>
          </rPr>
          <t xml:space="preserve">Nhập số malt khi mashing được 5HL vào RC
</t>
        </r>
      </text>
    </comment>
    <comment ref="L83" authorId="1" shapeId="0" xr:uid="{C080FF1E-9038-466E-9AAB-C014D8803E71}">
      <text>
        <r>
          <rPr>
            <b/>
            <sz val="9"/>
            <color indexed="81"/>
            <rFont val="Tahoma"/>
            <family val="2"/>
          </rPr>
          <t xml:space="preserve">ZnSO₄ history
</t>
        </r>
        <r>
          <rPr>
            <sz val="9"/>
            <color indexed="81"/>
            <rFont val="Tahoma"/>
            <family val="2"/>
          </rPr>
          <t>- Updated 15 Mar 24
- Updated 23 Oct 24: increase 5%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Hung, Nguyen (VietNam)</author>
  </authors>
  <commentList>
    <comment ref="L15" authorId="0" shapeId="0" xr:uid="{273AB362-8231-4171-B3C2-70A103DBF189}">
      <text>
        <r>
          <rPr>
            <sz val="9"/>
            <color indexed="81"/>
            <rFont val="Tahoma"/>
            <family val="2"/>
          </rPr>
          <t xml:space="preserve">Nhập số malt khi mashing được 5HL vào RC
</t>
        </r>
      </text>
    </comment>
    <comment ref="L83" authorId="1" shapeId="0" xr:uid="{8E9CDF1F-C2B7-401C-B5EF-CF8977AA43E6}">
      <text>
        <r>
          <rPr>
            <b/>
            <sz val="9"/>
            <color indexed="81"/>
            <rFont val="Tahoma"/>
            <family val="2"/>
          </rPr>
          <t xml:space="preserve">ZnSO₄ history
</t>
        </r>
        <r>
          <rPr>
            <sz val="9"/>
            <color indexed="81"/>
            <rFont val="Tahoma"/>
            <family val="2"/>
          </rPr>
          <t>- Updated 15 Mar 24
- Updated 23 Oct 24: increase 5%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Hung, Nguyen (VietNam)</author>
  </authors>
  <commentList>
    <comment ref="L15" authorId="0" shapeId="0" xr:uid="{D6443AF9-EDF8-4B2C-8298-EAE43646BA81}">
      <text>
        <r>
          <rPr>
            <sz val="9"/>
            <color indexed="81"/>
            <rFont val="Tahoma"/>
            <family val="2"/>
          </rPr>
          <t xml:space="preserve">Nhập số malt khi mashing được 5HL vào RC
</t>
        </r>
      </text>
    </comment>
    <comment ref="L83" authorId="1" shapeId="0" xr:uid="{89B1EE77-75D2-4DC6-9287-1778ACD7143F}">
      <text>
        <r>
          <rPr>
            <b/>
            <sz val="9"/>
            <color indexed="81"/>
            <rFont val="Tahoma"/>
            <family val="2"/>
          </rPr>
          <t xml:space="preserve">ZnSO₄ history
</t>
        </r>
        <r>
          <rPr>
            <sz val="9"/>
            <color indexed="81"/>
            <rFont val="Tahoma"/>
            <family val="2"/>
          </rPr>
          <t>- Updated 15 Mar 24
- Updated 23 Oct 24: increase 5%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Hung, Nguyen (VietNam)</author>
  </authors>
  <commentList>
    <comment ref="L15" authorId="0" shapeId="0" xr:uid="{D1582000-FE95-4C49-A41E-42496D6D936B}">
      <text>
        <r>
          <rPr>
            <sz val="9"/>
            <color indexed="81"/>
            <rFont val="Tahoma"/>
            <family val="2"/>
          </rPr>
          <t xml:space="preserve">Nhập số malt khi mashing được 5HL vào RC
</t>
        </r>
      </text>
    </comment>
    <comment ref="L83" authorId="1" shapeId="0" xr:uid="{6CA0F735-4CDD-49DF-A898-88CAC96B2EA2}">
      <text>
        <r>
          <rPr>
            <b/>
            <sz val="9"/>
            <color indexed="81"/>
            <rFont val="Tahoma"/>
            <family val="2"/>
          </rPr>
          <t xml:space="preserve">ZnSO₄ history
</t>
        </r>
        <r>
          <rPr>
            <sz val="9"/>
            <color indexed="81"/>
            <rFont val="Tahoma"/>
            <family val="2"/>
          </rPr>
          <t>- Updated 15 Mar 24
- Updated 23 Oct 24: increase 5%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Hung, Nguyen (VietNam)</author>
  </authors>
  <commentList>
    <comment ref="L15" authorId="0" shapeId="0" xr:uid="{F00A3474-1A0F-43F2-8736-D05B66E86E2E}">
      <text>
        <r>
          <rPr>
            <sz val="9"/>
            <color indexed="81"/>
            <rFont val="Tahoma"/>
            <family val="2"/>
          </rPr>
          <t xml:space="preserve">Nhập số malt khi mashing được 5HL vào RC
</t>
        </r>
      </text>
    </comment>
    <comment ref="L83" authorId="1" shapeId="0" xr:uid="{3CC066AB-B221-4A49-BEC9-B38A8DDE2302}">
      <text>
        <r>
          <rPr>
            <b/>
            <sz val="9"/>
            <color indexed="81"/>
            <rFont val="Tahoma"/>
            <family val="2"/>
          </rPr>
          <t xml:space="preserve">ZnSO₄ history
</t>
        </r>
        <r>
          <rPr>
            <sz val="9"/>
            <color indexed="81"/>
            <rFont val="Tahoma"/>
            <family val="2"/>
          </rPr>
          <t>- Updated 15 Mar 24
- Updated 23 Oct 24: increase 5%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<sst xmlns="http://schemas.openxmlformats.org/spreadsheetml/2006/main" count="4264" uniqueCount="1072">
  <si>
    <t>MANAGEMENT PILLAR</t>
  </si>
  <si>
    <t xml:space="preserve">Chapter </t>
  </si>
  <si>
    <t>3.5  Checklist</t>
  </si>
  <si>
    <t xml:space="preserve"> Version:V2.0</t>
  </si>
  <si>
    <t>Document Number</t>
  </si>
  <si>
    <t>Sheet 1 of 2</t>
  </si>
  <si>
    <t>Confidential</t>
  </si>
  <si>
    <t>Owner: Brewing Team leader</t>
  </si>
  <si>
    <t>Approved: Brewing manager</t>
  </si>
  <si>
    <t>Document History</t>
  </si>
  <si>
    <t>Version</t>
  </si>
  <si>
    <t>Date</t>
  </si>
  <si>
    <r>
      <t xml:space="preserve">Description of version
</t>
    </r>
    <r>
      <rPr>
        <sz val="10"/>
        <rFont val="Arial"/>
        <family val="2"/>
      </rPr>
      <t>Important changes since previous version</t>
    </r>
  </si>
  <si>
    <t>Author</t>
  </si>
  <si>
    <t>V1.0</t>
  </si>
  <si>
    <t>New version for Brew card</t>
  </si>
  <si>
    <t>Thai Lam Phat</t>
  </si>
  <si>
    <t>V2.0</t>
  </si>
  <si>
    <r>
      <t xml:space="preserve">Update:
1. Số Hop mới: Hercules 3.07; Willamete 2.72; Hallertau 2.98
2. Kẽm: đời 1-2 tăng từ 109.7 lên thành 120.7 do YCC 0h cao 
3. Air dosing: giảm từ 0.39 xuống 0.37 (để tăng ester)
4. YCC tank: sửa target từ 16-8tr/ml thành 16 </t>
    </r>
    <r>
      <rPr>
        <sz val="10"/>
        <rFont val="Calibri"/>
        <family val="2"/>
      </rPr>
      <t>±</t>
    </r>
    <r>
      <rPr>
        <sz val="10"/>
        <rFont val="Arial"/>
        <family val="2"/>
      </rPr>
      <t xml:space="preserve"> 0.5 tr/ml</t>
    </r>
  </si>
  <si>
    <t>Quý Nguyễn</t>
  </si>
  <si>
    <t>V3.0</t>
  </si>
  <si>
    <t>Start apply MSB:
1. Mashing: 
- Tăng malt từ 3616 lên 3800
- Gạo từu 1550 lên 16001. 
- Nước mashing gạo: tăng từ 35hl lên 36 hl
- Nước mashing malt: tăng từ 75hl lên 79 hl
2. Lauter Tun:
- Volume wort giảm từ 260 xuống 250
- Volume sparging: sparging 1: 120hl, sparging 2 70hl
3. Wort Kettle: 
- Start boil (30 mins): steam trên từ 1500 lên 1700; steam dưới từ 920 lên 1000
- Full boil 25 phút đầu: steam trên 750, steam dưới 450 (giá trị cũ steam trên 1800, steam dưới 1300)
- Full boil 20 phút sau: steam trên 1700, steam dưới 1100 (giá trị cũ steam trên 1800, steam dưới 1300)</t>
  </si>
  <si>
    <t>V4.0</t>
  </si>
  <si>
    <t>1. Hop:
% Hop Utilisation (SV/materials): tăng từ 36% lên 42%
%Efficiency SV/wort: tăng từ 50% lên 70%
Số hop: số cũ (3.17, 2.81, 3.08) ==&gt; số mới (3.0, 2.66, 2.91)
2. Zinc:
Số cũ (Đời 0 131.7, đời 1-2 120.7, đời 3-4 87.8, đời 5-8 82.4)
Số mới (Đời 0 131.7, đời 1-2 125, đời 3-4 100, đời 5-8 95)</t>
  </si>
  <si>
    <t xml:space="preserve">             BREW CARD - AB InBev Vietnam            </t>
  </si>
  <si>
    <t>Công</t>
  </si>
  <si>
    <t>Technician:</t>
  </si>
  <si>
    <t>Brand:</t>
  </si>
  <si>
    <t>Budweiser</t>
  </si>
  <si>
    <t>Brew no:</t>
  </si>
  <si>
    <t>WTGR RC</t>
  </si>
  <si>
    <t>WTGR MT</t>
  </si>
  <si>
    <t>WTGR Total</t>
  </si>
  <si>
    <t>Hưng</t>
  </si>
  <si>
    <t>Nhân</t>
  </si>
  <si>
    <t>Order:</t>
  </si>
  <si>
    <t>Batch:</t>
  </si>
  <si>
    <t>Date:</t>
  </si>
  <si>
    <t>CCT:</t>
  </si>
  <si>
    <t>Calculation</t>
  </si>
  <si>
    <t>Steam Usage Before Conversion</t>
  </si>
  <si>
    <t>Weak Wort Extract (Last Runnings)</t>
  </si>
  <si>
    <t>Lauter Tun Cycle Time</t>
  </si>
  <si>
    <t>1st Hops Addition - Time Before SOB</t>
  </si>
  <si>
    <t>2n Hops Addition - Time Before EOB</t>
  </si>
  <si>
    <t>Evap % - SOB to KF</t>
  </si>
  <si>
    <t>Evap % - KF to KO</t>
  </si>
  <si>
    <t>Evap % - SOB to KO</t>
  </si>
  <si>
    <t>Total Evap %  - Conventional Boiling</t>
  </si>
  <si>
    <t>Total Evap % - MSB</t>
  </si>
  <si>
    <t>Over foaming times</t>
  </si>
  <si>
    <t>Highest Steam  Pressure-Upper Calandria</t>
  </si>
  <si>
    <t>Highest Steam  Pressure-Lower Calandria</t>
  </si>
  <si>
    <t>Steam Used -</t>
  </si>
  <si>
    <t>Wort Stripper Outlet Temp</t>
  </si>
  <si>
    <t>Wort Aeration Mass Flow Rate</t>
  </si>
  <si>
    <t>Double Mass Flow  Rate Deviation</t>
  </si>
  <si>
    <t>Cold Wort Volume</t>
  </si>
  <si>
    <t>BH Hot time</t>
  </si>
  <si>
    <t>BH cyle time dev</t>
  </si>
  <si>
    <t>Step</t>
  </si>
  <si>
    <t>Description</t>
  </si>
  <si>
    <t>Qty/Vol.</t>
  </si>
  <si>
    <t>Time, min</t>
  </si>
  <si>
    <t>REMARKS</t>
  </si>
  <si>
    <t>Spec.</t>
  </si>
  <si>
    <t>Act.</t>
  </si>
  <si>
    <t>NOTE</t>
  </si>
  <si>
    <t>malt</t>
  </si>
  <si>
    <t>Malt Ratio</t>
  </si>
  <si>
    <t xml:space="preserve">Mash-In Time </t>
  </si>
  <si>
    <t>Grist/Water</t>
  </si>
  <si>
    <t>Gel Temp</t>
  </si>
  <si>
    <t>Gel Time</t>
  </si>
  <si>
    <t>Highest</t>
  </si>
  <si>
    <t>Boiling Time</t>
  </si>
  <si>
    <t>Highest Tempe</t>
  </si>
  <si>
    <t>Cycle Duration</t>
  </si>
  <si>
    <t>Mash-In Time</t>
  </si>
  <si>
    <t xml:space="preserve">Mash-In End Temp </t>
  </si>
  <si>
    <t>Protein Rest Temp</t>
  </si>
  <si>
    <t>Protein Rest Time</t>
  </si>
  <si>
    <t>Pumpback Temp</t>
  </si>
  <si>
    <t>Conversion Temp</t>
  </si>
  <si>
    <t>Conversion Time</t>
  </si>
  <si>
    <t>72*C Conversion Time</t>
  </si>
  <si>
    <t>Mash off Temp</t>
  </si>
  <si>
    <t>Mash Tun Cycle Time</t>
  </si>
  <si>
    <t>Vorlauf Duration</t>
  </si>
  <si>
    <t>Turbidity @Start Running</t>
  </si>
  <si>
    <t>First Wort Extract</t>
  </si>
  <si>
    <t>Last Hansel</t>
  </si>
  <si>
    <t>Weak Wort  Volume</t>
  </si>
  <si>
    <t xml:space="preserve">Deep Cut </t>
  </si>
  <si>
    <t>First Wort Volume</t>
  </si>
  <si>
    <t>Total Run off Volume</t>
  </si>
  <si>
    <t>Total Run off OG</t>
  </si>
  <si>
    <t>First Wort/ Total Water Volume</t>
  </si>
  <si>
    <t>First Wort/ Total Wort Volume</t>
  </si>
  <si>
    <t>OG GAP</t>
  </si>
  <si>
    <t>Run off Time</t>
  </si>
  <si>
    <t>Sparge Water Temp</t>
  </si>
  <si>
    <t>Boiling Before or After KF?</t>
  </si>
  <si>
    <t>Boiling Type</t>
  </si>
  <si>
    <t>SOB Volume</t>
  </si>
  <si>
    <t>Filling Temp@</t>
  </si>
  <si>
    <t>Kettle Full Volume</t>
  </si>
  <si>
    <t>Kettle Full Temp</t>
  </si>
  <si>
    <t>Tap to Start of Boil Time</t>
  </si>
  <si>
    <t>Boiling Time Before KF</t>
  </si>
  <si>
    <t>Boiling Time After KF</t>
  </si>
  <si>
    <t>Total Boiling Time</t>
  </si>
  <si>
    <t xml:space="preserve">Over Boiling Time </t>
  </si>
  <si>
    <t>Syrup Dose</t>
  </si>
  <si>
    <t>External Calandria</t>
  </si>
  <si>
    <t>Highest Temp</t>
  </si>
  <si>
    <t>Highest Pressure</t>
  </si>
  <si>
    <t>Steam Used - SOB-KO</t>
  </si>
  <si>
    <t>KO Extract</t>
  </si>
  <si>
    <t>KO Time</t>
  </si>
  <si>
    <t>Settling Time</t>
  </si>
  <si>
    <t>Settling Overtime</t>
  </si>
  <si>
    <t>Wort Zinc</t>
  </si>
  <si>
    <t>Cooling Time</t>
  </si>
  <si>
    <t>Cold Wort Temp</t>
  </si>
  <si>
    <t>Air Injection</t>
  </si>
  <si>
    <t>BH Hot time dev</t>
  </si>
  <si>
    <t>Total  BH cyle time</t>
  </si>
  <si>
    <t xml:space="preserve">Hot Severity Index </t>
  </si>
  <si>
    <t>Cold Wort OG</t>
  </si>
  <si>
    <t>Cold Wort pH</t>
  </si>
  <si>
    <t>Cal.</t>
  </si>
  <si>
    <t>Start</t>
  </si>
  <si>
    <t>End</t>
  </si>
  <si>
    <t xml:space="preserve">Cal. </t>
  </si>
  <si>
    <t>Temp conversion calculation</t>
    <phoneticPr fontId="39" type="noConversion"/>
  </si>
  <si>
    <t>DISCHARGE/MILLING</t>
  </si>
  <si>
    <t>Vol mass</t>
    <phoneticPr fontId="39" type="noConversion"/>
  </si>
  <si>
    <t>T, ᵒC</t>
  </si>
  <si>
    <t>Changed parameters</t>
  </si>
  <si>
    <t>Old</t>
  </si>
  <si>
    <t>New</t>
  </si>
  <si>
    <t>Silo</t>
  </si>
  <si>
    <t>Material weight diff.</t>
  </si>
  <si>
    <t>Waiting time</t>
  </si>
  <si>
    <t>Total Water to MT, HL</t>
  </si>
  <si>
    <t>m1</t>
  </si>
  <si>
    <t>Mash Tun</t>
    <phoneticPr fontId="39" type="noConversion"/>
  </si>
  <si>
    <t>Total water in LT after 1st wort</t>
  </si>
  <si>
    <t>Total water in LT after 2nd wort</t>
  </si>
  <si>
    <t>Total water in LT after weak wort</t>
  </si>
  <si>
    <t>Malt to RC (kg)</t>
  </si>
  <si>
    <t>Before</t>
  </si>
  <si>
    <t>MSB</t>
  </si>
  <si>
    <t>No</t>
  </si>
  <si>
    <t>NA</t>
  </si>
  <si>
    <t>Malt, kg</t>
    <phoneticPr fontId="39" type="noConversion"/>
  </si>
  <si>
    <t>Total Water to RC, HL</t>
  </si>
  <si>
    <t>m2</t>
  </si>
  <si>
    <t>Ceral cooker</t>
    <phoneticPr fontId="39" type="noConversion"/>
  </si>
  <si>
    <t>Số nước mong muốn còn lại trong LT</t>
  </si>
  <si>
    <t>Water mixing to MT (hl)</t>
  </si>
  <si>
    <t>Rice, Kg</t>
  </si>
  <si>
    <t>Check tỉ lệ hạt nghiền (Brew đầu trong tuần)</t>
  </si>
  <si>
    <t>Số nước thực tế còn lại trong LT</t>
  </si>
  <si>
    <t>Start of mash in time in rice cooker</t>
  </si>
  <si>
    <t>start of wort draw-off</t>
  </si>
  <si>
    <t>start of wort transfering from HV</t>
  </si>
  <si>
    <t xml:space="preserve">Start of Boiling time(SOB)                      </t>
  </si>
  <si>
    <t xml:space="preserve">Wort OG at Kettle full                    </t>
  </si>
  <si>
    <t>Kettle volume at Kettle full</t>
  </si>
  <si>
    <t xml:space="preserve">End of boiling time        </t>
  </si>
  <si>
    <t>wort OG at the end of boiling</t>
  </si>
  <si>
    <t>Kettle volume at the end of boiling</t>
  </si>
  <si>
    <t>End of wort cooling</t>
  </si>
  <si>
    <t>CEREAL COOKER</t>
    <phoneticPr fontId="39" type="noConversion"/>
  </si>
  <si>
    <t>Full boiling time (mins)</t>
  </si>
  <si>
    <r>
      <t>Water flush pipe (drain) (</t>
    </r>
    <r>
      <rPr>
        <b/>
        <sz val="9"/>
        <color theme="1"/>
        <rFont val="Arial"/>
        <family val="2"/>
      </rPr>
      <t>Only 1st brew</t>
    </r>
    <r>
      <rPr>
        <sz val="9"/>
        <color theme="1"/>
        <rFont val="Arial"/>
        <family val="2"/>
      </rPr>
      <t>)</t>
    </r>
  </si>
  <si>
    <t>Water flow rate, Hl/h</t>
    <phoneticPr fontId="39" type="noConversion"/>
  </si>
  <si>
    <t>Rice feeding speed, kg/min</t>
  </si>
  <si>
    <t>Mass of RC, kg</t>
  </si>
  <si>
    <t>Cold wort flow rate (hl/h)</t>
  </si>
  <si>
    <t>Rice mashing-in to Cereal cooker</t>
  </si>
  <si>
    <t>Water temp, ᵒC</t>
  </si>
  <si>
    <t>HL Water : 100kg grist</t>
  </si>
  <si>
    <t>WTGR (RC)</t>
  </si>
  <si>
    <t>Water push wort (from mixing to RC)</t>
  </si>
  <si>
    <t>Mashing-in temp., ᵒC</t>
  </si>
  <si>
    <t>WTGR (MT)</t>
  </si>
  <si>
    <t>Malt mashing-in to RC</t>
    <phoneticPr fontId="39" type="noConversion"/>
  </si>
  <si>
    <t>Malt Qty. mashing to RC, kg</t>
  </si>
  <si>
    <t>175-235</t>
  </si>
  <si>
    <t>Air (scfb)</t>
  </si>
  <si>
    <r>
      <t>Adding CaSO</t>
    </r>
    <r>
      <rPr>
        <sz val="12"/>
        <color theme="1"/>
        <rFont val="Calibri"/>
        <family val="2"/>
      </rPr>
      <t>₄</t>
    </r>
    <r>
      <rPr>
        <sz val="9"/>
        <color theme="1"/>
        <rFont val="Arial"/>
        <family val="2"/>
      </rPr>
      <t>, kg</t>
    </r>
  </si>
  <si>
    <t>Hardness correction</t>
  </si>
  <si>
    <t>pH correction</t>
  </si>
  <si>
    <t>Heating up to Gel</t>
    <phoneticPr fontId="39" type="noConversion"/>
  </si>
  <si>
    <t>Steam flow, kg/h</t>
  </si>
  <si>
    <t>Tính toán nhiệt</t>
  </si>
  <si>
    <t>Brew</t>
  </si>
  <si>
    <t>Malt, kg</t>
  </si>
  <si>
    <t>Ex Malt, %</t>
  </si>
  <si>
    <t>Moisture, %</t>
  </si>
  <si>
    <t>Malt dust, kg</t>
  </si>
  <si>
    <t>Ex dust, %</t>
  </si>
  <si>
    <t>Rice, kg</t>
  </si>
  <si>
    <t>Ex Rice, %</t>
  </si>
  <si>
    <t>Malt ratio, %</t>
  </si>
  <si>
    <t>Rice ratio, %</t>
  </si>
  <si>
    <t>kgE</t>
  </si>
  <si>
    <t>Ca RC, kg</t>
  </si>
  <si>
    <t>Ca MT, kg</t>
  </si>
  <si>
    <t>Ca WK, kg</t>
  </si>
  <si>
    <t>MgO, g</t>
  </si>
  <si>
    <t>Hekules iso, kg</t>
  </si>
  <si>
    <t>Her no iso, kg</t>
  </si>
  <si>
    <t>Rainer, kg</t>
  </si>
  <si>
    <t>Opal, kg</t>
  </si>
  <si>
    <t>H3PO4, L</t>
  </si>
  <si>
    <t>ZnSO4, g</t>
  </si>
  <si>
    <t>Vol, Hl</t>
  </si>
  <si>
    <t>Air dosing</t>
  </si>
  <si>
    <t>Vol Push thêm nước WK</t>
  </si>
  <si>
    <t xml:space="preserve">Ogfirst wort, oP                    </t>
  </si>
  <si>
    <t xml:space="preserve">OG cold wort, oP                    </t>
  </si>
  <si>
    <t>OG online</t>
  </si>
  <si>
    <t>Operator</t>
  </si>
  <si>
    <t>pH</t>
  </si>
  <si>
    <t>pH onl</t>
  </si>
  <si>
    <t>OG, %w/v</t>
  </si>
  <si>
    <t>Volume LT to WK</t>
  </si>
  <si>
    <t>OG last second wort</t>
  </si>
  <si>
    <t>OG Last Weak wort</t>
  </si>
  <si>
    <t>Vol WW</t>
  </si>
  <si>
    <t>Vol to LA system</t>
  </si>
  <si>
    <t>OG, oP</t>
  </si>
  <si>
    <t>KgE</t>
  </si>
  <si>
    <t>Steam RC, kg</t>
  </si>
  <si>
    <t>Steam MT, kg</t>
  </si>
  <si>
    <t>Stem WK, kg</t>
  </si>
  <si>
    <t>kgE loss</t>
  </si>
  <si>
    <t>% loss</t>
  </si>
  <si>
    <t>Evaporation rate, %</t>
  </si>
  <si>
    <t>Total Steam, kg</t>
  </si>
  <si>
    <t>Gel rest at T= 80 ± 0.5 ᵒC</t>
  </si>
  <si>
    <r>
      <t xml:space="preserve">Heated rate, </t>
    </r>
    <r>
      <rPr>
        <sz val="9"/>
        <color theme="1"/>
        <rFont val="Calibri"/>
        <family val="2"/>
      </rPr>
      <t>ΔT/min</t>
    </r>
  </si>
  <si>
    <t>0.8 - 1.2</t>
  </si>
  <si>
    <t>ᵒC/min</t>
  </si>
  <si>
    <t>Heating up to boil</t>
  </si>
  <si>
    <t>Rest at boiling T = 97 ± 0.5 ᵒC</t>
  </si>
  <si>
    <t>Heating up to 82ᵒC</t>
  </si>
  <si>
    <t>Heating speed,
ᵒC/min</t>
  </si>
  <si>
    <t>Rest at Temp = 82ᵒC</t>
  </si>
  <si>
    <t>Adding cold water to descrease to 74ᵒC</t>
  </si>
  <si>
    <t>Malt mashing-in to RC</t>
  </si>
  <si>
    <t>Temp. correction to 72ᵒC</t>
  </si>
  <si>
    <t>Rest at Temp = 72ᵒC</t>
  </si>
  <si>
    <t>Heating up to 86ᵒC</t>
  </si>
  <si>
    <t>Pumping mash to MT</t>
  </si>
  <si>
    <t>Total steam, kg</t>
  </si>
  <si>
    <t>RC</t>
  </si>
  <si>
    <t>Hot</t>
  </si>
  <si>
    <t>RC, temp</t>
  </si>
  <si>
    <t>RC, flow</t>
  </si>
  <si>
    <t>Brew flow</t>
  </si>
  <si>
    <t>Push water</t>
    <phoneticPr fontId="39" type="noConversion"/>
  </si>
  <si>
    <t>Rinsing</t>
    <phoneticPr fontId="39" type="noConversion"/>
  </si>
  <si>
    <t>Residence time in RC</t>
  </si>
  <si>
    <t>MASH TUN</t>
  </si>
  <si>
    <t>Water flush pipe (Only 1st brew)</t>
  </si>
  <si>
    <t>Malt feeding speed, kg/min</t>
  </si>
  <si>
    <t>MT</t>
  </si>
  <si>
    <t>MT, temp</t>
  </si>
  <si>
    <t>MT, flow</t>
  </si>
  <si>
    <t xml:space="preserve">Mashing-in to MT </t>
  </si>
  <si>
    <t>Water Temp., ᵒC</t>
  </si>
  <si>
    <t>Water push wort (from mixing to MT)</t>
  </si>
  <si>
    <t>Correction temp to T = 45ᵒC</t>
  </si>
  <si>
    <t>Holding at T = 46 ± 1 ᵒC</t>
  </si>
  <si>
    <t>LT, CCT thường</t>
  </si>
  <si>
    <t>Sparging, temp</t>
  </si>
  <si>
    <t>Receiving mash from Cereal cooker</t>
    <phoneticPr fontId="39" type="noConversion"/>
  </si>
  <si>
    <t>Mash received temp., ᵒC</t>
  </si>
  <si>
    <t>Temp. correction to T = 65.5 ᵒC</t>
  </si>
  <si>
    <t>Mass of MT, kg</t>
  </si>
  <si>
    <t>Rest at Temp = 65.5 ± 0.5 ᵒC</t>
  </si>
  <si>
    <t>pH mash, 65.5ᵒC (weekly)</t>
  </si>
  <si>
    <t>5.5 - 5.6</t>
  </si>
  <si>
    <t>Heating up to 71ᵒC</t>
  </si>
  <si>
    <t>Iodine test</t>
  </si>
  <si>
    <t>OK</t>
  </si>
  <si>
    <t>LT, MCS</t>
  </si>
  <si>
    <t>Rest at Temp = 72 ± 0.5 ᵒC</t>
  </si>
  <si>
    <t>Heating up to 75ᵒC</t>
  </si>
  <si>
    <t>Rest at Temp = 76ᵒC</t>
  </si>
  <si>
    <t>Pumping mash to LT</t>
  </si>
  <si>
    <t>pH tota</t>
  </si>
  <si>
    <t>Push water to LT</t>
    <phoneticPr fontId="39" type="noConversion"/>
  </si>
  <si>
    <t>pH Brew from utility</t>
  </si>
  <si>
    <t>pH hot brewing</t>
  </si>
  <si>
    <t>Residence time in MT</t>
  </si>
  <si>
    <t>LAUTER TUN</t>
  </si>
  <si>
    <t>Rinsing underlet volume</t>
  </si>
  <si>
    <t>Main wort - flow-rate, hl/h</t>
  </si>
  <si>
    <t>Intake mash from MT</t>
  </si>
  <si>
    <t>OG main wort, ᵒP</t>
  </si>
  <si>
    <t>&gt;20</t>
  </si>
  <si>
    <t>pH Brew</t>
  </si>
  <si>
    <t>Filling and circulation</t>
    <phoneticPr fontId="39" type="noConversion"/>
  </si>
  <si>
    <t>Sparging water temp., ᵒC</t>
  </si>
  <si>
    <t>Circulation until wort turbidity</t>
  </si>
  <si>
    <t>&lt;20EBC</t>
  </si>
  <si>
    <t>2nd wort flowrate, hl/h</t>
  </si>
  <si>
    <t xml:space="preserve">Lautering - first wort </t>
  </si>
  <si>
    <t>Visual check: filter bed</t>
  </si>
  <si>
    <t>Normal</t>
  </si>
  <si>
    <t>Dry</t>
  </si>
  <si>
    <t>Lautering 2nd wort + sparging</t>
  </si>
  <si>
    <t>Deep cut time</t>
  </si>
  <si>
    <t>&lt;3</t>
  </si>
  <si>
    <t>Average OG,  ᵒP</t>
  </si>
  <si>
    <t>Weak wort recovery</t>
    <phoneticPr fontId="39" type="noConversion"/>
  </si>
  <si>
    <t>Vol. sparging water 1, hl</t>
  </si>
  <si>
    <t>Spent grains discharge</t>
  </si>
  <si>
    <t>Vol. sparging water 2, hl</t>
  </si>
  <si>
    <t>Rinsing LT</t>
  </si>
  <si>
    <t>OG - after 2nd wort, ᵒP</t>
  </si>
  <si>
    <t>&lt;2.5</t>
  </si>
  <si>
    <t>Residence time in LT</t>
  </si>
  <si>
    <t>OG - weak wort, ᵒP</t>
  </si>
  <si>
    <t>&gt;1.0</t>
  </si>
  <si>
    <t>HOLDING VESSEL &amp; WORT PRE HEAT</t>
    <phoneticPr fontId="39" type="noConversion"/>
  </si>
  <si>
    <t>Filling from Lauter tun</t>
    <phoneticPr fontId="39" type="noConversion"/>
  </si>
  <si>
    <t>PHE temp in, ᵒC</t>
  </si>
  <si>
    <t>Starting to transfer to PHE at Vol</t>
  </si>
  <si>
    <t>Flow rate, HL/h</t>
  </si>
  <si>
    <t>PHE temp out &lt;170, ᵒC</t>
  </si>
  <si>
    <t>Push out Hot water to WK</t>
    <phoneticPr fontId="39" type="noConversion"/>
  </si>
  <si>
    <t>PHE temp out &gt;170, ᵒC</t>
  </si>
  <si>
    <t>WORT KETTLE</t>
  </si>
  <si>
    <t>Intake wort form Pre-run tank</t>
  </si>
  <si>
    <t>Steam flow rate, kg/h</t>
  </si>
  <si>
    <t>to 95ᵒC</t>
  </si>
  <si>
    <t>Heating to boiling temp.</t>
  </si>
  <si>
    <t>to 98.1ᵒC</t>
  </si>
  <si>
    <t>Start To Boil, T =  100 - 101 ᵒC</t>
  </si>
  <si>
    <t>Vol-SOB</t>
  </si>
  <si>
    <t>Steam up-valve, kg/h</t>
  </si>
  <si>
    <t>Steam low-valve, kg/h</t>
  </si>
  <si>
    <r>
      <t>Adding CaSO</t>
    </r>
    <r>
      <rPr>
        <sz val="12"/>
        <color theme="1"/>
        <rFont val="Cambria"/>
        <family val="1"/>
      </rPr>
      <t>₄</t>
    </r>
    <r>
      <rPr>
        <sz val="9"/>
        <color theme="1"/>
        <rFont val="Arial"/>
        <family val="2"/>
      </rPr>
      <t xml:space="preserve"> at start boliling, kg</t>
    </r>
  </si>
  <si>
    <t>Hop 1 dosing before SOB, min</t>
  </si>
  <si>
    <t>Steam Raise to Boil, kg</t>
  </si>
  <si>
    <t>Hop pellet Herkules 12.8% aa, kg</t>
  </si>
  <si>
    <t>Hop 2 dosing before EOB, min</t>
  </si>
  <si>
    <t>Steam SOB, kg</t>
  </si>
  <si>
    <t xml:space="preserve"> </t>
  </si>
  <si>
    <t>Hop Rainer 7.1% aa, kg</t>
  </si>
  <si>
    <t>Over Foam time</t>
  </si>
  <si>
    <t>OG Start boiling, ᵒP</t>
  </si>
  <si>
    <t>17.0 - 17.4</t>
  </si>
  <si>
    <t>Hop pellet Opal 8.6% aa, kg</t>
  </si>
  <si>
    <t>Temp. at Kettle full, ᵒC</t>
  </si>
  <si>
    <t>100-101</t>
  </si>
  <si>
    <t>Highest temp. of boiling, ᵒC</t>
  </si>
  <si>
    <t>&lt;101</t>
  </si>
  <si>
    <t>Kettle Full Boil 1, T = 100 - 101 ᵒC</t>
  </si>
  <si>
    <t>Vol-KF</t>
  </si>
  <si>
    <t>Kettle Full Boil 2, T = 100 - 101 ᵒC</t>
  </si>
  <si>
    <r>
      <t>Adding H</t>
    </r>
    <r>
      <rPr>
        <sz val="12"/>
        <color theme="1"/>
        <rFont val="Cambria"/>
        <family val="1"/>
      </rPr>
      <t>₃</t>
    </r>
    <r>
      <rPr>
        <sz val="9"/>
        <color theme="1"/>
        <rFont val="Arial"/>
        <family val="2"/>
      </rPr>
      <t>PO</t>
    </r>
    <r>
      <rPr>
        <sz val="12"/>
        <color theme="1"/>
        <rFont val="Cambria"/>
        <family val="1"/>
      </rPr>
      <t>₄</t>
    </r>
    <r>
      <rPr>
        <sz val="9"/>
        <color theme="1"/>
        <rFont val="Arial"/>
        <family val="2"/>
      </rPr>
      <t xml:space="preserve"> at Casting, L</t>
    </r>
  </si>
  <si>
    <r>
      <t>Zinc addition (ZnSO</t>
    </r>
    <r>
      <rPr>
        <sz val="14"/>
        <color theme="1"/>
        <rFont val="Calibri"/>
        <family val="2"/>
      </rPr>
      <t>₄</t>
    </r>
    <r>
      <rPr>
        <sz val="9"/>
        <color theme="1"/>
        <rFont val="Arial"/>
        <family val="2"/>
      </rPr>
      <t>.7H</t>
    </r>
    <r>
      <rPr>
        <sz val="14"/>
        <color theme="1"/>
        <rFont val="Calibri"/>
        <family val="2"/>
      </rPr>
      <t>₂</t>
    </r>
    <r>
      <rPr>
        <sz val="9"/>
        <color theme="1"/>
        <rFont val="Arial"/>
        <family val="2"/>
      </rPr>
      <t>O)</t>
    </r>
  </si>
  <si>
    <t>Đời 0:
Đời 1-2:</t>
  </si>
  <si>
    <t>160.2
152.0</t>
  </si>
  <si>
    <t>Đời 3-4: 
 Đời 5-8:</t>
  </si>
  <si>
    <t>121.6
 115.5</t>
  </si>
  <si>
    <t>Steam KF, kg</t>
  </si>
  <si>
    <t>Casting</t>
  </si>
  <si>
    <t>Vol-EOB</t>
  </si>
  <si>
    <t>OG End boil, ᵒP</t>
  </si>
  <si>
    <t>Rinsing to whirlpool</t>
  </si>
  <si>
    <t>pH wort - End boiling</t>
  </si>
  <si>
    <t>5.2 ± 0.2</t>
  </si>
  <si>
    <t>Residence time in WK</t>
  </si>
  <si>
    <t>WHIRLPOOL</t>
  </si>
  <si>
    <t>Whirlpool rest</t>
  </si>
  <si>
    <t>Wort cooling time</t>
  </si>
  <si>
    <t>Cold wort flowrate, hl/h</t>
  </si>
  <si>
    <t>Trub removal</t>
  </si>
  <si>
    <t>Rinsing</t>
  </si>
  <si>
    <t>OG CW online, ᵒP</t>
  </si>
  <si>
    <t>Residence time in WP</t>
  </si>
  <si>
    <t>FLASH EVAPORATION</t>
  </si>
  <si>
    <t>Extra evaporation volume</t>
  </si>
  <si>
    <t>WORT COOLER</t>
  </si>
  <si>
    <t>Ice water temperature, ᵒC</t>
  </si>
  <si>
    <t>Spec: 2 - 6ᵒC</t>
  </si>
  <si>
    <t>OG (Lab) cold wort, ᵒP</t>
  </si>
  <si>
    <t>17.75 - 18.25</t>
  </si>
  <si>
    <t>Pre-run</t>
  </si>
  <si>
    <t>pH cold wort</t>
  </si>
  <si>
    <t>5.25 - 5.65</t>
  </si>
  <si>
    <t>For only first brew</t>
    <phoneticPr fontId="39" type="noConversion"/>
  </si>
  <si>
    <t>Cooling at T = 11.5 ᵒC (nhiệt độ CCT)</t>
  </si>
  <si>
    <t>Temp cold wort, ᵒC</t>
  </si>
  <si>
    <t>Air dosing setting - 2.3 - 2.5 kg/h</t>
  </si>
  <si>
    <t>0.48 scfb</t>
  </si>
  <si>
    <t>Wort to CCT</t>
  </si>
  <si>
    <t>Temp CW,
Propagation brew</t>
  </si>
  <si>
    <t>cos tank</t>
  </si>
  <si>
    <t>caustic</t>
  </si>
  <si>
    <t>Air dosing consumption, kg</t>
  </si>
  <si>
    <t>Ca-content, ppm</t>
  </si>
  <si>
    <t>Post run</t>
  </si>
  <si>
    <r>
      <t>O</t>
    </r>
    <r>
      <rPr>
        <sz val="12"/>
        <color theme="1"/>
        <rFont val="Calibri"/>
        <family val="2"/>
      </rPr>
      <t>₂</t>
    </r>
    <r>
      <rPr>
        <sz val="9"/>
        <color theme="1"/>
        <rFont val="Arial"/>
        <family val="2"/>
      </rPr>
      <t xml:space="preserve"> - content, ppm</t>
    </r>
  </si>
  <si>
    <t>10.0 - 12.0</t>
  </si>
  <si>
    <t>Base on actual</t>
    <phoneticPr fontId="39" type="noConversion"/>
  </si>
  <si>
    <t>Total run length time, hrs</t>
  </si>
  <si>
    <t xml:space="preserve"> ± 0.2</t>
  </si>
  <si>
    <t xml:space="preserve">Supervisor checked: </t>
  </si>
  <si>
    <t>Note:</t>
  </si>
  <si>
    <r>
      <t>Yeast pitching rate (10</t>
    </r>
    <r>
      <rPr>
        <b/>
        <i/>
        <sz val="12"/>
        <color theme="1"/>
        <rFont val="Arial"/>
        <family val="2"/>
      </rPr>
      <t>⁶</t>
    </r>
    <r>
      <rPr>
        <b/>
        <i/>
        <sz val="11"/>
        <color theme="1"/>
        <rFont val="Arial"/>
        <family val="2"/>
      </rPr>
      <t>cell/ml):</t>
    </r>
  </si>
  <si>
    <t>19 - 21</t>
  </si>
  <si>
    <t>Brewhouse Cycle Time</t>
  </si>
  <si>
    <t>REMARKS:</t>
  </si>
  <si>
    <t>Evaporated rate</t>
  </si>
  <si>
    <t>Evaporated rate (CW)</t>
  </si>
  <si>
    <t>Brewhouse Hot Time</t>
  </si>
  <si>
    <t>New BH Hot time</t>
  </si>
  <si>
    <t>Hot Severity Index</t>
  </si>
  <si>
    <t>BREW CARD - AB InBev Vietnam</t>
    <phoneticPr fontId="39" type="noConversion"/>
  </si>
  <si>
    <r>
      <t>Brand:    Budweiser   - Brew no:</t>
    </r>
    <r>
      <rPr>
        <b/>
        <u/>
        <sz val="11"/>
        <color theme="1"/>
        <rFont val="Arial Unicode MS"/>
        <family val="2"/>
        <charset val="134"/>
      </rPr>
      <t xml:space="preserve">                          </t>
    </r>
    <phoneticPr fontId="39" type="noConversion"/>
  </si>
  <si>
    <t>Brewing section</t>
    <phoneticPr fontId="39" type="noConversion"/>
  </si>
  <si>
    <t>Technician:</t>
    <phoneticPr fontId="39" type="noConversion"/>
  </si>
  <si>
    <t>CCT no:</t>
    <phoneticPr fontId="39" type="noConversion"/>
  </si>
  <si>
    <t>Date:</t>
    <phoneticPr fontId="39" type="noConversion"/>
  </si>
  <si>
    <t>T, oC</t>
    <phoneticPr fontId="39" type="noConversion"/>
  </si>
  <si>
    <t>Silo:___</t>
  </si>
  <si>
    <t>Water to MT, HL</t>
  </si>
  <si>
    <t>Water to RC, HL</t>
  </si>
  <si>
    <t>Conversion Temp</t>
    <phoneticPr fontId="39" type="noConversion"/>
  </si>
  <si>
    <t>Push water from mixing vessle to cooker</t>
    <phoneticPr fontId="39" type="noConversion"/>
  </si>
  <si>
    <t>Rice mashing-in to Cereal cooker</t>
    <phoneticPr fontId="39" type="noConversion"/>
  </si>
  <si>
    <t>Water temp, oC</t>
    <phoneticPr fontId="39" type="noConversion"/>
  </si>
  <si>
    <t>Malt Qty. mashing to RC, KG</t>
  </si>
  <si>
    <t>Water Flow, Hl/hr</t>
  </si>
  <si>
    <t>Adding CaCl2</t>
    <phoneticPr fontId="39" type="noConversion"/>
  </si>
  <si>
    <t>CaCl2, KG</t>
    <phoneticPr fontId="39" type="noConversion"/>
  </si>
  <si>
    <t>Gel rest at T= 80oC</t>
    <phoneticPr fontId="39" type="noConversion"/>
  </si>
  <si>
    <t>pH mash</t>
  </si>
  <si>
    <t>5.6 - 5.8</t>
  </si>
  <si>
    <t>Heating up to boil @ 100oC</t>
    <phoneticPr fontId="39" type="noConversion"/>
  </si>
  <si>
    <t>Rest at boiling @ 100oC</t>
    <phoneticPr fontId="39" type="noConversion"/>
  </si>
  <si>
    <t>Heating up to 82oC</t>
  </si>
  <si>
    <t>Heating speed,
oC/min</t>
  </si>
  <si>
    <t>Rest at Temp = 82oC</t>
  </si>
  <si>
    <t>Adding cold water to descrease to 74oC</t>
  </si>
  <si>
    <t>Temp. correction to 72oC</t>
  </si>
  <si>
    <t>Rest at Temp = 72oC</t>
  </si>
  <si>
    <t>Heating up to 86oC</t>
  </si>
  <si>
    <t>Push water from mixing vessle to MT</t>
    <phoneticPr fontId="39" type="noConversion"/>
  </si>
  <si>
    <t>Mashing-in Temp., oC</t>
  </si>
  <si>
    <t>CaCl2 to MT, KG</t>
  </si>
  <si>
    <t>Correction temp to T = 44oC</t>
    <phoneticPr fontId="39" type="noConversion"/>
  </si>
  <si>
    <t>Holding at T = 44oC</t>
    <phoneticPr fontId="39" type="noConversion"/>
  </si>
  <si>
    <t>Temp:</t>
  </si>
  <si>
    <r>
      <t xml:space="preserve">Temp. correction to </t>
    </r>
    <r>
      <rPr>
        <b/>
        <sz val="9"/>
        <color indexed="63"/>
        <rFont val="Arial"/>
        <family val="2"/>
      </rPr>
      <t>T = 65.5 oC</t>
    </r>
    <phoneticPr fontId="39" type="noConversion"/>
  </si>
  <si>
    <t>Rest at Temp = 65.5 oC</t>
    <phoneticPr fontId="39" type="noConversion"/>
  </si>
  <si>
    <t>pH mash, 65.5oC</t>
    <phoneticPr fontId="39" type="noConversion"/>
  </si>
  <si>
    <t>Check Saccharification</t>
  </si>
  <si>
    <t>Heating up to 76oC</t>
  </si>
  <si>
    <t>Rest at Temp = 76oC</t>
  </si>
  <si>
    <t>Temp
HWT</t>
  </si>
  <si>
    <t>OG main wort, oP</t>
  </si>
  <si>
    <t>pH:</t>
  </si>
  <si>
    <t>Sparging water flowrate, hl/h</t>
  </si>
  <si>
    <r>
      <t xml:space="preserve">Circulation until wort turbidity </t>
    </r>
    <r>
      <rPr>
        <b/>
        <sz val="9"/>
        <color indexed="63"/>
        <rFont val="Arial"/>
        <family val="2"/>
      </rPr>
      <t>&lt; 10 EBC</t>
    </r>
  </si>
  <si>
    <t>2nd wort lautering flowrate, hl/h</t>
  </si>
  <si>
    <r>
      <t xml:space="preserve">Normal   </t>
    </r>
    <r>
      <rPr>
        <sz val="12"/>
        <color indexed="63"/>
        <rFont val="Wingdings"/>
        <charset val="2"/>
      </rPr>
      <t>o</t>
    </r>
    <r>
      <rPr>
        <sz val="9"/>
        <color indexed="63"/>
        <rFont val="Symbol"/>
        <family val="1"/>
        <charset val="2"/>
      </rPr>
      <t xml:space="preserve">   </t>
    </r>
    <r>
      <rPr>
        <sz val="9"/>
        <color indexed="63"/>
        <rFont val="Arial"/>
        <family val="2"/>
        <charset val="163"/>
      </rPr>
      <t>Dry</t>
    </r>
    <r>
      <rPr>
        <sz val="9"/>
        <color indexed="63"/>
        <rFont val="Symbol"/>
        <family val="1"/>
        <charset val="2"/>
      </rPr>
      <t xml:space="preserve">    </t>
    </r>
    <r>
      <rPr>
        <sz val="12"/>
        <color indexed="63"/>
        <rFont val="Wingdings"/>
        <charset val="2"/>
      </rPr>
      <t>o</t>
    </r>
  </si>
  <si>
    <t>Vol. - sparging water 1, hl</t>
    <phoneticPr fontId="39" type="noConversion"/>
  </si>
  <si>
    <t>Final draw off</t>
    <phoneticPr fontId="39" type="noConversion"/>
  </si>
  <si>
    <t>Temp (oC) of sparging water</t>
    <phoneticPr fontId="39" type="noConversion"/>
  </si>
  <si>
    <t>Vol. - sparging water 2, hl</t>
    <phoneticPr fontId="39" type="noConversion"/>
  </si>
  <si>
    <t>OG - lasr runt, oP</t>
  </si>
  <si>
    <t>&gt;1.0</t>
    <phoneticPr fontId="39" type="noConversion"/>
  </si>
  <si>
    <t>pH-last run</t>
  </si>
  <si>
    <t>&lt;6.0</t>
  </si>
  <si>
    <t xml:space="preserve">pH-sparge </t>
  </si>
  <si>
    <t>6.6 - 7.0</t>
  </si>
  <si>
    <t>Starting to transfer to PHE at Vol 170HL</t>
  </si>
  <si>
    <t>PHE temp in, oC</t>
    <phoneticPr fontId="39" type="noConversion"/>
  </si>
  <si>
    <t>PHE temp out, oC</t>
    <phoneticPr fontId="39" type="noConversion"/>
  </si>
  <si>
    <t>Boiling 1</t>
  </si>
  <si>
    <t>Adding CaCl2 at start boliling, kg</t>
    <phoneticPr fontId="39" type="noConversion"/>
  </si>
  <si>
    <t>Evaporation rate, % vol. /h</t>
  </si>
  <si>
    <t>Hop Magnum dosing at startof boiling, kg</t>
  </si>
  <si>
    <t>OG wort - Start boiling</t>
  </si>
  <si>
    <t>Hop Willamette dosing 10 mins after start of boiling, kg</t>
  </si>
  <si>
    <t>pH wort - Start boiling</t>
  </si>
  <si>
    <t>Hop Mittelfruh dosing 20 mins after start of boiling, kg</t>
  </si>
  <si>
    <t>Boiling 2 - from kettle full</t>
  </si>
  <si>
    <t>Adding Zinc solution 5 mins before end of boiling, mL</t>
  </si>
  <si>
    <t>OG casting, oP</t>
  </si>
  <si>
    <t>OG whirlpool, oP</t>
  </si>
  <si>
    <t>FAN</t>
  </si>
  <si>
    <t>200 - 300</t>
  </si>
  <si>
    <t>Colour EBC</t>
  </si>
  <si>
    <t>BH yield</t>
  </si>
  <si>
    <t>&gt;97</t>
  </si>
  <si>
    <t>LE</t>
  </si>
  <si>
    <t>Ice water temperature, oC</t>
  </si>
  <si>
    <t>Spec: 2 - 6oC</t>
  </si>
  <si>
    <t>OG (Lab) cold wort, oP</t>
  </si>
  <si>
    <t>14.8 - 15.2</t>
  </si>
  <si>
    <t>Cooling at T = 11 oC</t>
    <phoneticPr fontId="39" type="noConversion"/>
  </si>
  <si>
    <t>Temp cold wort,
oC</t>
  </si>
  <si>
    <t>Air dosing setting - 1.92kg air/brew</t>
  </si>
  <si>
    <t>Wort to CCT_______</t>
  </si>
  <si>
    <t>Check Temp. during wort cooling</t>
  </si>
  <si>
    <t>O2 - content, ppm</t>
  </si>
  <si>
    <t>16 - 17</t>
    <phoneticPr fontId="39" type="noConversion"/>
  </si>
  <si>
    <t>Supervisor checked:</t>
  </si>
  <si>
    <t>Yeast pitching: air contact time from 2 - 2.5hrs</t>
    <phoneticPr fontId="39" type="noConversion"/>
  </si>
  <si>
    <t>DO cold wort: offline meter, need to be verified in CCT</t>
    <phoneticPr fontId="39" type="noConversion"/>
  </si>
  <si>
    <t>Total run length time, hrs:</t>
    <phoneticPr fontId="39" type="noConversion"/>
  </si>
  <si>
    <t>BREWHOUSE DIAGRAM - BUDWEISER</t>
  </si>
  <si>
    <t>1. Mashing diagram:</t>
  </si>
  <si>
    <t>Time</t>
  </si>
  <si>
    <t>Rice cooker, oC</t>
  </si>
  <si>
    <t>Mash tun, oC</t>
  </si>
  <si>
    <t>2. Lautering &amp; Wort kettle diagram</t>
  </si>
  <si>
    <t>Lauter tun</t>
  </si>
  <si>
    <t>Wort kettle</t>
  </si>
  <si>
    <t>Hot water tank</t>
  </si>
  <si>
    <t>Brew water tank</t>
  </si>
  <si>
    <t>Chilled water tank</t>
  </si>
  <si>
    <t>Brew size, HL</t>
  </si>
  <si>
    <t>Steam comsumption, kg</t>
  </si>
  <si>
    <t>Actual, kg</t>
  </si>
  <si>
    <t>Ref.:</t>
  </si>
  <si>
    <t>V.BR.REC.01.01</t>
  </si>
  <si>
    <t>Revision:</t>
  </si>
  <si>
    <t>Eff. date:</t>
  </si>
  <si>
    <t>Reviewed date:</t>
  </si>
  <si>
    <t>Brewery</t>
  </si>
  <si>
    <t>AB InBev VN</t>
  </si>
  <si>
    <t>Brand</t>
  </si>
  <si>
    <t>Cold wort volume required</t>
  </si>
  <si>
    <t>OE cold wort, oP</t>
  </si>
  <si>
    <t>OE cold wort, %W / V</t>
  </si>
  <si>
    <t>OE final product, oP</t>
  </si>
  <si>
    <t>OE final product, %w/v</t>
  </si>
  <si>
    <t>% HG</t>
  </si>
  <si>
    <t>kg E</t>
  </si>
  <si>
    <t xml:space="preserve">Allowed loss </t>
  </si>
  <si>
    <t>REQUIRED kgE</t>
  </si>
  <si>
    <t xml:space="preserve">Malt to </t>
  </si>
  <si>
    <t>REQUIRED</t>
  </si>
  <si>
    <t>ACTUAL</t>
  </si>
  <si>
    <t xml:space="preserve">Adjunct ratio </t>
  </si>
  <si>
    <t>kg Malt</t>
  </si>
  <si>
    <t>kg  bags (50kg/bag)</t>
  </si>
  <si>
    <t xml:space="preserve">kg MALT @ </t>
  </si>
  <si>
    <t>Ratio</t>
  </si>
  <si>
    <t>Malt kgE</t>
  </si>
  <si>
    <t>%  Yield</t>
  </si>
  <si>
    <t>Pilsen Malt</t>
  </si>
  <si>
    <t>Chocolate Malt</t>
  </si>
  <si>
    <t>Adjunct kgE</t>
  </si>
  <si>
    <t>% Yield</t>
  </si>
  <si>
    <t>kg Adjunct</t>
  </si>
  <si>
    <t>kg RICE @</t>
  </si>
  <si>
    <t>Rice</t>
  </si>
  <si>
    <t>Calcium Calculation</t>
  </si>
  <si>
    <t>1. Information:</t>
  </si>
  <si>
    <t>Calcium requirement, ppm</t>
  </si>
  <si>
    <t>Min, ppm</t>
  </si>
  <si>
    <t>Max, ppm</t>
  </si>
  <si>
    <t>Brew water, ppm CaCO3</t>
  </si>
  <si>
    <t xml:space="preserve">Mass of CaCO3 </t>
  </si>
  <si>
    <t>=&gt; Ca2+ content in brew water:</t>
  </si>
  <si>
    <t>Ca2+ =</t>
  </si>
  <si>
    <t>ppm</t>
  </si>
  <si>
    <t>Ca2+ needs to be added into brew water:</t>
  </si>
  <si>
    <t>Min</t>
  </si>
  <si>
    <t>Max</t>
  </si>
  <si>
    <t>2. CaSO4 calculation:</t>
  </si>
  <si>
    <t>Purified content of Gypsum (CaSO4.2H2O)</t>
  </si>
  <si>
    <t>Mass of gypsum</t>
  </si>
  <si>
    <t>Ca2+ content in 100g Gypsum, grams</t>
  </si>
  <si>
    <t>Quantity of Gypsum needs to be added to achieve the requirement:</t>
  </si>
  <si>
    <t>mg/L</t>
  </si>
  <si>
    <t>Quantity of Gypsum needs to be added into Rice cooker:</t>
  </si>
  <si>
    <t>Water volume in rice cooker</t>
  </si>
  <si>
    <t>HL</t>
  </si>
  <si>
    <t xml:space="preserve">Min quantitty of Gypsum </t>
  </si>
  <si>
    <t>kg</t>
  </si>
  <si>
    <t xml:space="preserve">Max quantitty of Gypsum </t>
  </si>
  <si>
    <t>Qty used, kg</t>
  </si>
  <si>
    <t>Quantity of Gypsum needs to be added into Mash kettle:</t>
  </si>
  <si>
    <t>Water volume in mash kettle</t>
  </si>
  <si>
    <t>Quantity of Gypsum needs to be added into wort kettle:</t>
  </si>
  <si>
    <t>Water volume in wort kettle</t>
  </si>
  <si>
    <t>Total, kg</t>
  </si>
  <si>
    <t>2. CaCl2 calculation:</t>
  </si>
  <si>
    <t>Purified content of CaCl2</t>
  </si>
  <si>
    <t>Mass of CaCl2</t>
  </si>
  <si>
    <t>Ca2+ content in 100g CaCl2, grams</t>
  </si>
  <si>
    <t>Quantity of CaCl2 needs to be added to achieve the requirement:</t>
  </si>
  <si>
    <t>Quantity of CaCl2 needs to be added into Rice cooker:</t>
  </si>
  <si>
    <t>Min quantitty of CaCl2</t>
    <phoneticPr fontId="39" type="noConversion"/>
  </si>
  <si>
    <t>Max quantitty of CaCl2</t>
    <phoneticPr fontId="39" type="noConversion"/>
  </si>
  <si>
    <t>Quantity of CaCl2 needs to be added into Mash kettle:</t>
  </si>
  <si>
    <t>Quantity of CaCl2 needs to be added into wort kettle:</t>
  </si>
  <si>
    <t>1. Information - Sulphate:</t>
  </si>
  <si>
    <t>Checking Ca2+</t>
  </si>
  <si>
    <t>Ca2+ calcalation:</t>
  </si>
  <si>
    <t>Previous calculation</t>
  </si>
  <si>
    <t>Previous actual</t>
  </si>
  <si>
    <t>Co. adjustment</t>
  </si>
  <si>
    <t>SO4</t>
  </si>
  <si>
    <t>WK</t>
  </si>
  <si>
    <t>Average</t>
  </si>
  <si>
    <t>Checking SO4</t>
  </si>
  <si>
    <t>Quantity of Gypsum needs to be added into Rice Cooker:</t>
  </si>
  <si>
    <t>Water volume in Rice Cooker</t>
  </si>
  <si>
    <r>
      <t>SO</t>
    </r>
    <r>
      <rPr>
        <vertAlign val="subscript"/>
        <sz val="10"/>
        <rFont val="Arial"/>
        <family val="2"/>
      </rPr>
      <t>4</t>
    </r>
    <r>
      <rPr>
        <vertAlign val="superscript"/>
        <sz val="10"/>
        <rFont val="Arial"/>
        <family val="2"/>
      </rPr>
      <t>2-</t>
    </r>
    <r>
      <rPr>
        <sz val="10"/>
        <rFont val="Arial"/>
        <family val="2"/>
      </rPr>
      <t xml:space="preserve">  requirement, ppm</t>
    </r>
  </si>
  <si>
    <t>Quantity of Gypsum needs to be added into Mash Tun:</t>
  </si>
  <si>
    <r>
      <t>=&gt; SO</t>
    </r>
    <r>
      <rPr>
        <vertAlign val="subscript"/>
        <sz val="10"/>
        <rFont val="Arial"/>
        <family val="2"/>
      </rPr>
      <t>4</t>
    </r>
    <r>
      <rPr>
        <vertAlign val="superscript"/>
        <sz val="10"/>
        <rFont val="Arial"/>
        <family val="2"/>
      </rPr>
      <t>2-</t>
    </r>
    <r>
      <rPr>
        <sz val="10"/>
        <rFont val="Arial"/>
        <family val="2"/>
      </rPr>
      <t xml:space="preserve"> content in brew water:</t>
    </r>
  </si>
  <si>
    <t>Water volume in Mash Tun</t>
  </si>
  <si>
    <r>
      <t>SO</t>
    </r>
    <r>
      <rPr>
        <vertAlign val="subscript"/>
        <sz val="10"/>
        <rFont val="Arial"/>
        <family val="2"/>
      </rPr>
      <t>4</t>
    </r>
    <r>
      <rPr>
        <vertAlign val="superscript"/>
        <sz val="10"/>
        <rFont val="Arial"/>
        <family val="2"/>
      </rPr>
      <t>2-</t>
    </r>
    <r>
      <rPr>
        <sz val="10"/>
        <rFont val="Arial"/>
        <family val="2"/>
      </rPr>
      <t xml:space="preserve"> =</t>
    </r>
  </si>
  <si>
    <r>
      <t>SO</t>
    </r>
    <r>
      <rPr>
        <vertAlign val="subscript"/>
        <sz val="10"/>
        <rFont val="Arial"/>
        <family val="2"/>
      </rPr>
      <t>4</t>
    </r>
    <r>
      <rPr>
        <vertAlign val="superscript"/>
        <sz val="10"/>
        <rFont val="Arial"/>
        <family val="2"/>
      </rPr>
      <t>2-</t>
    </r>
    <r>
      <rPr>
        <sz val="10"/>
        <rFont val="Arial"/>
        <family val="2"/>
      </rPr>
      <t xml:space="preserve"> needs to be added into brew water:</t>
    </r>
  </si>
  <si>
    <r>
      <t>SO</t>
    </r>
    <r>
      <rPr>
        <vertAlign val="subscript"/>
        <sz val="10"/>
        <rFont val="Arial"/>
        <family val="2"/>
      </rPr>
      <t>4</t>
    </r>
    <r>
      <rPr>
        <vertAlign val="superscript"/>
        <sz val="10"/>
        <rFont val="Arial"/>
        <family val="2"/>
      </rPr>
      <t>2-</t>
    </r>
    <r>
      <rPr>
        <sz val="10"/>
        <rFont val="Arial"/>
        <family val="2"/>
      </rPr>
      <t xml:space="preserve"> actual:</t>
    </r>
  </si>
  <si>
    <t>Rice Cooker</t>
  </si>
  <si>
    <t>Mash Tun</t>
  </si>
  <si>
    <t>Wort Kettle</t>
  </si>
  <si>
    <t>Zn Calculator</t>
  </si>
  <si>
    <t>Zinc Form</t>
  </si>
  <si>
    <r>
      <t xml:space="preserve"> Zn SO</t>
    </r>
    <r>
      <rPr>
        <b/>
        <vertAlign val="subscript"/>
        <sz val="18"/>
        <rFont val="Arial"/>
        <family val="2"/>
      </rPr>
      <t>4</t>
    </r>
    <r>
      <rPr>
        <b/>
        <sz val="18"/>
        <rFont val="Arial"/>
        <family val="2"/>
      </rPr>
      <t>.H</t>
    </r>
    <r>
      <rPr>
        <b/>
        <vertAlign val="subscript"/>
        <sz val="18"/>
        <rFont val="Arial"/>
        <family val="2"/>
      </rPr>
      <t>2</t>
    </r>
    <r>
      <rPr>
        <b/>
        <sz val="18"/>
        <rFont val="Arial"/>
        <family val="2"/>
      </rPr>
      <t>O</t>
    </r>
  </si>
  <si>
    <t>Bud</t>
  </si>
  <si>
    <t>Yeast generation</t>
  </si>
  <si>
    <t>ZnSO4.7H2O</t>
  </si>
  <si>
    <t>Cold wort (hL)</t>
  </si>
  <si>
    <t>Zn (gr)</t>
  </si>
  <si>
    <t>Zn/wort (ppm)</t>
  </si>
  <si>
    <t>Initial Zn/wort data</t>
  </si>
  <si>
    <t>Zn</t>
  </si>
  <si>
    <t>5-8</t>
  </si>
  <si>
    <t>gr</t>
  </si>
  <si>
    <t>S</t>
  </si>
  <si>
    <t>3-4</t>
  </si>
  <si>
    <t>O</t>
  </si>
  <si>
    <t>1-2</t>
  </si>
  <si>
    <t>H</t>
  </si>
  <si>
    <t>% Zn in ZnSO4.7H20</t>
  </si>
  <si>
    <t xml:space="preserve">Zn as a proportion </t>
  </si>
  <si>
    <t>Zn as a percentage</t>
  </si>
  <si>
    <t>Volume of  wort</t>
  </si>
  <si>
    <t>HLs</t>
  </si>
  <si>
    <t>Zn ppb required</t>
  </si>
  <si>
    <t>ppb</t>
  </si>
  <si>
    <t>Hệ số ngậm nước</t>
  </si>
  <si>
    <t xml:space="preserve">You must add </t>
  </si>
  <si>
    <r>
      <t>grams of Zn SO</t>
    </r>
    <r>
      <rPr>
        <vertAlign val="subscript"/>
        <sz val="11"/>
        <rFont val="Comic Sans MS"/>
        <family val="4"/>
      </rPr>
      <t>4</t>
    </r>
    <r>
      <rPr>
        <sz val="11"/>
        <rFont val="Comic Sans MS"/>
        <family val="4"/>
      </rPr>
      <t>.H</t>
    </r>
    <r>
      <rPr>
        <vertAlign val="subscript"/>
        <sz val="11"/>
        <rFont val="Comic Sans MS"/>
        <family val="4"/>
      </rPr>
      <t>2</t>
    </r>
    <r>
      <rPr>
        <sz val="11"/>
        <rFont val="Comic Sans MS"/>
        <family val="4"/>
      </rPr>
      <t>O</t>
    </r>
  </si>
  <si>
    <t xml:space="preserve">Zinc solution (21.99% ZnSO4.H2O) </t>
  </si>
  <si>
    <t>mL Zinc Solution</t>
  </si>
  <si>
    <t xml:space="preserve">Dosage rate </t>
  </si>
  <si>
    <r>
      <t>g/hl as Zn SO</t>
    </r>
    <r>
      <rPr>
        <b/>
        <vertAlign val="subscript"/>
        <sz val="11"/>
        <rFont val="Comic Sans MS"/>
        <family val="4"/>
      </rPr>
      <t>4</t>
    </r>
    <r>
      <rPr>
        <b/>
        <sz val="11"/>
        <rFont val="Comic Sans MS"/>
        <family val="4"/>
      </rPr>
      <t>.H</t>
    </r>
    <r>
      <rPr>
        <b/>
        <vertAlign val="subscript"/>
        <sz val="11"/>
        <rFont val="Comic Sans MS"/>
        <family val="4"/>
      </rPr>
      <t>2</t>
    </r>
    <r>
      <rPr>
        <b/>
        <sz val="11"/>
        <rFont val="Comic Sans MS"/>
        <family val="4"/>
      </rPr>
      <t>O</t>
    </r>
  </si>
  <si>
    <t>g/hl as Zn++</t>
  </si>
  <si>
    <t>Brew vol</t>
  </si>
  <si>
    <t>Zinc, gr</t>
  </si>
  <si>
    <t>MP (Beck)</t>
  </si>
  <si>
    <t>ZIY</t>
  </si>
  <si>
    <t>VSIP</t>
  </si>
  <si>
    <t>Hop Calculation</t>
  </si>
  <si>
    <t>Date full</t>
  </si>
  <si>
    <t>CCT</t>
  </si>
  <si>
    <t>Alpha acid</t>
  </si>
  <si>
    <t>IBU End of Fermntation</t>
  </si>
  <si>
    <t>Hop utilization</t>
  </si>
  <si>
    <t>Brew size, Hl</t>
  </si>
  <si>
    <t>Re-check</t>
  </si>
  <si>
    <t>% Dilution</t>
  </si>
  <si>
    <t>% Hop Utilisation (SV/materials)</t>
  </si>
  <si>
    <t>Bitterness in final product, mg/L</t>
  </si>
  <si>
    <t>Bitterness in SV, mg/L</t>
  </si>
  <si>
    <t>%Efficiency SV/wort</t>
  </si>
  <si>
    <t>Bitterness in cold wort, mg/L</t>
  </si>
  <si>
    <t>Total alpha acid input, kg</t>
  </si>
  <si>
    <t>Hop usages</t>
  </si>
  <si>
    <t>Contribution, %pellet</t>
  </si>
  <si>
    <t>Quantity of hop usage, kg</t>
  </si>
  <si>
    <t>kg AA</t>
  </si>
  <si>
    <t>Hop pellet Herkules</t>
  </si>
  <si>
    <t>Hop pellets T90 Willamette variety (stabilized)</t>
  </si>
  <si>
    <t>Hop pellet T90 Hallertau Tradition variety</t>
  </si>
  <si>
    <t>Total:</t>
  </si>
  <si>
    <t>27/12</t>
  </si>
  <si>
    <t>dosing thêm</t>
  </si>
  <si>
    <t>Her</t>
  </si>
  <si>
    <t>Wil</t>
  </si>
  <si>
    <t>Kg/Hl</t>
  </si>
  <si>
    <t>kgA/Hl</t>
  </si>
  <si>
    <t>Recheck</t>
  </si>
  <si>
    <t>Hal</t>
  </si>
  <si>
    <t>Last change</t>
  </si>
  <si>
    <t>By</t>
  </si>
  <si>
    <t>Ngan</t>
  </si>
  <si>
    <t>W:T</t>
  </si>
  <si>
    <t>BEFORE</t>
  </si>
  <si>
    <t>AFTER</t>
  </si>
  <si>
    <t>W+T</t>
  </si>
  <si>
    <t>Current contribution, %pellet</t>
  </si>
  <si>
    <t>Change contribution, %pellet</t>
  </si>
  <si>
    <t>STEAM FLOW CALCULATION</t>
  </si>
  <si>
    <t>Unit</t>
  </si>
  <si>
    <t>Stage</t>
  </si>
  <si>
    <t>Mass, kg</t>
  </si>
  <si>
    <t>Cp, KJ/Kg.oC</t>
  </si>
  <si>
    <t>T1, oC</t>
  </si>
  <si>
    <t>T2, oC</t>
  </si>
  <si>
    <t>t, s</t>
  </si>
  <si>
    <t>Heat transfer rate, kW</t>
  </si>
  <si>
    <t>P steam, bar</t>
  </si>
  <si>
    <t xml:space="preserve">Enthalpy of the steam, KJ/Kg </t>
  </si>
  <si>
    <t>Rice cooker</t>
  </si>
  <si>
    <t>Heating to Gel</t>
  </si>
  <si>
    <t>Heating to Boil</t>
  </si>
  <si>
    <t xml:space="preserve">Heating to mash off </t>
  </si>
  <si>
    <t>Work kettle</t>
  </si>
  <si>
    <t>Filling (800Hl/h) &amp; heating</t>
  </si>
  <si>
    <t>Water - hfg, kJ/kg</t>
  </si>
  <si>
    <t>Boiling time, mins</t>
  </si>
  <si>
    <t>Boiling 1 - 5% of 170HL</t>
  </si>
  <si>
    <t>Filling 180Hl/hr &amp; heating</t>
  </si>
  <si>
    <t>Boiling 2 - 9% of 248HL</t>
  </si>
  <si>
    <t>kettle full</t>
  </si>
  <si>
    <r>
      <t>Q = m c</t>
    </r>
    <r>
      <rPr>
        <b/>
        <i/>
        <vertAlign val="subscript"/>
        <sz val="9.9"/>
        <color theme="1"/>
        <rFont val="Arial"/>
        <family val="2"/>
      </rPr>
      <t>p</t>
    </r>
    <r>
      <rPr>
        <b/>
        <i/>
        <sz val="9.9"/>
        <color theme="1"/>
        <rFont val="Arial"/>
        <family val="2"/>
      </rPr>
      <t xml:space="preserve"> dT</t>
    </r>
  </si>
  <si>
    <r>
      <t>q = m c</t>
    </r>
    <r>
      <rPr>
        <b/>
        <i/>
        <vertAlign val="subscript"/>
        <sz val="9.9"/>
        <color theme="1"/>
        <rFont val="Arial"/>
        <family val="2"/>
      </rPr>
      <t>p</t>
    </r>
    <r>
      <rPr>
        <b/>
        <i/>
        <sz val="9.9"/>
        <color theme="1"/>
        <rFont val="Arial"/>
        <family val="2"/>
      </rPr>
      <t xml:space="preserve"> dT / t</t>
    </r>
  </si>
  <si>
    <t>Absolute</t>
  </si>
  <si>
    <t>Abs, bar</t>
  </si>
  <si>
    <t>Temperature</t>
  </si>
  <si>
    <t>Specific</t>
  </si>
  <si>
    <t>Density</t>
  </si>
  <si>
    <t>Specific Enthalpy of</t>
  </si>
  <si>
    <t>pressure</t>
  </si>
  <si>
    <t>(oC)</t>
  </si>
  <si>
    <t>Volume</t>
  </si>
  <si>
    <r>
      <t xml:space="preserve">- </t>
    </r>
    <r>
      <rPr>
        <b/>
        <i/>
        <sz val="11"/>
        <color theme="1"/>
        <rFont val="Arial"/>
        <family val="2"/>
      </rPr>
      <t>ρ -</t>
    </r>
  </si>
  <si>
    <t>Entropy</t>
  </si>
  <si>
    <t>(kPa, kN/m2)</t>
  </si>
  <si>
    <t>(m3/kg)</t>
  </si>
  <si>
    <r>
      <t>(kg/m</t>
    </r>
    <r>
      <rPr>
        <b/>
        <i/>
        <vertAlign val="superscript"/>
        <sz val="11"/>
        <color theme="1"/>
        <rFont val="Arial"/>
        <family val="2"/>
      </rPr>
      <t>3</t>
    </r>
    <r>
      <rPr>
        <b/>
        <i/>
        <sz val="11"/>
        <color theme="1"/>
        <rFont val="Arial"/>
        <family val="2"/>
      </rPr>
      <t>)</t>
    </r>
  </si>
  <si>
    <t>of Steam</t>
  </si>
  <si>
    <r>
      <t xml:space="preserve">- </t>
    </r>
    <r>
      <rPr>
        <b/>
        <i/>
        <sz val="11"/>
        <color theme="1"/>
        <rFont val="Arial"/>
        <family val="2"/>
      </rPr>
      <t>s -</t>
    </r>
  </si>
  <si>
    <t>Liquid</t>
  </si>
  <si>
    <t>Evaporation</t>
  </si>
  <si>
    <t>Steam</t>
  </si>
  <si>
    <t>(kJ/kgK)</t>
  </si>
  <si>
    <r>
      <t xml:space="preserve">- </t>
    </r>
    <r>
      <rPr>
        <b/>
        <i/>
        <sz val="11"/>
        <color theme="1"/>
        <rFont val="Arial"/>
        <family val="2"/>
      </rPr>
      <t>h</t>
    </r>
    <r>
      <rPr>
        <b/>
        <i/>
        <vertAlign val="subscript"/>
        <sz val="11"/>
        <color theme="1"/>
        <rFont val="Arial"/>
        <family val="2"/>
      </rPr>
      <t>l</t>
    </r>
    <r>
      <rPr>
        <b/>
        <i/>
        <sz val="11"/>
        <color theme="1"/>
        <rFont val="Arial"/>
        <family val="2"/>
      </rPr>
      <t xml:space="preserve"> -</t>
    </r>
  </si>
  <si>
    <r>
      <t xml:space="preserve">- </t>
    </r>
    <r>
      <rPr>
        <b/>
        <i/>
        <sz val="11"/>
        <color theme="1"/>
        <rFont val="Arial"/>
        <family val="2"/>
      </rPr>
      <t>h</t>
    </r>
    <r>
      <rPr>
        <b/>
        <i/>
        <vertAlign val="subscript"/>
        <sz val="11"/>
        <color theme="1"/>
        <rFont val="Arial"/>
        <family val="2"/>
      </rPr>
      <t>e</t>
    </r>
    <r>
      <rPr>
        <b/>
        <i/>
        <sz val="11"/>
        <color theme="1"/>
        <rFont val="Arial"/>
        <family val="2"/>
      </rPr>
      <t xml:space="preserve"> -</t>
    </r>
  </si>
  <si>
    <r>
      <t xml:space="preserve">- </t>
    </r>
    <r>
      <rPr>
        <b/>
        <i/>
        <sz val="11"/>
        <color theme="1"/>
        <rFont val="Arial"/>
        <family val="2"/>
      </rPr>
      <t>h</t>
    </r>
    <r>
      <rPr>
        <b/>
        <i/>
        <vertAlign val="subscript"/>
        <sz val="11"/>
        <color theme="1"/>
        <rFont val="Arial"/>
        <family val="2"/>
      </rPr>
      <t>s</t>
    </r>
    <r>
      <rPr>
        <b/>
        <i/>
        <sz val="11"/>
        <color theme="1"/>
        <rFont val="Arial"/>
        <family val="2"/>
      </rPr>
      <t xml:space="preserve"> -</t>
    </r>
  </si>
  <si>
    <t>(kJ/kg)</t>
  </si>
  <si>
    <t>THỂ TÍCH ĐƯỜNG ỐNG TẠI BREWHOUSE</t>
  </si>
  <si>
    <t>STT</t>
  </si>
  <si>
    <t>TÊN</t>
  </si>
  <si>
    <t>DN1( mm)</t>
  </si>
  <si>
    <t>CHIỀU DÀI ( mm)</t>
  </si>
  <si>
    <t>DN2(mm)</t>
  </si>
  <si>
    <t>CHIỀU DÀI( mm)</t>
  </si>
  <si>
    <t>THỂ TÍCH ( mm3</t>
  </si>
  <si>
    <t>Thể tích ( HL)</t>
  </si>
  <si>
    <t>Mash tun &amp; Rice cooker</t>
  </si>
  <si>
    <t>Mash in RC</t>
  </si>
  <si>
    <t>Mash in MT</t>
  </si>
  <si>
    <t>RC to MT</t>
  </si>
  <si>
    <t>MT to LT</t>
  </si>
  <si>
    <t>LT outlet circulation</t>
  </si>
  <si>
    <t>LT to Holding vessel</t>
  </si>
  <si>
    <t xml:space="preserve">Weak wort </t>
  </si>
  <si>
    <t>LT to weak wort</t>
  </si>
  <si>
    <t>Weak wort to Lauter( for Sparging )</t>
  </si>
  <si>
    <t>Weak wort for mashing</t>
  </si>
  <si>
    <t>Holding vessel</t>
  </si>
  <si>
    <t>Holding vessel to wort preheater</t>
  </si>
  <si>
    <t>from wort preheater</t>
  </si>
  <si>
    <t>Wort kettle to Whirlpool</t>
  </si>
  <si>
    <t>To Hop dosing 1</t>
  </si>
  <si>
    <t>To Hop dosing 2</t>
  </si>
  <si>
    <t>Whirlpool</t>
  </si>
  <si>
    <t>WK to Whirlpool</t>
  </si>
  <si>
    <t>Whirlpool to wort cooler</t>
  </si>
  <si>
    <t>Whirlpool to Trub tank</t>
  </si>
  <si>
    <t>Trub tank to Lauter</t>
  </si>
  <si>
    <t>Wort cooler</t>
  </si>
  <si>
    <t>Wort cooler to Aeration</t>
  </si>
  <si>
    <t>OGop</t>
  </si>
  <si>
    <t>OG%</t>
  </si>
  <si>
    <t>ĐIỀN SỐ BREW THEO TÊN SHEET</t>
  </si>
  <si>
    <t>Sub Process</t>
  </si>
  <si>
    <t>PI</t>
  </si>
  <si>
    <t>Weight</t>
  </si>
  <si>
    <t>unit</t>
  </si>
  <si>
    <t>Red-</t>
  </si>
  <si>
    <t>Yellow-</t>
  </si>
  <si>
    <t>Traget</t>
  </si>
  <si>
    <t>Yellow+</t>
  </si>
  <si>
    <t>Red+</t>
  </si>
  <si>
    <t>AVERAGE</t>
  </si>
  <si>
    <t>General</t>
  </si>
  <si>
    <t>Plant</t>
  </si>
  <si>
    <t>Year</t>
  </si>
  <si>
    <t>Month</t>
  </si>
  <si>
    <t>Brewery Panel Sensory</t>
  </si>
  <si>
    <t>Zone Panel Sensory</t>
  </si>
  <si>
    <t>Global Panel Sensory</t>
  </si>
  <si>
    <t>Zone Panel Sensory - Prediction</t>
  </si>
  <si>
    <t>Global Panel Sensory - Prediction</t>
  </si>
  <si>
    <t>Standard Wort OG</t>
  </si>
  <si>
    <t>Plato</t>
  </si>
  <si>
    <t>Standard Finish beer OG</t>
  </si>
  <si>
    <t>Standard Brewsize</t>
  </si>
  <si>
    <t>Lauter tun or mash filter？</t>
  </si>
  <si>
    <t>Mash date</t>
  </si>
  <si>
    <t>Packaging date</t>
  </si>
  <si>
    <t>Shipment date</t>
  </si>
  <si>
    <t>Packaging type</t>
  </si>
  <si>
    <t>Malt supplier</t>
  </si>
  <si>
    <t>Malt variety</t>
  </si>
  <si>
    <t>Malt specification (ABI X)</t>
  </si>
  <si>
    <t>Malt ratio</t>
  </si>
  <si>
    <t>%</t>
  </si>
  <si>
    <t>Fermentor No.</t>
  </si>
  <si>
    <t>BBT No.</t>
  </si>
  <si>
    <t>Brews</t>
  </si>
  <si>
    <t>Incoming Water</t>
  </si>
  <si>
    <t>Water category</t>
  </si>
  <si>
    <t>Water resource</t>
  </si>
  <si>
    <t>Water resource change or not?</t>
  </si>
  <si>
    <t>( Yes/No)</t>
  </si>
  <si>
    <t>Alkalinity</t>
  </si>
  <si>
    <t>Hardness</t>
  </si>
  <si>
    <t>TTHM</t>
  </si>
  <si>
    <t>ClO2</t>
  </si>
  <si>
    <t>ACF Water</t>
  </si>
  <si>
    <t>SDI at the outlet of Mult-Grade Filter</t>
  </si>
  <si>
    <t>Months since water ACF last replacement</t>
  </si>
  <si>
    <t>Months since raw water tank  last clean</t>
  </si>
  <si>
    <t>Mash Water</t>
  </si>
  <si>
    <t>Sparge Water</t>
  </si>
  <si>
    <t>Blending Water</t>
  </si>
  <si>
    <t>Rinser Water</t>
  </si>
  <si>
    <t>Packaging final rinse source？</t>
  </si>
  <si>
    <t>Bottle washer rinse water taste</t>
  </si>
  <si>
    <t>Jetter Water</t>
  </si>
  <si>
    <t>Jetter water taste</t>
  </si>
  <si>
    <t>CO2</t>
  </si>
  <si>
    <t>g/L</t>
  </si>
  <si>
    <t>Supply Purity</t>
  </si>
  <si>
    <t>Taste</t>
  </si>
  <si>
    <t>Shipment Malt</t>
  </si>
  <si>
    <t>Malt Batch- Shipment</t>
  </si>
  <si>
    <t>Malt Batch -Klin</t>
  </si>
  <si>
    <t>Produce date</t>
  </si>
  <si>
    <t>Protein</t>
  </si>
  <si>
    <t>Kolbach</t>
  </si>
  <si>
    <t>DP</t>
  </si>
  <si>
    <t>Color</t>
  </si>
  <si>
    <t>EBC</t>
  </si>
  <si>
    <t>Boiling color</t>
  </si>
  <si>
    <t>B-Glucan</t>
  </si>
  <si>
    <t>PYF</t>
  </si>
  <si>
    <t>Storage time in brewery</t>
  </si>
  <si>
    <t>Day</t>
  </si>
  <si>
    <t>Congress wort taste</t>
  </si>
  <si>
    <t>Rice supplier</t>
  </si>
  <si>
    <t>Full rice or broken rice？</t>
  </si>
  <si>
    <t xml:space="preserve">Full </t>
  </si>
  <si>
    <t>The 1st milling outlet temp.</t>
  </si>
  <si>
    <t>℃</t>
  </si>
  <si>
    <t>The 2nd milling outlet temp.</t>
  </si>
  <si>
    <t>The 3rd milling outlet temp.</t>
  </si>
  <si>
    <t>Polishing outlet temp.</t>
  </si>
  <si>
    <t>Rice days from produce to arrive brewery</t>
  </si>
  <si>
    <t>Rice storage time (day)</t>
  </si>
  <si>
    <t>Rice oil</t>
  </si>
  <si>
    <t>Rice FFA</t>
  </si>
  <si>
    <t>Broken rice rate</t>
  </si>
  <si>
    <t>Rice Freshness (use pH)</t>
  </si>
  <si>
    <t>Rice tea taste</t>
  </si>
  <si>
    <t>Hop</t>
  </si>
  <si>
    <t>Bittle hop Variety</t>
  </si>
  <si>
    <t>Aroma hop 1 variety</t>
  </si>
  <si>
    <t>Aroma hop 2 variety</t>
  </si>
  <si>
    <t>Bittle hop amount per brew</t>
  </si>
  <si>
    <t>Aroma hop 1 amount per brew</t>
  </si>
  <si>
    <t>Aroma hop 2 amount per brew</t>
  </si>
  <si>
    <t>Total hop amount per brew</t>
  </si>
  <si>
    <t>Bittle hop percent by weight</t>
  </si>
  <si>
    <t>Aroma hop 1 percent by weight</t>
  </si>
  <si>
    <t>Aroma hop 2 percent by weight</t>
  </si>
  <si>
    <t>Aroma hop in finish beer</t>
  </si>
  <si>
    <t>g/hl</t>
  </si>
  <si>
    <t>Hop tea taste</t>
  </si>
  <si>
    <t>OK/NOK</t>
  </si>
  <si>
    <t>Hop tea - Bittle hop</t>
  </si>
  <si>
    <t>Hop tea - Aroma hop 1</t>
  </si>
  <si>
    <t>Hop tea - Aroma hop 2</t>
  </si>
  <si>
    <t>Adjunct Cooker</t>
  </si>
  <si>
    <t>Highest Steam Pressue</t>
  </si>
  <si>
    <t>°C</t>
  </si>
  <si>
    <t>min</t>
  </si>
  <si>
    <t>Wait for Mash tun time</t>
  </si>
  <si>
    <t>Mash-In End Temp</t>
  </si>
  <si>
    <t>Bar</t>
  </si>
  <si>
    <t>Lauter Tun</t>
  </si>
  <si>
    <t>Deep Cut</t>
  </si>
  <si>
    <t>Mash Filter</t>
  </si>
  <si>
    <t>Kettle</t>
  </si>
  <si>
    <t>Over Boiling Time</t>
  </si>
  <si>
    <t>Evap % - SOB to KO(MAX)</t>
  </si>
  <si>
    <t>Evap % - SOB to KO(MIN)</t>
  </si>
  <si>
    <t>Aroma hop boiling time</t>
  </si>
  <si>
    <t>Overfoaming times</t>
  </si>
  <si>
    <t>Kettle steam fluctuate &gt;15% times (MAX)</t>
  </si>
  <si>
    <t>Highest Steam  Pressure - Upper Calandria</t>
  </si>
  <si>
    <t>Highest Steam  Pressure - Lower Calandria</t>
  </si>
  <si>
    <t>Zinc dosage per brew</t>
  </si>
  <si>
    <t>g/Brew</t>
  </si>
  <si>
    <t>Brewhouse hot time standard</t>
  </si>
  <si>
    <t>Total  Brewhouse cyle time</t>
  </si>
  <si>
    <t>Brewhouse cyle time Deviation</t>
  </si>
  <si>
    <t>Vessel cleanness check after empty</t>
  </si>
  <si>
    <t>Yeast</t>
  </si>
  <si>
    <t>Recovery Temp</t>
  </si>
  <si>
    <t>Intracellular zinc</t>
  </si>
  <si>
    <t>Fermentor Fill</t>
  </si>
  <si>
    <t>Filling Height</t>
  </si>
  <si>
    <t>m</t>
  </si>
  <si>
    <t>Filling rate</t>
  </si>
  <si>
    <t>Tank Diameter</t>
  </si>
  <si>
    <t>Fill Height &amp; Diameter ratio</t>
  </si>
  <si>
    <t>Yeast Generation</t>
  </si>
  <si>
    <t>Yeast Storage Time</t>
  </si>
  <si>
    <t>hr</t>
  </si>
  <si>
    <t>Yeast Storage Temp</t>
  </si>
  <si>
    <t>Pitching Rate</t>
  </si>
  <si>
    <t>MM/ml</t>
  </si>
  <si>
    <t>Air injection setting</t>
  </si>
  <si>
    <t>SCF/bbl</t>
  </si>
  <si>
    <t>Air injection</t>
  </si>
  <si>
    <t>g/HL</t>
  </si>
  <si>
    <t>Cold wort DO</t>
  </si>
  <si>
    <t>Total filling time</t>
  </si>
  <si>
    <t>Temp</t>
  </si>
  <si>
    <t>OG</t>
  </si>
  <si>
    <t>Wort Limit RDF</t>
  </si>
  <si>
    <t>Wort Limit Extract</t>
  </si>
  <si>
    <t>Alpha Fermentation</t>
  </si>
  <si>
    <t>Attemporation Temperature</t>
  </si>
  <si>
    <t>Time to attemporation</t>
  </si>
  <si>
    <t>Hr</t>
  </si>
  <si>
    <t>CO2 recovery start time</t>
  </si>
  <si>
    <t>Alpha fermentation pressure(Maximum)</t>
  </si>
  <si>
    <t>72h AE</t>
  </si>
  <si>
    <t>Peak YCC</t>
  </si>
  <si>
    <t>Fermentation Velocity</t>
  </si>
  <si>
    <t>Extract to start Full Cooling</t>
  </si>
  <si>
    <t>Yeast recovery delay time</t>
  </si>
  <si>
    <t>Drop FAN</t>
  </si>
  <si>
    <t>FAN uptake</t>
  </si>
  <si>
    <t>SO2  (EOF)</t>
  </si>
  <si>
    <t>Warm Maturation</t>
  </si>
  <si>
    <t>0H YCC</t>
  </si>
  <si>
    <t>Mid Point YCC</t>
  </si>
  <si>
    <t>EOC YCC</t>
  </si>
  <si>
    <t>EOC death rate</t>
  </si>
  <si>
    <t>Counter Pressure Maturation tank</t>
  </si>
  <si>
    <t>bar</t>
  </si>
  <si>
    <t>Fermentation cycle time</t>
  </si>
  <si>
    <t>Fermentation cycle deviation</t>
  </si>
  <si>
    <t>Temperature at transfer</t>
  </si>
  <si>
    <t>Total beer Age</t>
  </si>
  <si>
    <t>Waiting for centrifuge days after maturation</t>
  </si>
  <si>
    <t>EOC</t>
  </si>
  <si>
    <t>EOC Total D</t>
  </si>
  <si>
    <t>EOC Pentanedione</t>
  </si>
  <si>
    <t>EOC AA</t>
  </si>
  <si>
    <t>Release Diacetyl</t>
  </si>
  <si>
    <t>Release Pentanedione</t>
  </si>
  <si>
    <t>Release AA</t>
  </si>
  <si>
    <t>RDF</t>
  </si>
  <si>
    <t>Wort RDF - EOC RDF</t>
  </si>
  <si>
    <t>EOC AE - Limit AE</t>
  </si>
  <si>
    <t>IBU</t>
  </si>
  <si>
    <t>Chilling</t>
  </si>
  <si>
    <t>Post Chiller Temp</t>
  </si>
  <si>
    <t>Filtration</t>
  </si>
  <si>
    <t>Kieselguhr iron - fine</t>
  </si>
  <si>
    <t>Kieselguhr iron - medium</t>
  </si>
  <si>
    <t>BBT</t>
  </si>
  <si>
    <t>Integrated DO</t>
  </si>
  <si>
    <t>Blending Water Temp</t>
  </si>
  <si>
    <t>Temp @at Full</t>
  </si>
  <si>
    <t>PQI</t>
  </si>
  <si>
    <t>TPO AVE</t>
  </si>
  <si>
    <t>TPO radar maximum data</t>
  </si>
  <si>
    <t>TPO &lt;=40ppb percent</t>
  </si>
  <si>
    <t>Filling level deviation</t>
  </si>
  <si>
    <t>ml</t>
  </si>
  <si>
    <t>PU</t>
  </si>
  <si>
    <t>Pasteurization Time</t>
  </si>
  <si>
    <t>Highest Water Temp</t>
  </si>
  <si>
    <t>BOT</t>
  </si>
  <si>
    <t>Cold Core Temp</t>
  </si>
  <si>
    <t>Bottle Washer</t>
  </si>
  <si>
    <t>Rinse water pressure</t>
  </si>
  <si>
    <t>Finish Beer</t>
  </si>
  <si>
    <t>OE</t>
  </si>
  <si>
    <t>AE</t>
  </si>
  <si>
    <t>ABV</t>
  </si>
  <si>
    <t>Bitterness</t>
  </si>
  <si>
    <t>Foam</t>
  </si>
  <si>
    <t>sec</t>
  </si>
  <si>
    <t>Haze @ 90°</t>
  </si>
  <si>
    <t>SO2</t>
  </si>
  <si>
    <t>SO2 loss</t>
  </si>
  <si>
    <t>Diacetyl</t>
  </si>
  <si>
    <t>Pentanedione</t>
  </si>
  <si>
    <t>Acetaldehyde</t>
  </si>
  <si>
    <t>Polyphenols</t>
  </si>
  <si>
    <t>Shipment time (Global)</t>
  </si>
  <si>
    <t>Shipment time (Wuhan)</t>
  </si>
  <si>
    <t>BCM</t>
  </si>
  <si>
    <t>DMS, ppb</t>
  </si>
  <si>
    <t>Ethylacetate (15 - 30)</t>
  </si>
  <si>
    <t>Isoamylacetate (1.7 - 3.5)</t>
  </si>
  <si>
    <t>E.hexanoate ppm</t>
  </si>
  <si>
    <t>Total high alcohol</t>
  </si>
  <si>
    <t>Iron (&lt;0.03)</t>
  </si>
  <si>
    <t>Diacetyl Start Aging</t>
  </si>
  <si>
    <t>Pent Start Aging</t>
  </si>
  <si>
    <t>D/P Start Aging</t>
  </si>
  <si>
    <t>Diacetyl MidPoint</t>
  </si>
  <si>
    <t>Pent MidPoint</t>
  </si>
  <si>
    <t>D/P MidPoint</t>
  </si>
  <si>
    <t>Diacetyl EOC</t>
  </si>
  <si>
    <t>Pent EOC</t>
  </si>
  <si>
    <t>D/P EOC</t>
  </si>
  <si>
    <t>PI Compliance (%)</t>
  </si>
  <si>
    <t>Water &amp; CO2</t>
  </si>
  <si>
    <t>Raw material</t>
  </si>
  <si>
    <t>Brewhouse</t>
  </si>
  <si>
    <t>Fermentation</t>
  </si>
  <si>
    <t>Packaging</t>
  </si>
  <si>
    <t>Mashing date</t>
  </si>
  <si>
    <t>Brew No.</t>
  </si>
  <si>
    <t>Line</t>
  </si>
  <si>
    <t>CCT No.</t>
  </si>
  <si>
    <t>Order</t>
  </si>
  <si>
    <t>RC Gel rest temp</t>
  </si>
  <si>
    <t>RC Boil temp</t>
  </si>
  <si>
    <t>MT mashing temp</t>
  </si>
  <si>
    <t>Protein rest time</t>
  </si>
  <si>
    <t>Sparge temp</t>
  </si>
  <si>
    <t>Total wort</t>
  </si>
  <si>
    <t>Total steam WK</t>
  </si>
  <si>
    <t>KF Boil time</t>
  </si>
  <si>
    <t>WHP rest</t>
  </si>
  <si>
    <t>CW pH</t>
  </si>
  <si>
    <t>CW Vol</t>
  </si>
  <si>
    <t>%Evap</t>
  </si>
  <si>
    <t>Mash in Date</t>
  </si>
  <si>
    <t>UPDATE 27/OCT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</si>
</sst>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0.000"/>
    <numFmt numFmtId="166" formatCode="0.0%"/>
    <numFmt numFmtId="167" formatCode="0.0_ ;[Red]\-0.0\ "/>
    <numFmt numFmtId="168" formatCode="_-* #,##0\ _z_³_-;\-* #,##0\ _z_³_-;_-* &quot;-&quot;\ _z_³_-;_-@_-"/>
    <numFmt numFmtId="169" formatCode="_-* #,##0.00\ _z_³_-;\-* #,##0.00\ _z_³_-;_-* &quot;-&quot;??\ _z_³_-;_-@_-"/>
    <numFmt numFmtId="170" formatCode="0.0000"/>
    <numFmt numFmtId="171" formatCode="0.000000"/>
    <numFmt numFmtId="172" formatCode="0.00000"/>
    <numFmt numFmtId="173" formatCode="0_ ;[Red]\-0\ "/>
    <numFmt numFmtId="174" formatCode="[$-409]d\-mmm\-yyyy;@"/>
    <numFmt numFmtId="175" formatCode="dd/mm/yy;@"/>
    <numFmt numFmtId="176" formatCode="_(* #,##0.000_);_(* \(#,##0.000\);_(* &quot;-&quot;??_);_(@_)"/>
    <numFmt numFmtId="177" formatCode="h:mm;@"/>
    <numFmt numFmtId="178" formatCode="m/d/yy\ h:mm;@"/>
    <numFmt numFmtId="179" formatCode="[$-409]d/mmm/yy;@"/>
  </numFmts>
  <fonts count="141">
    <font>
      <sz val="11"/>
      <color theme="1"/>
      <name val="Calibri"/>
      <family val="2"/>
      <scheme val="minor"/>
    </font>
    <font>
      <sz val="11"/>
      <color theme="1"/>
      <name val="Arial Unicode MS"/>
      <family val="2"/>
      <charset val="134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i/>
      <u/>
      <sz val="10"/>
      <color indexed="10"/>
      <name val="Arial"/>
      <family val="2"/>
      <charset val="163"/>
    </font>
    <font>
      <b/>
      <sz val="10"/>
      <color indexed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2"/>
      <color indexed="12"/>
      <name val="Arial"/>
      <family val="2"/>
    </font>
    <font>
      <sz val="11"/>
      <color indexed="12"/>
      <name val="Arial"/>
      <family val="2"/>
    </font>
    <font>
      <sz val="16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b/>
      <vertAlign val="superscript"/>
      <sz val="10"/>
      <name val="Arial"/>
      <family val="2"/>
    </font>
    <font>
      <sz val="10"/>
      <name val="Helvetica Pl"/>
    </font>
    <font>
      <sz val="11"/>
      <color indexed="17"/>
      <name val="Calibri"/>
      <family val="2"/>
    </font>
    <font>
      <sz val="10"/>
      <name val="Helv"/>
    </font>
    <font>
      <sz val="10"/>
      <name val="Arial CE"/>
      <charset val="238"/>
    </font>
    <font>
      <b/>
      <sz val="12"/>
      <color indexed="10"/>
      <name val="Arial"/>
      <family val="2"/>
    </font>
    <font>
      <b/>
      <sz val="12"/>
      <color indexed="57"/>
      <name val="Arial"/>
      <family val="2"/>
    </font>
    <font>
      <b/>
      <sz val="12"/>
      <color rgb="FFFF0000"/>
      <name val="Arial"/>
      <family val="2"/>
    </font>
    <font>
      <b/>
      <sz val="12"/>
      <name val="Arial"/>
      <family val="2"/>
    </font>
    <font>
      <b/>
      <i/>
      <u/>
      <sz val="10"/>
      <name val="Arial"/>
      <family val="2"/>
    </font>
    <font>
      <b/>
      <sz val="10"/>
      <name val="Comic Sans MS"/>
      <family val="4"/>
    </font>
    <font>
      <b/>
      <u/>
      <sz val="18"/>
      <name val="Comic Sans MS"/>
      <family val="4"/>
    </font>
    <font>
      <b/>
      <sz val="12"/>
      <name val="Comic Sans MS"/>
      <family val="4"/>
    </font>
    <font>
      <b/>
      <sz val="18"/>
      <name val="Arial"/>
      <family val="2"/>
    </font>
    <font>
      <b/>
      <vertAlign val="subscript"/>
      <sz val="18"/>
      <name val="Arial"/>
      <family val="2"/>
    </font>
    <font>
      <b/>
      <sz val="10"/>
      <color indexed="8"/>
      <name val="Comic Sans MS"/>
      <family val="4"/>
    </font>
    <font>
      <b/>
      <sz val="11"/>
      <name val="Comic Sans MS"/>
      <family val="4"/>
    </font>
    <font>
      <sz val="11"/>
      <name val="Comic Sans MS"/>
      <family val="4"/>
    </font>
    <font>
      <vertAlign val="subscript"/>
      <sz val="11"/>
      <name val="Comic Sans MS"/>
      <family val="4"/>
    </font>
    <font>
      <b/>
      <vertAlign val="subscript"/>
      <sz val="11"/>
      <name val="Comic Sans MS"/>
      <family val="4"/>
    </font>
    <font>
      <b/>
      <sz val="11"/>
      <color rgb="FFFF0000"/>
      <name val="Comic Sans MS"/>
      <family val="4"/>
    </font>
    <font>
      <b/>
      <sz val="10"/>
      <color rgb="FFFF0000"/>
      <name val="Arial"/>
      <family val="2"/>
    </font>
    <font>
      <sz val="9"/>
      <name val="Calibri"/>
      <family val="3"/>
      <charset val="134"/>
      <scheme val="minor"/>
    </font>
    <font>
      <b/>
      <i/>
      <u/>
      <sz val="11"/>
      <color theme="1"/>
      <name val="Arial Unicode MS"/>
      <family val="2"/>
      <charset val="134"/>
    </font>
    <font>
      <sz val="10"/>
      <color theme="1"/>
      <name val="Arial Unicode MS"/>
      <family val="2"/>
      <charset val="134"/>
    </font>
    <font>
      <b/>
      <sz val="10"/>
      <color theme="1"/>
      <name val="Arial Unicode MS"/>
      <family val="2"/>
      <charset val="134"/>
    </font>
    <font>
      <b/>
      <sz val="11"/>
      <color theme="1"/>
      <name val="Arial Unicode MS"/>
      <family val="2"/>
      <charset val="134"/>
    </font>
    <font>
      <sz val="8"/>
      <color indexed="63"/>
      <name val="Arial"/>
      <family val="2"/>
    </font>
    <font>
      <sz val="10"/>
      <color indexed="63"/>
      <name val="Arial"/>
      <family val="2"/>
    </font>
    <font>
      <sz val="9"/>
      <color indexed="63"/>
      <name val="Arial"/>
      <family val="2"/>
    </font>
    <font>
      <b/>
      <sz val="10"/>
      <color indexed="63"/>
      <name val="Arial"/>
      <family val="2"/>
    </font>
    <font>
      <b/>
      <sz val="9"/>
      <color indexed="63"/>
      <name val="Arial"/>
      <family val="2"/>
    </font>
    <font>
      <b/>
      <sz val="9"/>
      <color indexed="63"/>
      <name val="Arial"/>
      <family val="2"/>
      <charset val="163"/>
    </font>
    <font>
      <sz val="9"/>
      <color indexed="62"/>
      <name val="Arial"/>
      <family val="2"/>
    </font>
    <font>
      <b/>
      <u/>
      <sz val="9"/>
      <color indexed="63"/>
      <name val="Arial"/>
      <family val="2"/>
    </font>
    <font>
      <b/>
      <sz val="9"/>
      <color indexed="62"/>
      <name val="Arial"/>
      <family val="2"/>
      <charset val="163"/>
    </font>
    <font>
      <b/>
      <sz val="9"/>
      <color indexed="62"/>
      <name val="Arial"/>
      <family val="2"/>
    </font>
    <font>
      <b/>
      <u/>
      <sz val="9"/>
      <color indexed="63"/>
      <name val="Arial"/>
      <family val="2"/>
      <charset val="163"/>
    </font>
    <font>
      <b/>
      <sz val="9"/>
      <color rgb="FFFF0000"/>
      <name val="Arial"/>
      <family val="2"/>
    </font>
    <font>
      <sz val="9"/>
      <name val="Arial"/>
      <family val="2"/>
    </font>
    <font>
      <sz val="12"/>
      <color indexed="63"/>
      <name val="Wingdings"/>
      <charset val="2"/>
    </font>
    <font>
      <sz val="9"/>
      <color indexed="63"/>
      <name val="Symbol"/>
      <family val="1"/>
      <charset val="2"/>
    </font>
    <font>
      <sz val="9"/>
      <color indexed="63"/>
      <name val="Arial"/>
      <family val="2"/>
      <charset val="163"/>
    </font>
    <font>
      <b/>
      <sz val="8"/>
      <color indexed="63"/>
      <name val="Arial"/>
      <family val="2"/>
    </font>
    <font>
      <b/>
      <sz val="9"/>
      <color indexed="10"/>
      <name val="Arial"/>
      <family val="2"/>
    </font>
    <font>
      <sz val="6"/>
      <color indexed="63"/>
      <name val="Arial"/>
      <family val="2"/>
    </font>
    <font>
      <b/>
      <sz val="14"/>
      <color theme="1"/>
      <name val="Arial Unicode MS"/>
      <family val="2"/>
      <charset val="134"/>
    </font>
    <font>
      <b/>
      <u/>
      <sz val="11"/>
      <color theme="1"/>
      <name val="Arial Unicode MS"/>
      <family val="2"/>
      <charset val="134"/>
    </font>
    <font>
      <i/>
      <sz val="11"/>
      <color theme="1"/>
      <name val="Arial Unicode MS"/>
      <family val="2"/>
      <charset val="134"/>
    </font>
    <font>
      <sz val="9"/>
      <color rgb="FFFF0000"/>
      <name val="Arial"/>
      <family val="2"/>
    </font>
    <font>
      <sz val="10"/>
      <name val="Arial Unicode MS"/>
      <family val="2"/>
      <charset val="134"/>
    </font>
    <font>
      <sz val="10"/>
      <color indexed="12"/>
      <name val="Arial Unicode MS"/>
      <family val="2"/>
      <charset val="134"/>
    </font>
    <font>
      <b/>
      <sz val="10"/>
      <color rgb="FFFF0000"/>
      <name val="Arial Unicode MS"/>
      <family val="2"/>
      <charset val="134"/>
    </font>
    <font>
      <b/>
      <sz val="10"/>
      <color indexed="12"/>
      <name val="Arial Unicode MS"/>
      <family val="2"/>
      <charset val="134"/>
    </font>
    <font>
      <b/>
      <sz val="10"/>
      <color indexed="10"/>
      <name val="Arial Unicode MS"/>
      <family val="2"/>
      <charset val="134"/>
    </font>
    <font>
      <b/>
      <sz val="10"/>
      <color indexed="57"/>
      <name val="Arial Unicode MS"/>
      <family val="2"/>
      <charset val="134"/>
    </font>
    <font>
      <b/>
      <i/>
      <sz val="9"/>
      <color indexed="63"/>
      <name val="Arial"/>
      <family val="2"/>
    </font>
    <font>
      <b/>
      <sz val="8"/>
      <color indexed="62"/>
      <name val="Arial"/>
      <family val="2"/>
    </font>
    <font>
      <b/>
      <u/>
      <sz val="10"/>
      <color indexed="63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vertAlign val="superscript"/>
      <sz val="11"/>
      <color theme="1"/>
      <name val="Arial"/>
      <family val="2"/>
    </font>
    <font>
      <b/>
      <i/>
      <vertAlign val="subscript"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i/>
      <sz val="9.9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i/>
      <sz val="14"/>
      <color theme="1"/>
      <name val="Arial"/>
      <family val="2"/>
    </font>
    <font>
      <b/>
      <i/>
      <vertAlign val="subscript"/>
      <sz val="9.9"/>
      <color theme="1"/>
      <name val="Arial"/>
      <family val="2"/>
    </font>
    <font>
      <sz val="20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1F497D"/>
      <name val="Calibri"/>
      <family val="2"/>
      <scheme val="minor"/>
    </font>
    <font>
      <b/>
      <sz val="9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Times New Roman"/>
      <family val="1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indexed="57"/>
      <name val="Arial"/>
      <family val="2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4"/>
      <name val="Arial"/>
      <family val="2"/>
    </font>
    <font>
      <sz val="10"/>
      <name val="Calibri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u/>
      <sz val="10"/>
      <color theme="1"/>
      <name val="Arial"/>
      <family val="2"/>
    </font>
    <font>
      <b/>
      <sz val="9"/>
      <color theme="1"/>
      <name val="Arial"/>
      <family val="2"/>
      <charset val="163"/>
    </font>
    <font>
      <sz val="9"/>
      <color theme="1"/>
      <name val="Webdings"/>
      <family val="1"/>
      <charset val="2"/>
    </font>
    <font>
      <sz val="12"/>
      <color theme="1"/>
      <name val="Calibri"/>
      <family val="2"/>
    </font>
    <font>
      <b/>
      <sz val="8"/>
      <color theme="1"/>
      <name val="Arial"/>
      <family val="2"/>
    </font>
    <font>
      <sz val="9"/>
      <color theme="1"/>
      <name val="Arial"/>
      <family val="2"/>
      <charset val="163"/>
    </font>
    <font>
      <sz val="14"/>
      <color theme="1"/>
      <name val="Calibri"/>
      <family val="2"/>
    </font>
    <font>
      <b/>
      <sz val="8.5"/>
      <color theme="1"/>
      <name val="Arial"/>
      <family val="2"/>
    </font>
    <font>
      <b/>
      <i/>
      <sz val="9"/>
      <color theme="1"/>
      <name val="Arial"/>
      <family val="2"/>
    </font>
    <font>
      <b/>
      <sz val="16"/>
      <color theme="1"/>
      <name val="Arial"/>
      <family val="2"/>
    </font>
    <font>
      <b/>
      <u/>
      <sz val="9"/>
      <color theme="1"/>
      <name val="Arial"/>
      <family val="2"/>
    </font>
    <font>
      <sz val="12"/>
      <color theme="1"/>
      <name val="Cambria"/>
      <family val="1"/>
    </font>
    <font>
      <b/>
      <i/>
      <sz val="12"/>
      <color theme="1"/>
      <name val="Arial"/>
      <family val="2"/>
    </font>
    <font>
      <sz val="9"/>
      <color theme="1"/>
      <name val="Calibri"/>
      <family val="2"/>
    </font>
    <font>
      <b/>
      <sz val="11"/>
      <color rgb="FF000000"/>
      <name val="Arial"/>
      <family val="2"/>
    </font>
    <font>
      <b/>
      <sz val="10"/>
      <color theme="1"/>
      <name val="Arial"/>
      <family val="2"/>
      <charset val="163"/>
    </font>
    <font>
      <b/>
      <sz val="10"/>
      <color rgb="FF000000"/>
      <name val="Arial"/>
      <family val="2"/>
    </font>
    <font>
      <b/>
      <sz val="9"/>
      <color theme="1"/>
      <name val="Bahnschrift SemiLight"/>
      <family val="2"/>
    </font>
    <font>
      <sz val="9"/>
      <color theme="1"/>
      <name val="Bahnschrift SemiLight"/>
      <family val="2"/>
    </font>
    <font>
      <sz val="8"/>
      <color theme="1"/>
      <name val="Bahnschrift SemiLight"/>
      <family val="2"/>
    </font>
    <font>
      <b/>
      <sz val="11"/>
      <color theme="1"/>
      <name val="Arial"/>
      <family val="2"/>
      <charset val="163"/>
    </font>
    <font>
      <sz val="9"/>
      <color theme="1"/>
      <name val="Calibri"/>
      <family val="2"/>
      <scheme val="minor"/>
    </font>
    <font>
      <sz val="9"/>
      <color theme="0" tint="-0.499984740745262"/>
      <name val="Arial"/>
      <family val="2"/>
    </font>
    <font>
      <b/>
      <i/>
      <sz val="10"/>
      <color theme="1"/>
      <name val="Arial"/>
      <family val="2"/>
    </font>
    <font>
      <sz val="10"/>
      <color theme="1" tint="0.34998626667073579"/>
      <name val="Arial"/>
      <family val="2"/>
    </font>
    <font>
      <sz val="9"/>
      <color theme="1" tint="0.34998626667073579"/>
      <name val="Arial"/>
      <family val="2"/>
    </font>
    <font>
      <b/>
      <sz val="8"/>
      <color rgb="FF000000"/>
      <name val="Calibri"/>
      <family val="2"/>
      <scheme val="minor"/>
    </font>
    <font>
      <sz val="11"/>
      <color theme="1"/>
      <name val="Bahnschrift SemiCondensed"/>
      <family val="2"/>
    </font>
    <font>
      <b/>
      <sz val="16"/>
      <color rgb="FFFF0000"/>
      <name val="Calibri"/>
      <family val="2"/>
      <scheme val="minor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b/>
      <sz val="11"/>
      <color rgb="FFFF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gray0625"/>
    </fill>
    <fill>
      <patternFill patternType="solid">
        <fgColor indexed="22"/>
        <bgColor indexed="64"/>
      </patternFill>
    </fill>
    <fill>
      <patternFill patternType="solid">
        <fgColor indexed="42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D6DCE4"/>
        <bgColor rgb="FF000000"/>
      </patternFill>
    </fill>
    <fill>
      <patternFill patternType="solid">
        <fgColor rgb="FFFF9C9D"/>
        <bgColor rgb="FF000000"/>
      </patternFill>
    </fill>
    <fill>
      <patternFill patternType="solid">
        <fgColor rgb="FFCC66FF"/>
        <bgColor rgb="FF000000"/>
      </patternFill>
    </fill>
  </fills>
  <borders count="1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medium">
        <color rgb="FFC0C0C0"/>
      </left>
      <right style="medium">
        <color rgb="FFC0C0C0"/>
      </right>
      <top style="medium">
        <color rgb="FFC0C0C0"/>
      </top>
      <bottom/>
      <diagonal/>
    </border>
    <border>
      <left style="medium">
        <color rgb="FFC0C0C0"/>
      </left>
      <right style="medium">
        <color rgb="FFC0C0C0"/>
      </right>
      <top/>
      <bottom/>
      <diagonal/>
    </border>
    <border>
      <left style="medium">
        <color rgb="FFC0C0C0"/>
      </left>
      <right style="medium">
        <color rgb="FFC0C0C0"/>
      </right>
      <top/>
      <bottom style="medium">
        <color rgb="FFC0C0C0"/>
      </bottom>
      <diagonal/>
    </border>
    <border>
      <left style="medium">
        <color rgb="FFC0C0C0"/>
      </left>
      <right/>
      <top/>
      <bottom/>
      <diagonal/>
    </border>
    <border>
      <left/>
      <right style="medium">
        <color rgb="FFC0C0C0"/>
      </right>
      <top/>
      <bottom/>
      <diagonal/>
    </border>
    <border>
      <left style="medium">
        <color rgb="FFC0C0C0"/>
      </left>
      <right/>
      <top/>
      <bottom style="medium">
        <color rgb="FFC0C0C0"/>
      </bottom>
      <diagonal/>
    </border>
    <border>
      <left/>
      <right/>
      <top/>
      <bottom style="medium">
        <color rgb="FFC0C0C0"/>
      </bottom>
      <diagonal/>
    </border>
    <border>
      <left/>
      <right style="medium">
        <color rgb="FFC0C0C0"/>
      </right>
      <top/>
      <bottom style="medium">
        <color rgb="FFC0C0C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0C0C0"/>
      </left>
      <right style="medium">
        <color rgb="FFC0C0C0"/>
      </right>
      <top style="thick">
        <color rgb="FFC0C0C0"/>
      </top>
      <bottom/>
      <diagonal/>
    </border>
    <border>
      <left style="medium">
        <color rgb="FFC0C0C0"/>
      </left>
      <right style="medium">
        <color rgb="FFC0C0C0"/>
      </right>
      <top style="thick">
        <color rgb="FFC0C0C0"/>
      </top>
      <bottom/>
      <diagonal/>
    </border>
    <border>
      <left style="medium">
        <color rgb="FFC0C0C0"/>
      </left>
      <right/>
      <top style="thick">
        <color rgb="FFC0C0C0"/>
      </top>
      <bottom/>
      <diagonal/>
    </border>
    <border>
      <left/>
      <right/>
      <top style="thick">
        <color rgb="FFC0C0C0"/>
      </top>
      <bottom/>
      <diagonal/>
    </border>
    <border>
      <left/>
      <right style="medium">
        <color rgb="FFC0C0C0"/>
      </right>
      <top style="thick">
        <color rgb="FFC0C0C0"/>
      </top>
      <bottom/>
      <diagonal/>
    </border>
    <border>
      <left style="medium">
        <color rgb="FFC0C0C0"/>
      </left>
      <right style="thick">
        <color rgb="FFC0C0C0"/>
      </right>
      <top style="thick">
        <color rgb="FFC0C0C0"/>
      </top>
      <bottom/>
      <diagonal/>
    </border>
    <border>
      <left style="thick">
        <color rgb="FFC0C0C0"/>
      </left>
      <right style="medium">
        <color rgb="FFC0C0C0"/>
      </right>
      <top/>
      <bottom/>
      <diagonal/>
    </border>
    <border>
      <left style="medium">
        <color rgb="FFC0C0C0"/>
      </left>
      <right style="thick">
        <color rgb="FFC0C0C0"/>
      </right>
      <top/>
      <bottom/>
      <diagonal/>
    </border>
    <border>
      <left style="thick">
        <color rgb="FFC0C0C0"/>
      </left>
      <right style="medium">
        <color rgb="FFC0C0C0"/>
      </right>
      <top/>
      <bottom style="medium">
        <color rgb="FFC0C0C0"/>
      </bottom>
      <diagonal/>
    </border>
    <border>
      <left style="medium">
        <color rgb="FFC0C0C0"/>
      </left>
      <right style="thick">
        <color rgb="FFC0C0C0"/>
      </right>
      <top/>
      <bottom style="medium">
        <color rgb="FFC0C0C0"/>
      </bottom>
      <diagonal/>
    </border>
    <border>
      <left style="thick">
        <color rgb="FFC0C0C0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0C0C0"/>
      </right>
      <top style="medium">
        <color rgb="FFCCCCCC"/>
      </top>
      <bottom style="medium">
        <color rgb="FFCCCCCC"/>
      </bottom>
      <diagonal/>
    </border>
    <border>
      <left style="thick">
        <color rgb="FFC0C0C0"/>
      </left>
      <right style="medium">
        <color rgb="FFCCCCCC"/>
      </right>
      <top style="medium">
        <color rgb="FFCCCCCC"/>
      </top>
      <bottom style="thick">
        <color rgb="FFC0C0C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C0C0C0"/>
      </bottom>
      <diagonal/>
    </border>
    <border>
      <left style="medium">
        <color rgb="FFCCCCCC"/>
      </left>
      <right style="thick">
        <color rgb="FFC0C0C0"/>
      </right>
      <top style="medium">
        <color rgb="FFCCCCCC"/>
      </top>
      <bottom style="thick">
        <color rgb="FFC0C0C0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/>
      <bottom style="medium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80808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1"/>
      </left>
      <right style="thin">
        <color theme="0" tint="-4.9989318521683403E-2"/>
      </right>
      <top/>
      <bottom/>
      <diagonal/>
    </border>
    <border>
      <left style="thin">
        <color indexed="64"/>
      </left>
      <right style="medium">
        <color theme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theme="0" tint="-0.499984740745262"/>
      </top>
      <bottom style="dotted">
        <color theme="0" tint="-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rgb="FF80808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rgb="FF80808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dashDotDot">
        <color indexed="64"/>
      </bottom>
      <diagonal/>
    </border>
    <border>
      <left/>
      <right style="dashDotDot">
        <color indexed="64"/>
      </right>
      <top style="thin">
        <color indexed="64"/>
      </top>
      <bottom style="dashDotDot">
        <color indexed="64"/>
      </bottom>
      <diagonal/>
    </border>
    <border>
      <left style="thin">
        <color indexed="64"/>
      </left>
      <right/>
      <top style="dashDotDot">
        <color indexed="64"/>
      </top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>
      <left/>
      <right style="dashDotDot">
        <color indexed="64"/>
      </right>
      <top style="dashDotDot">
        <color indexed="64"/>
      </top>
      <bottom style="dashDotDot">
        <color indexed="64"/>
      </bottom>
      <diagonal/>
    </border>
    <border>
      <left style="thin">
        <color indexed="64"/>
      </left>
      <right/>
      <top style="dashDotDot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/>
      <right style="dashDotDot">
        <color indexed="64"/>
      </right>
      <top style="dashDotDot">
        <color indexed="64"/>
      </top>
      <bottom style="thin">
        <color indexed="64"/>
      </bottom>
      <diagonal/>
    </border>
  </borders>
  <cellStyleXfs count="19">
    <xf numFmtId="0" fontId="0" fillId="0" borderId="0"/>
    <xf numFmtId="9" fontId="10" fillId="0" borderId="0" applyFont="0" applyFill="0" applyBorder="0" applyAlignment="0" applyProtection="0"/>
    <xf numFmtId="0" fontId="2" fillId="0" borderId="0"/>
    <xf numFmtId="43" fontId="4" fillId="0" borderId="0" applyFont="0" applyFill="0" applyBorder="0" applyAlignment="0" applyProtection="0"/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7" borderId="0" applyNumberFormat="0" applyBorder="0" applyAlignment="0" applyProtection="0"/>
    <xf numFmtId="0" fontId="4" fillId="0" borderId="0"/>
    <xf numFmtId="0" fontId="20" fillId="0" borderId="0"/>
    <xf numFmtId="0" fontId="21" fillId="0" borderId="0"/>
    <xf numFmtId="9" fontId="4" fillId="0" borderId="0" applyFont="0" applyFill="0" applyBorder="0" applyAlignment="0" applyProtection="0"/>
    <xf numFmtId="0" fontId="20" fillId="0" borderId="0"/>
    <xf numFmtId="42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82" fillId="0" borderId="0" applyNumberFormat="0" applyFill="0" applyBorder="0" applyAlignment="0" applyProtection="0"/>
    <xf numFmtId="0" fontId="89" fillId="0" borderId="0"/>
    <xf numFmtId="0" fontId="4" fillId="0" borderId="0"/>
    <xf numFmtId="0" fontId="102" fillId="0" borderId="0"/>
    <xf numFmtId="43" fontId="106" fillId="0" borderId="0" applyFont="0" applyFill="0" applyBorder="0" applyAlignment="0" applyProtection="0"/>
  </cellStyleXfs>
  <cellXfs count="1097">
    <xf numFmtId="0" fontId="0" fillId="0" borderId="0" xfId="0"/>
    <xf numFmtId="0" fontId="3" fillId="0" borderId="0" xfId="2" applyFont="1"/>
    <xf numFmtId="0" fontId="4" fillId="0" borderId="0" xfId="2" applyFont="1" applyAlignment="1">
      <alignment horizontal="right"/>
    </xf>
    <xf numFmtId="0" fontId="4" fillId="0" borderId="0" xfId="2" applyFont="1" applyAlignment="1">
      <alignment horizontal="center" vertical="top" wrapText="1"/>
    </xf>
    <xf numFmtId="0" fontId="4" fillId="0" borderId="0" xfId="2" applyFont="1" applyAlignment="1">
      <alignment horizontal="center" wrapText="1"/>
    </xf>
    <xf numFmtId="0" fontId="4" fillId="0" borderId="0" xfId="2" applyFont="1"/>
    <xf numFmtId="0" fontId="4" fillId="0" borderId="0" xfId="2" applyFont="1" applyAlignment="1">
      <alignment horizontal="center"/>
    </xf>
    <xf numFmtId="0" fontId="6" fillId="0" borderId="1" xfId="2" applyFont="1" applyBorder="1" applyAlignment="1" applyProtection="1">
      <alignment horizontal="center"/>
      <protection locked="0"/>
    </xf>
    <xf numFmtId="0" fontId="7" fillId="0" borderId="0" xfId="2" applyFont="1"/>
    <xf numFmtId="164" fontId="6" fillId="0" borderId="1" xfId="2" applyNumberFormat="1" applyFont="1" applyBorder="1" applyAlignment="1" applyProtection="1">
      <alignment horizontal="center"/>
      <protection locked="0"/>
    </xf>
    <xf numFmtId="0" fontId="3" fillId="0" borderId="0" xfId="2" applyFont="1" applyAlignment="1">
      <alignment horizontal="left"/>
    </xf>
    <xf numFmtId="0" fontId="9" fillId="0" borderId="0" xfId="2" applyFont="1" applyAlignment="1">
      <alignment horizontal="center" wrapText="1"/>
    </xf>
    <xf numFmtId="0" fontId="4" fillId="0" borderId="0" xfId="2" applyFont="1" applyAlignment="1">
      <alignment horizontal="left"/>
    </xf>
    <xf numFmtId="10" fontId="6" fillId="2" borderId="1" xfId="1" applyNumberFormat="1" applyFont="1" applyFill="1" applyBorder="1" applyAlignment="1" applyProtection="1">
      <alignment horizontal="center"/>
      <protection locked="0"/>
    </xf>
    <xf numFmtId="2" fontId="9" fillId="0" borderId="1" xfId="2" applyNumberFormat="1" applyFont="1" applyBorder="1" applyAlignment="1">
      <alignment horizontal="center"/>
    </xf>
    <xf numFmtId="10" fontId="6" fillId="0" borderId="1" xfId="2" applyNumberFormat="1" applyFont="1" applyBorder="1" applyAlignment="1" applyProtection="1">
      <alignment horizontal="center"/>
      <protection locked="0"/>
    </xf>
    <xf numFmtId="166" fontId="12" fillId="0" borderId="1" xfId="2" applyNumberFormat="1" applyFont="1" applyBorder="1" applyAlignment="1" applyProtection="1">
      <alignment horizontal="center"/>
      <protection locked="0"/>
    </xf>
    <xf numFmtId="167" fontId="4" fillId="0" borderId="0" xfId="2" applyNumberFormat="1" applyFont="1"/>
    <xf numFmtId="0" fontId="14" fillId="0" borderId="0" xfId="2" applyFont="1"/>
    <xf numFmtId="0" fontId="12" fillId="0" borderId="1" xfId="2" applyFont="1" applyBorder="1" applyAlignment="1" applyProtection="1">
      <alignment horizontal="left"/>
      <protection locked="0"/>
    </xf>
    <xf numFmtId="166" fontId="12" fillId="0" borderId="1" xfId="1" applyNumberFormat="1" applyFont="1" applyBorder="1" applyAlignment="1" applyProtection="1">
      <alignment horizontal="center"/>
      <protection locked="0"/>
    </xf>
    <xf numFmtId="9" fontId="12" fillId="0" borderId="1" xfId="1" applyFont="1" applyBorder="1" applyAlignment="1" applyProtection="1">
      <alignment horizontal="center"/>
      <protection locked="0"/>
    </xf>
    <xf numFmtId="10" fontId="4" fillId="0" borderId="1" xfId="2" applyNumberFormat="1" applyFont="1" applyBorder="1" applyAlignment="1">
      <alignment horizontal="center"/>
    </xf>
    <xf numFmtId="164" fontId="4" fillId="0" borderId="1" xfId="2" applyNumberFormat="1" applyFont="1" applyBorder="1"/>
    <xf numFmtId="10" fontId="12" fillId="0" borderId="1" xfId="1" applyNumberFormat="1" applyFont="1" applyBorder="1" applyAlignment="1" applyProtection="1">
      <alignment horizontal="center"/>
      <protection locked="0"/>
    </xf>
    <xf numFmtId="10" fontId="9" fillId="0" borderId="1" xfId="2" applyNumberFormat="1" applyFont="1" applyBorder="1" applyAlignment="1">
      <alignment horizontal="center"/>
    </xf>
    <xf numFmtId="0" fontId="15" fillId="5" borderId="1" xfId="2" applyFont="1" applyFill="1" applyBorder="1" applyAlignment="1" applyProtection="1">
      <alignment horizontal="center"/>
      <protection locked="0"/>
    </xf>
    <xf numFmtId="0" fontId="15" fillId="5" borderId="1" xfId="2" applyFont="1" applyFill="1" applyBorder="1" applyAlignment="1">
      <alignment horizontal="center"/>
    </xf>
    <xf numFmtId="164" fontId="4" fillId="5" borderId="1" xfId="2" applyNumberFormat="1" applyFont="1" applyFill="1" applyBorder="1"/>
    <xf numFmtId="166" fontId="4" fillId="0" borderId="0" xfId="2" applyNumberFormat="1" applyFont="1" applyAlignment="1">
      <alignment horizontal="center"/>
    </xf>
    <xf numFmtId="166" fontId="16" fillId="0" borderId="0" xfId="2" applyNumberFormat="1" applyFont="1" applyAlignment="1">
      <alignment horizontal="center"/>
    </xf>
    <xf numFmtId="164" fontId="16" fillId="0" borderId="0" xfId="2" applyNumberFormat="1" applyFont="1"/>
    <xf numFmtId="164" fontId="4" fillId="0" borderId="0" xfId="2" applyNumberFormat="1" applyFont="1"/>
    <xf numFmtId="0" fontId="9" fillId="0" borderId="3" xfId="2" applyFont="1" applyBorder="1" applyAlignment="1">
      <alignment horizontal="center"/>
    </xf>
    <xf numFmtId="0" fontId="4" fillId="0" borderId="7" xfId="2" applyFont="1" applyBorder="1" applyAlignment="1">
      <alignment horizontal="center" vertical="top" wrapText="1"/>
    </xf>
    <xf numFmtId="0" fontId="16" fillId="0" borderId="0" xfId="2" applyFont="1" applyAlignment="1">
      <alignment horizontal="center" wrapText="1"/>
    </xf>
    <xf numFmtId="167" fontId="4" fillId="0" borderId="0" xfId="2" applyNumberFormat="1" applyFont="1" applyAlignment="1">
      <alignment horizontal="center" wrapText="1"/>
    </xf>
    <xf numFmtId="166" fontId="8" fillId="0" borderId="0" xfId="2" applyNumberFormat="1" applyFont="1" applyAlignment="1">
      <alignment horizontal="center" wrapText="1"/>
    </xf>
    <xf numFmtId="0" fontId="9" fillId="0" borderId="0" xfId="2" applyFont="1" applyAlignment="1">
      <alignment horizontal="center"/>
    </xf>
    <xf numFmtId="0" fontId="9" fillId="0" borderId="0" xfId="2" applyFont="1"/>
    <xf numFmtId="0" fontId="15" fillId="0" borderId="0" xfId="2" applyFont="1"/>
    <xf numFmtId="0" fontId="17" fillId="0" borderId="0" xfId="2" applyFont="1" applyAlignment="1">
      <alignment horizontal="left" wrapText="1"/>
    </xf>
    <xf numFmtId="166" fontId="15" fillId="0" borderId="0" xfId="2" applyNumberFormat="1" applyFont="1" applyAlignment="1">
      <alignment horizontal="right" wrapText="1"/>
    </xf>
    <xf numFmtId="164" fontId="4" fillId="0" borderId="0" xfId="2" applyNumberFormat="1" applyFont="1" applyAlignment="1">
      <alignment horizontal="center" vertical="top" wrapText="1"/>
    </xf>
    <xf numFmtId="166" fontId="15" fillId="0" borderId="0" xfId="2" applyNumberFormat="1" applyFont="1" applyAlignment="1">
      <alignment horizontal="right" vertical="top" wrapText="1"/>
    </xf>
    <xf numFmtId="166" fontId="4" fillId="0" borderId="0" xfId="2" applyNumberFormat="1" applyFont="1"/>
    <xf numFmtId="166" fontId="4" fillId="0" borderId="0" xfId="2" applyNumberFormat="1" applyFont="1" applyAlignment="1">
      <alignment horizontal="right" wrapText="1"/>
    </xf>
    <xf numFmtId="166" fontId="15" fillId="0" borderId="0" xfId="2" applyNumberFormat="1" applyFont="1" applyAlignment="1">
      <alignment horizontal="center" wrapText="1"/>
    </xf>
    <xf numFmtId="166" fontId="5" fillId="0" borderId="0" xfId="2" applyNumberFormat="1" applyFont="1" applyAlignment="1">
      <alignment horizontal="center" vertical="top" wrapText="1"/>
    </xf>
    <xf numFmtId="166" fontId="4" fillId="0" borderId="0" xfId="2" applyNumberFormat="1" applyFont="1" applyAlignment="1">
      <alignment horizontal="center" wrapText="1"/>
    </xf>
    <xf numFmtId="2" fontId="22" fillId="2" borderId="1" xfId="2" applyNumberFormat="1" applyFont="1" applyFill="1" applyBorder="1" applyAlignment="1" applyProtection="1">
      <alignment horizontal="center"/>
      <protection locked="0"/>
    </xf>
    <xf numFmtId="2" fontId="15" fillId="5" borderId="1" xfId="2" applyNumberFormat="1" applyFont="1" applyFill="1" applyBorder="1" applyAlignment="1">
      <alignment horizontal="center"/>
    </xf>
    <xf numFmtId="2" fontId="23" fillId="0" borderId="1" xfId="2" applyNumberFormat="1" applyFont="1" applyBorder="1" applyAlignment="1">
      <alignment horizontal="center"/>
    </xf>
    <xf numFmtId="0" fontId="11" fillId="0" borderId="0" xfId="2" applyFont="1"/>
    <xf numFmtId="0" fontId="9" fillId="0" borderId="0" xfId="2" applyFont="1" applyAlignment="1">
      <alignment horizontal="right"/>
    </xf>
    <xf numFmtId="2" fontId="9" fillId="3" borderId="1" xfId="2" applyNumberFormat="1" applyFont="1" applyFill="1" applyBorder="1" applyAlignment="1">
      <alignment horizontal="center"/>
    </xf>
    <xf numFmtId="166" fontId="12" fillId="0" borderId="2" xfId="2" applyNumberFormat="1" applyFont="1" applyBorder="1" applyAlignment="1" applyProtection="1">
      <alignment horizontal="center"/>
      <protection locked="0"/>
    </xf>
    <xf numFmtId="0" fontId="4" fillId="0" borderId="1" xfId="2" applyFont="1" applyBorder="1" applyAlignment="1">
      <alignment horizontal="center"/>
    </xf>
    <xf numFmtId="0" fontId="9" fillId="0" borderId="1" xfId="2" applyFont="1" applyBorder="1" applyAlignment="1">
      <alignment horizontal="center"/>
    </xf>
    <xf numFmtId="164" fontId="9" fillId="3" borderId="1" xfId="2" applyNumberFormat="1" applyFont="1" applyFill="1" applyBorder="1"/>
    <xf numFmtId="0" fontId="4" fillId="0" borderId="3" xfId="2" applyFont="1" applyBorder="1" applyAlignment="1">
      <alignment horizontal="center" vertical="top" wrapText="1"/>
    </xf>
    <xf numFmtId="167" fontId="9" fillId="0" borderId="1" xfId="2" applyNumberFormat="1" applyFont="1" applyBorder="1" applyAlignment="1">
      <alignment horizontal="center"/>
    </xf>
    <xf numFmtId="167" fontId="9" fillId="0" borderId="1" xfId="2" applyNumberFormat="1" applyFont="1" applyBorder="1"/>
    <xf numFmtId="167" fontId="13" fillId="0" borderId="1" xfId="2" quotePrefix="1" applyNumberFormat="1" applyFont="1" applyBorder="1" applyAlignment="1" applyProtection="1">
      <alignment horizontal="right"/>
      <protection locked="0"/>
    </xf>
    <xf numFmtId="167" fontId="4" fillId="0" borderId="1" xfId="2" applyNumberFormat="1" applyFont="1" applyBorder="1" applyAlignment="1">
      <alignment horizontal="right" wrapText="1"/>
    </xf>
    <xf numFmtId="167" fontId="4" fillId="0" borderId="1" xfId="2" applyNumberFormat="1" applyFont="1" applyBorder="1"/>
    <xf numFmtId="167" fontId="6" fillId="0" borderId="1" xfId="2" applyNumberFormat="1" applyFont="1" applyBorder="1" applyAlignment="1">
      <alignment horizontal="right" wrapText="1"/>
    </xf>
    <xf numFmtId="167" fontId="5" fillId="2" borderId="1" xfId="2" applyNumberFormat="1" applyFont="1" applyFill="1" applyBorder="1"/>
    <xf numFmtId="167" fontId="4" fillId="5" borderId="1" xfId="2" applyNumberFormat="1" applyFont="1" applyFill="1" applyBorder="1" applyAlignment="1">
      <alignment horizontal="right" wrapText="1"/>
    </xf>
    <xf numFmtId="167" fontId="4" fillId="5" borderId="1" xfId="2" applyNumberFormat="1" applyFont="1" applyFill="1" applyBorder="1"/>
    <xf numFmtId="166" fontId="12" fillId="4" borderId="1" xfId="2" applyNumberFormat="1" applyFont="1" applyFill="1" applyBorder="1" applyAlignment="1" applyProtection="1">
      <alignment horizontal="center" vertical="top" wrapText="1"/>
      <protection locked="0"/>
    </xf>
    <xf numFmtId="166" fontId="4" fillId="0" borderId="1" xfId="2" applyNumberFormat="1" applyFont="1" applyBorder="1" applyAlignment="1">
      <alignment horizontal="center"/>
    </xf>
    <xf numFmtId="9" fontId="16" fillId="0" borderId="1" xfId="1" applyFont="1" applyBorder="1" applyAlignment="1">
      <alignment horizontal="center"/>
    </xf>
    <xf numFmtId="10" fontId="16" fillId="0" borderId="1" xfId="2" applyNumberFormat="1" applyFont="1" applyBorder="1" applyAlignment="1">
      <alignment horizontal="center"/>
    </xf>
    <xf numFmtId="164" fontId="16" fillId="0" borderId="1" xfId="2" applyNumberFormat="1" applyFont="1" applyBorder="1" applyAlignment="1">
      <alignment horizontal="right"/>
    </xf>
    <xf numFmtId="167" fontId="4" fillId="0" borderId="1" xfId="2" applyNumberFormat="1" applyFont="1" applyBorder="1" applyAlignment="1">
      <alignment wrapText="1"/>
    </xf>
    <xf numFmtId="167" fontId="9" fillId="0" borderId="1" xfId="2" applyNumberFormat="1" applyFont="1" applyBorder="1" applyAlignment="1">
      <alignment wrapText="1"/>
    </xf>
    <xf numFmtId="166" fontId="16" fillId="0" borderId="1" xfId="2" applyNumberFormat="1" applyFont="1" applyBorder="1" applyAlignment="1">
      <alignment horizontal="center"/>
    </xf>
    <xf numFmtId="164" fontId="16" fillId="0" borderId="1" xfId="2" applyNumberFormat="1" applyFont="1" applyBorder="1"/>
    <xf numFmtId="0" fontId="4" fillId="6" borderId="1" xfId="2" applyFont="1" applyFill="1" applyBorder="1" applyAlignment="1">
      <alignment horizontal="center" vertical="top" wrapText="1"/>
    </xf>
    <xf numFmtId="167" fontId="15" fillId="0" borderId="4" xfId="2" applyNumberFormat="1" applyFont="1" applyBorder="1" applyAlignment="1">
      <alignment horizontal="center" wrapText="1"/>
    </xf>
    <xf numFmtId="167" fontId="15" fillId="0" borderId="9" xfId="2" applyNumberFormat="1" applyFont="1" applyBorder="1" applyAlignment="1">
      <alignment horizontal="center" wrapText="1"/>
    </xf>
    <xf numFmtId="167" fontId="15" fillId="0" borderId="10" xfId="2" applyNumberFormat="1" applyFont="1" applyBorder="1" applyAlignment="1">
      <alignment horizontal="center" wrapText="1"/>
    </xf>
    <xf numFmtId="167" fontId="15" fillId="0" borderId="11" xfId="2" applyNumberFormat="1" applyFont="1" applyBorder="1" applyAlignment="1">
      <alignment horizontal="center" wrapText="1"/>
    </xf>
    <xf numFmtId="167" fontId="9" fillId="0" borderId="8" xfId="2" applyNumberFormat="1" applyFont="1" applyBorder="1" applyAlignment="1">
      <alignment horizontal="center" wrapText="1"/>
    </xf>
    <xf numFmtId="167" fontId="9" fillId="0" borderId="6" xfId="2" applyNumberFormat="1" applyFont="1" applyBorder="1" applyAlignment="1">
      <alignment horizontal="center" wrapText="1"/>
    </xf>
    <xf numFmtId="0" fontId="4" fillId="0" borderId="0" xfId="7"/>
    <xf numFmtId="0" fontId="4" fillId="0" borderId="0" xfId="7" applyAlignment="1">
      <alignment horizontal="right"/>
    </xf>
    <xf numFmtId="0" fontId="4" fillId="0" borderId="0" xfId="7" quotePrefix="1"/>
    <xf numFmtId="0" fontId="4" fillId="0" borderId="0" xfId="7" applyAlignment="1">
      <alignment horizontal="center"/>
    </xf>
    <xf numFmtId="164" fontId="4" fillId="0" borderId="0" xfId="7" applyNumberFormat="1"/>
    <xf numFmtId="0" fontId="24" fillId="8" borderId="1" xfId="2" applyFont="1" applyFill="1" applyBorder="1" applyAlignment="1" applyProtection="1">
      <alignment horizontal="center"/>
      <protection locked="0"/>
    </xf>
    <xf numFmtId="0" fontId="9" fillId="4" borderId="0" xfId="7" applyFont="1" applyFill="1" applyAlignment="1">
      <alignment horizontal="center"/>
    </xf>
    <xf numFmtId="0" fontId="25" fillId="8" borderId="0" xfId="7" applyFont="1" applyFill="1"/>
    <xf numFmtId="0" fontId="9" fillId="0" borderId="0" xfId="7" applyFont="1" applyAlignment="1">
      <alignment horizontal="center"/>
    </xf>
    <xf numFmtId="0" fontId="9" fillId="8" borderId="0" xfId="7" applyFont="1" applyFill="1" applyAlignment="1">
      <alignment horizontal="center"/>
    </xf>
    <xf numFmtId="0" fontId="26" fillId="8" borderId="0" xfId="7" applyFont="1" applyFill="1"/>
    <xf numFmtId="10" fontId="4" fillId="0" borderId="0" xfId="7" applyNumberFormat="1"/>
    <xf numFmtId="164" fontId="9" fillId="8" borderId="0" xfId="7" applyNumberFormat="1" applyFont="1" applyFill="1" applyAlignment="1">
      <alignment horizontal="center"/>
    </xf>
    <xf numFmtId="0" fontId="29" fillId="6" borderId="13" xfId="7" applyFont="1" applyFill="1" applyBorder="1" applyAlignment="1">
      <alignment horizontal="center" vertical="center"/>
    </xf>
    <xf numFmtId="0" fontId="27" fillId="6" borderId="16" xfId="7" applyFont="1" applyFill="1" applyBorder="1" applyAlignment="1">
      <alignment horizontal="center" vertical="center"/>
    </xf>
    <xf numFmtId="0" fontId="27" fillId="0" borderId="1" xfId="7" applyFont="1" applyBorder="1" applyAlignment="1">
      <alignment horizontal="center" vertical="center"/>
    </xf>
    <xf numFmtId="0" fontId="27" fillId="0" borderId="17" xfId="7" applyFont="1" applyBorder="1" applyAlignment="1">
      <alignment horizontal="center" vertical="center"/>
    </xf>
    <xf numFmtId="165" fontId="27" fillId="0" borderId="17" xfId="7" applyNumberFormat="1" applyFont="1" applyBorder="1" applyAlignment="1">
      <alignment horizontal="center" vertical="center"/>
    </xf>
    <xf numFmtId="10" fontId="27" fillId="0" borderId="24" xfId="10" applyNumberFormat="1" applyFont="1" applyBorder="1" applyAlignment="1" applyProtection="1">
      <alignment horizontal="center" vertical="center"/>
    </xf>
    <xf numFmtId="0" fontId="33" fillId="2" borderId="14" xfId="7" applyFont="1" applyFill="1" applyBorder="1" applyAlignment="1" applyProtection="1">
      <alignment horizontal="center" vertical="center"/>
      <protection locked="0"/>
    </xf>
    <xf numFmtId="0" fontId="33" fillId="6" borderId="16" xfId="7" applyFont="1" applyFill="1" applyBorder="1" applyAlignment="1">
      <alignment horizontal="center" vertical="center"/>
    </xf>
    <xf numFmtId="2" fontId="33" fillId="0" borderId="14" xfId="7" applyNumberFormat="1" applyFont="1" applyBorder="1" applyAlignment="1">
      <alignment horizontal="center" vertical="center"/>
    </xf>
    <xf numFmtId="2" fontId="33" fillId="0" borderId="26" xfId="7" applyNumberFormat="1" applyFont="1" applyBorder="1" applyAlignment="1">
      <alignment horizontal="center" vertical="center"/>
    </xf>
    <xf numFmtId="2" fontId="37" fillId="4" borderId="26" xfId="7" applyNumberFormat="1" applyFont="1" applyFill="1" applyBorder="1" applyAlignment="1">
      <alignment horizontal="center" vertical="center"/>
    </xf>
    <xf numFmtId="0" fontId="38" fillId="8" borderId="0" xfId="7" applyFont="1" applyFill="1"/>
    <xf numFmtId="0" fontId="41" fillId="0" borderId="0" xfId="0" applyFont="1"/>
    <xf numFmtId="0" fontId="44" fillId="0" borderId="0" xfId="7" applyFont="1"/>
    <xf numFmtId="0" fontId="45" fillId="0" borderId="0" xfId="7" applyFont="1" applyAlignment="1">
      <alignment wrapText="1" shrinkToFit="1"/>
    </xf>
    <xf numFmtId="0" fontId="44" fillId="0" borderId="0" xfId="7" applyFont="1" applyAlignment="1">
      <alignment vertical="center" wrapText="1" shrinkToFit="1"/>
    </xf>
    <xf numFmtId="0" fontId="46" fillId="0" borderId="0" xfId="7" applyFont="1" applyAlignment="1">
      <alignment horizontal="center"/>
    </xf>
    <xf numFmtId="0" fontId="45" fillId="0" borderId="0" xfId="7" applyFont="1"/>
    <xf numFmtId="0" fontId="47" fillId="0" borderId="0" xfId="7" applyFont="1" applyAlignment="1">
      <alignment horizontal="right"/>
    </xf>
    <xf numFmtId="0" fontId="46" fillId="0" borderId="0" xfId="7" applyFont="1" applyAlignment="1">
      <alignment vertical="center"/>
    </xf>
    <xf numFmtId="1" fontId="48" fillId="0" borderId="1" xfId="7" applyNumberFormat="1" applyFont="1" applyBorder="1" applyAlignment="1">
      <alignment horizontal="center" vertical="center"/>
    </xf>
    <xf numFmtId="0" fontId="48" fillId="0" borderId="0" xfId="7" applyFont="1" applyAlignment="1">
      <alignment vertical="center"/>
    </xf>
    <xf numFmtId="0" fontId="48" fillId="6" borderId="48" xfId="7" applyFont="1" applyFill="1" applyBorder="1" applyAlignment="1">
      <alignment vertical="center" wrapText="1" shrinkToFit="1"/>
    </xf>
    <xf numFmtId="0" fontId="48" fillId="6" borderId="1" xfId="7" applyFont="1" applyFill="1" applyBorder="1" applyAlignment="1">
      <alignment vertical="center" wrapText="1" shrinkToFit="1"/>
    </xf>
    <xf numFmtId="1" fontId="46" fillId="6" borderId="1" xfId="7" applyNumberFormat="1" applyFont="1" applyFill="1" applyBorder="1" applyAlignment="1">
      <alignment horizontal="center" vertical="center"/>
    </xf>
    <xf numFmtId="0" fontId="46" fillId="6" borderId="1" xfId="7" applyFont="1" applyFill="1" applyBorder="1" applyAlignment="1">
      <alignment vertical="center" wrapText="1" shrinkToFit="1"/>
    </xf>
    <xf numFmtId="164" fontId="46" fillId="6" borderId="1" xfId="7" applyNumberFormat="1" applyFont="1" applyFill="1" applyBorder="1" applyAlignment="1">
      <alignment horizontal="center" vertical="center"/>
    </xf>
    <xf numFmtId="0" fontId="46" fillId="6" borderId="1" xfId="7" applyFont="1" applyFill="1" applyBorder="1" applyAlignment="1">
      <alignment horizontal="center" vertical="center"/>
    </xf>
    <xf numFmtId="0" fontId="46" fillId="6" borderId="49" xfId="7" applyFont="1" applyFill="1" applyBorder="1" applyAlignment="1">
      <alignment vertical="center"/>
    </xf>
    <xf numFmtId="0" fontId="46" fillId="0" borderId="50" xfId="7" applyFont="1" applyBorder="1" applyAlignment="1">
      <alignment vertical="center" wrapText="1" shrinkToFit="1"/>
    </xf>
    <xf numFmtId="0" fontId="46" fillId="0" borderId="2" xfId="7" applyFont="1" applyBorder="1" applyAlignment="1">
      <alignment vertical="center" wrapText="1" shrinkToFit="1"/>
    </xf>
    <xf numFmtId="1" fontId="48" fillId="0" borderId="2" xfId="7" applyNumberFormat="1" applyFont="1" applyBorder="1" applyAlignment="1">
      <alignment horizontal="center" vertical="center"/>
    </xf>
    <xf numFmtId="1" fontId="49" fillId="0" borderId="2" xfId="7" applyNumberFormat="1" applyFont="1" applyBorder="1" applyAlignment="1">
      <alignment horizontal="center" vertical="center"/>
    </xf>
    <xf numFmtId="0" fontId="46" fillId="0" borderId="2" xfId="7" applyFont="1" applyBorder="1" applyAlignment="1">
      <alignment horizontal="center" vertical="center"/>
    </xf>
    <xf numFmtId="1" fontId="50" fillId="6" borderId="38" xfId="7" applyNumberFormat="1" applyFont="1" applyFill="1" applyBorder="1" applyAlignment="1">
      <alignment horizontal="center" vertical="center"/>
    </xf>
    <xf numFmtId="1" fontId="46" fillId="0" borderId="0" xfId="7" applyNumberFormat="1" applyFont="1" applyAlignment="1">
      <alignment vertical="center"/>
    </xf>
    <xf numFmtId="0" fontId="46" fillId="0" borderId="36" xfId="7" applyFont="1" applyBorder="1" applyAlignment="1">
      <alignment vertical="center" wrapText="1" shrinkToFit="1"/>
    </xf>
    <xf numFmtId="0" fontId="46" fillId="0" borderId="37" xfId="7" applyFont="1" applyBorder="1" applyAlignment="1">
      <alignment vertical="center" wrapText="1" shrinkToFit="1"/>
    </xf>
    <xf numFmtId="1" fontId="48" fillId="0" borderId="37" xfId="7" applyNumberFormat="1" applyFont="1" applyBorder="1" applyAlignment="1">
      <alignment horizontal="center" vertical="center"/>
    </xf>
    <xf numFmtId="1" fontId="46" fillId="0" borderId="37" xfId="7" applyNumberFormat="1" applyFont="1" applyBorder="1" applyAlignment="1">
      <alignment horizontal="center" vertical="center"/>
    </xf>
    <xf numFmtId="1" fontId="46" fillId="0" borderId="51" xfId="7" applyNumberFormat="1" applyFont="1" applyBorder="1" applyAlignment="1">
      <alignment horizontal="center" vertical="center"/>
    </xf>
    <xf numFmtId="1" fontId="46" fillId="6" borderId="51" xfId="7" applyNumberFormat="1" applyFont="1" applyFill="1" applyBorder="1" applyAlignment="1">
      <alignment horizontal="center" vertical="center"/>
    </xf>
    <xf numFmtId="0" fontId="46" fillId="0" borderId="37" xfId="7" applyFont="1" applyBorder="1" applyAlignment="1">
      <alignment horizontal="center" vertical="center"/>
    </xf>
    <xf numFmtId="0" fontId="46" fillId="0" borderId="52" xfId="7" applyFont="1" applyBorder="1" applyAlignment="1">
      <alignment vertical="center" wrapText="1" shrinkToFit="1"/>
    </xf>
    <xf numFmtId="172" fontId="46" fillId="0" borderId="0" xfId="7" applyNumberFormat="1" applyFont="1" applyAlignment="1">
      <alignment vertical="center"/>
    </xf>
    <xf numFmtId="0" fontId="46" fillId="6" borderId="1" xfId="7" applyFont="1" applyFill="1" applyBorder="1" applyAlignment="1">
      <alignment vertical="center"/>
    </xf>
    <xf numFmtId="1" fontId="46" fillId="6" borderId="37" xfId="7" applyNumberFormat="1" applyFont="1" applyFill="1" applyBorder="1" applyAlignment="1">
      <alignment horizontal="center" vertical="center"/>
    </xf>
    <xf numFmtId="1" fontId="46" fillId="6" borderId="38" xfId="7" applyNumberFormat="1" applyFont="1" applyFill="1" applyBorder="1" applyAlignment="1">
      <alignment horizontal="center" vertical="center"/>
    </xf>
    <xf numFmtId="0" fontId="50" fillId="0" borderId="36" xfId="7" applyFont="1" applyBorder="1" applyAlignment="1">
      <alignment vertical="center" wrapText="1" shrinkToFit="1"/>
    </xf>
    <xf numFmtId="0" fontId="50" fillId="0" borderId="37" xfId="7" applyFont="1" applyBorder="1" applyAlignment="1">
      <alignment vertical="center" wrapText="1" shrinkToFit="1"/>
    </xf>
    <xf numFmtId="0" fontId="48" fillId="0" borderId="37" xfId="7" applyFont="1" applyBorder="1" applyAlignment="1">
      <alignment horizontal="center" vertical="center"/>
    </xf>
    <xf numFmtId="0" fontId="50" fillId="0" borderId="0" xfId="7" applyFont="1" applyAlignment="1">
      <alignment vertical="center"/>
    </xf>
    <xf numFmtId="0" fontId="53" fillId="0" borderId="37" xfId="7" applyFont="1" applyBorder="1" applyAlignment="1">
      <alignment horizontal="left" vertical="center" wrapText="1" shrinkToFit="1"/>
    </xf>
    <xf numFmtId="0" fontId="50" fillId="0" borderId="36" xfId="7" applyFont="1" applyBorder="1" applyAlignment="1">
      <alignment horizontal="right" vertical="center" wrapText="1" shrinkToFit="1"/>
    </xf>
    <xf numFmtId="0" fontId="50" fillId="0" borderId="37" xfId="7" applyFont="1" applyBorder="1" applyAlignment="1">
      <alignment horizontal="left" vertical="center" wrapText="1" shrinkToFit="1"/>
    </xf>
    <xf numFmtId="164" fontId="53" fillId="6" borderId="37" xfId="7" applyNumberFormat="1" applyFont="1" applyFill="1" applyBorder="1" applyAlignment="1">
      <alignment horizontal="center" vertical="center"/>
    </xf>
    <xf numFmtId="1" fontId="50" fillId="6" borderId="37" xfId="7" applyNumberFormat="1" applyFont="1" applyFill="1" applyBorder="1" applyAlignment="1">
      <alignment horizontal="center" vertical="center"/>
    </xf>
    <xf numFmtId="0" fontId="50" fillId="0" borderId="37" xfId="7" applyFont="1" applyBorder="1" applyAlignment="1">
      <alignment vertical="center"/>
    </xf>
    <xf numFmtId="0" fontId="50" fillId="0" borderId="37" xfId="7" applyFont="1" applyBorder="1" applyAlignment="1">
      <alignment horizontal="center" vertical="center"/>
    </xf>
    <xf numFmtId="1" fontId="50" fillId="0" borderId="37" xfId="7" applyNumberFormat="1" applyFont="1" applyBorder="1" applyAlignment="1">
      <alignment horizontal="center" vertical="center"/>
    </xf>
    <xf numFmtId="0" fontId="53" fillId="0" borderId="37" xfId="7" applyFont="1" applyBorder="1" applyAlignment="1">
      <alignment vertical="center" wrapText="1" shrinkToFit="1"/>
    </xf>
    <xf numFmtId="1" fontId="53" fillId="0" borderId="37" xfId="7" applyNumberFormat="1" applyFont="1" applyBorder="1" applyAlignment="1">
      <alignment horizontal="center" vertical="center"/>
    </xf>
    <xf numFmtId="0" fontId="48" fillId="0" borderId="37" xfId="7" applyFont="1" applyBorder="1" applyAlignment="1">
      <alignment vertical="center" wrapText="1" shrinkToFit="1"/>
    </xf>
    <xf numFmtId="0" fontId="53" fillId="0" borderId="37" xfId="7" applyFont="1" applyBorder="1" applyAlignment="1">
      <alignment horizontal="center" vertical="center"/>
    </xf>
    <xf numFmtId="0" fontId="53" fillId="0" borderId="37" xfId="7" applyFont="1" applyBorder="1" applyAlignment="1">
      <alignment horizontal="left" vertical="center" wrapText="1"/>
    </xf>
    <xf numFmtId="0" fontId="50" fillId="0" borderId="38" xfId="7" applyFont="1" applyBorder="1" applyAlignment="1">
      <alignment horizontal="center" vertical="center"/>
    </xf>
    <xf numFmtId="0" fontId="52" fillId="0" borderId="37" xfId="7" applyFont="1" applyBorder="1" applyAlignment="1">
      <alignment horizontal="center" vertical="center"/>
    </xf>
    <xf numFmtId="0" fontId="46" fillId="0" borderId="37" xfId="7" applyFont="1" applyBorder="1" applyAlignment="1">
      <alignment horizontal="left" vertical="center" wrapText="1" shrinkToFit="1"/>
    </xf>
    <xf numFmtId="9" fontId="50" fillId="0" borderId="36" xfId="7" applyNumberFormat="1" applyFont="1" applyBorder="1" applyAlignment="1">
      <alignment vertical="center" wrapText="1" shrinkToFit="1"/>
    </xf>
    <xf numFmtId="0" fontId="50" fillId="0" borderId="5" xfId="7" applyFont="1" applyBorder="1" applyAlignment="1">
      <alignment horizontal="left" vertical="center" wrapText="1" shrinkToFit="1"/>
    </xf>
    <xf numFmtId="0" fontId="46" fillId="6" borderId="49" xfId="7" applyFont="1" applyFill="1" applyBorder="1" applyAlignment="1">
      <alignment horizontal="center" vertical="center"/>
    </xf>
    <xf numFmtId="0" fontId="48" fillId="0" borderId="37" xfId="7" applyFont="1" applyBorder="1" applyAlignment="1">
      <alignment horizontal="center" vertical="center" wrapText="1"/>
    </xf>
    <xf numFmtId="0" fontId="49" fillId="0" borderId="38" xfId="7" applyFont="1" applyBorder="1" applyAlignment="1">
      <alignment horizontal="center" vertical="center"/>
    </xf>
    <xf numFmtId="0" fontId="46" fillId="0" borderId="36" xfId="7" applyFont="1" applyBorder="1" applyAlignment="1">
      <alignment horizontal="right" vertical="center" wrapText="1" shrinkToFit="1"/>
    </xf>
    <xf numFmtId="9" fontId="50" fillId="0" borderId="38" xfId="7" applyNumberFormat="1" applyFont="1" applyBorder="1" applyAlignment="1">
      <alignment horizontal="center" vertical="center"/>
    </xf>
    <xf numFmtId="1" fontId="55" fillId="8" borderId="37" xfId="7" applyNumberFormat="1" applyFont="1" applyFill="1" applyBorder="1" applyAlignment="1">
      <alignment horizontal="center" vertical="center"/>
    </xf>
    <xf numFmtId="0" fontId="46" fillId="0" borderId="5" xfId="7" applyFont="1" applyBorder="1" applyAlignment="1">
      <alignment vertical="center" wrapText="1" shrinkToFit="1"/>
    </xf>
    <xf numFmtId="1" fontId="46" fillId="0" borderId="5" xfId="7" applyNumberFormat="1" applyFont="1" applyBorder="1" applyAlignment="1">
      <alignment horizontal="center" vertical="center"/>
    </xf>
    <xf numFmtId="0" fontId="56" fillId="0" borderId="0" xfId="7" applyFont="1" applyAlignment="1">
      <alignment vertical="center" wrapText="1" shrinkToFit="1"/>
    </xf>
    <xf numFmtId="0" fontId="56" fillId="0" borderId="0" xfId="7" applyFont="1" applyAlignment="1">
      <alignment horizontal="right" vertical="center" wrapText="1" shrinkToFit="1"/>
    </xf>
    <xf numFmtId="1" fontId="56" fillId="0" borderId="0" xfId="7" applyNumberFormat="1" applyFont="1" applyAlignment="1">
      <alignment horizontal="center" vertical="center"/>
    </xf>
    <xf numFmtId="0" fontId="56" fillId="0" borderId="0" xfId="7" applyFont="1" applyAlignment="1">
      <alignment horizontal="center" vertical="center"/>
    </xf>
    <xf numFmtId="0" fontId="56" fillId="0" borderId="54" xfId="7" applyFont="1" applyBorder="1" applyAlignment="1">
      <alignment horizontal="center" vertical="center"/>
    </xf>
    <xf numFmtId="0" fontId="56" fillId="0" borderId="0" xfId="7" applyFont="1" applyAlignment="1">
      <alignment vertical="center"/>
    </xf>
    <xf numFmtId="0" fontId="48" fillId="6" borderId="45" xfId="7" applyFont="1" applyFill="1" applyBorder="1" applyAlignment="1">
      <alignment vertical="center" wrapText="1" shrinkToFit="1"/>
    </xf>
    <xf numFmtId="0" fontId="48" fillId="6" borderId="46" xfId="7" applyFont="1" applyFill="1" applyBorder="1" applyAlignment="1">
      <alignment vertical="center" wrapText="1" shrinkToFit="1"/>
    </xf>
    <xf numFmtId="1" fontId="46" fillId="6" borderId="46" xfId="7" applyNumberFormat="1" applyFont="1" applyFill="1" applyBorder="1" applyAlignment="1">
      <alignment horizontal="center" vertical="center"/>
    </xf>
    <xf numFmtId="0" fontId="46" fillId="6" borderId="46" xfId="7" applyFont="1" applyFill="1" applyBorder="1" applyAlignment="1">
      <alignment vertical="center"/>
    </xf>
    <xf numFmtId="0" fontId="46" fillId="6" borderId="46" xfId="7" applyFont="1" applyFill="1" applyBorder="1" applyAlignment="1">
      <alignment horizontal="center" vertical="center"/>
    </xf>
    <xf numFmtId="0" fontId="46" fillId="6" borderId="47" xfId="7" applyFont="1" applyFill="1" applyBorder="1" applyAlignment="1">
      <alignment horizontal="center" vertical="center"/>
    </xf>
    <xf numFmtId="1" fontId="46" fillId="6" borderId="2" xfId="7" applyNumberFormat="1" applyFont="1" applyFill="1" applyBorder="1" applyAlignment="1">
      <alignment horizontal="center" vertical="center"/>
    </xf>
    <xf numFmtId="0" fontId="46" fillId="0" borderId="2" xfId="7" applyFont="1" applyBorder="1" applyAlignment="1">
      <alignment horizontal="center" vertical="center" wrapText="1"/>
    </xf>
    <xf numFmtId="0" fontId="46" fillId="0" borderId="55" xfId="7" applyFont="1" applyBorder="1" applyAlignment="1">
      <alignment horizontal="center" vertical="center"/>
    </xf>
    <xf numFmtId="164" fontId="48" fillId="0" borderId="37" xfId="7" applyNumberFormat="1" applyFont="1" applyBorder="1" applyAlignment="1">
      <alignment horizontal="center" vertical="center"/>
    </xf>
    <xf numFmtId="0" fontId="46" fillId="0" borderId="38" xfId="7" applyFont="1" applyBorder="1" applyAlignment="1">
      <alignment horizontal="left" vertical="center"/>
    </xf>
    <xf numFmtId="0" fontId="46" fillId="0" borderId="52" xfId="7" applyFont="1" applyBorder="1" applyAlignment="1">
      <alignment horizontal="right" vertical="center" wrapText="1" shrinkToFit="1"/>
    </xf>
    <xf numFmtId="0" fontId="46" fillId="0" borderId="5" xfId="7" applyFont="1" applyBorder="1" applyAlignment="1">
      <alignment horizontal="right" vertical="center" wrapText="1" shrinkToFit="1"/>
    </xf>
    <xf numFmtId="1" fontId="46" fillId="6" borderId="5" xfId="7" applyNumberFormat="1" applyFont="1" applyFill="1" applyBorder="1" applyAlignment="1">
      <alignment horizontal="center" vertical="center"/>
    </xf>
    <xf numFmtId="0" fontId="46" fillId="0" borderId="5" xfId="7" applyFont="1" applyBorder="1" applyAlignment="1">
      <alignment horizontal="center" vertical="center"/>
    </xf>
    <xf numFmtId="0" fontId="48" fillId="0" borderId="37" xfId="7" applyFont="1" applyBorder="1" applyAlignment="1">
      <alignment horizontal="left" vertical="center" wrapText="1" shrinkToFit="1"/>
    </xf>
    <xf numFmtId="0" fontId="46" fillId="0" borderId="37" xfId="7" applyFont="1" applyBorder="1" applyAlignment="1">
      <alignment vertical="center"/>
    </xf>
    <xf numFmtId="164" fontId="46" fillId="0" borderId="0" xfId="7" applyNumberFormat="1" applyFont="1" applyAlignment="1">
      <alignment vertical="center"/>
    </xf>
    <xf numFmtId="164" fontId="46" fillId="0" borderId="37" xfId="7" applyNumberFormat="1" applyFont="1" applyBorder="1" applyAlignment="1">
      <alignment horizontal="center" vertical="center"/>
    </xf>
    <xf numFmtId="0" fontId="62" fillId="0" borderId="38" xfId="7" applyFont="1" applyBorder="1" applyAlignment="1">
      <alignment horizontal="left" vertical="center" wrapText="1"/>
    </xf>
    <xf numFmtId="0" fontId="48" fillId="0" borderId="5" xfId="7" applyFont="1" applyBorder="1" applyAlignment="1">
      <alignment vertical="center" wrapText="1" shrinkToFit="1"/>
    </xf>
    <xf numFmtId="1" fontId="61" fillId="0" borderId="2" xfId="7" applyNumberFormat="1" applyFont="1" applyBorder="1" applyAlignment="1">
      <alignment horizontal="center" vertical="center"/>
    </xf>
    <xf numFmtId="164" fontId="46" fillId="0" borderId="2" xfId="7" applyNumberFormat="1" applyFont="1" applyBorder="1" applyAlignment="1">
      <alignment horizontal="center" vertical="center"/>
    </xf>
    <xf numFmtId="0" fontId="46" fillId="6" borderId="5" xfId="7" applyFont="1" applyFill="1" applyBorder="1" applyAlignment="1">
      <alignment vertical="center"/>
    </xf>
    <xf numFmtId="164" fontId="46" fillId="0" borderId="5" xfId="7" applyNumberFormat="1" applyFont="1" applyBorder="1" applyAlignment="1">
      <alignment horizontal="center" vertical="center"/>
    </xf>
    <xf numFmtId="0" fontId="46" fillId="6" borderId="48" xfId="7" applyFont="1" applyFill="1" applyBorder="1" applyAlignment="1">
      <alignment vertical="center" wrapText="1" shrinkToFit="1"/>
    </xf>
    <xf numFmtId="0" fontId="48" fillId="0" borderId="50" xfId="7" applyFont="1" applyBorder="1" applyAlignment="1">
      <alignment vertical="center" wrapText="1" shrinkToFit="1"/>
    </xf>
    <xf numFmtId="0" fontId="59" fillId="0" borderId="2" xfId="7" applyFont="1" applyBorder="1" applyAlignment="1">
      <alignment vertical="center" wrapText="1" shrinkToFit="1"/>
    </xf>
    <xf numFmtId="0" fontId="46" fillId="0" borderId="37" xfId="7" applyFont="1" applyBorder="1" applyAlignment="1">
      <alignment horizontal="center" vertical="center" wrapText="1" shrinkToFit="1"/>
    </xf>
    <xf numFmtId="0" fontId="46" fillId="0" borderId="33" xfId="7" applyFont="1" applyBorder="1" applyAlignment="1">
      <alignment vertical="center" wrapText="1" shrinkToFit="1"/>
    </xf>
    <xf numFmtId="0" fontId="46" fillId="0" borderId="34" xfId="7" applyFont="1" applyBorder="1" applyAlignment="1">
      <alignment vertical="center" wrapText="1" shrinkToFit="1"/>
    </xf>
    <xf numFmtId="1" fontId="46" fillId="6" borderId="34" xfId="7" applyNumberFormat="1" applyFont="1" applyFill="1" applyBorder="1" applyAlignment="1">
      <alignment horizontal="center" vertical="center"/>
    </xf>
    <xf numFmtId="1" fontId="46" fillId="0" borderId="34" xfId="7" applyNumberFormat="1" applyFont="1" applyBorder="1" applyAlignment="1">
      <alignment horizontal="center" vertical="center"/>
    </xf>
    <xf numFmtId="49" fontId="46" fillId="0" borderId="34" xfId="7" quotePrefix="1" applyNumberFormat="1" applyFont="1" applyBorder="1" applyAlignment="1">
      <alignment horizontal="center" vertical="center"/>
    </xf>
    <xf numFmtId="0" fontId="46" fillId="0" borderId="34" xfId="7" applyFont="1" applyBorder="1" applyAlignment="1">
      <alignment horizontal="center" vertical="center"/>
    </xf>
    <xf numFmtId="0" fontId="51" fillId="0" borderId="56" xfId="7" applyFont="1" applyBorder="1" applyAlignment="1">
      <alignment vertical="center"/>
    </xf>
    <xf numFmtId="0" fontId="46" fillId="0" borderId="56" xfId="7" applyFont="1" applyBorder="1" applyAlignment="1">
      <alignment vertical="center" wrapText="1" shrinkToFit="1"/>
    </xf>
    <xf numFmtId="1" fontId="46" fillId="0" borderId="56" xfId="7" applyNumberFormat="1" applyFont="1" applyBorder="1" applyAlignment="1">
      <alignment horizontal="center" vertical="center"/>
    </xf>
    <xf numFmtId="0" fontId="46" fillId="0" borderId="41" xfId="7" applyFont="1" applyBorder="1" applyAlignment="1">
      <alignment horizontal="center" vertical="center"/>
    </xf>
    <xf numFmtId="0" fontId="46" fillId="0" borderId="0" xfId="7" applyFont="1"/>
    <xf numFmtId="0" fontId="46" fillId="0" borderId="0" xfId="7" applyFont="1" applyAlignment="1">
      <alignment wrapText="1" shrinkToFit="1"/>
    </xf>
    <xf numFmtId="1" fontId="46" fillId="0" borderId="0" xfId="7" applyNumberFormat="1" applyFont="1" applyAlignment="1">
      <alignment horizontal="center"/>
    </xf>
    <xf numFmtId="0" fontId="46" fillId="0" borderId="0" xfId="7" applyFont="1" applyAlignment="1">
      <alignment vertical="center" wrapText="1" shrinkToFit="1"/>
    </xf>
    <xf numFmtId="0" fontId="46" fillId="0" borderId="44" xfId="7" applyFont="1" applyBorder="1"/>
    <xf numFmtId="0" fontId="46" fillId="0" borderId="44" xfId="7" applyFont="1" applyBorder="1" applyAlignment="1">
      <alignment wrapText="1" shrinkToFit="1"/>
    </xf>
    <xf numFmtId="1" fontId="46" fillId="0" borderId="44" xfId="7" applyNumberFormat="1" applyFont="1" applyBorder="1" applyAlignment="1">
      <alignment horizontal="center"/>
    </xf>
    <xf numFmtId="0" fontId="46" fillId="0" borderId="44" xfId="7" applyFont="1" applyBorder="1" applyAlignment="1">
      <alignment vertical="center" wrapText="1" shrinkToFit="1"/>
    </xf>
    <xf numFmtId="0" fontId="46" fillId="0" borderId="44" xfId="7" applyFont="1" applyBorder="1" applyAlignment="1">
      <alignment horizontal="center"/>
    </xf>
    <xf numFmtId="0" fontId="45" fillId="0" borderId="0" xfId="7" applyFont="1" applyAlignment="1">
      <alignment horizontal="center"/>
    </xf>
    <xf numFmtId="1" fontId="45" fillId="0" borderId="0" xfId="7" applyNumberFormat="1" applyFont="1"/>
    <xf numFmtId="0" fontId="1" fillId="0" borderId="0" xfId="7" applyFont="1"/>
    <xf numFmtId="0" fontId="43" fillId="0" borderId="0" xfId="7" applyFont="1"/>
    <xf numFmtId="0" fontId="40" fillId="0" borderId="0" xfId="7" applyFont="1"/>
    <xf numFmtId="0" fontId="1" fillId="0" borderId="0" xfId="7" applyFont="1" applyAlignment="1">
      <alignment horizontal="right"/>
    </xf>
    <xf numFmtId="0" fontId="65" fillId="0" borderId="0" xfId="7" applyFont="1"/>
    <xf numFmtId="1" fontId="46" fillId="0" borderId="31" xfId="7" applyNumberFormat="1" applyFont="1" applyBorder="1" applyAlignment="1">
      <alignment horizontal="center" vertical="center"/>
    </xf>
    <xf numFmtId="0" fontId="46" fillId="0" borderId="2" xfId="7" applyFont="1" applyBorder="1" applyAlignment="1">
      <alignment vertical="center"/>
    </xf>
    <xf numFmtId="0" fontId="46" fillId="0" borderId="32" xfId="7" applyFont="1" applyBorder="1" applyAlignment="1">
      <alignment vertical="center"/>
    </xf>
    <xf numFmtId="0" fontId="46" fillId="0" borderId="31" xfId="7" applyFont="1" applyBorder="1" applyAlignment="1">
      <alignment vertical="center" wrapText="1" shrinkToFit="1"/>
    </xf>
    <xf numFmtId="0" fontId="46" fillId="0" borderId="2" xfId="7" applyFont="1" applyBorder="1" applyAlignment="1">
      <alignment vertical="center" wrapText="1"/>
    </xf>
    <xf numFmtId="164" fontId="53" fillId="0" borderId="37" xfId="7" applyNumberFormat="1" applyFont="1" applyBorder="1" applyAlignment="1">
      <alignment horizontal="center" vertical="center"/>
    </xf>
    <xf numFmtId="0" fontId="56" fillId="0" borderId="37" xfId="7" applyFont="1" applyBorder="1" applyAlignment="1">
      <alignment horizontal="left" vertical="center" wrapText="1" shrinkToFit="1"/>
    </xf>
    <xf numFmtId="164" fontId="50" fillId="0" borderId="37" xfId="7" applyNumberFormat="1" applyFont="1" applyBorder="1" applyAlignment="1">
      <alignment horizontal="center" vertical="center"/>
    </xf>
    <xf numFmtId="0" fontId="60" fillId="0" borderId="37" xfId="7" applyFont="1" applyBorder="1" applyAlignment="1">
      <alignment horizontal="left" vertical="center" wrapText="1" shrinkToFit="1"/>
    </xf>
    <xf numFmtId="0" fontId="50" fillId="0" borderId="5" xfId="7" applyFont="1" applyBorder="1" applyAlignment="1">
      <alignment vertical="center" wrapText="1" shrinkToFit="1"/>
    </xf>
    <xf numFmtId="0" fontId="50" fillId="0" borderId="53" xfId="7" applyFont="1" applyBorder="1" applyAlignment="1">
      <alignment vertical="center"/>
    </xf>
    <xf numFmtId="0" fontId="50" fillId="0" borderId="52" xfId="7" applyFont="1" applyBorder="1" applyAlignment="1">
      <alignment vertical="center" wrapText="1" shrinkToFit="1"/>
    </xf>
    <xf numFmtId="1" fontId="50" fillId="6" borderId="5" xfId="7" applyNumberFormat="1" applyFont="1" applyFill="1" applyBorder="1" applyAlignment="1">
      <alignment horizontal="center" vertical="center"/>
    </xf>
    <xf numFmtId="1" fontId="50" fillId="0" borderId="5" xfId="7" applyNumberFormat="1" applyFont="1" applyBorder="1" applyAlignment="1">
      <alignment horizontal="center" vertical="center"/>
    </xf>
    <xf numFmtId="0" fontId="48" fillId="0" borderId="36" xfId="7" applyFont="1" applyBorder="1" applyAlignment="1">
      <alignment vertical="center" wrapText="1" shrinkToFit="1"/>
    </xf>
    <xf numFmtId="0" fontId="46" fillId="0" borderId="38" xfId="7" applyFont="1" applyBorder="1" applyAlignment="1">
      <alignment vertical="center"/>
    </xf>
    <xf numFmtId="0" fontId="50" fillId="0" borderId="38" xfId="7" applyFont="1" applyBorder="1" applyAlignment="1">
      <alignment vertical="center"/>
    </xf>
    <xf numFmtId="0" fontId="46" fillId="0" borderId="32" xfId="7" applyFont="1" applyBorder="1" applyAlignment="1">
      <alignment horizontal="center" vertical="center"/>
    </xf>
    <xf numFmtId="2" fontId="66" fillId="8" borderId="0" xfId="7" applyNumberFormat="1" applyFont="1" applyFill="1" applyAlignment="1">
      <alignment vertical="center"/>
    </xf>
    <xf numFmtId="0" fontId="46" fillId="0" borderId="0" xfId="7" applyFont="1" applyAlignment="1">
      <alignment horizontal="center" vertical="center"/>
    </xf>
    <xf numFmtId="1" fontId="46" fillId="0" borderId="38" xfId="7" applyNumberFormat="1" applyFont="1" applyBorder="1" applyAlignment="1">
      <alignment horizontal="center" vertical="center"/>
    </xf>
    <xf numFmtId="1" fontId="48" fillId="4" borderId="37" xfId="7" applyNumberFormat="1" applyFont="1" applyFill="1" applyBorder="1" applyAlignment="1">
      <alignment horizontal="center" vertical="center"/>
    </xf>
    <xf numFmtId="0" fontId="56" fillId="0" borderId="37" xfId="7" applyFont="1" applyBorder="1" applyAlignment="1">
      <alignment horizontal="center" vertical="center"/>
    </xf>
    <xf numFmtId="0" fontId="46" fillId="0" borderId="30" xfId="7" applyFont="1" applyBorder="1" applyAlignment="1">
      <alignment vertical="center" wrapText="1" shrinkToFit="1"/>
    </xf>
    <xf numFmtId="0" fontId="46" fillId="0" borderId="34" xfId="7" applyFont="1" applyBorder="1" applyAlignment="1">
      <alignment horizontal="left" vertical="center" wrapText="1" shrinkToFit="1"/>
    </xf>
    <xf numFmtId="0" fontId="46" fillId="0" borderId="35" xfId="7" applyFont="1" applyBorder="1" applyAlignment="1">
      <alignment vertical="center"/>
    </xf>
    <xf numFmtId="0" fontId="44" fillId="0" borderId="37" xfId="7" applyFont="1" applyBorder="1" applyAlignment="1">
      <alignment vertical="center" wrapText="1"/>
    </xf>
    <xf numFmtId="0" fontId="44" fillId="0" borderId="38" xfId="7" applyFont="1" applyBorder="1" applyAlignment="1">
      <alignment vertical="center" wrapText="1"/>
    </xf>
    <xf numFmtId="164" fontId="51" fillId="0" borderId="37" xfId="7" applyNumberFormat="1" applyFont="1" applyBorder="1" applyAlignment="1">
      <alignment horizontal="center" vertical="center"/>
    </xf>
    <xf numFmtId="49" fontId="61" fillId="0" borderId="37" xfId="7" applyNumberFormat="1" applyFont="1" applyBorder="1" applyAlignment="1">
      <alignment horizontal="center" vertical="center"/>
    </xf>
    <xf numFmtId="0" fontId="60" fillId="0" borderId="37" xfId="7" applyFont="1" applyBorder="1" applyAlignment="1">
      <alignment vertical="center" wrapText="1" shrinkToFit="1"/>
    </xf>
    <xf numFmtId="0" fontId="67" fillId="0" borderId="0" xfId="2" applyFont="1" applyAlignment="1">
      <alignment horizontal="right"/>
    </xf>
    <xf numFmtId="2" fontId="68" fillId="5" borderId="1" xfId="2" applyNumberFormat="1" applyFont="1" applyFill="1" applyBorder="1" applyAlignment="1">
      <alignment horizontal="center"/>
    </xf>
    <xf numFmtId="0" fontId="42" fillId="8" borderId="0" xfId="0" applyFont="1" applyFill="1"/>
    <xf numFmtId="0" fontId="41" fillId="0" borderId="0" xfId="0" applyFont="1" applyAlignment="1">
      <alignment horizontal="right"/>
    </xf>
    <xf numFmtId="0" fontId="69" fillId="8" borderId="1" xfId="2" applyFont="1" applyFill="1" applyBorder="1" applyAlignment="1" applyProtection="1">
      <alignment horizontal="center"/>
      <protection locked="0"/>
    </xf>
    <xf numFmtId="0" fontId="70" fillId="0" borderId="1" xfId="2" applyFont="1" applyBorder="1" applyAlignment="1" applyProtection="1">
      <alignment horizontal="center"/>
      <protection locked="0"/>
    </xf>
    <xf numFmtId="164" fontId="70" fillId="0" borderId="1" xfId="2" applyNumberFormat="1" applyFont="1" applyBorder="1" applyAlignment="1" applyProtection="1">
      <alignment horizontal="center"/>
      <protection locked="0"/>
    </xf>
    <xf numFmtId="2" fontId="71" fillId="2" borderId="1" xfId="2" applyNumberFormat="1" applyFont="1" applyFill="1" applyBorder="1" applyAlignment="1" applyProtection="1">
      <alignment horizontal="center"/>
      <protection locked="0"/>
    </xf>
    <xf numFmtId="2" fontId="72" fillId="0" borderId="1" xfId="2" applyNumberFormat="1" applyFont="1" applyBorder="1" applyAlignment="1">
      <alignment horizontal="center"/>
    </xf>
    <xf numFmtId="10" fontId="70" fillId="2" borderId="1" xfId="1" applyNumberFormat="1" applyFont="1" applyFill="1" applyBorder="1" applyAlignment="1" applyProtection="1">
      <alignment horizontal="center"/>
      <protection locked="0"/>
    </xf>
    <xf numFmtId="2" fontId="41" fillId="9" borderId="1" xfId="0" applyNumberFormat="1" applyFont="1" applyFill="1" applyBorder="1" applyAlignment="1">
      <alignment horizontal="center"/>
    </xf>
    <xf numFmtId="9" fontId="71" fillId="2" borderId="1" xfId="1" applyFont="1" applyFill="1" applyBorder="1" applyAlignment="1" applyProtection="1">
      <alignment horizontal="center"/>
      <protection locked="0"/>
    </xf>
    <xf numFmtId="170" fontId="69" fillId="8" borderId="1" xfId="0" applyNumberFormat="1" applyFont="1" applyFill="1" applyBorder="1" applyAlignment="1">
      <alignment horizontal="center"/>
    </xf>
    <xf numFmtId="9" fontId="41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171" fontId="41" fillId="0" borderId="0" xfId="0" applyNumberFormat="1" applyFont="1"/>
    <xf numFmtId="10" fontId="41" fillId="0" borderId="0" xfId="0" applyNumberFormat="1" applyFont="1"/>
    <xf numFmtId="0" fontId="66" fillId="0" borderId="0" xfId="7" applyFont="1" applyAlignment="1">
      <alignment vertical="center"/>
    </xf>
    <xf numFmtId="1" fontId="66" fillId="0" borderId="37" xfId="7" applyNumberFormat="1" applyFont="1" applyBorder="1" applyAlignment="1">
      <alignment horizontal="center" vertical="center"/>
    </xf>
    <xf numFmtId="0" fontId="73" fillId="0" borderId="0" xfId="7" applyFont="1"/>
    <xf numFmtId="0" fontId="73" fillId="0" borderId="44" xfId="7" applyFont="1" applyBorder="1"/>
    <xf numFmtId="164" fontId="48" fillId="8" borderId="44" xfId="7" applyNumberFormat="1" applyFont="1" applyFill="1" applyBorder="1" applyAlignment="1">
      <alignment horizontal="center"/>
    </xf>
    <xf numFmtId="2" fontId="48" fillId="8" borderId="37" xfId="7" applyNumberFormat="1" applyFont="1" applyFill="1" applyBorder="1" applyAlignment="1">
      <alignment horizontal="center" vertical="center" wrapText="1" shrinkToFit="1"/>
    </xf>
    <xf numFmtId="1" fontId="46" fillId="0" borderId="37" xfId="7" applyNumberFormat="1" applyFont="1" applyBorder="1" applyAlignment="1">
      <alignment vertical="center"/>
    </xf>
    <xf numFmtId="1" fontId="46" fillId="0" borderId="38" xfId="7" applyNumberFormat="1" applyFont="1" applyBorder="1" applyAlignment="1">
      <alignment vertical="center"/>
    </xf>
    <xf numFmtId="1" fontId="46" fillId="0" borderId="38" xfId="7" applyNumberFormat="1" applyFont="1" applyBorder="1" applyAlignment="1">
      <alignment horizontal="left" vertical="center"/>
    </xf>
    <xf numFmtId="0" fontId="60" fillId="0" borderId="37" xfId="7" applyFont="1" applyBorder="1" applyAlignment="1">
      <alignment horizontal="center" vertical="center" wrapText="1"/>
    </xf>
    <xf numFmtId="0" fontId="74" fillId="0" borderId="37" xfId="7" applyFont="1" applyBorder="1" applyAlignment="1">
      <alignment horizontal="left" vertical="center" wrapText="1"/>
    </xf>
    <xf numFmtId="0" fontId="75" fillId="0" borderId="0" xfId="7" applyFont="1"/>
    <xf numFmtId="9" fontId="48" fillId="0" borderId="37" xfId="7" applyNumberFormat="1" applyFont="1" applyBorder="1" applyAlignment="1">
      <alignment horizontal="center" vertical="center"/>
    </xf>
    <xf numFmtId="2" fontId="48" fillId="8" borderId="0" xfId="7" applyNumberFormat="1" applyFont="1" applyFill="1" applyAlignment="1">
      <alignment vertical="center"/>
    </xf>
    <xf numFmtId="1" fontId="48" fillId="0" borderId="0" xfId="7" applyNumberFormat="1" applyFont="1" applyAlignment="1">
      <alignment vertical="center"/>
    </xf>
    <xf numFmtId="2" fontId="41" fillId="0" borderId="0" xfId="0" applyNumberFormat="1" applyFont="1"/>
    <xf numFmtId="164" fontId="48" fillId="8" borderId="0" xfId="7" applyNumberFormat="1" applyFont="1" applyFill="1" applyAlignment="1">
      <alignment vertical="center"/>
    </xf>
    <xf numFmtId="1" fontId="48" fillId="8" borderId="37" xfId="7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82" fillId="0" borderId="58" xfId="14" applyBorder="1" applyAlignment="1">
      <alignment horizontal="center" vertical="center" wrapText="1"/>
    </xf>
    <xf numFmtId="0" fontId="78" fillId="0" borderId="58" xfId="0" applyFont="1" applyBorder="1" applyAlignment="1">
      <alignment horizontal="center" vertical="center" wrapText="1"/>
    </xf>
    <xf numFmtId="0" fontId="78" fillId="0" borderId="59" xfId="0" applyFont="1" applyBorder="1" applyAlignment="1">
      <alignment horizontal="center" vertical="center" wrapText="1"/>
    </xf>
    <xf numFmtId="0" fontId="77" fillId="0" borderId="58" xfId="0" applyFont="1" applyBorder="1" applyAlignment="1">
      <alignment horizontal="center" vertical="center" wrapText="1"/>
    </xf>
    <xf numFmtId="0" fontId="77" fillId="0" borderId="57" xfId="0" applyFont="1" applyBorder="1" applyAlignment="1">
      <alignment horizontal="center" vertical="center" wrapText="1"/>
    </xf>
    <xf numFmtId="0" fontId="81" fillId="0" borderId="65" xfId="0" applyFont="1" applyBorder="1" applyAlignment="1">
      <alignment horizontal="center" vertical="center" wrapText="1"/>
    </xf>
    <xf numFmtId="0" fontId="81" fillId="10" borderId="65" xfId="0" applyFont="1" applyFill="1" applyBorder="1" applyAlignment="1">
      <alignment horizontal="center" vertical="center" wrapText="1"/>
    </xf>
    <xf numFmtId="0" fontId="82" fillId="0" borderId="66" xfId="14" applyBorder="1" applyAlignment="1">
      <alignment horizontal="center" vertical="center" wrapText="1"/>
    </xf>
    <xf numFmtId="0" fontId="82" fillId="0" borderId="67" xfId="14" applyBorder="1" applyAlignment="1">
      <alignment horizontal="center" vertical="center" wrapText="1"/>
    </xf>
    <xf numFmtId="0" fontId="77" fillId="0" borderId="71" xfId="0" applyFont="1" applyBorder="1" applyAlignment="1">
      <alignment horizontal="center" vertical="center" wrapText="1"/>
    </xf>
    <xf numFmtId="0" fontId="82" fillId="0" borderId="72" xfId="14" applyBorder="1" applyAlignment="1">
      <alignment horizontal="center" vertical="center" wrapText="1"/>
    </xf>
    <xf numFmtId="0" fontId="77" fillId="0" borderId="73" xfId="0" applyFont="1" applyBorder="1" applyAlignment="1">
      <alignment horizontal="center" vertical="center" wrapText="1"/>
    </xf>
    <xf numFmtId="0" fontId="78" fillId="0" borderId="72" xfId="0" applyFont="1" applyBorder="1" applyAlignment="1">
      <alignment horizontal="center" vertical="center" wrapText="1"/>
    </xf>
    <xf numFmtId="0" fontId="78" fillId="0" borderId="73" xfId="0" applyFont="1" applyBorder="1" applyAlignment="1">
      <alignment horizontal="center" vertical="center" wrapText="1"/>
    </xf>
    <xf numFmtId="0" fontId="78" fillId="0" borderId="74" xfId="0" applyFont="1" applyBorder="1" applyAlignment="1">
      <alignment horizontal="center" vertical="center" wrapText="1"/>
    </xf>
    <xf numFmtId="0" fontId="78" fillId="0" borderId="75" xfId="0" applyFont="1" applyBorder="1" applyAlignment="1">
      <alignment horizontal="center" vertical="center" wrapText="1"/>
    </xf>
    <xf numFmtId="0" fontId="81" fillId="0" borderId="76" xfId="0" applyFont="1" applyBorder="1" applyAlignment="1">
      <alignment horizontal="center" vertical="center" wrapText="1"/>
    </xf>
    <xf numFmtId="0" fontId="81" fillId="0" borderId="77" xfId="0" applyFont="1" applyBorder="1" applyAlignment="1">
      <alignment horizontal="center" vertical="center" wrapText="1"/>
    </xf>
    <xf numFmtId="0" fontId="77" fillId="10" borderId="76" xfId="0" applyFont="1" applyFill="1" applyBorder="1" applyAlignment="1">
      <alignment horizontal="center" vertical="center" wrapText="1"/>
    </xf>
    <xf numFmtId="0" fontId="81" fillId="10" borderId="77" xfId="0" applyFont="1" applyFill="1" applyBorder="1" applyAlignment="1">
      <alignment horizontal="center" vertical="center" wrapText="1"/>
    </xf>
    <xf numFmtId="0" fontId="81" fillId="0" borderId="78" xfId="0" applyFont="1" applyBorder="1" applyAlignment="1">
      <alignment horizontal="center" vertical="center" wrapText="1"/>
    </xf>
    <xf numFmtId="0" fontId="81" fillId="0" borderId="79" xfId="0" applyFont="1" applyBorder="1" applyAlignment="1">
      <alignment horizontal="center" vertical="center" wrapText="1"/>
    </xf>
    <xf numFmtId="0" fontId="81" fillId="0" borderId="80" xfId="0" applyFont="1" applyBorder="1" applyAlignment="1">
      <alignment horizontal="center" vertical="center" wrapText="1"/>
    </xf>
    <xf numFmtId="0" fontId="82" fillId="0" borderId="70" xfId="14" applyBorder="1" applyAlignment="1">
      <alignment horizontal="center" vertical="center" wrapText="1"/>
    </xf>
    <xf numFmtId="0" fontId="82" fillId="0" borderId="61" xfId="14" applyBorder="1" applyAlignment="1">
      <alignment horizontal="center" vertical="center" wrapText="1"/>
    </xf>
    <xf numFmtId="0" fontId="78" fillId="0" borderId="61" xfId="0" applyFont="1" applyBorder="1" applyAlignment="1">
      <alignment horizontal="center" vertical="center" wrapText="1"/>
    </xf>
    <xf numFmtId="0" fontId="78" fillId="0" borderId="64" xfId="0" applyFont="1" applyBorder="1" applyAlignment="1">
      <alignment horizontal="center" vertical="center" wrapText="1"/>
    </xf>
    <xf numFmtId="0" fontId="81" fillId="0" borderId="81" xfId="0" applyFont="1" applyBorder="1" applyAlignment="1">
      <alignment horizontal="center" vertical="center" wrapText="1"/>
    </xf>
    <xf numFmtId="0" fontId="76" fillId="0" borderId="0" xfId="0" applyFont="1" applyAlignment="1">
      <alignment horizontal="center" vertical="center" wrapText="1"/>
    </xf>
    <xf numFmtId="0" fontId="48" fillId="11" borderId="0" xfId="7" applyFont="1" applyFill="1" applyAlignment="1">
      <alignment vertical="center" wrapText="1"/>
    </xf>
    <xf numFmtId="1" fontId="48" fillId="11" borderId="0" xfId="7" applyNumberFormat="1" applyFont="1" applyFill="1" applyAlignment="1">
      <alignment vertical="center"/>
    </xf>
    <xf numFmtId="1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50" fillId="0" borderId="37" xfId="7" applyFont="1" applyBorder="1" applyAlignment="1">
      <alignment horizontal="center" vertical="center" wrapText="1"/>
    </xf>
    <xf numFmtId="0" fontId="62" fillId="0" borderId="37" xfId="7" applyFont="1" applyBorder="1" applyAlignment="1">
      <alignment horizontal="left" vertical="center" wrapText="1"/>
    </xf>
    <xf numFmtId="0" fontId="46" fillId="0" borderId="82" xfId="7" applyFont="1" applyBorder="1" applyAlignment="1">
      <alignment vertical="center" wrapText="1" shrinkToFit="1"/>
    </xf>
    <xf numFmtId="0" fontId="46" fillId="0" borderId="51" xfId="7" applyFont="1" applyBorder="1" applyAlignment="1">
      <alignment vertical="center" wrapText="1" shrinkToFit="1"/>
    </xf>
    <xf numFmtId="164" fontId="48" fillId="8" borderId="51" xfId="7" applyNumberFormat="1" applyFont="1" applyFill="1" applyBorder="1" applyAlignment="1">
      <alignment horizontal="center" vertical="center" wrapText="1" shrinkToFit="1"/>
    </xf>
    <xf numFmtId="0" fontId="48" fillId="0" borderId="51" xfId="7" applyFont="1" applyBorder="1" applyAlignment="1">
      <alignment vertical="center" wrapText="1" shrinkToFit="1"/>
    </xf>
    <xf numFmtId="164" fontId="48" fillId="0" borderId="51" xfId="7" applyNumberFormat="1" applyFont="1" applyBorder="1" applyAlignment="1">
      <alignment horizontal="center" vertical="center"/>
    </xf>
    <xf numFmtId="9" fontId="48" fillId="0" borderId="51" xfId="7" applyNumberFormat="1" applyFont="1" applyBorder="1" applyAlignment="1">
      <alignment horizontal="center" vertical="center"/>
    </xf>
    <xf numFmtId="0" fontId="46" fillId="0" borderId="51" xfId="7" applyFont="1" applyBorder="1" applyAlignment="1">
      <alignment vertical="center"/>
    </xf>
    <xf numFmtId="1" fontId="46" fillId="6" borderId="83" xfId="7" applyNumberFormat="1" applyFont="1" applyFill="1" applyBorder="1" applyAlignment="1">
      <alignment horizontal="center" vertical="center"/>
    </xf>
    <xf numFmtId="0" fontId="84" fillId="11" borderId="0" xfId="0" applyFont="1" applyFill="1"/>
    <xf numFmtId="0" fontId="85" fillId="11" borderId="0" xfId="0" applyFont="1" applyFill="1"/>
    <xf numFmtId="0" fontId="83" fillId="0" borderId="0" xfId="0" applyFont="1"/>
    <xf numFmtId="170" fontId="46" fillId="0" borderId="0" xfId="7" applyNumberFormat="1" applyFont="1" applyAlignment="1">
      <alignment vertical="center"/>
    </xf>
    <xf numFmtId="0" fontId="33" fillId="6" borderId="84" xfId="7" applyFont="1" applyFill="1" applyBorder="1" applyAlignment="1">
      <alignment horizontal="center" vertical="center" wrapText="1"/>
    </xf>
    <xf numFmtId="1" fontId="33" fillId="2" borderId="1" xfId="7" applyNumberFormat="1" applyFont="1" applyFill="1" applyBorder="1" applyAlignment="1" applyProtection="1">
      <alignment horizontal="center" vertical="center"/>
      <protection locked="0"/>
    </xf>
    <xf numFmtId="1" fontId="37" fillId="4" borderId="31" xfId="7" applyNumberFormat="1" applyFont="1" applyFill="1" applyBorder="1" applyAlignment="1">
      <alignment horizontal="center" vertical="center"/>
    </xf>
    <xf numFmtId="0" fontId="55" fillId="8" borderId="37" xfId="7" applyFont="1" applyFill="1" applyBorder="1" applyAlignment="1">
      <alignment horizontal="center" vertical="center" wrapText="1" shrinkToFit="1"/>
    </xf>
    <xf numFmtId="1" fontId="4" fillId="0" borderId="0" xfId="7" applyNumberFormat="1"/>
    <xf numFmtId="173" fontId="6" fillId="2" borderId="1" xfId="2" applyNumberFormat="1" applyFont="1" applyFill="1" applyBorder="1"/>
    <xf numFmtId="0" fontId="48" fillId="8" borderId="37" xfId="7" applyFont="1" applyFill="1" applyBorder="1" applyAlignment="1">
      <alignment horizontal="center" vertical="center"/>
    </xf>
    <xf numFmtId="0" fontId="87" fillId="0" borderId="0" xfId="0" applyFont="1"/>
    <xf numFmtId="0" fontId="0" fillId="0" borderId="48" xfId="0" applyBorder="1"/>
    <xf numFmtId="0" fontId="0" fillId="8" borderId="1" xfId="0" applyFill="1" applyBorder="1"/>
    <xf numFmtId="0" fontId="0" fillId="0" borderId="1" xfId="0" applyBorder="1"/>
    <xf numFmtId="0" fontId="0" fillId="0" borderId="49" xfId="0" applyBorder="1"/>
    <xf numFmtId="0" fontId="0" fillId="13" borderId="1" xfId="0" applyFill="1" applyBorder="1"/>
    <xf numFmtId="0" fontId="0" fillId="0" borderId="88" xfId="0" applyBorder="1"/>
    <xf numFmtId="0" fontId="0" fillId="0" borderId="89" xfId="0" applyBorder="1"/>
    <xf numFmtId="0" fontId="0" fillId="0" borderId="90" xfId="0" applyBorder="1"/>
    <xf numFmtId="0" fontId="76" fillId="12" borderId="45" xfId="0" applyFont="1" applyFill="1" applyBorder="1" applyAlignment="1">
      <alignment horizontal="center"/>
    </xf>
    <xf numFmtId="0" fontId="76" fillId="12" borderId="46" xfId="0" applyFont="1" applyFill="1" applyBorder="1" applyAlignment="1">
      <alignment horizontal="center"/>
    </xf>
    <xf numFmtId="0" fontId="76" fillId="12" borderId="47" xfId="0" applyFont="1" applyFill="1" applyBorder="1" applyAlignment="1">
      <alignment horizontal="center"/>
    </xf>
    <xf numFmtId="0" fontId="76" fillId="0" borderId="0" xfId="0" applyFont="1" applyAlignment="1">
      <alignment horizontal="center"/>
    </xf>
    <xf numFmtId="164" fontId="0" fillId="0" borderId="49" xfId="0" applyNumberFormat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27" xfId="0" applyBorder="1"/>
    <xf numFmtId="0" fontId="0" fillId="0" borderId="28" xfId="0" applyBorder="1"/>
    <xf numFmtId="1" fontId="0" fillId="0" borderId="28" xfId="0" applyNumberFormat="1" applyBorder="1"/>
    <xf numFmtId="1" fontId="0" fillId="0" borderId="29" xfId="0" applyNumberFormat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88" fillId="0" borderId="0" xfId="0" applyFont="1"/>
    <xf numFmtId="0" fontId="84" fillId="0" borderId="0" xfId="0" applyFont="1"/>
    <xf numFmtId="2" fontId="89" fillId="14" borderId="94" xfId="15" applyNumberFormat="1" applyFill="1" applyBorder="1"/>
    <xf numFmtId="2" fontId="4" fillId="0" borderId="0" xfId="16" applyNumberFormat="1"/>
    <xf numFmtId="2" fontId="89" fillId="0" borderId="95" xfId="15" applyNumberFormat="1" applyBorder="1" applyAlignment="1">
      <alignment wrapText="1"/>
    </xf>
    <xf numFmtId="2" fontId="89" fillId="0" borderId="96" xfId="15" applyNumberFormat="1" applyBorder="1" applyAlignment="1">
      <alignment wrapText="1"/>
    </xf>
    <xf numFmtId="2" fontId="4" fillId="0" borderId="0" xfId="7" applyNumberFormat="1"/>
    <xf numFmtId="9" fontId="0" fillId="0" borderId="0" xfId="0" applyNumberFormat="1"/>
    <xf numFmtId="20" fontId="0" fillId="0" borderId="0" xfId="0" applyNumberFormat="1"/>
    <xf numFmtId="1" fontId="4" fillId="0" borderId="0" xfId="2" applyNumberFormat="1" applyFont="1"/>
    <xf numFmtId="166" fontId="71" fillId="2" borderId="1" xfId="10" applyNumberFormat="1" applyFont="1" applyFill="1" applyBorder="1" applyAlignment="1" applyProtection="1">
      <alignment horizontal="center"/>
      <protection locked="0"/>
    </xf>
    <xf numFmtId="0" fontId="25" fillId="8" borderId="100" xfId="7" applyFont="1" applyFill="1" applyBorder="1"/>
    <xf numFmtId="0" fontId="4" fillId="0" borderId="101" xfId="7" applyBorder="1"/>
    <xf numFmtId="0" fontId="4" fillId="0" borderId="102" xfId="7" applyBorder="1"/>
    <xf numFmtId="0" fontId="4" fillId="0" borderId="103" xfId="7" applyBorder="1"/>
    <xf numFmtId="0" fontId="4" fillId="0" borderId="54" xfId="7" applyBorder="1"/>
    <xf numFmtId="0" fontId="26" fillId="8" borderId="103" xfId="7" applyFont="1" applyFill="1" applyBorder="1"/>
    <xf numFmtId="0" fontId="4" fillId="0" borderId="103" xfId="7" applyBorder="1" applyAlignment="1">
      <alignment horizontal="right"/>
    </xf>
    <xf numFmtId="2" fontId="9" fillId="0" borderId="0" xfId="7" applyNumberFormat="1" applyFont="1" applyAlignment="1">
      <alignment horizontal="center"/>
    </xf>
    <xf numFmtId="0" fontId="38" fillId="8" borderId="54" xfId="7" applyFont="1" applyFill="1" applyBorder="1"/>
    <xf numFmtId="0" fontId="4" fillId="0" borderId="103" xfId="7" quotePrefix="1" applyBorder="1"/>
    <xf numFmtId="0" fontId="4" fillId="0" borderId="42" xfId="7" applyBorder="1"/>
    <xf numFmtId="0" fontId="4" fillId="0" borderId="43" xfId="7" applyBorder="1"/>
    <xf numFmtId="0" fontId="38" fillId="8" borderId="41" xfId="7" applyFont="1" applyFill="1" applyBorder="1"/>
    <xf numFmtId="0" fontId="9" fillId="8" borderId="54" xfId="7" applyFont="1" applyFill="1" applyBorder="1" applyAlignment="1">
      <alignment horizontal="center"/>
    </xf>
    <xf numFmtId="0" fontId="4" fillId="0" borderId="42" xfId="7" applyBorder="1" applyAlignment="1">
      <alignment horizontal="right"/>
    </xf>
    <xf numFmtId="164" fontId="4" fillId="0" borderId="43" xfId="7" applyNumberFormat="1" applyBorder="1"/>
    <xf numFmtId="0" fontId="4" fillId="0" borderId="41" xfId="7" applyBorder="1"/>
    <xf numFmtId="0" fontId="4" fillId="0" borderId="0" xfId="7" quotePrefix="1" applyAlignment="1">
      <alignment horizontal="right"/>
    </xf>
    <xf numFmtId="0" fontId="4" fillId="15" borderId="0" xfId="7" applyFill="1" applyAlignment="1">
      <alignment wrapText="1"/>
    </xf>
    <xf numFmtId="0" fontId="4" fillId="15" borderId="0" xfId="7" applyFill="1" applyAlignment="1">
      <alignment horizontal="center"/>
    </xf>
    <xf numFmtId="0" fontId="4" fillId="15" borderId="0" xfId="7" applyFill="1"/>
    <xf numFmtId="0" fontId="4" fillId="0" borderId="0" xfId="7" applyAlignment="1">
      <alignment horizontal="left" vertical="center"/>
    </xf>
    <xf numFmtId="0" fontId="4" fillId="16" borderId="0" xfId="7" applyFill="1" applyAlignment="1">
      <alignment horizontal="right"/>
    </xf>
    <xf numFmtId="0" fontId="4" fillId="16" borderId="0" xfId="7" applyFill="1"/>
    <xf numFmtId="0" fontId="4" fillId="17" borderId="103" xfId="7" applyFill="1" applyBorder="1" applyAlignment="1">
      <alignment horizontal="right"/>
    </xf>
    <xf numFmtId="0" fontId="4" fillId="17" borderId="0" xfId="7" applyFill="1"/>
    <xf numFmtId="0" fontId="4" fillId="17" borderId="42" xfId="7" applyFill="1" applyBorder="1" applyAlignment="1">
      <alignment horizontal="right"/>
    </xf>
    <xf numFmtId="0" fontId="4" fillId="17" borderId="43" xfId="7" applyFill="1" applyBorder="1"/>
    <xf numFmtId="174" fontId="0" fillId="0" borderId="1" xfId="0" applyNumberFormat="1" applyBorder="1" applyAlignment="1">
      <alignment horizontal="center" vertical="center"/>
    </xf>
    <xf numFmtId="0" fontId="41" fillId="8" borderId="1" xfId="0" applyFont="1" applyFill="1" applyBorder="1"/>
    <xf numFmtId="2" fontId="0" fillId="0" borderId="1" xfId="0" applyNumberFormat="1" applyBorder="1"/>
    <xf numFmtId="0" fontId="0" fillId="18" borderId="1" xfId="0" applyFill="1" applyBorder="1"/>
    <xf numFmtId="2" fontId="41" fillId="0" borderId="10" xfId="0" applyNumberFormat="1" applyFont="1" applyBorder="1"/>
    <xf numFmtId="2" fontId="41" fillId="0" borderId="39" xfId="0" applyNumberFormat="1" applyFont="1" applyBorder="1"/>
    <xf numFmtId="0" fontId="41" fillId="0" borderId="1" xfId="0" applyFont="1" applyBorder="1"/>
    <xf numFmtId="0" fontId="95" fillId="0" borderId="0" xfId="7" applyFont="1" applyAlignment="1">
      <alignment horizontal="center" vertical="center" wrapText="1"/>
    </xf>
    <xf numFmtId="170" fontId="41" fillId="0" borderId="1" xfId="0" applyNumberFormat="1" applyFont="1" applyBorder="1"/>
    <xf numFmtId="9" fontId="41" fillId="0" borderId="0" xfId="1" applyFont="1"/>
    <xf numFmtId="166" fontId="41" fillId="0" borderId="0" xfId="1" applyNumberFormat="1" applyFont="1"/>
    <xf numFmtId="0" fontId="56" fillId="0" borderId="1" xfId="7" applyFont="1" applyBorder="1" applyAlignment="1">
      <alignment horizontal="center" vertical="center"/>
    </xf>
    <xf numFmtId="49" fontId="48" fillId="0" borderId="1" xfId="7" applyNumberFormat="1" applyFont="1" applyBorder="1" applyAlignment="1">
      <alignment horizontal="center" vertical="center"/>
    </xf>
    <xf numFmtId="1" fontId="46" fillId="0" borderId="1" xfId="7" applyNumberFormat="1" applyFont="1" applyBorder="1" applyAlignment="1">
      <alignment horizontal="center"/>
    </xf>
    <xf numFmtId="0" fontId="94" fillId="0" borderId="1" xfId="0" applyFont="1" applyBorder="1" applyAlignment="1">
      <alignment vertical="center" wrapText="1"/>
    </xf>
    <xf numFmtId="0" fontId="0" fillId="0" borderId="0" xfId="0" applyAlignment="1">
      <alignment horizontal="right"/>
    </xf>
    <xf numFmtId="10" fontId="0" fillId="0" borderId="0" xfId="1" applyNumberFormat="1" applyFont="1"/>
    <xf numFmtId="0" fontId="0" fillId="8" borderId="0" xfId="0" applyFill="1"/>
    <xf numFmtId="0" fontId="96" fillId="0" borderId="0" xfId="0" applyFont="1"/>
    <xf numFmtId="174" fontId="97" fillId="0" borderId="1" xfId="0" applyNumberFormat="1" applyFont="1" applyBorder="1"/>
    <xf numFmtId="0" fontId="97" fillId="0" borderId="1" xfId="0" applyFont="1" applyBorder="1"/>
    <xf numFmtId="16" fontId="41" fillId="0" borderId="0" xfId="0" applyNumberFormat="1" applyFont="1"/>
    <xf numFmtId="1" fontId="98" fillId="8" borderId="37" xfId="7" applyNumberFormat="1" applyFont="1" applyFill="1" applyBorder="1" applyAlignment="1">
      <alignment horizontal="center" vertical="center"/>
    </xf>
    <xf numFmtId="0" fontId="99" fillId="8" borderId="0" xfId="0" applyFont="1" applyFill="1"/>
    <xf numFmtId="0" fontId="100" fillId="0" borderId="0" xfId="0" applyFont="1"/>
    <xf numFmtId="0" fontId="100" fillId="0" borderId="0" xfId="0" applyFont="1" applyAlignment="1">
      <alignment horizontal="right"/>
    </xf>
    <xf numFmtId="0" fontId="38" fillId="8" borderId="1" xfId="2" applyFont="1" applyFill="1" applyBorder="1" applyAlignment="1" applyProtection="1">
      <alignment horizontal="center"/>
      <protection locked="0"/>
    </xf>
    <xf numFmtId="0" fontId="5" fillId="0" borderId="1" xfId="2" applyFont="1" applyBorder="1" applyAlignment="1" applyProtection="1">
      <alignment horizontal="center"/>
      <protection locked="0"/>
    </xf>
    <xf numFmtId="164" fontId="5" fillId="0" borderId="1" xfId="2" applyNumberFormat="1" applyFont="1" applyBorder="1" applyAlignment="1" applyProtection="1">
      <alignment horizontal="center"/>
      <protection locked="0"/>
    </xf>
    <xf numFmtId="2" fontId="8" fillId="2" borderId="1" xfId="2" applyNumberFormat="1" applyFont="1" applyFill="1" applyBorder="1" applyAlignment="1" applyProtection="1">
      <alignment horizontal="center"/>
      <protection locked="0"/>
    </xf>
    <xf numFmtId="2" fontId="101" fillId="0" borderId="1" xfId="2" applyNumberFormat="1" applyFont="1" applyBorder="1" applyAlignment="1">
      <alignment horizontal="center"/>
    </xf>
    <xf numFmtId="10" fontId="5" fillId="2" borderId="1" xfId="10" applyNumberFormat="1" applyFont="1" applyFill="1" applyBorder="1" applyAlignment="1" applyProtection="1">
      <alignment horizontal="center"/>
      <protection locked="0"/>
    </xf>
    <xf numFmtId="166" fontId="8" fillId="2" borderId="1" xfId="10" applyNumberFormat="1" applyFont="1" applyFill="1" applyBorder="1" applyAlignment="1" applyProtection="1">
      <alignment horizontal="center"/>
      <protection locked="0"/>
    </xf>
    <xf numFmtId="16" fontId="100" fillId="0" borderId="0" xfId="0" applyNumberFormat="1" applyFont="1"/>
    <xf numFmtId="2" fontId="100" fillId="9" borderId="1" xfId="0" applyNumberFormat="1" applyFont="1" applyFill="1" applyBorder="1" applyAlignment="1">
      <alignment horizontal="center"/>
    </xf>
    <xf numFmtId="2" fontId="100" fillId="0" borderId="0" xfId="0" applyNumberFormat="1" applyFont="1"/>
    <xf numFmtId="9" fontId="8" fillId="2" borderId="1" xfId="10" applyFont="1" applyFill="1" applyBorder="1" applyAlignment="1" applyProtection="1">
      <alignment horizontal="center"/>
      <protection locked="0"/>
    </xf>
    <xf numFmtId="170" fontId="38" fillId="8" borderId="1" xfId="0" applyNumberFormat="1" applyFont="1" applyFill="1" applyBorder="1" applyAlignment="1">
      <alignment horizontal="center"/>
    </xf>
    <xf numFmtId="0" fontId="99" fillId="0" borderId="28" xfId="0" applyFont="1" applyBorder="1" applyAlignment="1">
      <alignment horizontal="center" vertical="center" wrapText="1"/>
    </xf>
    <xf numFmtId="0" fontId="99" fillId="0" borderId="29" xfId="0" applyFont="1" applyBorder="1" applyAlignment="1">
      <alignment horizontal="center" vertical="center" wrapText="1"/>
    </xf>
    <xf numFmtId="0" fontId="99" fillId="0" borderId="0" xfId="0" applyFont="1" applyAlignment="1">
      <alignment horizontal="center" vertical="center" wrapText="1"/>
    </xf>
    <xf numFmtId="0" fontId="100" fillId="0" borderId="0" xfId="0" applyFont="1" applyAlignment="1">
      <alignment horizontal="center" vertical="center"/>
    </xf>
    <xf numFmtId="166" fontId="100" fillId="0" borderId="0" xfId="10" applyNumberFormat="1" applyFont="1" applyBorder="1"/>
    <xf numFmtId="9" fontId="100" fillId="0" borderId="31" xfId="0" applyNumberFormat="1" applyFont="1" applyBorder="1" applyAlignment="1">
      <alignment horizontal="center"/>
    </xf>
    <xf numFmtId="2" fontId="100" fillId="0" borderId="32" xfId="0" applyNumberFormat="1" applyFont="1" applyBorder="1"/>
    <xf numFmtId="9" fontId="100" fillId="0" borderId="37" xfId="0" applyNumberFormat="1" applyFont="1" applyBorder="1" applyAlignment="1">
      <alignment horizontal="center"/>
    </xf>
    <xf numFmtId="2" fontId="100" fillId="0" borderId="38" xfId="0" applyNumberFormat="1" applyFont="1" applyBorder="1"/>
    <xf numFmtId="166" fontId="100" fillId="0" borderId="43" xfId="10" applyNumberFormat="1" applyFont="1" applyBorder="1"/>
    <xf numFmtId="9" fontId="100" fillId="0" borderId="34" xfId="0" applyNumberFormat="1" applyFont="1" applyBorder="1" applyAlignment="1">
      <alignment horizontal="center"/>
    </xf>
    <xf numFmtId="2" fontId="100" fillId="0" borderId="35" xfId="0" applyNumberFormat="1" applyFont="1" applyBorder="1"/>
    <xf numFmtId="9" fontId="100" fillId="0" borderId="32" xfId="0" applyNumberFormat="1" applyFont="1" applyBorder="1" applyAlignment="1">
      <alignment horizontal="center"/>
    </xf>
    <xf numFmtId="9" fontId="100" fillId="0" borderId="38" xfId="0" applyNumberFormat="1" applyFont="1" applyBorder="1" applyAlignment="1">
      <alignment horizontal="center"/>
    </xf>
    <xf numFmtId="9" fontId="100" fillId="0" borderId="35" xfId="0" applyNumberFormat="1" applyFont="1" applyBorder="1" applyAlignment="1">
      <alignment horizontal="center"/>
    </xf>
    <xf numFmtId="1" fontId="95" fillId="8" borderId="37" xfId="7" applyNumberFormat="1" applyFont="1" applyFill="1" applyBorder="1" applyAlignment="1">
      <alignment horizontal="center" vertical="center"/>
    </xf>
    <xf numFmtId="9" fontId="41" fillId="0" borderId="0" xfId="1" applyFont="1" applyAlignment="1">
      <alignment horizontal="center"/>
    </xf>
    <xf numFmtId="0" fontId="103" fillId="0" borderId="0" xfId="17" applyFont="1"/>
    <xf numFmtId="0" fontId="4" fillId="0" borderId="1" xfId="17" applyFont="1" applyBorder="1" applyAlignment="1">
      <alignment vertical="center" wrapText="1"/>
    </xf>
    <xf numFmtId="0" fontId="104" fillId="0" borderId="0" xfId="17" applyFont="1"/>
    <xf numFmtId="14" fontId="4" fillId="0" borderId="1" xfId="17" applyNumberFormat="1" applyFont="1" applyBorder="1" applyAlignment="1">
      <alignment horizontal="center" vertical="center" wrapText="1"/>
    </xf>
    <xf numFmtId="0" fontId="4" fillId="0" borderId="1" xfId="17" applyFont="1" applyBorder="1" applyAlignment="1">
      <alignment horizontal="center" vertical="center" wrapText="1" shrinkToFit="1"/>
    </xf>
    <xf numFmtId="49" fontId="4" fillId="0" borderId="1" xfId="17" applyNumberFormat="1" applyFont="1" applyBorder="1" applyAlignment="1">
      <alignment horizontal="center" wrapText="1"/>
    </xf>
    <xf numFmtId="14" fontId="4" fillId="0" borderId="1" xfId="17" applyNumberFormat="1" applyFont="1" applyBorder="1" applyAlignment="1">
      <alignment horizontal="center" wrapText="1"/>
    </xf>
    <xf numFmtId="0" fontId="4" fillId="0" borderId="1" xfId="17" applyFont="1" applyBorder="1" applyAlignment="1">
      <alignment horizontal="center"/>
    </xf>
    <xf numFmtId="0" fontId="4" fillId="0" borderId="1" xfId="17" applyFont="1" applyBorder="1" applyAlignment="1">
      <alignment horizontal="left" vertical="center" wrapText="1"/>
    </xf>
    <xf numFmtId="0" fontId="48" fillId="0" borderId="1" xfId="7" applyFont="1" applyBorder="1" applyAlignment="1">
      <alignment horizontal="center" vertical="center" wrapText="1" shrinkToFit="1"/>
    </xf>
    <xf numFmtId="1" fontId="46" fillId="0" borderId="2" xfId="7" applyNumberFormat="1" applyFont="1" applyBorder="1" applyAlignment="1">
      <alignment horizontal="center" vertical="center"/>
    </xf>
    <xf numFmtId="1" fontId="46" fillId="0" borderId="37" xfId="7" applyNumberFormat="1" applyFont="1" applyBorder="1" applyAlignment="1">
      <alignment horizontal="left" vertical="center"/>
    </xf>
    <xf numFmtId="0" fontId="46" fillId="0" borderId="5" xfId="7" applyFont="1" applyBorder="1" applyAlignment="1">
      <alignment horizontal="left" vertical="center" wrapText="1" shrinkToFit="1"/>
    </xf>
    <xf numFmtId="0" fontId="48" fillId="0" borderId="37" xfId="7" applyFont="1" applyBorder="1" applyAlignment="1">
      <alignment horizontal="left" vertical="center" wrapText="1"/>
    </xf>
    <xf numFmtId="0" fontId="48" fillId="0" borderId="38" xfId="7" applyFont="1" applyBorder="1" applyAlignment="1">
      <alignment horizontal="left" vertical="center" wrapText="1"/>
    </xf>
    <xf numFmtId="167" fontId="9" fillId="0" borderId="1" xfId="2" applyNumberFormat="1" applyFont="1" applyBorder="1" applyAlignment="1">
      <alignment horizontal="center" wrapText="1"/>
    </xf>
    <xf numFmtId="0" fontId="33" fillId="6" borderId="13" xfId="7" applyFont="1" applyFill="1" applyBorder="1" applyAlignment="1">
      <alignment horizontal="center" vertical="center"/>
    </xf>
    <xf numFmtId="0" fontId="33" fillId="6" borderId="25" xfId="7" applyFont="1" applyFill="1" applyBorder="1" applyAlignment="1">
      <alignment horizontal="center" vertical="center"/>
    </xf>
    <xf numFmtId="0" fontId="99" fillId="0" borderId="28" xfId="0" applyFont="1" applyBorder="1" applyAlignment="1">
      <alignment horizontal="center" vertical="center"/>
    </xf>
    <xf numFmtId="0" fontId="42" fillId="0" borderId="117" xfId="0" applyFont="1" applyBorder="1" applyAlignment="1">
      <alignment horizontal="center" vertical="center"/>
    </xf>
    <xf numFmtId="0" fontId="42" fillId="0" borderId="117" xfId="0" applyFont="1" applyBorder="1" applyAlignment="1">
      <alignment horizontal="center" vertical="center" wrapText="1"/>
    </xf>
    <xf numFmtId="0" fontId="42" fillId="0" borderId="118" xfId="0" applyFont="1" applyBorder="1" applyAlignment="1">
      <alignment horizontal="center" vertical="center" wrapText="1"/>
    </xf>
    <xf numFmtId="0" fontId="42" fillId="0" borderId="119" xfId="0" applyFont="1" applyBorder="1" applyAlignment="1">
      <alignment horizontal="center" vertical="center" wrapText="1"/>
    </xf>
    <xf numFmtId="166" fontId="41" fillId="0" borderId="0" xfId="1" applyNumberFormat="1" applyFont="1" applyBorder="1"/>
    <xf numFmtId="9" fontId="41" fillId="0" borderId="0" xfId="10" applyFont="1" applyBorder="1"/>
    <xf numFmtId="2" fontId="41" fillId="0" borderId="121" xfId="0" applyNumberFormat="1" applyFont="1" applyBorder="1"/>
    <xf numFmtId="166" fontId="41" fillId="0" borderId="125" xfId="1" applyNumberFormat="1" applyFont="1" applyBorder="1"/>
    <xf numFmtId="9" fontId="41" fillId="0" borderId="125" xfId="10" applyFont="1" applyBorder="1"/>
    <xf numFmtId="2" fontId="41" fillId="0" borderId="126" xfId="0" applyNumberFormat="1" applyFont="1" applyBorder="1"/>
    <xf numFmtId="2" fontId="41" fillId="0" borderId="127" xfId="0" applyNumberFormat="1" applyFont="1" applyBorder="1"/>
    <xf numFmtId="174" fontId="0" fillId="0" borderId="20" xfId="0" applyNumberFormat="1" applyBorder="1" applyAlignment="1">
      <alignment horizontal="center" vertical="center"/>
    </xf>
    <xf numFmtId="0" fontId="41" fillId="8" borderId="0" xfId="0" applyFont="1" applyFill="1"/>
    <xf numFmtId="2" fontId="41" fillId="8" borderId="0" xfId="0" applyNumberFormat="1" applyFont="1" applyFill="1"/>
    <xf numFmtId="49" fontId="48" fillId="0" borderId="0" xfId="7" applyNumberFormat="1" applyFont="1" applyAlignment="1">
      <alignment horizontal="left" vertical="center"/>
    </xf>
    <xf numFmtId="0" fontId="98" fillId="8" borderId="45" xfId="7" applyFont="1" applyFill="1" applyBorder="1" applyAlignment="1">
      <alignment vertical="center"/>
    </xf>
    <xf numFmtId="0" fontId="98" fillId="8" borderId="47" xfId="7" applyFont="1" applyFill="1" applyBorder="1" applyAlignment="1">
      <alignment vertical="center"/>
    </xf>
    <xf numFmtId="0" fontId="98" fillId="0" borderId="88" xfId="7" applyFont="1" applyBorder="1" applyAlignment="1">
      <alignment vertical="center"/>
    </xf>
    <xf numFmtId="0" fontId="98" fillId="0" borderId="90" xfId="7" applyFont="1" applyBorder="1" applyAlignment="1">
      <alignment vertical="center"/>
    </xf>
    <xf numFmtId="0" fontId="100" fillId="0" borderId="0" xfId="7" applyFont="1"/>
    <xf numFmtId="0" fontId="108" fillId="0" borderId="0" xfId="7" applyFont="1"/>
    <xf numFmtId="0" fontId="98" fillId="0" borderId="0" xfId="7" applyFont="1" applyAlignment="1">
      <alignment vertical="center"/>
    </xf>
    <xf numFmtId="0" fontId="98" fillId="0" borderId="103" xfId="7" applyFont="1" applyBorder="1" applyAlignment="1">
      <alignment vertical="center"/>
    </xf>
    <xf numFmtId="0" fontId="95" fillId="0" borderId="0" xfId="7" applyFont="1" applyAlignment="1">
      <alignment vertical="center"/>
    </xf>
    <xf numFmtId="0" fontId="95" fillId="0" borderId="103" xfId="7" applyFont="1" applyBorder="1" applyAlignment="1">
      <alignment vertical="center"/>
    </xf>
    <xf numFmtId="0" fontId="95" fillId="6" borderId="48" xfId="7" applyFont="1" applyFill="1" applyBorder="1" applyAlignment="1">
      <alignment vertical="center" wrapText="1" shrinkToFit="1"/>
    </xf>
    <xf numFmtId="0" fontId="95" fillId="6" borderId="1" xfId="7" applyFont="1" applyFill="1" applyBorder="1" applyAlignment="1">
      <alignment vertical="center" wrapText="1" shrinkToFit="1"/>
    </xf>
    <xf numFmtId="1" fontId="98" fillId="6" borderId="1" xfId="7" applyNumberFormat="1" applyFont="1" applyFill="1" applyBorder="1" applyAlignment="1">
      <alignment horizontal="center" vertical="center"/>
    </xf>
    <xf numFmtId="0" fontId="98" fillId="6" borderId="1" xfId="7" applyFont="1" applyFill="1" applyBorder="1" applyAlignment="1">
      <alignment vertical="center" wrapText="1" shrinkToFit="1"/>
    </xf>
    <xf numFmtId="0" fontId="98" fillId="6" borderId="49" xfId="7" applyFont="1" applyFill="1" applyBorder="1" applyAlignment="1">
      <alignment horizontal="center" vertical="center"/>
    </xf>
    <xf numFmtId="0" fontId="98" fillId="6" borderId="108" xfId="7" applyFont="1" applyFill="1" applyBorder="1" applyAlignment="1">
      <alignment vertical="center"/>
    </xf>
    <xf numFmtId="1" fontId="98" fillId="6" borderId="40" xfId="7" applyNumberFormat="1" applyFont="1" applyFill="1" applyBorder="1" applyAlignment="1">
      <alignment horizontal="center" vertical="center"/>
    </xf>
    <xf numFmtId="1" fontId="98" fillId="0" borderId="0" xfId="7" applyNumberFormat="1" applyFont="1" applyAlignment="1">
      <alignment vertical="center"/>
    </xf>
    <xf numFmtId="0" fontId="98" fillId="0" borderId="100" xfId="7" applyFont="1" applyBorder="1" applyAlignment="1">
      <alignment vertical="center" wrapText="1"/>
    </xf>
    <xf numFmtId="0" fontId="98" fillId="0" borderId="102" xfId="7" applyFont="1" applyBorder="1" applyAlignment="1">
      <alignment vertical="center" wrapText="1"/>
    </xf>
    <xf numFmtId="0" fontId="98" fillId="0" borderId="1" xfId="7" applyFont="1" applyBorder="1" applyAlignment="1">
      <alignment vertical="center"/>
    </xf>
    <xf numFmtId="0" fontId="98" fillId="0" borderId="37" xfId="7" applyFont="1" applyBorder="1" applyAlignment="1">
      <alignment vertical="center" wrapText="1" shrinkToFit="1"/>
    </xf>
    <xf numFmtId="1" fontId="98" fillId="0" borderId="37" xfId="7" applyNumberFormat="1" applyFont="1" applyBorder="1" applyAlignment="1">
      <alignment horizontal="center" vertical="center"/>
    </xf>
    <xf numFmtId="1" fontId="98" fillId="8" borderId="51" xfId="7" applyNumberFormat="1" applyFont="1" applyFill="1" applyBorder="1" applyAlignment="1">
      <alignment horizontal="center" vertical="center"/>
    </xf>
    <xf numFmtId="0" fontId="98" fillId="8" borderId="37" xfId="7" applyFont="1" applyFill="1" applyBorder="1" applyAlignment="1">
      <alignment vertical="center" wrapText="1" shrinkToFit="1"/>
    </xf>
    <xf numFmtId="0" fontId="98" fillId="8" borderId="38" xfId="7" applyFont="1" applyFill="1" applyBorder="1" applyAlignment="1">
      <alignment horizontal="center" vertical="center"/>
    </xf>
    <xf numFmtId="1" fontId="98" fillId="0" borderId="103" xfId="7" applyNumberFormat="1" applyFont="1" applyBorder="1" applyAlignment="1">
      <alignment vertical="center"/>
    </xf>
    <xf numFmtId="1" fontId="98" fillId="0" borderId="54" xfId="7" applyNumberFormat="1" applyFont="1" applyBorder="1" applyAlignment="1">
      <alignment vertical="center"/>
    </xf>
    <xf numFmtId="0" fontId="98" fillId="8" borderId="31" xfId="7" applyFont="1" applyFill="1" applyBorder="1" applyAlignment="1">
      <alignment vertical="center" wrapText="1" shrinkToFit="1"/>
    </xf>
    <xf numFmtId="1" fontId="95" fillId="8" borderId="31" xfId="7" applyNumberFormat="1" applyFont="1" applyFill="1" applyBorder="1" applyAlignment="1">
      <alignment horizontal="center" vertical="center"/>
    </xf>
    <xf numFmtId="1" fontId="98" fillId="6" borderId="54" xfId="7" applyNumberFormat="1" applyFont="1" applyFill="1" applyBorder="1" applyAlignment="1">
      <alignment horizontal="center" vertical="center"/>
    </xf>
    <xf numFmtId="1" fontId="98" fillId="0" borderId="1" xfId="7" applyNumberFormat="1" applyFont="1" applyBorder="1" applyAlignment="1">
      <alignment vertical="center"/>
    </xf>
    <xf numFmtId="2" fontId="98" fillId="0" borderId="0" xfId="7" applyNumberFormat="1" applyFont="1" applyAlignment="1">
      <alignment vertical="center"/>
    </xf>
    <xf numFmtId="0" fontId="98" fillId="0" borderId="54" xfId="7" applyFont="1" applyBorder="1" applyAlignment="1">
      <alignment vertical="center"/>
    </xf>
    <xf numFmtId="0" fontId="95" fillId="11" borderId="0" xfId="7" applyFont="1" applyFill="1" applyAlignment="1">
      <alignment vertical="center" wrapText="1"/>
    </xf>
    <xf numFmtId="1" fontId="95" fillId="11" borderId="0" xfId="7" applyNumberFormat="1" applyFont="1" applyFill="1" applyAlignment="1">
      <alignment vertical="center"/>
    </xf>
    <xf numFmtId="0" fontId="98" fillId="0" borderId="37" xfId="7" applyFont="1" applyBorder="1" applyAlignment="1">
      <alignment horizontal="left" vertical="center" wrapText="1" shrinkToFit="1"/>
    </xf>
    <xf numFmtId="0" fontId="98" fillId="8" borderId="37" xfId="7" applyFont="1" applyFill="1" applyBorder="1" applyAlignment="1">
      <alignment vertical="center"/>
    </xf>
    <xf numFmtId="0" fontId="95" fillId="8" borderId="37" xfId="7" applyFont="1" applyFill="1" applyBorder="1" applyAlignment="1">
      <alignment horizontal="center" vertical="center"/>
    </xf>
    <xf numFmtId="0" fontId="98" fillId="0" borderId="40" xfId="7" applyFont="1" applyBorder="1" applyAlignment="1">
      <alignment vertical="center"/>
    </xf>
    <xf numFmtId="1" fontId="95" fillId="0" borderId="0" xfId="7" applyNumberFormat="1" applyFont="1" applyAlignment="1">
      <alignment vertical="center"/>
    </xf>
    <xf numFmtId="2" fontId="95" fillId="8" borderId="0" xfId="7" applyNumberFormat="1" applyFont="1" applyFill="1" applyAlignment="1">
      <alignment vertical="center"/>
    </xf>
    <xf numFmtId="164" fontId="95" fillId="8" borderId="37" xfId="7" applyNumberFormat="1" applyFont="1" applyFill="1" applyBorder="1" applyAlignment="1">
      <alignment horizontal="center" vertical="center"/>
    </xf>
    <xf numFmtId="1" fontId="98" fillId="8" borderId="38" xfId="7" applyNumberFormat="1" applyFont="1" applyFill="1" applyBorder="1" applyAlignment="1">
      <alignment horizontal="center" vertical="center"/>
    </xf>
    <xf numFmtId="1" fontId="98" fillId="6" borderId="37" xfId="7" applyNumberFormat="1" applyFont="1" applyFill="1" applyBorder="1" applyAlignment="1">
      <alignment horizontal="center" vertical="center"/>
    </xf>
    <xf numFmtId="0" fontId="98" fillId="0" borderId="37" xfId="7" applyFont="1" applyBorder="1" applyAlignment="1">
      <alignment vertical="center"/>
    </xf>
    <xf numFmtId="0" fontId="98" fillId="0" borderId="38" xfId="7" applyFont="1" applyBorder="1" applyAlignment="1">
      <alignment horizontal="center" vertical="center"/>
    </xf>
    <xf numFmtId="164" fontId="98" fillId="8" borderId="37" xfId="7" applyNumberFormat="1" applyFont="1" applyFill="1" applyBorder="1" applyAlignment="1">
      <alignment horizontal="center" vertical="center"/>
    </xf>
    <xf numFmtId="0" fontId="95" fillId="8" borderId="37" xfId="7" applyFont="1" applyFill="1" applyBorder="1" applyAlignment="1">
      <alignment horizontal="left" vertical="center" wrapText="1" shrinkToFit="1"/>
    </xf>
    <xf numFmtId="0" fontId="98" fillId="8" borderId="38" xfId="7" applyFont="1" applyFill="1" applyBorder="1" applyAlignment="1">
      <alignment horizontal="center" vertical="center" wrapText="1"/>
    </xf>
    <xf numFmtId="1" fontId="95" fillId="0" borderId="37" xfId="7" applyNumberFormat="1" applyFont="1" applyBorder="1" applyAlignment="1">
      <alignment horizontal="center" vertical="center"/>
    </xf>
    <xf numFmtId="0" fontId="95" fillId="8" borderId="37" xfId="7" applyFont="1" applyFill="1" applyBorder="1" applyAlignment="1">
      <alignment vertical="center" wrapText="1" shrinkToFit="1"/>
    </xf>
    <xf numFmtId="1" fontId="98" fillId="8" borderId="40" xfId="7" applyNumberFormat="1" applyFont="1" applyFill="1" applyBorder="1" applyAlignment="1">
      <alignment horizontal="center" vertical="center"/>
    </xf>
    <xf numFmtId="0" fontId="98" fillId="0" borderId="40" xfId="7" applyFont="1" applyBorder="1" applyAlignment="1">
      <alignment horizontal="center" vertical="center"/>
    </xf>
    <xf numFmtId="0" fontId="95" fillId="8" borderId="38" xfId="7" applyFont="1" applyFill="1" applyBorder="1" applyAlignment="1">
      <alignment horizontal="center" vertical="center"/>
    </xf>
    <xf numFmtId="0" fontId="98" fillId="8" borderId="40" xfId="7" applyFont="1" applyFill="1" applyBorder="1" applyAlignment="1">
      <alignment horizontal="center" vertical="center"/>
    </xf>
    <xf numFmtId="0" fontId="95" fillId="0" borderId="37" xfId="7" applyFont="1" applyBorder="1" applyAlignment="1">
      <alignment horizontal="left" vertical="center" wrapText="1" shrinkToFit="1"/>
    </xf>
    <xf numFmtId="0" fontId="95" fillId="0" borderId="37" xfId="7" applyFont="1" applyBorder="1" applyAlignment="1">
      <alignment horizontal="center" vertical="center"/>
    </xf>
    <xf numFmtId="0" fontId="95" fillId="0" borderId="37" xfId="7" applyFont="1" applyBorder="1" applyAlignment="1">
      <alignment vertical="center" wrapText="1" shrinkToFit="1"/>
    </xf>
    <xf numFmtId="1" fontId="98" fillId="8" borderId="37" xfId="7" applyNumberFormat="1" applyFont="1" applyFill="1" applyBorder="1" applyAlignment="1">
      <alignment horizontal="left" vertical="center"/>
    </xf>
    <xf numFmtId="0" fontId="98" fillId="19" borderId="1" xfId="7" applyFont="1" applyFill="1" applyBorder="1" applyAlignment="1">
      <alignment vertical="center"/>
    </xf>
    <xf numFmtId="164" fontId="98" fillId="0" borderId="1" xfId="7" applyNumberFormat="1" applyFont="1" applyBorder="1" applyAlignment="1">
      <alignment vertical="center"/>
    </xf>
    <xf numFmtId="0" fontId="98" fillId="8" borderId="5" xfId="7" applyFont="1" applyFill="1" applyBorder="1" applyAlignment="1">
      <alignment horizontal="left" vertical="center" wrapText="1" shrinkToFit="1"/>
    </xf>
    <xf numFmtId="1" fontId="98" fillId="8" borderId="5" xfId="7" applyNumberFormat="1" applyFont="1" applyFill="1" applyBorder="1" applyAlignment="1">
      <alignment horizontal="center" vertical="center"/>
    </xf>
    <xf numFmtId="0" fontId="98" fillId="8" borderId="5" xfId="7" applyFont="1" applyFill="1" applyBorder="1" applyAlignment="1">
      <alignment vertical="center" wrapText="1" shrinkToFit="1"/>
    </xf>
    <xf numFmtId="0" fontId="98" fillId="0" borderId="109" xfId="7" applyFont="1" applyBorder="1" applyAlignment="1">
      <alignment vertical="center"/>
    </xf>
    <xf numFmtId="0" fontId="98" fillId="6" borderId="1" xfId="7" applyFont="1" applyFill="1" applyBorder="1" applyAlignment="1">
      <alignment horizontal="center" vertical="center"/>
    </xf>
    <xf numFmtId="0" fontId="98" fillId="6" borderId="108" xfId="7" applyFont="1" applyFill="1" applyBorder="1" applyAlignment="1">
      <alignment horizontal="center" vertical="center"/>
    </xf>
    <xf numFmtId="0" fontId="98" fillId="8" borderId="37" xfId="7" applyFont="1" applyFill="1" applyBorder="1" applyAlignment="1">
      <alignment horizontal="center" vertical="center"/>
    </xf>
    <xf numFmtId="0" fontId="98" fillId="0" borderId="54" xfId="7" applyFont="1" applyBorder="1" applyAlignment="1">
      <alignment horizontal="center" vertical="center"/>
    </xf>
    <xf numFmtId="0" fontId="98" fillId="8" borderId="37" xfId="7" applyFont="1" applyFill="1" applyBorder="1" applyAlignment="1">
      <alignment horizontal="left" vertical="center" wrapText="1" shrinkToFit="1"/>
    </xf>
    <xf numFmtId="1" fontId="98" fillId="0" borderId="40" xfId="7" applyNumberFormat="1" applyFont="1" applyBorder="1" applyAlignment="1">
      <alignment horizontal="center" vertical="center"/>
    </xf>
    <xf numFmtId="164" fontId="95" fillId="8" borderId="0" xfId="7" applyNumberFormat="1" applyFont="1" applyFill="1" applyAlignment="1">
      <alignment vertical="center"/>
    </xf>
    <xf numFmtId="0" fontId="95" fillId="0" borderId="1" xfId="7" applyFont="1" applyBorder="1" applyAlignment="1">
      <alignment vertical="center"/>
    </xf>
    <xf numFmtId="0" fontId="95" fillId="8" borderId="38" xfId="7" applyFont="1" applyFill="1" applyBorder="1" applyAlignment="1">
      <alignment horizontal="center" vertical="center" wrapText="1"/>
    </xf>
    <xf numFmtId="0" fontId="109" fillId="0" borderId="40" xfId="7" applyFont="1" applyBorder="1" applyAlignment="1">
      <alignment horizontal="center" vertical="center"/>
    </xf>
    <xf numFmtId="0" fontId="98" fillId="0" borderId="37" xfId="7" applyFont="1" applyBorder="1" applyAlignment="1">
      <alignment horizontal="center" vertical="center"/>
    </xf>
    <xf numFmtId="1" fontId="95" fillId="8" borderId="38" xfId="7" applyNumberFormat="1" applyFont="1" applyFill="1" applyBorder="1" applyAlignment="1">
      <alignment horizontal="center" vertical="center"/>
    </xf>
    <xf numFmtId="1" fontId="95" fillId="0" borderId="40" xfId="7" applyNumberFormat="1" applyFont="1" applyBorder="1" applyAlignment="1">
      <alignment horizontal="center" vertical="center"/>
    </xf>
    <xf numFmtId="0" fontId="98" fillId="0" borderId="31" xfId="7" applyFont="1" applyBorder="1" applyAlignment="1">
      <alignment vertical="center" wrapText="1" shrinkToFit="1"/>
    </xf>
    <xf numFmtId="0" fontId="98" fillId="0" borderId="34" xfId="7" applyFont="1" applyBorder="1" applyAlignment="1">
      <alignment horizontal="left" vertical="center" wrapText="1" shrinkToFit="1"/>
    </xf>
    <xf numFmtId="1" fontId="98" fillId="8" borderId="34" xfId="7" applyNumberFormat="1" applyFont="1" applyFill="1" applyBorder="1" applyAlignment="1">
      <alignment horizontal="center" vertical="center"/>
    </xf>
    <xf numFmtId="0" fontId="98" fillId="8" borderId="34" xfId="7" applyFont="1" applyFill="1" applyBorder="1" applyAlignment="1">
      <alignment vertical="center" wrapText="1" shrinkToFit="1"/>
    </xf>
    <xf numFmtId="0" fontId="98" fillId="0" borderId="41" xfId="7" applyFont="1" applyBorder="1" applyAlignment="1">
      <alignment vertical="center"/>
    </xf>
    <xf numFmtId="0" fontId="98" fillId="6" borderId="110" xfId="7" applyFont="1" applyFill="1" applyBorder="1" applyAlignment="1">
      <alignment horizontal="center" vertical="center"/>
    </xf>
    <xf numFmtId="0" fontId="98" fillId="0" borderId="111" xfId="7" applyFont="1" applyBorder="1" applyAlignment="1">
      <alignment horizontal="center" vertical="center"/>
    </xf>
    <xf numFmtId="0" fontId="98" fillId="0" borderId="40" xfId="7" applyFont="1" applyBorder="1" applyAlignment="1">
      <alignment horizontal="left" vertical="center"/>
    </xf>
    <xf numFmtId="0" fontId="107" fillId="0" borderId="40" xfId="7" applyFont="1" applyBorder="1" applyAlignment="1">
      <alignment vertical="center" wrapText="1"/>
    </xf>
    <xf numFmtId="1" fontId="98" fillId="0" borderId="39" xfId="7" applyNumberFormat="1" applyFont="1" applyBorder="1" applyAlignment="1">
      <alignment vertical="center"/>
    </xf>
    <xf numFmtId="1" fontId="98" fillId="0" borderId="40" xfId="7" applyNumberFormat="1" applyFont="1" applyBorder="1" applyAlignment="1">
      <alignment vertical="center"/>
    </xf>
    <xf numFmtId="1" fontId="98" fillId="0" borderId="112" xfId="7" applyNumberFormat="1" applyFont="1" applyBorder="1" applyAlignment="1">
      <alignment vertical="center"/>
    </xf>
    <xf numFmtId="0" fontId="95" fillId="0" borderId="40" xfId="7" applyFont="1" applyBorder="1" applyAlignment="1">
      <alignment horizontal="left" vertical="center" wrapText="1"/>
    </xf>
    <xf numFmtId="0" fontId="95" fillId="0" borderId="40" xfId="7" applyFont="1" applyBorder="1" applyAlignment="1">
      <alignment vertical="center" wrapText="1"/>
    </xf>
    <xf numFmtId="0" fontId="95" fillId="8" borderId="40" xfId="7" applyFont="1" applyFill="1" applyBorder="1" applyAlignment="1">
      <alignment vertical="center" wrapText="1"/>
    </xf>
    <xf numFmtId="0" fontId="107" fillId="8" borderId="83" xfId="7" applyFont="1" applyFill="1" applyBorder="1" applyAlignment="1">
      <alignment horizontal="center" vertical="center" wrapText="1"/>
    </xf>
    <xf numFmtId="1" fontId="98" fillId="8" borderId="39" xfId="7" applyNumberFormat="1" applyFont="1" applyFill="1" applyBorder="1" applyAlignment="1">
      <alignment horizontal="center" vertical="center"/>
    </xf>
    <xf numFmtId="0" fontId="95" fillId="8" borderId="83" xfId="7" applyFont="1" applyFill="1" applyBorder="1" applyAlignment="1">
      <alignment horizontal="center" vertical="center" wrapText="1"/>
    </xf>
    <xf numFmtId="1" fontId="95" fillId="0" borderId="113" xfId="7" applyNumberFormat="1" applyFont="1" applyBorder="1" applyAlignment="1">
      <alignment horizontal="center" vertical="center"/>
    </xf>
    <xf numFmtId="0" fontId="98" fillId="0" borderId="51" xfId="7" applyFont="1" applyBorder="1" applyAlignment="1">
      <alignment vertical="center" wrapText="1" shrinkToFit="1"/>
    </xf>
    <xf numFmtId="164" fontId="95" fillId="8" borderId="51" xfId="7" applyNumberFormat="1" applyFont="1" applyFill="1" applyBorder="1" applyAlignment="1">
      <alignment horizontal="center" vertical="center" wrapText="1" shrinkToFit="1"/>
    </xf>
    <xf numFmtId="1" fontId="98" fillId="6" borderId="113" xfId="7" applyNumberFormat="1" applyFont="1" applyFill="1" applyBorder="1" applyAlignment="1">
      <alignment horizontal="center" vertical="center"/>
    </xf>
    <xf numFmtId="164" fontId="98" fillId="0" borderId="0" xfId="7" applyNumberFormat="1" applyFont="1" applyAlignment="1">
      <alignment vertical="center"/>
    </xf>
    <xf numFmtId="0" fontId="99" fillId="0" borderId="0" xfId="7" applyFont="1" applyAlignment="1">
      <alignment vertical="center"/>
    </xf>
    <xf numFmtId="49" fontId="98" fillId="0" borderId="0" xfId="7" applyNumberFormat="1" applyFont="1" applyAlignment="1">
      <alignment horizontal="center" vertical="center"/>
    </xf>
    <xf numFmtId="170" fontId="98" fillId="0" borderId="0" xfId="7" applyNumberFormat="1" applyFont="1" applyAlignment="1">
      <alignment vertical="center"/>
    </xf>
    <xf numFmtId="1" fontId="95" fillId="8" borderId="37" xfId="7" applyNumberFormat="1" applyFont="1" applyFill="1" applyBorder="1" applyAlignment="1">
      <alignment horizontal="center" vertical="center" wrapText="1"/>
    </xf>
    <xf numFmtId="0" fontId="95" fillId="8" borderId="37" xfId="7" applyFont="1" applyFill="1" applyBorder="1" applyAlignment="1">
      <alignment horizontal="center" vertical="center" wrapText="1" shrinkToFit="1"/>
    </xf>
    <xf numFmtId="0" fontId="98" fillId="13" borderId="0" xfId="7" applyFont="1" applyFill="1" applyAlignment="1">
      <alignment horizontal="center" vertical="center"/>
    </xf>
    <xf numFmtId="0" fontId="98" fillId="8" borderId="39" xfId="7" applyFont="1" applyFill="1" applyBorder="1" applyAlignment="1">
      <alignment vertical="center" wrapText="1" shrinkToFit="1"/>
    </xf>
    <xf numFmtId="0" fontId="98" fillId="8" borderId="5" xfId="7" applyFont="1" applyFill="1" applyBorder="1" applyAlignment="1">
      <alignment vertical="center"/>
    </xf>
    <xf numFmtId="0" fontId="98" fillId="8" borderId="37" xfId="7" quotePrefix="1" applyFont="1" applyFill="1" applyBorder="1" applyAlignment="1">
      <alignment horizontal="center" vertical="center"/>
    </xf>
    <xf numFmtId="0" fontId="98" fillId="0" borderId="34" xfId="7" applyFont="1" applyBorder="1" applyAlignment="1">
      <alignment vertical="center" wrapText="1" shrinkToFit="1"/>
    </xf>
    <xf numFmtId="49" fontId="98" fillId="8" borderId="34" xfId="7" quotePrefix="1" applyNumberFormat="1" applyFont="1" applyFill="1" applyBorder="1" applyAlignment="1">
      <alignment horizontal="center" vertical="center"/>
    </xf>
    <xf numFmtId="0" fontId="98" fillId="8" borderId="35" xfId="7" applyFont="1" applyFill="1" applyBorder="1" applyAlignment="1">
      <alignment horizontal="center" vertical="center"/>
    </xf>
    <xf numFmtId="1" fontId="98" fillId="6" borderId="114" xfId="7" applyNumberFormat="1" applyFont="1" applyFill="1" applyBorder="1" applyAlignment="1">
      <alignment horizontal="center" vertical="center"/>
    </xf>
    <xf numFmtId="0" fontId="116" fillId="0" borderId="104" xfId="7" applyFont="1" applyBorder="1"/>
    <xf numFmtId="0" fontId="98" fillId="0" borderId="97" xfId="7" applyFont="1" applyBorder="1" applyAlignment="1">
      <alignment vertical="center" wrapText="1" shrinkToFit="1"/>
    </xf>
    <xf numFmtId="1" fontId="98" fillId="0" borderId="56" xfId="7" applyNumberFormat="1" applyFont="1" applyBorder="1" applyAlignment="1">
      <alignment horizontal="center" vertical="center"/>
    </xf>
    <xf numFmtId="0" fontId="98" fillId="0" borderId="99" xfId="7" applyFont="1" applyBorder="1" applyAlignment="1">
      <alignment horizontal="center" vertical="center"/>
    </xf>
    <xf numFmtId="0" fontId="98" fillId="0" borderId="0" xfId="7" applyFont="1"/>
    <xf numFmtId="0" fontId="98" fillId="0" borderId="44" xfId="7" applyFont="1" applyBorder="1"/>
    <xf numFmtId="0" fontId="100" fillId="0" borderId="56" xfId="7" applyFont="1" applyBorder="1"/>
    <xf numFmtId="2" fontId="95" fillId="20" borderId="37" xfId="0" applyNumberFormat="1" applyFont="1" applyFill="1" applyBorder="1" applyAlignment="1">
      <alignment horizontal="center" vertical="center" wrapText="1"/>
    </xf>
    <xf numFmtId="0" fontId="98" fillId="0" borderId="38" xfId="7" applyFont="1" applyBorder="1" applyAlignment="1">
      <alignment horizontal="center" vertical="center" wrapText="1"/>
    </xf>
    <xf numFmtId="1" fontId="95" fillId="0" borderId="51" xfId="7" applyNumberFormat="1" applyFont="1" applyBorder="1" applyAlignment="1">
      <alignment horizontal="center" vertical="center"/>
    </xf>
    <xf numFmtId="0" fontId="98" fillId="0" borderId="83" xfId="7" applyFont="1" applyBorder="1" applyAlignment="1">
      <alignment horizontal="center" vertical="center"/>
    </xf>
    <xf numFmtId="0" fontId="98" fillId="8" borderId="38" xfId="7" applyFont="1" applyFill="1" applyBorder="1" applyAlignment="1">
      <alignment horizontal="center" vertical="center" wrapText="1" shrinkToFit="1"/>
    </xf>
    <xf numFmtId="0" fontId="112" fillId="8" borderId="38" xfId="7" applyFont="1" applyFill="1" applyBorder="1" applyAlignment="1">
      <alignment horizontal="center" vertical="center" wrapText="1"/>
    </xf>
    <xf numFmtId="0" fontId="98" fillId="8" borderId="32" xfId="7" applyFont="1" applyFill="1" applyBorder="1" applyAlignment="1">
      <alignment horizontal="center" vertical="center" wrapText="1" shrinkToFit="1"/>
    </xf>
    <xf numFmtId="0" fontId="98" fillId="8" borderId="35" xfId="7" applyFont="1" applyFill="1" applyBorder="1" applyAlignment="1">
      <alignment horizontal="center" vertical="center" wrapText="1" shrinkToFit="1"/>
    </xf>
    <xf numFmtId="0" fontId="98" fillId="8" borderId="83" xfId="7" applyFont="1" applyFill="1" applyBorder="1" applyAlignment="1">
      <alignment horizontal="center" vertical="center"/>
    </xf>
    <xf numFmtId="1" fontId="99" fillId="0" borderId="37" xfId="7" applyNumberFormat="1" applyFont="1" applyBorder="1" applyAlignment="1">
      <alignment horizontal="center" vertical="center"/>
    </xf>
    <xf numFmtId="1" fontId="99" fillId="8" borderId="31" xfId="7" applyNumberFormat="1" applyFont="1" applyFill="1" applyBorder="1" applyAlignment="1">
      <alignment horizontal="center" vertical="center"/>
    </xf>
    <xf numFmtId="177" fontId="99" fillId="8" borderId="37" xfId="7" applyNumberFormat="1" applyFont="1" applyFill="1" applyBorder="1" applyAlignment="1">
      <alignment horizontal="center" vertical="center"/>
    </xf>
    <xf numFmtId="1" fontId="99" fillId="6" borderId="37" xfId="7" applyNumberFormat="1" applyFont="1" applyFill="1" applyBorder="1" applyAlignment="1">
      <alignment horizontal="center" vertical="center"/>
    </xf>
    <xf numFmtId="177" fontId="99" fillId="6" borderId="37" xfId="7" applyNumberFormat="1" applyFont="1" applyFill="1" applyBorder="1" applyAlignment="1">
      <alignment horizontal="center" vertical="center"/>
    </xf>
    <xf numFmtId="1" fontId="99" fillId="8" borderId="37" xfId="7" applyNumberFormat="1" applyFont="1" applyFill="1" applyBorder="1" applyAlignment="1">
      <alignment horizontal="center" vertical="center"/>
    </xf>
    <xf numFmtId="164" fontId="99" fillId="0" borderId="37" xfId="7" applyNumberFormat="1" applyFont="1" applyBorder="1" applyAlignment="1">
      <alignment horizontal="center" vertical="center"/>
    </xf>
    <xf numFmtId="1" fontId="123" fillId="8" borderId="37" xfId="7" applyNumberFormat="1" applyFont="1" applyFill="1" applyBorder="1" applyAlignment="1">
      <alignment vertical="center"/>
    </xf>
    <xf numFmtId="1" fontId="99" fillId="8" borderId="34" xfId="7" applyNumberFormat="1" applyFont="1" applyFill="1" applyBorder="1" applyAlignment="1">
      <alignment horizontal="center" vertical="center"/>
    </xf>
    <xf numFmtId="1" fontId="99" fillId="8" borderId="5" xfId="7" applyNumberFormat="1" applyFont="1" applyFill="1" applyBorder="1" applyAlignment="1">
      <alignment horizontal="center" vertical="center"/>
    </xf>
    <xf numFmtId="0" fontId="99" fillId="0" borderId="51" xfId="7" applyFont="1" applyBorder="1" applyAlignment="1">
      <alignment vertical="center" wrapText="1" shrinkToFit="1"/>
    </xf>
    <xf numFmtId="0" fontId="99" fillId="0" borderId="37" xfId="7" applyFont="1" applyBorder="1" applyAlignment="1">
      <alignment vertical="center" wrapText="1" shrinkToFit="1"/>
    </xf>
    <xf numFmtId="0" fontId="99" fillId="0" borderId="37" xfId="7" applyFont="1" applyBorder="1" applyAlignment="1">
      <alignment horizontal="left" vertical="center" wrapText="1" shrinkToFit="1"/>
    </xf>
    <xf numFmtId="0" fontId="99" fillId="8" borderId="5" xfId="7" applyFont="1" applyFill="1" applyBorder="1" applyAlignment="1">
      <alignment vertical="center"/>
    </xf>
    <xf numFmtId="0" fontId="1" fillId="22" borderId="0" xfId="7" applyFont="1" applyFill="1"/>
    <xf numFmtId="0" fontId="100" fillId="22" borderId="0" xfId="7" applyFont="1" applyFill="1"/>
    <xf numFmtId="0" fontId="98" fillId="22" borderId="0" xfId="7" applyFont="1" applyFill="1" applyAlignment="1">
      <alignment vertical="center"/>
    </xf>
    <xf numFmtId="0" fontId="95" fillId="22" borderId="0" xfId="7" applyFont="1" applyFill="1" applyAlignment="1">
      <alignment vertical="center"/>
    </xf>
    <xf numFmtId="0" fontId="98" fillId="22" borderId="0" xfId="7" applyFont="1" applyFill="1"/>
    <xf numFmtId="0" fontId="107" fillId="22" borderId="0" xfId="7" applyFont="1" applyFill="1"/>
    <xf numFmtId="0" fontId="100" fillId="22" borderId="0" xfId="7" applyFont="1" applyFill="1" applyAlignment="1">
      <alignment wrapText="1" shrinkToFit="1"/>
    </xf>
    <xf numFmtId="1" fontId="98" fillId="22" borderId="0" xfId="7" applyNumberFormat="1" applyFont="1" applyFill="1" applyAlignment="1">
      <alignment horizontal="center"/>
    </xf>
    <xf numFmtId="0" fontId="107" fillId="22" borderId="0" xfId="7" applyFont="1" applyFill="1" applyAlignment="1">
      <alignment vertical="center" wrapText="1" shrinkToFit="1"/>
    </xf>
    <xf numFmtId="0" fontId="98" fillId="22" borderId="0" xfId="7" applyFont="1" applyFill="1" applyAlignment="1">
      <alignment horizontal="center"/>
    </xf>
    <xf numFmtId="0" fontId="100" fillId="22" borderId="0" xfId="7" applyFont="1" applyFill="1" applyAlignment="1">
      <alignment horizontal="center"/>
    </xf>
    <xf numFmtId="0" fontId="1" fillId="22" borderId="0" xfId="7" applyFont="1" applyFill="1" applyAlignment="1">
      <alignment wrapText="1"/>
    </xf>
    <xf numFmtId="0" fontId="98" fillId="22" borderId="0" xfId="7" applyFont="1" applyFill="1" applyAlignment="1">
      <alignment wrapText="1"/>
    </xf>
    <xf numFmtId="164" fontId="98" fillId="22" borderId="0" xfId="7" applyNumberFormat="1" applyFont="1" applyFill="1" applyAlignment="1">
      <alignment wrapText="1"/>
    </xf>
    <xf numFmtId="1" fontId="98" fillId="22" borderId="0" xfId="7" applyNumberFormat="1" applyFont="1" applyFill="1" applyAlignment="1">
      <alignment wrapText="1"/>
    </xf>
    <xf numFmtId="2" fontId="95" fillId="8" borderId="107" xfId="7" applyNumberFormat="1" applyFont="1" applyFill="1" applyBorder="1" applyAlignment="1">
      <alignment vertical="center"/>
    </xf>
    <xf numFmtId="2" fontId="95" fillId="8" borderId="99" xfId="7" applyNumberFormat="1" applyFont="1" applyFill="1" applyBorder="1" applyAlignment="1">
      <alignment vertical="center"/>
    </xf>
    <xf numFmtId="0" fontId="100" fillId="8" borderId="131" xfId="7" applyFont="1" applyFill="1" applyBorder="1" applyAlignment="1">
      <alignment vertical="center" wrapText="1" shrinkToFit="1"/>
    </xf>
    <xf numFmtId="0" fontId="100" fillId="8" borderId="131" xfId="7" applyFont="1" applyFill="1" applyBorder="1" applyAlignment="1">
      <alignment horizontal="center" vertical="center"/>
    </xf>
    <xf numFmtId="164" fontId="95" fillId="0" borderId="37" xfId="7" applyNumberFormat="1" applyFont="1" applyBorder="1" applyAlignment="1">
      <alignment horizontal="center" vertical="center" wrapText="1" shrinkToFit="1"/>
    </xf>
    <xf numFmtId="177" fontId="124" fillId="20" borderId="128" xfId="0" applyNumberFormat="1" applyFont="1" applyFill="1" applyBorder="1" applyAlignment="1">
      <alignment horizontal="center" vertical="center"/>
    </xf>
    <xf numFmtId="164" fontId="98" fillId="0" borderId="37" xfId="7" applyNumberFormat="1" applyFont="1" applyBorder="1" applyAlignment="1">
      <alignment horizontal="center" vertical="center"/>
    </xf>
    <xf numFmtId="1" fontId="98" fillId="0" borderId="51" xfId="7" applyNumberFormat="1" applyFont="1" applyBorder="1" applyAlignment="1">
      <alignment horizontal="center" vertical="center"/>
    </xf>
    <xf numFmtId="1" fontId="98" fillId="8" borderId="39" xfId="7" applyNumberFormat="1" applyFont="1" applyFill="1" applyBorder="1" applyAlignment="1">
      <alignment vertical="center" wrapText="1"/>
    </xf>
    <xf numFmtId="1" fontId="98" fillId="8" borderId="115" xfId="7" applyNumberFormat="1" applyFont="1" applyFill="1" applyBorder="1" applyAlignment="1">
      <alignment vertical="center" wrapText="1"/>
    </xf>
    <xf numFmtId="1" fontId="98" fillId="23" borderId="37" xfId="7" applyNumberFormat="1" applyFont="1" applyFill="1" applyBorder="1" applyAlignment="1">
      <alignment horizontal="center" vertical="center"/>
    </xf>
    <xf numFmtId="1" fontId="98" fillId="0" borderId="40" xfId="7" applyNumberFormat="1" applyFont="1" applyBorder="1" applyAlignment="1">
      <alignment horizontal="left" vertical="center"/>
    </xf>
    <xf numFmtId="0" fontId="98" fillId="21" borderId="134" xfId="7" applyFont="1" applyFill="1" applyBorder="1" applyAlignment="1">
      <alignment vertical="center"/>
    </xf>
    <xf numFmtId="2" fontId="107" fillId="21" borderId="134" xfId="7" applyNumberFormat="1" applyFont="1" applyFill="1" applyBorder="1" applyAlignment="1">
      <alignment vertical="center"/>
    </xf>
    <xf numFmtId="0" fontId="107" fillId="21" borderId="134" xfId="7" applyFont="1" applyFill="1" applyBorder="1" applyAlignment="1">
      <alignment vertical="center"/>
    </xf>
    <xf numFmtId="1" fontId="107" fillId="21" borderId="134" xfId="7" applyNumberFormat="1" applyFont="1" applyFill="1" applyBorder="1" applyAlignment="1">
      <alignment vertical="center"/>
    </xf>
    <xf numFmtId="1" fontId="98" fillId="21" borderId="134" xfId="7" applyNumberFormat="1" applyFont="1" applyFill="1" applyBorder="1" applyAlignment="1">
      <alignment vertical="center"/>
    </xf>
    <xf numFmtId="2" fontId="98" fillId="21" borderId="134" xfId="7" applyNumberFormat="1" applyFont="1" applyFill="1" applyBorder="1" applyAlignment="1">
      <alignment vertical="center"/>
    </xf>
    <xf numFmtId="0" fontId="126" fillId="0" borderId="0" xfId="7" applyFont="1" applyAlignment="1">
      <alignment vertical="center"/>
    </xf>
    <xf numFmtId="0" fontId="126" fillId="0" borderId="103" xfId="7" applyFont="1" applyBorder="1" applyAlignment="1">
      <alignment vertical="center"/>
    </xf>
    <xf numFmtId="0" fontId="126" fillId="22" borderId="0" xfId="7" applyFont="1" applyFill="1" applyAlignment="1">
      <alignment vertical="center"/>
    </xf>
    <xf numFmtId="0" fontId="125" fillId="0" borderId="0" xfId="7" applyFont="1" applyAlignment="1">
      <alignment vertical="center"/>
    </xf>
    <xf numFmtId="0" fontId="125" fillId="0" borderId="103" xfId="7" applyFont="1" applyBorder="1" applyAlignment="1">
      <alignment vertical="center"/>
    </xf>
    <xf numFmtId="0" fontId="125" fillId="22" borderId="0" xfId="7" applyFont="1" applyFill="1" applyAlignment="1">
      <alignment vertical="center"/>
    </xf>
    <xf numFmtId="0" fontId="126" fillId="6" borderId="108" xfId="7" applyFont="1" applyFill="1" applyBorder="1" applyAlignment="1">
      <alignment vertical="center"/>
    </xf>
    <xf numFmtId="0" fontId="126" fillId="0" borderId="0" xfId="7" applyFont="1" applyAlignment="1">
      <alignment horizontal="center" vertical="center"/>
    </xf>
    <xf numFmtId="0" fontId="126" fillId="8" borderId="1" xfId="7" applyFont="1" applyFill="1" applyBorder="1" applyAlignment="1">
      <alignment vertical="center"/>
    </xf>
    <xf numFmtId="10" fontId="98" fillId="21" borderId="134" xfId="7" applyNumberFormat="1" applyFont="1" applyFill="1" applyBorder="1" applyAlignment="1">
      <alignment vertical="center"/>
    </xf>
    <xf numFmtId="164" fontId="107" fillId="21" borderId="134" xfId="7" applyNumberFormat="1" applyFont="1" applyFill="1" applyBorder="1" applyAlignment="1">
      <alignment vertical="center"/>
    </xf>
    <xf numFmtId="2" fontId="98" fillId="15" borderId="37" xfId="7" applyNumberFormat="1" applyFont="1" applyFill="1" applyBorder="1" applyAlignment="1">
      <alignment horizontal="center" vertical="center"/>
    </xf>
    <xf numFmtId="0" fontId="98" fillId="0" borderId="3" xfId="7" applyFont="1" applyBorder="1" applyAlignment="1">
      <alignment vertical="center"/>
    </xf>
    <xf numFmtId="0" fontId="98" fillId="22" borderId="146" xfId="7" applyFont="1" applyFill="1" applyBorder="1" applyAlignment="1">
      <alignment vertical="center"/>
    </xf>
    <xf numFmtId="1" fontId="98" fillId="23" borderId="147" xfId="7" applyNumberFormat="1" applyFont="1" applyFill="1" applyBorder="1" applyAlignment="1">
      <alignment horizontal="center" vertical="center"/>
    </xf>
    <xf numFmtId="0" fontId="98" fillId="15" borderId="38" xfId="7" applyFont="1" applyFill="1" applyBorder="1" applyAlignment="1">
      <alignment horizontal="center" vertical="center"/>
    </xf>
    <xf numFmtId="0" fontId="98" fillId="15" borderId="38" xfId="7" applyFont="1" applyFill="1" applyBorder="1" applyAlignment="1">
      <alignment horizontal="center" vertical="center" wrapText="1"/>
    </xf>
    <xf numFmtId="165" fontId="98" fillId="21" borderId="134" xfId="7" applyNumberFormat="1" applyFont="1" applyFill="1" applyBorder="1" applyAlignment="1">
      <alignment vertical="center"/>
    </xf>
    <xf numFmtId="164" fontId="98" fillId="0" borderId="38" xfId="7" applyNumberFormat="1" applyFont="1" applyBorder="1" applyAlignment="1">
      <alignment horizontal="center" vertical="center"/>
    </xf>
    <xf numFmtId="164" fontId="98" fillId="21" borderId="134" xfId="7" applyNumberFormat="1" applyFont="1" applyFill="1" applyBorder="1" applyAlignment="1">
      <alignment vertical="center"/>
    </xf>
    <xf numFmtId="0" fontId="98" fillId="0" borderId="32" xfId="7" applyFont="1" applyBorder="1" applyAlignment="1">
      <alignment horizontal="center" vertical="center"/>
    </xf>
    <xf numFmtId="177" fontId="124" fillId="24" borderId="128" xfId="0" applyNumberFormat="1" applyFont="1" applyFill="1" applyBorder="1" applyAlignment="1">
      <alignment horizontal="center" vertical="center"/>
    </xf>
    <xf numFmtId="177" fontId="99" fillId="25" borderId="37" xfId="7" applyNumberFormat="1" applyFont="1" applyFill="1" applyBorder="1" applyAlignment="1">
      <alignment horizontal="center" vertical="center"/>
    </xf>
    <xf numFmtId="0" fontId="95" fillId="8" borderId="37" xfId="7" applyFont="1" applyFill="1" applyBorder="1" applyAlignment="1">
      <alignment horizontal="left" vertical="center" wrapText="1"/>
    </xf>
    <xf numFmtId="2" fontId="95" fillId="0" borderId="37" xfId="7" applyNumberFormat="1" applyFont="1" applyBorder="1" applyAlignment="1">
      <alignment horizontal="center" vertical="center"/>
    </xf>
    <xf numFmtId="0" fontId="98" fillId="22" borderId="134" xfId="7" applyFont="1" applyFill="1" applyBorder="1" applyAlignment="1">
      <alignment vertical="center"/>
    </xf>
    <xf numFmtId="1" fontId="98" fillId="22" borderId="134" xfId="7" applyNumberFormat="1" applyFont="1" applyFill="1" applyBorder="1" applyAlignment="1">
      <alignment vertical="center"/>
    </xf>
    <xf numFmtId="0" fontId="130" fillId="22" borderId="0" xfId="7" applyFont="1" applyFill="1"/>
    <xf numFmtId="0" fontId="130" fillId="22" borderId="0" xfId="7" applyFont="1" applyFill="1" applyAlignment="1">
      <alignment wrapText="1"/>
    </xf>
    <xf numFmtId="2" fontId="98" fillId="0" borderId="38" xfId="7" applyNumberFormat="1" applyFont="1" applyBorder="1" applyAlignment="1">
      <alignment horizontal="center" vertical="center"/>
    </xf>
    <xf numFmtId="2" fontId="98" fillId="15" borderId="38" xfId="7" applyNumberFormat="1" applyFont="1" applyFill="1" applyBorder="1" applyAlignment="1">
      <alignment horizontal="center" vertical="center"/>
    </xf>
    <xf numFmtId="178" fontId="107" fillId="21" borderId="134" xfId="7" applyNumberFormat="1" applyFont="1" applyFill="1" applyBorder="1" applyAlignment="1">
      <alignment vertical="center"/>
    </xf>
    <xf numFmtId="0" fontId="98" fillId="22" borderId="10" xfId="7" applyFont="1" applyFill="1" applyBorder="1" applyAlignment="1">
      <alignment vertical="center"/>
    </xf>
    <xf numFmtId="1" fontId="129" fillId="26" borderId="150" xfId="0" applyNumberFormat="1" applyFont="1" applyFill="1" applyBorder="1" applyAlignment="1">
      <alignment horizontal="center" vertical="center" wrapText="1"/>
    </xf>
    <xf numFmtId="0" fontId="129" fillId="26" borderId="150" xfId="0" applyFont="1" applyFill="1" applyBorder="1" applyAlignment="1">
      <alignment horizontal="center" vertical="center" wrapText="1"/>
    </xf>
    <xf numFmtId="0" fontId="129" fillId="8" borderId="150" xfId="0" applyFont="1" applyFill="1" applyBorder="1" applyAlignment="1">
      <alignment horizontal="center" vertical="center" wrapText="1"/>
    </xf>
    <xf numFmtId="166" fontId="129" fillId="8" borderId="150" xfId="0" applyNumberFormat="1" applyFont="1" applyFill="1" applyBorder="1" applyAlignment="1">
      <alignment horizontal="center" vertical="center" wrapText="1"/>
    </xf>
    <xf numFmtId="2" fontId="129" fillId="26" borderId="150" xfId="0" applyNumberFormat="1" applyFont="1" applyFill="1" applyBorder="1" applyAlignment="1">
      <alignment horizontal="center" vertical="center" wrapText="1"/>
    </xf>
    <xf numFmtId="2" fontId="129" fillId="8" borderId="150" xfId="0" applyNumberFormat="1" applyFont="1" applyFill="1" applyBorder="1" applyAlignment="1">
      <alignment horizontal="center" vertical="center" wrapText="1"/>
    </xf>
    <xf numFmtId="0" fontId="129" fillId="27" borderId="150" xfId="0" applyFont="1" applyFill="1" applyBorder="1" applyAlignment="1">
      <alignment horizontal="center" vertical="center" wrapText="1"/>
    </xf>
    <xf numFmtId="1" fontId="129" fillId="26" borderId="150" xfId="0" applyNumberFormat="1" applyFont="1" applyFill="1" applyBorder="1" applyAlignment="1">
      <alignment horizontal="right" vertical="center" wrapText="1"/>
    </xf>
    <xf numFmtId="1" fontId="98" fillId="22" borderId="149" xfId="7" applyNumberFormat="1" applyFont="1" applyFill="1" applyBorder="1" applyAlignment="1">
      <alignment vertical="center"/>
    </xf>
    <xf numFmtId="0" fontId="98" fillId="22" borderId="149" xfId="7" applyFont="1" applyFill="1" applyBorder="1" applyAlignment="1">
      <alignment vertical="center"/>
    </xf>
    <xf numFmtId="10" fontId="98" fillId="22" borderId="149" xfId="7" applyNumberFormat="1" applyFont="1" applyFill="1" applyBorder="1" applyAlignment="1">
      <alignment vertical="center"/>
    </xf>
    <xf numFmtId="164" fontId="98" fillId="22" borderId="149" xfId="7" applyNumberFormat="1" applyFont="1" applyFill="1" applyBorder="1" applyAlignment="1">
      <alignment vertical="center"/>
    </xf>
    <xf numFmtId="2" fontId="98" fillId="22" borderId="149" xfId="7" applyNumberFormat="1" applyFont="1" applyFill="1" applyBorder="1" applyAlignment="1">
      <alignment vertical="center"/>
    </xf>
    <xf numFmtId="2" fontId="100" fillId="0" borderId="131" xfId="7" applyNumberFormat="1" applyFont="1" applyBorder="1" applyAlignment="1">
      <alignment horizontal="center" vertical="center"/>
    </xf>
    <xf numFmtId="2" fontId="100" fillId="8" borderId="131" xfId="7" applyNumberFormat="1" applyFont="1" applyFill="1" applyBorder="1" applyAlignment="1">
      <alignment horizontal="center" vertical="center"/>
    </xf>
    <xf numFmtId="164" fontId="98" fillId="0" borderId="38" xfId="7" applyNumberFormat="1" applyFont="1" applyBorder="1" applyAlignment="1">
      <alignment horizontal="center" vertical="center" wrapText="1"/>
    </xf>
    <xf numFmtId="2" fontId="98" fillId="0" borderId="148" xfId="7" applyNumberFormat="1" applyFont="1" applyBorder="1" applyAlignment="1">
      <alignment horizontal="center" vertical="center"/>
    </xf>
    <xf numFmtId="2" fontId="98" fillId="0" borderId="32" xfId="7" applyNumberFormat="1" applyFont="1" applyBorder="1" applyAlignment="1">
      <alignment horizontal="center" vertical="center"/>
    </xf>
    <xf numFmtId="0" fontId="98" fillId="28" borderId="36" xfId="7" applyFont="1" applyFill="1" applyBorder="1" applyAlignment="1">
      <alignment vertical="center" wrapText="1" shrinkToFit="1"/>
    </xf>
    <xf numFmtId="0" fontId="98" fillId="28" borderId="30" xfId="7" applyFont="1" applyFill="1" applyBorder="1" applyAlignment="1">
      <alignment vertical="center" wrapText="1" shrinkToFit="1"/>
    </xf>
    <xf numFmtId="0" fontId="95" fillId="28" borderId="36" xfId="7" applyFont="1" applyFill="1" applyBorder="1" applyAlignment="1">
      <alignment vertical="center" wrapText="1" shrinkToFit="1"/>
    </xf>
    <xf numFmtId="0" fontId="98" fillId="28" borderId="36" xfId="7" applyFont="1" applyFill="1" applyBorder="1" applyAlignment="1">
      <alignment horizontal="right" vertical="center" wrapText="1" shrinkToFit="1"/>
    </xf>
    <xf numFmtId="9" fontId="98" fillId="28" borderId="36" xfId="7" applyNumberFormat="1" applyFont="1" applyFill="1" applyBorder="1" applyAlignment="1">
      <alignment vertical="center" wrapText="1" shrinkToFit="1"/>
    </xf>
    <xf numFmtId="0" fontId="98" fillId="28" borderId="33" xfId="7" applyFont="1" applyFill="1" applyBorder="1" applyAlignment="1">
      <alignment vertical="center" wrapText="1" shrinkToFit="1"/>
    </xf>
    <xf numFmtId="0" fontId="98" fillId="28" borderId="52" xfId="7" applyFont="1" applyFill="1" applyBorder="1" applyAlignment="1">
      <alignment horizontal="right" vertical="center" wrapText="1" shrinkToFit="1"/>
    </xf>
    <xf numFmtId="0" fontId="98" fillId="28" borderId="82" xfId="7" applyFont="1" applyFill="1" applyBorder="1" applyAlignment="1">
      <alignment vertical="center" wrapText="1" shrinkToFit="1"/>
    </xf>
    <xf numFmtId="0" fontId="122" fillId="28" borderId="0" xfId="7" applyFont="1" applyFill="1"/>
    <xf numFmtId="2" fontId="95" fillId="8" borderId="27" xfId="7" applyNumberFormat="1" applyFont="1" applyFill="1" applyBorder="1" applyAlignment="1">
      <alignment horizontal="center" vertical="center"/>
    </xf>
    <xf numFmtId="2" fontId="95" fillId="23" borderId="29" xfId="7" applyNumberFormat="1" applyFont="1" applyFill="1" applyBorder="1" applyAlignment="1">
      <alignment horizontal="center" vertical="center"/>
    </xf>
    <xf numFmtId="0" fontId="98" fillId="28" borderId="30" xfId="7" applyFont="1" applyFill="1" applyBorder="1" applyAlignment="1">
      <alignment horizontal="right" vertical="center" wrapText="1" shrinkToFit="1"/>
    </xf>
    <xf numFmtId="0" fontId="98" fillId="0" borderId="31" xfId="7" applyFont="1" applyBorder="1" applyAlignment="1">
      <alignment horizontal="left" vertical="center" wrapText="1" shrinkToFit="1"/>
    </xf>
    <xf numFmtId="1" fontId="95" fillId="8" borderId="51" xfId="7" applyNumberFormat="1" applyFont="1" applyFill="1" applyBorder="1" applyAlignment="1">
      <alignment horizontal="left" vertical="center"/>
    </xf>
    <xf numFmtId="1" fontId="98" fillId="8" borderId="83" xfId="7" applyNumberFormat="1" applyFont="1" applyFill="1" applyBorder="1" applyAlignment="1">
      <alignment horizontal="center" vertical="center"/>
    </xf>
    <xf numFmtId="0" fontId="98" fillId="6" borderId="50" xfId="7" applyFont="1" applyFill="1" applyBorder="1" applyAlignment="1">
      <alignment vertical="center" wrapText="1" shrinkToFit="1"/>
    </xf>
    <xf numFmtId="0" fontId="98" fillId="6" borderId="2" xfId="7" applyFont="1" applyFill="1" applyBorder="1" applyAlignment="1">
      <alignment vertical="center" wrapText="1" shrinkToFit="1"/>
    </xf>
    <xf numFmtId="1" fontId="98" fillId="6" borderId="2" xfId="7" applyNumberFormat="1" applyFont="1" applyFill="1" applyBorder="1" applyAlignment="1">
      <alignment horizontal="center" vertical="center"/>
    </xf>
    <xf numFmtId="0" fontId="98" fillId="6" borderId="2" xfId="7" applyFont="1" applyFill="1" applyBorder="1" applyAlignment="1">
      <alignment horizontal="center" vertical="center"/>
    </xf>
    <xf numFmtId="0" fontId="98" fillId="6" borderId="55" xfId="7" applyFont="1" applyFill="1" applyBorder="1" applyAlignment="1">
      <alignment horizontal="center" vertical="center"/>
    </xf>
    <xf numFmtId="1" fontId="98" fillId="23" borderId="105" xfId="7" applyNumberFormat="1" applyFont="1" applyFill="1" applyBorder="1" applyAlignment="1">
      <alignment horizontal="center" vertical="center"/>
    </xf>
    <xf numFmtId="164" fontId="98" fillId="8" borderId="31" xfId="7" applyNumberFormat="1" applyFont="1" applyFill="1" applyBorder="1" applyAlignment="1">
      <alignment horizontal="center" vertical="center"/>
    </xf>
    <xf numFmtId="0" fontId="98" fillId="8" borderId="32" xfId="7" applyFont="1" applyFill="1" applyBorder="1" applyAlignment="1">
      <alignment horizontal="center" vertical="center"/>
    </xf>
    <xf numFmtId="0" fontId="95" fillId="28" borderId="30" xfId="7" applyFont="1" applyFill="1" applyBorder="1" applyAlignment="1">
      <alignment vertical="center" wrapText="1" shrinkToFit="1"/>
    </xf>
    <xf numFmtId="0" fontId="113" fillId="0" borderId="31" xfId="7" applyFont="1" applyBorder="1" applyAlignment="1">
      <alignment vertical="center" wrapText="1" shrinkToFit="1"/>
    </xf>
    <xf numFmtId="1" fontId="98" fillId="8" borderId="105" xfId="7" applyNumberFormat="1" applyFont="1" applyFill="1" applyBorder="1" applyAlignment="1">
      <alignment horizontal="center" vertical="center"/>
    </xf>
    <xf numFmtId="0" fontId="95" fillId="28" borderId="27" xfId="7" applyFont="1" applyFill="1" applyBorder="1" applyAlignment="1">
      <alignment vertical="center" wrapText="1" shrinkToFit="1"/>
    </xf>
    <xf numFmtId="0" fontId="95" fillId="8" borderId="51" xfId="7" applyFont="1" applyFill="1" applyBorder="1" applyAlignment="1">
      <alignment vertical="center" wrapText="1" shrinkToFit="1"/>
    </xf>
    <xf numFmtId="0" fontId="95" fillId="8" borderId="51" xfId="7" applyFont="1" applyFill="1" applyBorder="1" applyAlignment="1">
      <alignment horizontal="center" vertical="center"/>
    </xf>
    <xf numFmtId="0" fontId="98" fillId="0" borderId="83" xfId="7" applyFont="1" applyBorder="1" applyAlignment="1">
      <alignment horizontal="center" vertical="center" wrapText="1"/>
    </xf>
    <xf numFmtId="177" fontId="124" fillId="24" borderId="151" xfId="0" applyNumberFormat="1" applyFont="1" applyFill="1" applyBorder="1" applyAlignment="1">
      <alignment horizontal="center" vertical="center"/>
    </xf>
    <xf numFmtId="177" fontId="99" fillId="8" borderId="31" xfId="7" applyNumberFormat="1" applyFont="1" applyFill="1" applyBorder="1" applyAlignment="1">
      <alignment horizontal="center" vertical="center"/>
    </xf>
    <xf numFmtId="0" fontId="98" fillId="8" borderId="105" xfId="7" applyFont="1" applyFill="1" applyBorder="1" applyAlignment="1">
      <alignment vertical="center" wrapText="1" shrinkToFit="1"/>
    </xf>
    <xf numFmtId="0" fontId="107" fillId="8" borderId="32" xfId="7" applyFont="1" applyFill="1" applyBorder="1" applyAlignment="1">
      <alignment horizontal="center" vertical="center" wrapText="1"/>
    </xf>
    <xf numFmtId="0" fontId="95" fillId="28" borderId="97" xfId="7" applyFont="1" applyFill="1" applyBorder="1" applyAlignment="1">
      <alignment vertical="center" wrapText="1" shrinkToFit="1"/>
    </xf>
    <xf numFmtId="0" fontId="98" fillId="8" borderId="31" xfId="7" applyFont="1" applyFill="1" applyBorder="1" applyAlignment="1">
      <alignment horizontal="left" vertical="center" wrapText="1" shrinkToFit="1"/>
    </xf>
    <xf numFmtId="0" fontId="98" fillId="8" borderId="51" xfId="7" applyFont="1" applyFill="1" applyBorder="1" applyAlignment="1">
      <alignment vertical="center" wrapText="1" shrinkToFit="1"/>
    </xf>
    <xf numFmtId="0" fontId="98" fillId="8" borderId="51" xfId="7" applyFont="1" applyFill="1" applyBorder="1" applyAlignment="1">
      <alignment horizontal="center" vertical="center"/>
    </xf>
    <xf numFmtId="0" fontId="98" fillId="28" borderId="106" xfId="7" applyFont="1" applyFill="1" applyBorder="1" applyAlignment="1">
      <alignment vertical="center" wrapText="1" shrinkToFit="1"/>
    </xf>
    <xf numFmtId="0" fontId="98" fillId="0" borderId="105" xfId="7" applyFont="1" applyBorder="1" applyAlignment="1">
      <alignment vertical="center" wrapText="1" shrinkToFit="1"/>
    </xf>
    <xf numFmtId="0" fontId="95" fillId="8" borderId="105" xfId="7" applyFont="1" applyFill="1" applyBorder="1" applyAlignment="1">
      <alignment vertical="center" wrapText="1" shrinkToFit="1"/>
    </xf>
    <xf numFmtId="0" fontId="95" fillId="8" borderId="105" xfId="7" applyFont="1" applyFill="1" applyBorder="1" applyAlignment="1">
      <alignment horizontal="center" vertical="center"/>
    </xf>
    <xf numFmtId="0" fontId="98" fillId="0" borderId="152" xfId="7" applyFont="1" applyBorder="1" applyAlignment="1">
      <alignment horizontal="center" vertical="center" wrapText="1"/>
    </xf>
    <xf numFmtId="0" fontId="98" fillId="8" borderId="31" xfId="7" applyFont="1" applyFill="1" applyBorder="1" applyAlignment="1">
      <alignment horizontal="center" vertical="center"/>
    </xf>
    <xf numFmtId="0" fontId="98" fillId="15" borderId="32" xfId="7" applyFont="1" applyFill="1" applyBorder="1" applyAlignment="1">
      <alignment horizontal="center" vertical="center" wrapText="1"/>
    </xf>
    <xf numFmtId="0" fontId="115" fillId="8" borderId="37" xfId="7" applyFont="1" applyFill="1" applyBorder="1" applyAlignment="1">
      <alignment vertical="center" wrapText="1" shrinkToFit="1"/>
    </xf>
    <xf numFmtId="0" fontId="98" fillId="8" borderId="31" xfId="7" applyFont="1" applyFill="1" applyBorder="1" applyAlignment="1">
      <alignment vertical="center" wrapText="1"/>
    </xf>
    <xf numFmtId="0" fontId="98" fillId="8" borderId="105" xfId="7" applyFont="1" applyFill="1" applyBorder="1" applyAlignment="1">
      <alignment horizontal="center" vertical="center"/>
    </xf>
    <xf numFmtId="1" fontId="110" fillId="0" borderId="153" xfId="7" applyNumberFormat="1" applyFont="1" applyBorder="1" applyAlignment="1">
      <alignment vertical="center"/>
    </xf>
    <xf numFmtId="0" fontId="98" fillId="15" borderId="152" xfId="7" applyFont="1" applyFill="1" applyBorder="1" applyAlignment="1">
      <alignment horizontal="center" vertical="center"/>
    </xf>
    <xf numFmtId="1" fontId="125" fillId="0" borderId="2" xfId="7" applyNumberFormat="1" applyFont="1" applyBorder="1" applyAlignment="1">
      <alignment horizontal="center" vertical="center"/>
    </xf>
    <xf numFmtId="1" fontId="128" fillId="0" borderId="31" xfId="7" applyNumberFormat="1" applyFont="1" applyBorder="1" applyAlignment="1">
      <alignment horizontal="center" vertical="center"/>
    </xf>
    <xf numFmtId="1" fontId="98" fillId="23" borderId="31" xfId="7" applyNumberFormat="1" applyFont="1" applyFill="1" applyBorder="1" applyAlignment="1">
      <alignment horizontal="center" vertical="center"/>
    </xf>
    <xf numFmtId="0" fontId="125" fillId="28" borderId="27" xfId="7" applyFont="1" applyFill="1" applyBorder="1" applyAlignment="1">
      <alignment vertical="center" wrapText="1" shrinkToFit="1"/>
    </xf>
    <xf numFmtId="0" fontId="81" fillId="13" borderId="0" xfId="7" applyFont="1" applyFill="1"/>
    <xf numFmtId="0" fontId="122" fillId="13" borderId="0" xfId="7" applyFont="1" applyFill="1"/>
    <xf numFmtId="0" fontId="77" fillId="13" borderId="0" xfId="7" applyFont="1" applyFill="1" applyAlignment="1">
      <alignment horizontal="right"/>
    </xf>
    <xf numFmtId="0" fontId="77" fillId="13" borderId="0" xfId="7" applyFont="1" applyFill="1"/>
    <xf numFmtId="0" fontId="81" fillId="13" borderId="0" xfId="7" applyFont="1" applyFill="1" applyAlignment="1">
      <alignment horizontal="center"/>
    </xf>
    <xf numFmtId="0" fontId="81" fillId="13" borderId="0" xfId="7" applyFont="1" applyFill="1" applyAlignment="1">
      <alignment horizontal="right"/>
    </xf>
    <xf numFmtId="0" fontId="107" fillId="13" borderId="0" xfId="7" applyFont="1" applyFill="1"/>
    <xf numFmtId="0" fontId="100" fillId="13" borderId="0" xfId="7" applyFont="1" applyFill="1" applyAlignment="1">
      <alignment wrapText="1" shrinkToFit="1"/>
    </xf>
    <xf numFmtId="1" fontId="100" fillId="13" borderId="0" xfId="7" applyNumberFormat="1" applyFont="1" applyFill="1"/>
    <xf numFmtId="0" fontId="107" fillId="13" borderId="0" xfId="7" applyFont="1" applyFill="1" applyAlignment="1">
      <alignment vertical="center" wrapText="1" shrinkToFit="1"/>
    </xf>
    <xf numFmtId="0" fontId="98" fillId="13" borderId="0" xfId="7" applyFont="1" applyFill="1" applyAlignment="1">
      <alignment horizontal="center"/>
    </xf>
    <xf numFmtId="0" fontId="100" fillId="13" borderId="0" xfId="7" applyFont="1" applyFill="1" applyAlignment="1">
      <alignment horizontal="center"/>
    </xf>
    <xf numFmtId="0" fontId="99" fillId="13" borderId="0" xfId="7" applyFont="1" applyFill="1" applyAlignment="1">
      <alignment horizontal="right"/>
    </xf>
    <xf numFmtId="0" fontId="100" fillId="22" borderId="0" xfId="7" quotePrefix="1" applyFont="1" applyFill="1"/>
    <xf numFmtId="0" fontId="98" fillId="8" borderId="31" xfId="7" applyFont="1" applyFill="1" applyBorder="1" applyAlignment="1">
      <alignment horizontal="center" vertical="center" wrapText="1" shrinkToFit="1"/>
    </xf>
    <xf numFmtId="0" fontId="98" fillId="23" borderId="31" xfId="7" applyFont="1" applyFill="1" applyBorder="1" applyAlignment="1">
      <alignment vertical="center" wrapText="1" shrinkToFit="1"/>
    </xf>
    <xf numFmtId="1" fontId="133" fillId="23" borderId="155" xfId="7" applyNumberFormat="1" applyFont="1" applyFill="1" applyBorder="1" applyAlignment="1">
      <alignment horizontal="center" vertical="center"/>
    </xf>
    <xf numFmtId="1" fontId="98" fillId="8" borderId="39" xfId="7" applyNumberFormat="1" applyFont="1" applyFill="1" applyBorder="1" applyAlignment="1">
      <alignment horizontal="center" vertical="center" wrapText="1"/>
    </xf>
    <xf numFmtId="164" fontId="99" fillId="8" borderId="37" xfId="7" applyNumberFormat="1" applyFont="1" applyFill="1" applyBorder="1" applyAlignment="1">
      <alignment horizontal="center" vertical="center"/>
    </xf>
    <xf numFmtId="0" fontId="131" fillId="13" borderId="0" xfId="7" quotePrefix="1" applyFont="1" applyFill="1"/>
    <xf numFmtId="0" fontId="78" fillId="13" borderId="0" xfId="7" applyFont="1" applyFill="1" applyAlignment="1">
      <alignment shrinkToFit="1"/>
    </xf>
    <xf numFmtId="0" fontId="78" fillId="13" borderId="101" xfId="7" applyFont="1" applyFill="1" applyBorder="1"/>
    <xf numFmtId="1" fontId="98" fillId="13" borderId="0" xfId="7" applyNumberFormat="1" applyFont="1" applyFill="1" applyAlignment="1">
      <alignment horizontal="center"/>
    </xf>
    <xf numFmtId="0" fontId="118" fillId="13" borderId="0" xfId="7" applyFont="1" applyFill="1"/>
    <xf numFmtId="0" fontId="98" fillId="13" borderId="0" xfId="7" applyFont="1" applyFill="1" applyAlignment="1">
      <alignment wrapText="1" shrinkToFit="1"/>
    </xf>
    <xf numFmtId="1" fontId="98" fillId="13" borderId="0" xfId="7" applyNumberFormat="1" applyFont="1" applyFill="1"/>
    <xf numFmtId="0" fontId="106" fillId="13" borderId="0" xfId="0" applyFont="1" applyFill="1" applyAlignment="1">
      <alignment vertical="center"/>
    </xf>
    <xf numFmtId="0" fontId="98" fillId="13" borderId="0" xfId="7" applyFont="1" applyFill="1"/>
    <xf numFmtId="172" fontId="98" fillId="13" borderId="0" xfId="7" applyNumberFormat="1" applyFont="1" applyFill="1" applyAlignment="1">
      <alignment horizontal="center"/>
    </xf>
    <xf numFmtId="0" fontId="106" fillId="13" borderId="0" xfId="0" applyFont="1" applyFill="1" applyAlignment="1">
      <alignment vertical="center" wrapText="1"/>
    </xf>
    <xf numFmtId="0" fontId="81" fillId="13" borderId="0" xfId="0" applyFont="1" applyFill="1" applyAlignment="1">
      <alignment vertical="center" wrapText="1"/>
    </xf>
    <xf numFmtId="0" fontId="98" fillId="13" borderId="98" xfId="7" applyFont="1" applyFill="1" applyBorder="1" applyAlignment="1">
      <alignment vertical="center" wrapText="1" shrinkToFit="1"/>
    </xf>
    <xf numFmtId="0" fontId="98" fillId="13" borderId="99" xfId="7" applyFont="1" applyFill="1" applyBorder="1" applyAlignment="1">
      <alignment vertical="center" wrapText="1" shrinkToFit="1"/>
    </xf>
    <xf numFmtId="0" fontId="77" fillId="13" borderId="131" xfId="7" applyFont="1" applyFill="1" applyBorder="1"/>
    <xf numFmtId="0" fontId="77" fillId="13" borderId="131" xfId="7" applyFont="1" applyFill="1" applyBorder="1" applyAlignment="1">
      <alignment horizontal="right"/>
    </xf>
    <xf numFmtId="179" fontId="77" fillId="13" borderId="131" xfId="7" applyNumberFormat="1" applyFont="1" applyFill="1" applyBorder="1" applyAlignment="1">
      <alignment horizontal="left"/>
    </xf>
    <xf numFmtId="0" fontId="77" fillId="13" borderId="131" xfId="7" applyFont="1" applyFill="1" applyBorder="1" applyAlignment="1">
      <alignment horizontal="center"/>
    </xf>
    <xf numFmtId="0" fontId="98" fillId="0" borderId="157" xfId="7" applyFont="1" applyBorder="1" applyAlignment="1">
      <alignment horizontal="left" vertical="center" wrapText="1" shrinkToFit="1"/>
    </xf>
    <xf numFmtId="1" fontId="98" fillId="8" borderId="43" xfId="7" applyNumberFormat="1" applyFont="1" applyFill="1" applyBorder="1" applyAlignment="1">
      <alignment horizontal="center" vertical="center"/>
    </xf>
    <xf numFmtId="1" fontId="99" fillId="8" borderId="43" xfId="7" applyNumberFormat="1" applyFont="1" applyFill="1" applyBorder="1" applyAlignment="1">
      <alignment horizontal="center" vertical="center"/>
    </xf>
    <xf numFmtId="0" fontId="98" fillId="8" borderId="43" xfId="7" applyFont="1" applyFill="1" applyBorder="1" applyAlignment="1">
      <alignment vertical="center" wrapText="1" shrinkToFit="1"/>
    </xf>
    <xf numFmtId="0" fontId="98" fillId="8" borderId="41" xfId="7" applyFont="1" applyFill="1" applyBorder="1" applyAlignment="1">
      <alignment horizontal="center" vertical="center" wrapText="1" shrinkToFit="1"/>
    </xf>
    <xf numFmtId="1" fontId="95" fillId="23" borderId="37" xfId="7" applyNumberFormat="1" applyFont="1" applyFill="1" applyBorder="1" applyAlignment="1">
      <alignment horizontal="center" vertical="center"/>
    </xf>
    <xf numFmtId="0" fontId="134" fillId="30" borderId="128" xfId="0" applyFont="1" applyFill="1" applyBorder="1" applyAlignment="1">
      <alignment horizontal="center" vertical="center" wrapText="1"/>
    </xf>
    <xf numFmtId="0" fontId="134" fillId="31" borderId="0" xfId="0" applyFont="1" applyFill="1" applyAlignment="1">
      <alignment horizontal="center" vertical="center" wrapText="1"/>
    </xf>
    <xf numFmtId="0" fontId="135" fillId="13" borderId="0" xfId="0" applyFont="1" applyFill="1" applyAlignment="1">
      <alignment horizontal="right"/>
    </xf>
    <xf numFmtId="0" fontId="135" fillId="13" borderId="0" xfId="0" applyFont="1" applyFill="1" applyAlignment="1">
      <alignment horizontal="left"/>
    </xf>
    <xf numFmtId="15" fontId="135" fillId="13" borderId="0" xfId="0" applyNumberFormat="1" applyFont="1" applyFill="1" applyAlignment="1">
      <alignment horizontal="left"/>
    </xf>
    <xf numFmtId="0" fontId="95" fillId="28" borderId="30" xfId="7" applyFont="1" applyFill="1" applyBorder="1" applyAlignment="1">
      <alignment horizontal="center" vertical="center" wrapText="1" shrinkToFit="1"/>
    </xf>
    <xf numFmtId="1" fontId="99" fillId="0" borderId="31" xfId="7" applyNumberFormat="1" applyFont="1" applyBorder="1" applyAlignment="1">
      <alignment horizontal="center" vertical="center"/>
    </xf>
    <xf numFmtId="177" fontId="99" fillId="8" borderId="56" xfId="7" applyNumberFormat="1" applyFont="1" applyFill="1" applyBorder="1" applyAlignment="1">
      <alignment horizontal="center" vertical="center"/>
    </xf>
    <xf numFmtId="1" fontId="95" fillId="8" borderId="133" xfId="7" applyNumberFormat="1" applyFont="1" applyFill="1" applyBorder="1" applyAlignment="1">
      <alignment horizontal="center" vertical="center"/>
    </xf>
    <xf numFmtId="164" fontId="95" fillId="8" borderId="31" xfId="7" applyNumberFormat="1" applyFont="1" applyFill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137" fillId="32" borderId="158" xfId="0" applyFont="1" applyFill="1" applyBorder="1" applyAlignment="1">
      <alignment horizontal="center" vertical="center"/>
    </xf>
    <xf numFmtId="0" fontId="137" fillId="32" borderId="159" xfId="0" applyFont="1" applyFill="1" applyBorder="1" applyAlignment="1">
      <alignment horizontal="center" vertical="center"/>
    </xf>
    <xf numFmtId="0" fontId="0" fillId="8" borderId="88" xfId="0" applyFill="1" applyBorder="1" applyAlignment="1">
      <alignment horizontal="center" vertical="center"/>
    </xf>
    <xf numFmtId="0" fontId="0" fillId="8" borderId="89" xfId="0" applyFill="1" applyBorder="1" applyAlignment="1">
      <alignment horizontal="center" vertical="center"/>
    </xf>
    <xf numFmtId="0" fontId="0" fillId="8" borderId="90" xfId="0" applyFill="1" applyBorder="1" applyAlignment="1">
      <alignment horizontal="center" vertical="center"/>
    </xf>
    <xf numFmtId="0" fontId="138" fillId="33" borderId="160" xfId="0" applyFont="1" applyFill="1" applyBorder="1" applyAlignment="1">
      <alignment horizontal="center" vertical="center"/>
    </xf>
    <xf numFmtId="0" fontId="138" fillId="34" borderId="160" xfId="0" applyFont="1" applyFill="1" applyBorder="1" applyAlignment="1">
      <alignment horizontal="center" vertical="center"/>
    </xf>
    <xf numFmtId="0" fontId="138" fillId="35" borderId="160" xfId="0" applyFont="1" applyFill="1" applyBorder="1" applyAlignment="1">
      <alignment horizontal="center" vertical="center"/>
    </xf>
    <xf numFmtId="0" fontId="138" fillId="20" borderId="160" xfId="0" applyFont="1" applyFill="1" applyBorder="1" applyAlignment="1">
      <alignment horizontal="center" vertical="center"/>
    </xf>
    <xf numFmtId="0" fontId="138" fillId="33" borderId="150" xfId="0" applyFont="1" applyFill="1" applyBorder="1" applyAlignment="1">
      <alignment horizontal="center" vertical="center"/>
    </xf>
    <xf numFmtId="0" fontId="138" fillId="34" borderId="151" xfId="0" applyFont="1" applyFill="1" applyBorder="1" applyAlignment="1">
      <alignment horizontal="center" vertical="center"/>
    </xf>
    <xf numFmtId="0" fontId="138" fillId="33" borderId="151" xfId="0" applyFont="1" applyFill="1" applyBorder="1" applyAlignment="1">
      <alignment horizontal="center" vertical="center"/>
    </xf>
    <xf numFmtId="0" fontId="138" fillId="35" borderId="151" xfId="0" applyFont="1" applyFill="1" applyBorder="1" applyAlignment="1">
      <alignment horizontal="center" vertical="center"/>
    </xf>
    <xf numFmtId="0" fontId="138" fillId="20" borderId="151" xfId="0" applyFont="1" applyFill="1" applyBorder="1" applyAlignment="1">
      <alignment horizontal="center" vertical="center"/>
    </xf>
    <xf numFmtId="0" fontId="138" fillId="36" borderId="160" xfId="0" applyFont="1" applyFill="1" applyBorder="1" applyAlignment="1">
      <alignment horizontal="center" vertical="center"/>
    </xf>
    <xf numFmtId="0" fontId="138" fillId="37" borderId="160" xfId="0" applyFont="1" applyFill="1" applyBorder="1" applyAlignment="1">
      <alignment horizontal="center" vertical="center"/>
    </xf>
    <xf numFmtId="0" fontId="138" fillId="37" borderId="160" xfId="0" applyFont="1" applyFill="1" applyBorder="1" applyAlignment="1">
      <alignment horizontal="center" vertical="center" wrapText="1"/>
    </xf>
    <xf numFmtId="0" fontId="138" fillId="35" borderId="160" xfId="0" applyFont="1" applyFill="1" applyBorder="1" applyAlignment="1">
      <alignment horizontal="center" vertical="center" wrapText="1"/>
    </xf>
    <xf numFmtId="0" fontId="138" fillId="20" borderId="160" xfId="0" applyFont="1" applyFill="1" applyBorder="1" applyAlignment="1">
      <alignment horizontal="center" vertical="center" wrapText="1"/>
    </xf>
    <xf numFmtId="0" fontId="138" fillId="33" borderId="160" xfId="0" applyFont="1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38" fillId="38" borderId="160" xfId="0" applyFont="1" applyFill="1" applyBorder="1" applyAlignment="1">
      <alignment horizontal="center" vertical="center"/>
    </xf>
    <xf numFmtId="0" fontId="0" fillId="39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38" fillId="40" borderId="160" xfId="0" applyFont="1" applyFill="1" applyBorder="1" applyAlignment="1">
      <alignment horizontal="center" vertical="center"/>
    </xf>
    <xf numFmtId="0" fontId="138" fillId="41" borderId="160" xfId="0" applyFont="1" applyFill="1" applyBorder="1" applyAlignment="1">
      <alignment horizontal="center" vertical="center"/>
    </xf>
    <xf numFmtId="0" fontId="138" fillId="0" borderId="0" xfId="0" applyFont="1" applyAlignment="1">
      <alignment horizontal="center" vertical="center" wrapText="1"/>
    </xf>
    <xf numFmtId="0" fontId="138" fillId="0" borderId="170" xfId="0" applyFont="1" applyBorder="1" applyAlignment="1">
      <alignment horizontal="center" vertical="center" wrapText="1"/>
    </xf>
    <xf numFmtId="1" fontId="98" fillId="8" borderId="31" xfId="7" applyNumberFormat="1" applyFont="1" applyFill="1" applyBorder="1" applyAlignment="1">
      <alignment horizontal="center" vertical="center"/>
    </xf>
    <xf numFmtId="1" fontId="95" fillId="8" borderId="51" xfId="7" applyNumberFormat="1" applyFont="1" applyFill="1" applyBorder="1" applyAlignment="1">
      <alignment horizontal="center" vertical="center"/>
    </xf>
    <xf numFmtId="1" fontId="95" fillId="8" borderId="105" xfId="7" applyNumberFormat="1" applyFont="1" applyFill="1" applyBorder="1" applyAlignment="1">
      <alignment horizontal="center" vertical="center"/>
    </xf>
    <xf numFmtId="0" fontId="95" fillId="28" borderId="82" xfId="7" applyFont="1" applyFill="1" applyBorder="1" applyAlignment="1">
      <alignment horizontal="center" vertical="center" wrapText="1" shrinkToFit="1"/>
    </xf>
    <xf numFmtId="0" fontId="95" fillId="28" borderId="106" xfId="7" applyFont="1" applyFill="1" applyBorder="1" applyAlignment="1">
      <alignment horizontal="center" vertical="center" wrapText="1" shrinkToFit="1"/>
    </xf>
    <xf numFmtId="1" fontId="99" fillId="8" borderId="51" xfId="7" applyNumberFormat="1" applyFont="1" applyFill="1" applyBorder="1" applyAlignment="1">
      <alignment horizontal="center" vertical="center"/>
    </xf>
    <xf numFmtId="177" fontId="99" fillId="8" borderId="105" xfId="7" applyNumberFormat="1" applyFont="1" applyFill="1" applyBorder="1" applyAlignment="1">
      <alignment horizontal="center" vertical="center"/>
    </xf>
    <xf numFmtId="177" fontId="98" fillId="8" borderId="132" xfId="7" applyNumberFormat="1" applyFont="1" applyFill="1" applyBorder="1" applyAlignment="1">
      <alignment horizontal="left" vertical="center"/>
    </xf>
    <xf numFmtId="177" fontId="98" fillId="8" borderId="56" xfId="7" applyNumberFormat="1" applyFont="1" applyFill="1" applyBorder="1" applyAlignment="1">
      <alignment horizontal="left" vertical="center"/>
    </xf>
    <xf numFmtId="177" fontId="98" fillId="8" borderId="133" xfId="7" applyNumberFormat="1" applyFont="1" applyFill="1" applyBorder="1" applyAlignment="1">
      <alignment horizontal="left" vertical="center"/>
    </xf>
    <xf numFmtId="177" fontId="98" fillId="8" borderId="39" xfId="7" applyNumberFormat="1" applyFont="1" applyFill="1" applyBorder="1" applyAlignment="1">
      <alignment horizontal="left" vertical="center"/>
    </xf>
    <xf numFmtId="177" fontId="98" fillId="8" borderId="44" xfId="7" applyNumberFormat="1" applyFont="1" applyFill="1" applyBorder="1" applyAlignment="1">
      <alignment horizontal="left" vertical="center"/>
    </xf>
    <xf numFmtId="177" fontId="98" fillId="8" borderId="115" xfId="7" applyNumberFormat="1" applyFont="1" applyFill="1" applyBorder="1" applyAlignment="1">
      <alignment horizontal="left" vertical="center"/>
    </xf>
    <xf numFmtId="1" fontId="99" fillId="0" borderId="105" xfId="7" applyNumberFormat="1" applyFont="1" applyBorder="1" applyAlignment="1">
      <alignment horizontal="center" vertical="center"/>
    </xf>
    <xf numFmtId="0" fontId="98" fillId="0" borderId="0" xfId="7" applyFont="1" applyAlignment="1">
      <alignment horizontal="center" vertical="center"/>
    </xf>
    <xf numFmtId="176" fontId="98" fillId="8" borderId="44" xfId="18" applyNumberFormat="1" applyFont="1" applyFill="1" applyBorder="1" applyAlignment="1">
      <alignment horizontal="left" vertical="center" wrapText="1"/>
    </xf>
    <xf numFmtId="43" fontId="98" fillId="8" borderId="115" xfId="18" applyFont="1" applyFill="1" applyBorder="1" applyAlignment="1">
      <alignment vertical="center" wrapText="1"/>
    </xf>
    <xf numFmtId="177" fontId="98" fillId="8" borderId="37" xfId="7" applyNumberFormat="1" applyFont="1" applyFill="1" applyBorder="1" applyAlignment="1">
      <alignment horizontal="left" vertical="center" wrapText="1"/>
    </xf>
    <xf numFmtId="10" fontId="98" fillId="22" borderId="0" xfId="7" applyNumberFormat="1" applyFont="1" applyFill="1" applyAlignment="1">
      <alignment horizontal="center" vertical="center"/>
    </xf>
    <xf numFmtId="0" fontId="98" fillId="22" borderId="0" xfId="7" applyFont="1" applyFill="1" applyAlignment="1">
      <alignment horizontal="center" vertical="center"/>
    </xf>
    <xf numFmtId="0" fontId="140" fillId="8" borderId="0" xfId="0" applyFont="1" applyFill="1" applyAlignment="1">
      <alignment horizontal="center" vertical="center"/>
    </xf>
    <xf numFmtId="0" fontId="138" fillId="38" borderId="1" xfId="0" applyFont="1" applyFill="1" applyBorder="1" applyAlignment="1">
      <alignment horizontal="center" vertical="center"/>
    </xf>
    <xf numFmtId="14" fontId="81" fillId="0" borderId="1" xfId="0" applyNumberFormat="1" applyFont="1" applyBorder="1" applyAlignment="1">
      <alignment horizontal="center" vertical="center"/>
    </xf>
    <xf numFmtId="0" fontId="81" fillId="0" borderId="1" xfId="0" applyFon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81" fillId="0" borderId="0" xfId="0" applyFont="1" applyAlignment="1">
      <alignment horizontal="center" vertical="center" wrapText="1"/>
    </xf>
    <xf numFmtId="0" fontId="81" fillId="21" borderId="0" xfId="7" applyFont="1" applyFill="1" applyAlignment="1">
      <alignment vertical="center" wrapText="1"/>
    </xf>
    <xf numFmtId="0" fontId="81" fillId="21" borderId="0" xfId="7" applyFont="1" applyFill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4" fontId="81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27" fillId="21" borderId="135" xfId="7" applyFont="1" applyFill="1" applyBorder="1" applyAlignment="1">
      <alignment horizontal="center" wrapText="1"/>
    </xf>
    <xf numFmtId="0" fontId="127" fillId="21" borderId="136" xfId="7" applyFont="1" applyFill="1" applyBorder="1" applyAlignment="1">
      <alignment horizontal="center" wrapText="1"/>
    </xf>
    <xf numFmtId="0" fontId="127" fillId="21" borderId="137" xfId="7" applyFont="1" applyFill="1" applyBorder="1" applyAlignment="1">
      <alignment horizontal="center" wrapText="1"/>
    </xf>
    <xf numFmtId="0" fontId="127" fillId="21" borderId="135" xfId="7" applyFont="1" applyFill="1" applyBorder="1" applyAlignment="1">
      <alignment horizontal="center" wrapText="1"/>
    </xf>
    <xf numFmtId="0" fontId="127" fillId="21" borderId="136" xfId="7" applyFont="1" applyFill="1" applyBorder="1" applyAlignment="1">
      <alignment horizontal="center" wrapText="1"/>
    </xf>
    <xf numFmtId="0" fontId="127" fillId="21" borderId="137" xfId="7" applyFont="1" applyFill="1" applyBorder="1" applyAlignment="1">
      <alignment horizontal="center" wrapText="1"/>
    </xf>
    <xf numFmtId="0" fontId="138" fillId="0" borderId="0" xfId="0" applyFont="1" applyAlignment="1">
      <alignment horizontal="center" vertical="center"/>
    </xf>
    <xf numFmtId="0" fontId="138" fillId="0" borderId="167" xfId="0" applyFont="1" applyBorder="1" applyAlignment="1">
      <alignment horizontal="center" vertical="center" wrapText="1"/>
    </xf>
    <xf numFmtId="175" fontId="4" fillId="0" borderId="3" xfId="17" applyNumberFormat="1" applyFont="1" applyBorder="1" applyAlignment="1">
      <alignment horizontal="left" vertical="center" wrapText="1"/>
    </xf>
    <xf numFmtId="175" fontId="4" fillId="0" borderId="20" xfId="17" applyNumberFormat="1" applyFont="1" applyBorder="1" applyAlignment="1">
      <alignment horizontal="left" vertical="center" wrapText="1"/>
    </xf>
    <xf numFmtId="0" fontId="4" fillId="0" borderId="1" xfId="17" applyFont="1" applyBorder="1" applyAlignment="1">
      <alignment horizontal="left" vertical="center" wrapText="1"/>
    </xf>
    <xf numFmtId="0" fontId="14" fillId="0" borderId="1" xfId="17" applyFont="1" applyBorder="1" applyAlignment="1">
      <alignment horizontal="center" vertical="center" wrapText="1"/>
    </xf>
    <xf numFmtId="0" fontId="4" fillId="0" borderId="2" xfId="17" applyFont="1" applyBorder="1" applyAlignment="1">
      <alignment wrapText="1"/>
    </xf>
    <xf numFmtId="0" fontId="4" fillId="0" borderId="31" xfId="17" applyFont="1" applyBorder="1" applyAlignment="1">
      <alignment wrapText="1"/>
    </xf>
    <xf numFmtId="0" fontId="4" fillId="0" borderId="5" xfId="17" applyFont="1" applyBorder="1" applyAlignment="1">
      <alignment wrapText="1"/>
    </xf>
    <xf numFmtId="16" fontId="4" fillId="0" borderId="1" xfId="17" applyNumberFormat="1" applyFont="1" applyBorder="1" applyAlignment="1">
      <alignment horizontal="left" vertical="center" wrapText="1"/>
    </xf>
    <xf numFmtId="0" fontId="4" fillId="0" borderId="1" xfId="17" applyFont="1" applyBorder="1" applyAlignment="1">
      <alignment horizontal="center" vertical="center" wrapText="1"/>
    </xf>
    <xf numFmtId="0" fontId="9" fillId="6" borderId="2" xfId="17" applyFont="1" applyFill="1" applyBorder="1" applyAlignment="1">
      <alignment horizontal="center" vertical="center"/>
    </xf>
    <xf numFmtId="0" fontId="9" fillId="6" borderId="5" xfId="17" applyFont="1" applyFill="1" applyBorder="1" applyAlignment="1">
      <alignment horizontal="center" vertical="center"/>
    </xf>
    <xf numFmtId="0" fontId="9" fillId="6" borderId="1" xfId="17" applyFont="1" applyFill="1" applyBorder="1" applyAlignment="1">
      <alignment horizontal="center" vertical="center"/>
    </xf>
    <xf numFmtId="0" fontId="9" fillId="6" borderId="4" xfId="17" applyFont="1" applyFill="1" applyBorder="1" applyAlignment="1">
      <alignment horizontal="center" vertical="center" wrapText="1"/>
    </xf>
    <xf numFmtId="0" fontId="9" fillId="6" borderId="9" xfId="17" applyFont="1" applyFill="1" applyBorder="1" applyAlignment="1">
      <alignment horizontal="center" vertical="center" wrapText="1"/>
    </xf>
    <xf numFmtId="0" fontId="9" fillId="6" borderId="8" xfId="17" applyFont="1" applyFill="1" applyBorder="1" applyAlignment="1">
      <alignment horizontal="center" vertical="center" wrapText="1"/>
    </xf>
    <xf numFmtId="0" fontId="9" fillId="6" borderId="6" xfId="17" applyFont="1" applyFill="1" applyBorder="1" applyAlignment="1">
      <alignment horizontal="center" vertical="center" wrapText="1"/>
    </xf>
    <xf numFmtId="175" fontId="4" fillId="0" borderId="3" xfId="17" applyNumberFormat="1" applyFont="1" applyBorder="1" applyAlignment="1">
      <alignment horizontal="left" wrapText="1"/>
    </xf>
    <xf numFmtId="175" fontId="4" fillId="0" borderId="20" xfId="17" applyNumberFormat="1" applyFont="1" applyBorder="1" applyAlignment="1">
      <alignment horizontal="left" wrapText="1"/>
    </xf>
    <xf numFmtId="175" fontId="4" fillId="0" borderId="3" xfId="17" quotePrefix="1" applyNumberFormat="1" applyFont="1" applyBorder="1" applyAlignment="1">
      <alignment horizontal="left" wrapText="1"/>
    </xf>
    <xf numFmtId="0" fontId="95" fillId="28" borderId="107" xfId="7" applyFont="1" applyFill="1" applyBorder="1" applyAlignment="1">
      <alignment horizontal="left" vertical="center" wrapText="1" shrinkToFit="1"/>
    </xf>
    <xf numFmtId="0" fontId="95" fillId="28" borderId="98" xfId="7" applyFont="1" applyFill="1" applyBorder="1" applyAlignment="1">
      <alignment horizontal="left" vertical="center" wrapText="1" shrinkToFit="1"/>
    </xf>
    <xf numFmtId="0" fontId="95" fillId="28" borderId="99" xfId="7" applyFont="1" applyFill="1" applyBorder="1" applyAlignment="1">
      <alignment horizontal="left" vertical="center" wrapText="1" shrinkToFit="1"/>
    </xf>
    <xf numFmtId="1" fontId="98" fillId="8" borderId="31" xfId="7" applyNumberFormat="1" applyFont="1" applyFill="1" applyBorder="1" applyAlignment="1">
      <alignment horizontal="center" vertical="center"/>
    </xf>
    <xf numFmtId="1" fontId="95" fillId="8" borderId="39" xfId="7" applyNumberFormat="1" applyFont="1" applyFill="1" applyBorder="1" applyAlignment="1">
      <alignment horizontal="center" vertical="center"/>
    </xf>
    <xf numFmtId="1" fontId="95" fillId="8" borderId="115" xfId="7" applyNumberFormat="1" applyFont="1" applyFill="1" applyBorder="1" applyAlignment="1">
      <alignment horizontal="center" vertical="center"/>
    </xf>
    <xf numFmtId="1" fontId="95" fillId="23" borderId="51" xfId="7" applyNumberFormat="1" applyFont="1" applyFill="1" applyBorder="1" applyAlignment="1">
      <alignment horizontal="center" vertical="center"/>
    </xf>
    <xf numFmtId="1" fontId="95" fillId="23" borderId="105" xfId="7" applyNumberFormat="1" applyFont="1" applyFill="1" applyBorder="1" applyAlignment="1">
      <alignment horizontal="center" vertical="center"/>
    </xf>
    <xf numFmtId="0" fontId="99" fillId="8" borderId="51" xfId="7" applyFont="1" applyFill="1" applyBorder="1" applyAlignment="1">
      <alignment horizontal="center" vertical="center" wrapText="1" shrinkToFit="1"/>
    </xf>
    <xf numFmtId="0" fontId="99" fillId="8" borderId="105" xfId="7" applyFont="1" applyFill="1" applyBorder="1" applyAlignment="1">
      <alignment horizontal="center" vertical="center" wrapText="1" shrinkToFit="1"/>
    </xf>
    <xf numFmtId="1" fontId="95" fillId="8" borderId="51" xfId="7" applyNumberFormat="1" applyFont="1" applyFill="1" applyBorder="1" applyAlignment="1">
      <alignment horizontal="center" vertical="center"/>
    </xf>
    <xf numFmtId="1" fontId="95" fillId="8" borderId="105" xfId="7" applyNumberFormat="1" applyFont="1" applyFill="1" applyBorder="1" applyAlignment="1">
      <alignment horizontal="center" vertical="center"/>
    </xf>
    <xf numFmtId="1" fontId="99" fillId="8" borderId="51" xfId="7" applyNumberFormat="1" applyFont="1" applyFill="1" applyBorder="1" applyAlignment="1">
      <alignment horizontal="center" vertical="center"/>
    </xf>
    <xf numFmtId="1" fontId="99" fillId="8" borderId="105" xfId="7" applyNumberFormat="1" applyFont="1" applyFill="1" applyBorder="1" applyAlignment="1">
      <alignment horizontal="center" vertical="center"/>
    </xf>
    <xf numFmtId="177" fontId="99" fillId="8" borderId="51" xfId="7" applyNumberFormat="1" applyFont="1" applyFill="1" applyBorder="1" applyAlignment="1">
      <alignment horizontal="center" vertical="center"/>
    </xf>
    <xf numFmtId="177" fontId="99" fillId="8" borderId="105" xfId="7" applyNumberFormat="1" applyFont="1" applyFill="1" applyBorder="1" applyAlignment="1">
      <alignment horizontal="center" vertical="center"/>
    </xf>
    <xf numFmtId="1" fontId="99" fillId="23" borderId="51" xfId="7" applyNumberFormat="1" applyFont="1" applyFill="1" applyBorder="1" applyAlignment="1">
      <alignment horizontal="center" vertical="center"/>
    </xf>
    <xf numFmtId="1" fontId="99" fillId="23" borderId="105" xfId="7" applyNumberFormat="1" applyFont="1" applyFill="1" applyBorder="1" applyAlignment="1">
      <alignment horizontal="center" vertical="center"/>
    </xf>
    <xf numFmtId="0" fontId="98" fillId="22" borderId="134" xfId="7" applyFont="1" applyFill="1" applyBorder="1" applyAlignment="1">
      <alignment horizontal="center" vertical="center" wrapText="1"/>
    </xf>
    <xf numFmtId="1" fontId="99" fillId="0" borderId="51" xfId="7" applyNumberFormat="1" applyFont="1" applyBorder="1" applyAlignment="1">
      <alignment horizontal="center" vertical="center"/>
    </xf>
    <xf numFmtId="1" fontId="99" fillId="0" borderId="105" xfId="7" applyNumberFormat="1" applyFont="1" applyBorder="1" applyAlignment="1">
      <alignment horizontal="center" vertical="center"/>
    </xf>
    <xf numFmtId="177" fontId="124" fillId="24" borderId="129" xfId="0" applyNumberFormat="1" applyFont="1" applyFill="1" applyBorder="1" applyAlignment="1">
      <alignment horizontal="center" vertical="center"/>
    </xf>
    <xf numFmtId="177" fontId="124" fillId="24" borderId="130" xfId="0" applyNumberFormat="1" applyFont="1" applyFill="1" applyBorder="1" applyAlignment="1">
      <alignment horizontal="center" vertical="center"/>
    </xf>
    <xf numFmtId="1" fontId="95" fillId="0" borderId="0" xfId="7" applyNumberFormat="1" applyFont="1" applyAlignment="1">
      <alignment horizontal="left" vertical="center" wrapText="1"/>
    </xf>
    <xf numFmtId="0" fontId="98" fillId="0" borderId="0" xfId="7" applyFont="1" applyAlignment="1">
      <alignment horizontal="center" vertical="center"/>
    </xf>
    <xf numFmtId="177" fontId="132" fillId="29" borderId="154" xfId="0" applyNumberFormat="1" applyFont="1" applyFill="1" applyBorder="1" applyAlignment="1">
      <alignment horizontal="center" vertical="center"/>
    </xf>
    <xf numFmtId="177" fontId="132" fillId="29" borderId="156" xfId="0" applyNumberFormat="1" applyFont="1" applyFill="1" applyBorder="1" applyAlignment="1">
      <alignment horizontal="center" vertical="center"/>
    </xf>
    <xf numFmtId="0" fontId="98" fillId="0" borderId="103" xfId="7" applyFont="1" applyBorder="1" applyAlignment="1">
      <alignment horizontal="center" vertical="center" wrapText="1"/>
    </xf>
    <xf numFmtId="0" fontId="98" fillId="0" borderId="0" xfId="7" applyFont="1" applyAlignment="1">
      <alignment horizontal="center" vertical="center" wrapText="1"/>
    </xf>
    <xf numFmtId="0" fontId="98" fillId="0" borderId="54" xfId="7" applyFont="1" applyBorder="1" applyAlignment="1">
      <alignment horizontal="center" vertical="center" wrapText="1"/>
    </xf>
    <xf numFmtId="0" fontId="127" fillId="21" borderId="135" xfId="7" applyFont="1" applyFill="1" applyBorder="1" applyAlignment="1">
      <alignment horizontal="center" wrapText="1"/>
    </xf>
    <xf numFmtId="0" fontId="127" fillId="21" borderId="136" xfId="7" applyFont="1" applyFill="1" applyBorder="1" applyAlignment="1">
      <alignment horizontal="center" wrapText="1"/>
    </xf>
    <xf numFmtId="0" fontId="127" fillId="21" borderId="137" xfId="7" applyFont="1" applyFill="1" applyBorder="1" applyAlignment="1">
      <alignment horizontal="center" wrapText="1"/>
    </xf>
    <xf numFmtId="0" fontId="125" fillId="28" borderId="107" xfId="7" applyFont="1" applyFill="1" applyBorder="1" applyAlignment="1">
      <alignment horizontal="left" vertical="center" wrapText="1" shrinkToFit="1"/>
    </xf>
    <xf numFmtId="0" fontId="125" fillId="28" borderId="98" xfId="7" applyFont="1" applyFill="1" applyBorder="1" applyAlignment="1">
      <alignment horizontal="left" vertical="center" wrapText="1" shrinkToFit="1"/>
    </xf>
    <xf numFmtId="0" fontId="125" fillId="28" borderId="99" xfId="7" applyFont="1" applyFill="1" applyBorder="1" applyAlignment="1">
      <alignment horizontal="left" vertical="center" wrapText="1" shrinkToFit="1"/>
    </xf>
    <xf numFmtId="0" fontId="127" fillId="21" borderId="139" xfId="7" applyFont="1" applyFill="1" applyBorder="1" applyAlignment="1">
      <alignment horizontal="center" wrapText="1"/>
    </xf>
    <xf numFmtId="0" fontId="127" fillId="21" borderId="140" xfId="7" applyFont="1" applyFill="1" applyBorder="1" applyAlignment="1">
      <alignment horizontal="center" wrapText="1"/>
    </xf>
    <xf numFmtId="0" fontId="127" fillId="21" borderId="141" xfId="7" applyFont="1" applyFill="1" applyBorder="1" applyAlignment="1">
      <alignment horizontal="center" wrapText="1"/>
    </xf>
    <xf numFmtId="0" fontId="127" fillId="21" borderId="134" xfId="7" applyFont="1" applyFill="1" applyBorder="1" applyAlignment="1">
      <alignment horizontal="center" wrapText="1"/>
    </xf>
    <xf numFmtId="0" fontId="127" fillId="21" borderId="142" xfId="7" applyFont="1" applyFill="1" applyBorder="1" applyAlignment="1">
      <alignment horizontal="center" wrapText="1"/>
    </xf>
    <xf numFmtId="0" fontId="125" fillId="0" borderId="45" xfId="7" applyFont="1" applyBorder="1" applyAlignment="1">
      <alignment horizontal="center" vertical="center" wrapText="1" shrinkToFit="1"/>
    </xf>
    <xf numFmtId="0" fontId="125" fillId="0" borderId="50" xfId="7" applyFont="1" applyBorder="1" applyAlignment="1">
      <alignment horizontal="center" vertical="center" wrapText="1" shrinkToFit="1"/>
    </xf>
    <xf numFmtId="0" fontId="125" fillId="0" borderId="46" xfId="7" applyFont="1" applyBorder="1" applyAlignment="1">
      <alignment horizontal="center" vertical="center" wrapText="1" shrinkToFit="1"/>
    </xf>
    <xf numFmtId="0" fontId="125" fillId="0" borderId="2" xfId="7" applyFont="1" applyBorder="1" applyAlignment="1">
      <alignment horizontal="center" vertical="center" wrapText="1" shrinkToFit="1"/>
    </xf>
    <xf numFmtId="1" fontId="125" fillId="0" borderId="46" xfId="7" applyNumberFormat="1" applyFont="1" applyBorder="1" applyAlignment="1">
      <alignment horizontal="center" vertical="center"/>
    </xf>
    <xf numFmtId="0" fontId="125" fillId="0" borderId="46" xfId="7" applyFont="1" applyBorder="1" applyAlignment="1">
      <alignment horizontal="center" vertical="center"/>
    </xf>
    <xf numFmtId="0" fontId="125" fillId="0" borderId="2" xfId="7" applyFont="1" applyBorder="1" applyAlignment="1">
      <alignment horizontal="center" vertical="center"/>
    </xf>
    <xf numFmtId="0" fontId="127" fillId="21" borderId="0" xfId="7" applyFont="1" applyFill="1" applyAlignment="1">
      <alignment horizontal="center" wrapText="1"/>
    </xf>
    <xf numFmtId="0" fontId="127" fillId="21" borderId="138" xfId="7" applyFont="1" applyFill="1" applyBorder="1" applyAlignment="1">
      <alignment horizontal="center" wrapText="1"/>
    </xf>
    <xf numFmtId="0" fontId="127" fillId="21" borderId="143" xfId="7" applyFont="1" applyFill="1" applyBorder="1" applyAlignment="1">
      <alignment horizontal="center" wrapText="1"/>
    </xf>
    <xf numFmtId="0" fontId="127" fillId="21" borderId="144" xfId="7" applyFont="1" applyFill="1" applyBorder="1" applyAlignment="1">
      <alignment horizontal="center" wrapText="1"/>
    </xf>
    <xf numFmtId="0" fontId="127" fillId="21" borderId="145" xfId="7" applyFont="1" applyFill="1" applyBorder="1" applyAlignment="1">
      <alignment horizontal="center" wrapText="1"/>
    </xf>
    <xf numFmtId="0" fontId="117" fillId="13" borderId="0" xfId="7" applyFont="1" applyFill="1" applyAlignment="1">
      <alignment horizontal="center" vertical="center"/>
    </xf>
    <xf numFmtId="0" fontId="125" fillId="0" borderId="47" xfId="7" applyFont="1" applyBorder="1" applyAlignment="1">
      <alignment horizontal="center" vertical="center"/>
    </xf>
    <xf numFmtId="0" fontId="125" fillId="0" borderId="55" xfId="7" applyFont="1" applyBorder="1" applyAlignment="1">
      <alignment horizontal="center" vertical="center"/>
    </xf>
    <xf numFmtId="0" fontId="125" fillId="0" borderId="110" xfId="7" applyFont="1" applyBorder="1" applyAlignment="1">
      <alignment horizontal="center" vertical="center"/>
    </xf>
    <xf numFmtId="0" fontId="125" fillId="0" borderId="108" xfId="7" applyFont="1" applyBorder="1" applyAlignment="1">
      <alignment horizontal="center" vertical="center"/>
    </xf>
    <xf numFmtId="1" fontId="46" fillId="0" borderId="2" xfId="7" applyNumberFormat="1" applyFont="1" applyBorder="1" applyAlignment="1">
      <alignment horizontal="center" vertical="center"/>
    </xf>
    <xf numFmtId="1" fontId="46" fillId="0" borderId="37" xfId="7" applyNumberFormat="1" applyFont="1" applyBorder="1" applyAlignment="1">
      <alignment horizontal="left" vertical="center"/>
    </xf>
    <xf numFmtId="0" fontId="46" fillId="0" borderId="42" xfId="7" applyFont="1" applyBorder="1" applyAlignment="1">
      <alignment horizontal="left" vertical="center" wrapText="1" shrinkToFit="1"/>
    </xf>
    <xf numFmtId="0" fontId="46" fillId="0" borderId="43" xfId="7" applyFont="1" applyBorder="1" applyAlignment="1">
      <alignment horizontal="left" vertical="center" wrapText="1" shrinkToFit="1"/>
    </xf>
    <xf numFmtId="0" fontId="63" fillId="0" borderId="0" xfId="7" applyFont="1" applyAlignment="1">
      <alignment horizontal="center" vertical="center"/>
    </xf>
    <xf numFmtId="1" fontId="46" fillId="0" borderId="39" xfId="7" applyNumberFormat="1" applyFont="1" applyBorder="1" applyAlignment="1">
      <alignment horizontal="left" vertical="center"/>
    </xf>
    <xf numFmtId="1" fontId="46" fillId="0" borderId="44" xfId="7" applyNumberFormat="1" applyFont="1" applyBorder="1" applyAlignment="1">
      <alignment horizontal="left" vertical="center"/>
    </xf>
    <xf numFmtId="1" fontId="46" fillId="0" borderId="40" xfId="7" applyNumberFormat="1" applyFont="1" applyBorder="1" applyAlignment="1">
      <alignment horizontal="left" vertical="center"/>
    </xf>
    <xf numFmtId="0" fontId="48" fillId="0" borderId="37" xfId="7" applyFont="1" applyBorder="1" applyAlignment="1">
      <alignment horizontal="left" vertical="center" wrapText="1"/>
    </xf>
    <xf numFmtId="0" fontId="48" fillId="0" borderId="38" xfId="7" applyFont="1" applyBorder="1" applyAlignment="1">
      <alignment horizontal="left" vertical="center" wrapText="1"/>
    </xf>
    <xf numFmtId="1" fontId="54" fillId="0" borderId="37" xfId="7" applyNumberFormat="1" applyFont="1" applyBorder="1" applyAlignment="1">
      <alignment horizontal="left" vertical="center"/>
    </xf>
    <xf numFmtId="1" fontId="49" fillId="0" borderId="37" xfId="7" applyNumberFormat="1" applyFont="1" applyBorder="1" applyAlignment="1">
      <alignment horizontal="left" vertical="center"/>
    </xf>
    <xf numFmtId="0" fontId="48" fillId="0" borderId="45" xfId="7" applyFont="1" applyBorder="1" applyAlignment="1">
      <alignment horizontal="center" vertical="center" wrapText="1" shrinkToFit="1"/>
    </xf>
    <xf numFmtId="0" fontId="48" fillId="0" borderId="48" xfId="7" applyFont="1" applyBorder="1" applyAlignment="1">
      <alignment horizontal="center" vertical="center" wrapText="1" shrinkToFit="1"/>
    </xf>
    <xf numFmtId="0" fontId="48" fillId="0" borderId="46" xfId="7" applyFont="1" applyBorder="1" applyAlignment="1">
      <alignment horizontal="center" vertical="center" wrapText="1" shrinkToFit="1"/>
    </xf>
    <xf numFmtId="0" fontId="48" fillId="0" borderId="1" xfId="7" applyFont="1" applyBorder="1" applyAlignment="1">
      <alignment horizontal="center" vertical="center" wrapText="1" shrinkToFit="1"/>
    </xf>
    <xf numFmtId="1" fontId="48" fillId="0" borderId="46" xfId="7" applyNumberFormat="1" applyFont="1" applyBorder="1" applyAlignment="1">
      <alignment horizontal="center" vertical="center"/>
    </xf>
    <xf numFmtId="0" fontId="48" fillId="0" borderId="46" xfId="7" applyFont="1" applyBorder="1" applyAlignment="1">
      <alignment horizontal="center" vertical="center"/>
    </xf>
    <xf numFmtId="0" fontId="48" fillId="0" borderId="1" xfId="7" applyFont="1" applyBorder="1" applyAlignment="1">
      <alignment horizontal="center" vertical="center"/>
    </xf>
    <xf numFmtId="0" fontId="48" fillId="0" borderId="47" xfId="7" applyFont="1" applyBorder="1" applyAlignment="1">
      <alignment horizontal="center" vertical="center"/>
    </xf>
    <xf numFmtId="0" fontId="48" fillId="0" borderId="49" xfId="7" applyFont="1" applyBorder="1" applyAlignment="1">
      <alignment horizontal="center" vertical="center"/>
    </xf>
    <xf numFmtId="1" fontId="48" fillId="0" borderId="0" xfId="7" applyNumberFormat="1" applyFont="1" applyAlignment="1">
      <alignment horizontal="left" vertical="center" wrapText="1"/>
    </xf>
    <xf numFmtId="0" fontId="46" fillId="0" borderId="5" xfId="7" applyFont="1" applyBorder="1" applyAlignment="1">
      <alignment horizontal="left" vertical="center" wrapText="1" shrinkToFit="1"/>
    </xf>
    <xf numFmtId="0" fontId="46" fillId="0" borderId="53" xfId="7" applyFont="1" applyBorder="1" applyAlignment="1">
      <alignment horizontal="left" vertical="center" wrapText="1" shrinkToFit="1"/>
    </xf>
    <xf numFmtId="167" fontId="9" fillId="0" borderId="1" xfId="2" applyNumberFormat="1" applyFont="1" applyBorder="1" applyAlignment="1">
      <alignment horizontal="center" wrapText="1"/>
    </xf>
    <xf numFmtId="167" fontId="9" fillId="0" borderId="1" xfId="2" applyNumberFormat="1" applyFont="1" applyBorder="1" applyAlignment="1">
      <alignment horizontal="center" vertical="center" wrapText="1"/>
    </xf>
    <xf numFmtId="167" fontId="9" fillId="0" borderId="2" xfId="2" applyNumberFormat="1" applyFont="1" applyBorder="1" applyAlignment="1">
      <alignment vertical="center" wrapText="1"/>
    </xf>
    <xf numFmtId="167" fontId="9" fillId="0" borderId="5" xfId="2" applyNumberFormat="1" applyFont="1" applyBorder="1" applyAlignment="1">
      <alignment vertical="center" wrapText="1"/>
    </xf>
    <xf numFmtId="0" fontId="48" fillId="0" borderId="3" xfId="7" applyFont="1" applyBorder="1" applyAlignment="1">
      <alignment horizontal="center" vertical="center"/>
    </xf>
    <xf numFmtId="0" fontId="48" fillId="0" borderId="20" xfId="7" applyFont="1" applyBorder="1" applyAlignment="1">
      <alignment horizontal="center" vertical="center"/>
    </xf>
    <xf numFmtId="0" fontId="34" fillId="0" borderId="26" xfId="7" applyFont="1" applyBorder="1" applyAlignment="1">
      <alignment horizontal="center" vertical="center"/>
    </xf>
    <xf numFmtId="0" fontId="34" fillId="0" borderId="24" xfId="7" applyFont="1" applyBorder="1" applyAlignment="1">
      <alignment horizontal="center" vertical="center"/>
    </xf>
    <xf numFmtId="0" fontId="33" fillId="6" borderId="13" xfId="7" applyFont="1" applyFill="1" applyBorder="1" applyAlignment="1">
      <alignment horizontal="center" vertical="center"/>
    </xf>
    <xf numFmtId="0" fontId="33" fillId="6" borderId="25" xfId="7" applyFont="1" applyFill="1" applyBorder="1" applyAlignment="1">
      <alignment horizontal="center" vertical="center"/>
    </xf>
    <xf numFmtId="0" fontId="33" fillId="0" borderId="14" xfId="7" applyFont="1" applyBorder="1" applyAlignment="1">
      <alignment horizontal="center" vertical="center"/>
    </xf>
    <xf numFmtId="0" fontId="33" fillId="0" borderId="15" xfId="7" applyFont="1" applyBorder="1" applyAlignment="1">
      <alignment horizontal="center" vertical="center"/>
    </xf>
    <xf numFmtId="0" fontId="33" fillId="0" borderId="26" xfId="7" applyFont="1" applyBorder="1" applyAlignment="1">
      <alignment horizontal="center" vertical="center"/>
    </xf>
    <xf numFmtId="0" fontId="33" fillId="0" borderId="24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30" fillId="6" borderId="14" xfId="7" applyFont="1" applyFill="1" applyBorder="1" applyAlignment="1">
      <alignment horizontal="center" vertical="center"/>
    </xf>
    <xf numFmtId="0" fontId="30" fillId="6" borderId="15" xfId="7" applyFont="1" applyFill="1" applyBorder="1" applyAlignment="1">
      <alignment horizontal="center" vertical="center"/>
    </xf>
    <xf numFmtId="0" fontId="32" fillId="6" borderId="18" xfId="7" applyFont="1" applyFill="1" applyBorder="1" applyAlignment="1">
      <alignment horizontal="center" vertical="center"/>
    </xf>
    <xf numFmtId="0" fontId="32" fillId="6" borderId="19" xfId="7" applyFont="1" applyFill="1" applyBorder="1" applyAlignment="1">
      <alignment horizontal="center" vertical="center"/>
    </xf>
    <xf numFmtId="0" fontId="32" fillId="6" borderId="20" xfId="7" applyFont="1" applyFill="1" applyBorder="1" applyAlignment="1">
      <alignment horizontal="center" vertical="center"/>
    </xf>
    <xf numFmtId="0" fontId="32" fillId="6" borderId="21" xfId="7" applyFont="1" applyFill="1" applyBorder="1" applyAlignment="1">
      <alignment horizontal="center" vertical="center"/>
    </xf>
    <xf numFmtId="0" fontId="32" fillId="6" borderId="22" xfId="7" applyFont="1" applyFill="1" applyBorder="1" applyAlignment="1">
      <alignment horizontal="center" vertical="center"/>
    </xf>
    <xf numFmtId="0" fontId="32" fillId="6" borderId="23" xfId="7" applyFont="1" applyFill="1" applyBorder="1" applyAlignment="1">
      <alignment horizontal="center" vertical="center"/>
    </xf>
    <xf numFmtId="0" fontId="34" fillId="0" borderId="14" xfId="7" applyFont="1" applyBorder="1" applyAlignment="1">
      <alignment horizontal="center" vertical="center"/>
    </xf>
    <xf numFmtId="0" fontId="34" fillId="0" borderId="15" xfId="7" applyFont="1" applyBorder="1" applyAlignment="1">
      <alignment horizontal="center" vertical="center"/>
    </xf>
    <xf numFmtId="0" fontId="34" fillId="0" borderId="1" xfId="7" applyFont="1" applyBorder="1" applyAlignment="1">
      <alignment horizontal="center" vertical="center"/>
    </xf>
    <xf numFmtId="0" fontId="34" fillId="0" borderId="17" xfId="7" applyFont="1" applyBorder="1" applyAlignment="1">
      <alignment horizontal="center" vertical="center"/>
    </xf>
    <xf numFmtId="0" fontId="34" fillId="0" borderId="85" xfId="7" applyFont="1" applyBorder="1" applyAlignment="1">
      <alignment horizontal="center" vertical="center"/>
    </xf>
    <xf numFmtId="0" fontId="34" fillId="0" borderId="86" xfId="7" applyFont="1" applyBorder="1" applyAlignment="1">
      <alignment horizontal="center" vertical="center"/>
    </xf>
    <xf numFmtId="0" fontId="34" fillId="0" borderId="87" xfId="7" applyFont="1" applyBorder="1" applyAlignment="1">
      <alignment horizontal="center" vertical="center"/>
    </xf>
    <xf numFmtId="0" fontId="41" fillId="8" borderId="10" xfId="0" applyFont="1" applyFill="1" applyBorder="1" applyAlignment="1">
      <alignment horizontal="center"/>
    </xf>
    <xf numFmtId="0" fontId="41" fillId="8" borderId="0" xfId="0" applyFont="1" applyFill="1" applyAlignment="1">
      <alignment horizontal="center"/>
    </xf>
    <xf numFmtId="0" fontId="41" fillId="0" borderId="120" xfId="0" applyFont="1" applyBorder="1" applyAlignment="1">
      <alignment horizontal="left"/>
    </xf>
    <xf numFmtId="0" fontId="41" fillId="0" borderId="31" xfId="0" applyFont="1" applyBorder="1" applyAlignment="1">
      <alignment horizontal="left"/>
    </xf>
    <xf numFmtId="0" fontId="41" fillId="0" borderId="0" xfId="0" applyFont="1" applyAlignment="1">
      <alignment horizontal="left"/>
    </xf>
    <xf numFmtId="0" fontId="42" fillId="0" borderId="116" xfId="0" applyFont="1" applyBorder="1" applyAlignment="1">
      <alignment horizontal="center" vertical="center"/>
    </xf>
    <xf numFmtId="0" fontId="42" fillId="0" borderId="117" xfId="0" applyFont="1" applyBorder="1" applyAlignment="1">
      <alignment horizontal="center" vertical="center"/>
    </xf>
    <xf numFmtId="0" fontId="41" fillId="0" borderId="122" xfId="0" applyFont="1" applyBorder="1" applyAlignment="1">
      <alignment horizontal="left"/>
    </xf>
    <xf numFmtId="0" fontId="41" fillId="0" borderId="37" xfId="0" applyFont="1" applyBorder="1" applyAlignment="1">
      <alignment horizontal="left"/>
    </xf>
    <xf numFmtId="0" fontId="41" fillId="0" borderId="123" xfId="0" applyFont="1" applyBorder="1" applyAlignment="1">
      <alignment horizontal="left"/>
    </xf>
    <xf numFmtId="0" fontId="41" fillId="0" borderId="124" xfId="0" applyFont="1" applyBorder="1" applyAlignment="1">
      <alignment horizontal="left"/>
    </xf>
    <xf numFmtId="0" fontId="100" fillId="0" borderId="33" xfId="0" applyFont="1" applyBorder="1" applyAlignment="1">
      <alignment horizontal="left"/>
    </xf>
    <xf numFmtId="0" fontId="100" fillId="0" borderId="34" xfId="0" applyFont="1" applyBorder="1" applyAlignment="1">
      <alignment horizontal="left"/>
    </xf>
    <xf numFmtId="0" fontId="99" fillId="0" borderId="27" xfId="0" applyFont="1" applyBorder="1" applyAlignment="1">
      <alignment horizontal="center" vertical="center"/>
    </xf>
    <xf numFmtId="0" fontId="99" fillId="0" borderId="28" xfId="0" applyFont="1" applyBorder="1" applyAlignment="1">
      <alignment horizontal="center" vertical="center"/>
    </xf>
    <xf numFmtId="0" fontId="100" fillId="0" borderId="30" xfId="0" applyFont="1" applyBorder="1" applyAlignment="1">
      <alignment horizontal="left"/>
    </xf>
    <xf numFmtId="0" fontId="100" fillId="0" borderId="31" xfId="0" applyFont="1" applyBorder="1" applyAlignment="1">
      <alignment horizontal="left"/>
    </xf>
    <xf numFmtId="0" fontId="100" fillId="0" borderId="36" xfId="0" applyFont="1" applyBorder="1" applyAlignment="1">
      <alignment horizontal="left"/>
    </xf>
    <xf numFmtId="0" fontId="100" fillId="0" borderId="37" xfId="0" applyFont="1" applyBorder="1" applyAlignment="1">
      <alignment horizontal="left"/>
    </xf>
    <xf numFmtId="0" fontId="77" fillId="0" borderId="68" xfId="0" applyFont="1" applyBorder="1" applyAlignment="1">
      <alignment horizontal="center" vertical="center" wrapText="1"/>
    </xf>
    <xf numFmtId="0" fontId="77" fillId="0" borderId="69" xfId="0" applyFont="1" applyBorder="1" applyAlignment="1">
      <alignment horizontal="center" vertical="center" wrapText="1"/>
    </xf>
    <xf numFmtId="0" fontId="77" fillId="0" borderId="70" xfId="0" applyFont="1" applyBorder="1" applyAlignment="1">
      <alignment horizontal="center" vertical="center" wrapText="1"/>
    </xf>
    <xf numFmtId="0" fontId="77" fillId="0" borderId="60" xfId="0" applyFont="1" applyBorder="1" applyAlignment="1">
      <alignment horizontal="center" vertical="center" wrapText="1"/>
    </xf>
    <xf numFmtId="0" fontId="77" fillId="0" borderId="0" xfId="0" applyFont="1" applyAlignment="1">
      <alignment horizontal="center" vertical="center" wrapText="1"/>
    </xf>
    <xf numFmtId="0" fontId="77" fillId="0" borderId="61" xfId="0" applyFont="1" applyBorder="1" applyAlignment="1">
      <alignment horizontal="center" vertical="center" wrapText="1"/>
    </xf>
    <xf numFmtId="0" fontId="77" fillId="0" borderId="62" xfId="0" applyFont="1" applyBorder="1" applyAlignment="1">
      <alignment horizontal="center" vertical="center" wrapText="1"/>
    </xf>
    <xf numFmtId="0" fontId="77" fillId="0" borderId="63" xfId="0" applyFont="1" applyBorder="1" applyAlignment="1">
      <alignment horizontal="center" vertical="center" wrapText="1"/>
    </xf>
    <xf numFmtId="0" fontId="77" fillId="0" borderId="64" xfId="0" applyFont="1" applyBorder="1" applyAlignment="1">
      <alignment horizontal="center" vertical="center" wrapText="1"/>
    </xf>
    <xf numFmtId="0" fontId="87" fillId="0" borderId="0" xfId="0" applyFont="1" applyAlignment="1">
      <alignment horizontal="center"/>
    </xf>
    <xf numFmtId="0" fontId="138" fillId="0" borderId="165" xfId="0" applyFont="1" applyBorder="1" applyAlignment="1">
      <alignment horizontal="center" vertical="center" wrapText="1"/>
    </xf>
    <xf numFmtId="0" fontId="138" fillId="0" borderId="166" xfId="0" applyFont="1" applyBorder="1" applyAlignment="1">
      <alignment horizontal="center" vertical="center" wrapText="1"/>
    </xf>
    <xf numFmtId="0" fontId="138" fillId="0" borderId="167" xfId="0" applyFont="1" applyBorder="1" applyAlignment="1">
      <alignment horizontal="center" vertical="center" wrapText="1"/>
    </xf>
    <xf numFmtId="0" fontId="138" fillId="0" borderId="168" xfId="0" applyFont="1" applyBorder="1" applyAlignment="1">
      <alignment horizontal="center" vertical="center" wrapText="1"/>
    </xf>
    <xf numFmtId="0" fontId="138" fillId="0" borderId="169" xfId="0" applyFont="1" applyBorder="1" applyAlignment="1">
      <alignment horizontal="center" vertical="center" wrapText="1"/>
    </xf>
    <xf numFmtId="0" fontId="138" fillId="42" borderId="162" xfId="0" applyFont="1" applyFill="1" applyBorder="1" applyAlignment="1">
      <alignment horizontal="center" vertical="center" wrapText="1"/>
    </xf>
    <xf numFmtId="0" fontId="138" fillId="42" borderId="163" xfId="0" applyFont="1" applyFill="1" applyBorder="1" applyAlignment="1">
      <alignment horizontal="center" vertical="center" wrapText="1"/>
    </xf>
    <xf numFmtId="0" fontId="138" fillId="42" borderId="164" xfId="0" applyFont="1" applyFill="1" applyBorder="1" applyAlignment="1">
      <alignment horizontal="center" vertical="center" wrapText="1"/>
    </xf>
    <xf numFmtId="0" fontId="139" fillId="33" borderId="10" xfId="0" applyFont="1" applyFill="1" applyBorder="1" applyAlignment="1">
      <alignment horizontal="center" vertical="center" wrapText="1"/>
    </xf>
    <xf numFmtId="0" fontId="139" fillId="33" borderId="0" xfId="0" applyFont="1" applyFill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6" fillId="8" borderId="100" xfId="0" applyFont="1" applyFill="1" applyBorder="1" applyAlignment="1">
      <alignment horizontal="center" vertical="center"/>
    </xf>
    <xf numFmtId="0" fontId="136" fillId="8" borderId="101" xfId="0" applyFont="1" applyFill="1" applyBorder="1" applyAlignment="1">
      <alignment horizontal="center" vertical="center"/>
    </xf>
    <xf numFmtId="0" fontId="136" fillId="8" borderId="102" xfId="0" applyFont="1" applyFill="1" applyBorder="1" applyAlignment="1">
      <alignment horizontal="center" vertical="center"/>
    </xf>
    <xf numFmtId="0" fontId="138" fillId="0" borderId="161" xfId="0" applyFont="1" applyBorder="1" applyAlignment="1">
      <alignment horizontal="center" vertical="center"/>
    </xf>
  </cellXfs>
  <cellStyles count="19">
    <cellStyle name="Comma 2" xfId="3" xr:uid="{00000000-0005-0000-0000-000001000000}"/>
    <cellStyle name="Comma 2 2" xfId="18" xr:uid="{77B9BAE0-5CEC-4393-8A7B-B3E0838A5065}"/>
    <cellStyle name="Dziesiêtny [0]_laroux" xfId="4" xr:uid="{00000000-0005-0000-0000-000002000000}"/>
    <cellStyle name="Dziesiêtny_laroux" xfId="5" xr:uid="{00000000-0005-0000-0000-000003000000}"/>
    <cellStyle name="Good 2" xfId="6" xr:uid="{00000000-0005-0000-0000-000004000000}"/>
    <cellStyle name="Hyperlink" xfId="14" builtinId="8"/>
    <cellStyle name="Normal" xfId="0" builtinId="0"/>
    <cellStyle name="Normal 2" xfId="7" xr:uid="{00000000-0005-0000-0000-000007000000}"/>
    <cellStyle name="Normal 3" xfId="17" xr:uid="{00000000-0005-0000-0000-000008000000}"/>
    <cellStyle name="Normal_BH Extract input 2007" xfId="2" xr:uid="{00000000-0005-0000-0000-000009000000}"/>
    <cellStyle name="Normal_Master Extract Calc " xfId="16" xr:uid="{00000000-0005-0000-0000-00000A000000}"/>
    <cellStyle name="Normal_Sheet1" xfId="15" xr:uid="{00000000-0005-0000-0000-00000B000000}"/>
    <cellStyle name="normální_laroux" xfId="8" xr:uid="{00000000-0005-0000-0000-00000C000000}"/>
    <cellStyle name="Normalny_laroux" xfId="9" xr:uid="{00000000-0005-0000-0000-00000D000000}"/>
    <cellStyle name="Percent" xfId="1" builtinId="5"/>
    <cellStyle name="Percent 2" xfId="10" xr:uid="{00000000-0005-0000-0000-00000F000000}"/>
    <cellStyle name="Style 1" xfId="11" xr:uid="{00000000-0005-0000-0000-000010000000}"/>
    <cellStyle name="Walutowy [0]_laroux" xfId="12" xr:uid="{00000000-0005-0000-0000-000011000000}"/>
    <cellStyle name="Walutowy_laroux" xfId="13" xr:uid="{00000000-0005-0000-0000-000012000000}"/>
  </cellStyles>
  <dxfs count="208"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</dxf>
    <dxf>
      <font>
        <b/>
        <i val="0"/>
        <color rgb="FF00A249"/>
      </font>
    </dxf>
    <dxf>
      <font>
        <b/>
        <i val="0"/>
        <color rgb="FFFF5757"/>
      </font>
    </dxf>
    <dxf>
      <font>
        <color theme="0" tint="-0.3499862666707357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i val="0"/>
        <color rgb="FFFF5757"/>
      </font>
    </dxf>
    <dxf>
      <font>
        <b/>
        <i val="0"/>
        <color rgb="FF00A249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</dxf>
    <dxf>
      <font>
        <b/>
        <i val="0"/>
        <color rgb="FF00A249"/>
      </font>
    </dxf>
    <dxf>
      <font>
        <b/>
        <i val="0"/>
        <color rgb="FFFF5757"/>
      </font>
    </dxf>
    <dxf>
      <font>
        <color theme="0" tint="-0.3499862666707357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i val="0"/>
        <color rgb="FFFF5757"/>
      </font>
    </dxf>
    <dxf>
      <font>
        <b/>
        <i val="0"/>
        <color rgb="FF00A249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</dxf>
    <dxf>
      <font>
        <b/>
        <i val="0"/>
        <color rgb="FF00A249"/>
      </font>
    </dxf>
    <dxf>
      <font>
        <b/>
        <i val="0"/>
        <color rgb="FFFF5757"/>
      </font>
    </dxf>
    <dxf>
      <font>
        <color theme="0" tint="-0.3499862666707357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i val="0"/>
        <color rgb="FFFF5757"/>
      </font>
    </dxf>
    <dxf>
      <font>
        <b/>
        <i val="0"/>
        <color rgb="FF00A249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</dxf>
    <dxf>
      <font>
        <b/>
        <i val="0"/>
        <color rgb="FF00A249"/>
      </font>
    </dxf>
    <dxf>
      <font>
        <b/>
        <i val="0"/>
        <color rgb="FFFF5757"/>
      </font>
    </dxf>
    <dxf>
      <font>
        <color theme="0" tint="-0.3499862666707357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i val="0"/>
        <color rgb="FFFF5757"/>
      </font>
    </dxf>
    <dxf>
      <font>
        <b/>
        <i val="0"/>
        <color rgb="FF00A249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</dxf>
    <dxf>
      <font>
        <b/>
        <i val="0"/>
        <color rgb="FF00A249"/>
      </font>
    </dxf>
    <dxf>
      <font>
        <b/>
        <i val="0"/>
        <color rgb="FFFF5757"/>
      </font>
    </dxf>
    <dxf>
      <font>
        <color theme="0" tint="-0.3499862666707357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i val="0"/>
        <color rgb="FFFF5757"/>
      </font>
    </dxf>
    <dxf>
      <font>
        <b/>
        <i val="0"/>
        <color rgb="FF00A249"/>
      </font>
    </dxf>
    <dxf>
      <font>
        <color theme="0" tint="-0.24994659260841701"/>
      </font>
    </dxf>
    <dxf>
      <font>
        <color theme="0" tint="-0.34998626667073579"/>
      </font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theme="0" tint="-0.3499862666707357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</dxf>
    <dxf>
      <font>
        <b/>
        <i val="0"/>
        <color rgb="FF00A249"/>
      </font>
    </dxf>
    <dxf>
      <font>
        <b/>
        <i val="0"/>
        <color rgb="FFFF5757"/>
      </font>
    </dxf>
    <dxf>
      <font>
        <b/>
        <i val="0"/>
        <color rgb="FFFF5757"/>
      </font>
      <fill>
        <patternFill patternType="none">
          <bgColor auto="1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rgb="FF00A249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i val="0"/>
        <color rgb="FFFF5757"/>
      </font>
    </dxf>
    <dxf>
      <font>
        <b/>
        <i val="0"/>
        <color rgb="FF00A249"/>
      </font>
    </dxf>
    <dxf>
      <font>
        <color theme="0" tint="-0.24994659260841701"/>
      </font>
    </dxf>
    <dxf>
      <font>
        <color theme="0" tint="-0.34998626667073579"/>
      </font>
    </dxf>
  </dxfs>
  <tableStyles count="0" defaultTableStyle="TableStyleMedium2" defaultPivotStyle="PivotStyleLight16"/>
  <colors>
    <mruColors>
      <color rgb="FFFF5757"/>
      <color rgb="FF00A2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/>
                </a:solidFill>
              </a:rPr>
              <a:t>Mashing Diagram - Budweiser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Diagram!$A$5</c:f>
              <c:strCache>
                <c:ptCount val="1"/>
                <c:pt idx="0">
                  <c:v>Rice cooker, oC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Diagram!$B$4:$P$4</c:f>
              <c:numCache>
                <c:formatCode>General</c:formatCode>
                <c:ptCount val="15"/>
                <c:pt idx="0">
                  <c:v>0</c:v>
                </c:pt>
                <c:pt idx="1">
                  <c:v>13</c:v>
                </c:pt>
                <c:pt idx="2">
                  <c:v>15</c:v>
                </c:pt>
                <c:pt idx="3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  <c:pt idx="12" formatCode="0">
                  <c:v>0</c:v>
                </c:pt>
                <c:pt idx="13" formatCode="0">
                  <c:v>0</c:v>
                </c:pt>
                <c:pt idx="14" formatCode="0">
                  <c:v>0</c:v>
                </c:pt>
              </c:numCache>
            </c:numRef>
          </c:cat>
          <c:val>
            <c:numRef>
              <c:f>Diagram!$B$5:$P$5</c:f>
              <c:numCache>
                <c:formatCode>General</c:formatCode>
                <c:ptCount val="15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80</c:v>
                </c:pt>
                <c:pt idx="6">
                  <c:v>80</c:v>
                </c:pt>
                <c:pt idx="7">
                  <c:v>0</c:v>
                </c:pt>
                <c:pt idx="9">
                  <c:v>100</c:v>
                </c:pt>
                <c:pt idx="10">
                  <c:v>100</c:v>
                </c:pt>
                <c:pt idx="11">
                  <c:v>65.5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69-4E91-960A-60612FBB2B0F}"/>
            </c:ext>
          </c:extLst>
        </c:ser>
        <c:ser>
          <c:idx val="2"/>
          <c:order val="1"/>
          <c:tx>
            <c:strRef>
              <c:f>Diagram!$A$6</c:f>
              <c:strCache>
                <c:ptCount val="1"/>
                <c:pt idx="0">
                  <c:v>Mash tun, oC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Diagram!$B$4:$P$4</c:f>
              <c:numCache>
                <c:formatCode>General</c:formatCode>
                <c:ptCount val="15"/>
                <c:pt idx="0">
                  <c:v>0</c:v>
                </c:pt>
                <c:pt idx="1">
                  <c:v>13</c:v>
                </c:pt>
                <c:pt idx="2">
                  <c:v>15</c:v>
                </c:pt>
                <c:pt idx="3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  <c:pt idx="12" formatCode="0">
                  <c:v>0</c:v>
                </c:pt>
                <c:pt idx="13" formatCode="0">
                  <c:v>0</c:v>
                </c:pt>
                <c:pt idx="14" formatCode="0">
                  <c:v>0</c:v>
                </c:pt>
              </c:numCache>
            </c:numRef>
          </c:cat>
          <c:val>
            <c:numRef>
              <c:f>Diagram!$B$6:$P$6</c:f>
              <c:numCache>
                <c:formatCode>General</c:formatCode>
                <c:ptCount val="15"/>
                <c:pt idx="1">
                  <c:v>44</c:v>
                </c:pt>
                <c:pt idx="2">
                  <c:v>44</c:v>
                </c:pt>
                <c:pt idx="3">
                  <c:v>44</c:v>
                </c:pt>
                <c:pt idx="6">
                  <c:v>44</c:v>
                </c:pt>
                <c:pt idx="7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65.5</c:v>
                </c:pt>
                <c:pt idx="12">
                  <c:v>65.5</c:v>
                </c:pt>
                <c:pt idx="13">
                  <c:v>76</c:v>
                </c:pt>
                <c:pt idx="1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69-4E91-960A-60612FBB2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801200"/>
        <c:axId val="350387632"/>
      </c:lineChart>
      <c:dateAx>
        <c:axId val="351801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Time, min</a:t>
                </a:r>
              </a:p>
            </c:rich>
          </c:tx>
          <c:layout>
            <c:manualLayout>
              <c:xMode val="edge"/>
              <c:yMode val="edge"/>
              <c:x val="0.91364714712995387"/>
              <c:y val="0.844189976252968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87632"/>
        <c:crosses val="autoZero"/>
        <c:auto val="0"/>
        <c:lblOffset val="100"/>
        <c:baseTimeUnit val="days"/>
        <c:majorUnit val="5"/>
        <c:majorTimeUnit val="days"/>
      </c:dateAx>
      <c:valAx>
        <c:axId val="35038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Temperature,</a:t>
                </a:r>
                <a:r>
                  <a:rPr lang="en-US" b="1" baseline="0"/>
                  <a:t> oC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1.470588046087689E-2"/>
              <c:y val="0.114351706036745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80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183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/>
                </a:solidFill>
              </a:rPr>
              <a:t>Lauter Tun</a:t>
            </a:r>
            <a:r>
              <a:rPr lang="en-US" b="1" baseline="0">
                <a:solidFill>
                  <a:schemeClr val="tx2"/>
                </a:solidFill>
              </a:rPr>
              <a:t> &amp; Wort Kettle Diagram</a:t>
            </a:r>
            <a:endParaRPr lang="en-US" b="1">
              <a:solidFill>
                <a:schemeClr val="tx2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Diagram!$A$32</c:f>
              <c:strCache>
                <c:ptCount val="1"/>
                <c:pt idx="0">
                  <c:v>Lauter tun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Diagram!$B$31:$M$31</c:f>
              <c:numCache>
                <c:formatCode>0</c:formatCode>
                <c:ptCount val="12"/>
                <c:pt idx="0" formatCode="General">
                  <c:v>113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Diagram!$B$32:$M$32</c:f>
              <c:numCache>
                <c:formatCode>General</c:formatCode>
                <c:ptCount val="12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52-40EE-ABF6-DA46AE0C2CA7}"/>
            </c:ext>
          </c:extLst>
        </c:ser>
        <c:ser>
          <c:idx val="2"/>
          <c:order val="1"/>
          <c:tx>
            <c:strRef>
              <c:f>Diagram!$A$33</c:f>
              <c:strCache>
                <c:ptCount val="1"/>
                <c:pt idx="0">
                  <c:v>Wort kettle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Diagram!$B$31:$M$31</c:f>
              <c:numCache>
                <c:formatCode>0</c:formatCode>
                <c:ptCount val="12"/>
                <c:pt idx="0" formatCode="General">
                  <c:v>113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Diagram!$B$33:$M$33</c:f>
              <c:numCache>
                <c:formatCode>General</c:formatCode>
                <c:ptCount val="12"/>
                <c:pt idx="4">
                  <c:v>75</c:v>
                </c:pt>
                <c:pt idx="5">
                  <c:v>98.1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52-40EE-ABF6-DA46AE0C2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05264"/>
        <c:axId val="350305648"/>
      </c:lineChart>
      <c:dateAx>
        <c:axId val="350305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Time,</a:t>
                </a:r>
                <a:r>
                  <a:rPr lang="en-US" b="1" baseline="0"/>
                  <a:t> min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1149225995488214"/>
              <c:y val="0.847907784919153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05648"/>
        <c:crosses val="autoZero"/>
        <c:auto val="0"/>
        <c:lblOffset val="100"/>
        <c:baseTimeUnit val="days"/>
        <c:majorUnit val="10"/>
        <c:majorTimeUnit val="days"/>
      </c:dateAx>
      <c:valAx>
        <c:axId val="35030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Temperature,</a:t>
                </a:r>
                <a:r>
                  <a:rPr lang="en-US" b="1" baseline="0"/>
                  <a:t> oC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1.4635931211123308E-2"/>
              <c:y val="0.1125608624913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0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/>
                </a:solidFill>
              </a:rPr>
              <a:t>Mashing Diagram - Budweiser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Diagram!$A$5</c:f>
              <c:strCache>
                <c:ptCount val="1"/>
                <c:pt idx="0">
                  <c:v>Rice cooker, oC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Diagram!$B$4:$P$4</c:f>
              <c:numCache>
                <c:formatCode>General</c:formatCode>
                <c:ptCount val="15"/>
                <c:pt idx="0">
                  <c:v>0</c:v>
                </c:pt>
                <c:pt idx="1">
                  <c:v>13</c:v>
                </c:pt>
                <c:pt idx="2">
                  <c:v>15</c:v>
                </c:pt>
                <c:pt idx="3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  <c:pt idx="12" formatCode="0">
                  <c:v>0</c:v>
                </c:pt>
                <c:pt idx="13" formatCode="0">
                  <c:v>0</c:v>
                </c:pt>
                <c:pt idx="14" formatCode="0">
                  <c:v>0</c:v>
                </c:pt>
              </c:numCache>
            </c:numRef>
          </c:cat>
          <c:val>
            <c:numRef>
              <c:f>Diagram!$B$5:$P$5</c:f>
              <c:numCache>
                <c:formatCode>General</c:formatCode>
                <c:ptCount val="15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80</c:v>
                </c:pt>
                <c:pt idx="6">
                  <c:v>80</c:v>
                </c:pt>
                <c:pt idx="7">
                  <c:v>0</c:v>
                </c:pt>
                <c:pt idx="9">
                  <c:v>100</c:v>
                </c:pt>
                <c:pt idx="10">
                  <c:v>100</c:v>
                </c:pt>
                <c:pt idx="11">
                  <c:v>65.5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40-4801-94E5-2F2D0215D4DC}"/>
            </c:ext>
          </c:extLst>
        </c:ser>
        <c:ser>
          <c:idx val="2"/>
          <c:order val="1"/>
          <c:tx>
            <c:strRef>
              <c:f>Diagram!$A$6</c:f>
              <c:strCache>
                <c:ptCount val="1"/>
                <c:pt idx="0">
                  <c:v>Mash tun, oC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Diagram!$B$4:$P$4</c:f>
              <c:numCache>
                <c:formatCode>General</c:formatCode>
                <c:ptCount val="15"/>
                <c:pt idx="0">
                  <c:v>0</c:v>
                </c:pt>
                <c:pt idx="1">
                  <c:v>13</c:v>
                </c:pt>
                <c:pt idx="2">
                  <c:v>15</c:v>
                </c:pt>
                <c:pt idx="3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  <c:pt idx="12" formatCode="0">
                  <c:v>0</c:v>
                </c:pt>
                <c:pt idx="13" formatCode="0">
                  <c:v>0</c:v>
                </c:pt>
                <c:pt idx="14" formatCode="0">
                  <c:v>0</c:v>
                </c:pt>
              </c:numCache>
            </c:numRef>
          </c:cat>
          <c:val>
            <c:numRef>
              <c:f>Diagram!$B$6:$P$6</c:f>
              <c:numCache>
                <c:formatCode>General</c:formatCode>
                <c:ptCount val="15"/>
                <c:pt idx="1">
                  <c:v>44</c:v>
                </c:pt>
                <c:pt idx="2">
                  <c:v>44</c:v>
                </c:pt>
                <c:pt idx="3">
                  <c:v>44</c:v>
                </c:pt>
                <c:pt idx="6">
                  <c:v>44</c:v>
                </c:pt>
                <c:pt idx="7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65.5</c:v>
                </c:pt>
                <c:pt idx="12">
                  <c:v>65.5</c:v>
                </c:pt>
                <c:pt idx="13">
                  <c:v>76</c:v>
                </c:pt>
                <c:pt idx="1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40-4801-94E5-2F2D0215D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829096"/>
        <c:axId val="351829480"/>
      </c:lineChart>
      <c:dateAx>
        <c:axId val="351829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Time, min</a:t>
                </a:r>
              </a:p>
            </c:rich>
          </c:tx>
          <c:layout>
            <c:manualLayout>
              <c:xMode val="edge"/>
              <c:yMode val="edge"/>
              <c:x val="0.91364714712995387"/>
              <c:y val="0.844189976252968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829480"/>
        <c:crosses val="autoZero"/>
        <c:auto val="0"/>
        <c:lblOffset val="100"/>
        <c:baseTimeUnit val="days"/>
        <c:majorUnit val="5"/>
        <c:majorTimeUnit val="days"/>
      </c:dateAx>
      <c:valAx>
        <c:axId val="35182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Temperature,</a:t>
                </a:r>
                <a:r>
                  <a:rPr lang="en-US" b="1" baseline="0"/>
                  <a:t> oC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1.470588046087689E-2"/>
              <c:y val="0.114351706036745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829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183" orientation="landscape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/>
                </a:solidFill>
              </a:rPr>
              <a:t>Lauter Tun</a:t>
            </a:r>
            <a:r>
              <a:rPr lang="en-US" b="1" baseline="0">
                <a:solidFill>
                  <a:schemeClr val="tx2"/>
                </a:solidFill>
              </a:rPr>
              <a:t> &amp; Wort Kettle Diagram</a:t>
            </a:r>
            <a:endParaRPr lang="en-US" b="1">
              <a:solidFill>
                <a:schemeClr val="tx2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Diagram!$A$32</c:f>
              <c:strCache>
                <c:ptCount val="1"/>
                <c:pt idx="0">
                  <c:v>Lauter tun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Diagram!$B$31:$M$31</c:f>
              <c:numCache>
                <c:formatCode>0</c:formatCode>
                <c:ptCount val="12"/>
                <c:pt idx="0" formatCode="General">
                  <c:v>113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Diagram!$B$32:$M$32</c:f>
              <c:numCache>
                <c:formatCode>General</c:formatCode>
                <c:ptCount val="12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BF-4F16-B746-247A52754326}"/>
            </c:ext>
          </c:extLst>
        </c:ser>
        <c:ser>
          <c:idx val="2"/>
          <c:order val="1"/>
          <c:tx>
            <c:strRef>
              <c:f>Diagram!$A$33</c:f>
              <c:strCache>
                <c:ptCount val="1"/>
                <c:pt idx="0">
                  <c:v>Wort kettle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Diagram!$B$31:$M$31</c:f>
              <c:numCache>
                <c:formatCode>0</c:formatCode>
                <c:ptCount val="12"/>
                <c:pt idx="0" formatCode="General">
                  <c:v>113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Diagram!$B$33:$M$33</c:f>
              <c:numCache>
                <c:formatCode>General</c:formatCode>
                <c:ptCount val="12"/>
                <c:pt idx="4">
                  <c:v>75</c:v>
                </c:pt>
                <c:pt idx="5">
                  <c:v>98.1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BF-4F16-B746-247A52754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57344"/>
        <c:axId val="350157728"/>
      </c:lineChart>
      <c:dateAx>
        <c:axId val="35015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Time,</a:t>
                </a:r>
                <a:r>
                  <a:rPr lang="en-US" b="1" baseline="0"/>
                  <a:t> min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1149225995488214"/>
              <c:y val="0.847907784919153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57728"/>
        <c:crosses val="autoZero"/>
        <c:auto val="0"/>
        <c:lblOffset val="100"/>
        <c:baseTimeUnit val="days"/>
        <c:majorUnit val="10"/>
        <c:majorTimeUnit val="days"/>
      </c:dateAx>
      <c:valAx>
        <c:axId val="35015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Temperature,</a:t>
                </a:r>
                <a:r>
                  <a:rPr lang="en-US" b="1" baseline="0"/>
                  <a:t> oC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1.4635931211123308E-2"/>
              <c:y val="0.1125608624913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5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checked="Checked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checked="Checked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checked="Checked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0</xdr:row>
      <xdr:rowOff>247650</xdr:rowOff>
    </xdr:from>
    <xdr:to>
      <xdr:col>4</xdr:col>
      <xdr:colOff>1371600</xdr:colOff>
      <xdr:row>1</xdr:row>
      <xdr:rowOff>142875</xdr:rowOff>
    </xdr:to>
    <xdr:pic>
      <xdr:nvPicPr>
        <xdr:cNvPr id="2" name="Picture 4" descr="cid:image002.gif@01D22DFE.357E2BD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1600" y="247650"/>
          <a:ext cx="1143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62387</xdr:colOff>
      <xdr:row>0</xdr:row>
      <xdr:rowOff>95249</xdr:rowOff>
    </xdr:from>
    <xdr:to>
      <xdr:col>2</xdr:col>
      <xdr:colOff>1090933</xdr:colOff>
      <xdr:row>0</xdr:row>
      <xdr:rowOff>409574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182"/>
        <a:stretch/>
      </xdr:blipFill>
      <xdr:spPr bwMode="auto">
        <a:xfrm>
          <a:off x="214787" y="95249"/>
          <a:ext cx="1460346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37</xdr:row>
          <xdr:rowOff>50800</xdr:rowOff>
        </xdr:from>
        <xdr:to>
          <xdr:col>4</xdr:col>
          <xdr:colOff>349250</xdr:colOff>
          <xdr:row>37</xdr:row>
          <xdr:rowOff>260350</xdr:rowOff>
        </xdr:to>
        <xdr:sp macro="" textlink="">
          <xdr:nvSpPr>
            <xdr:cNvPr id="540673" name="Check Box 1" hidden="1">
              <a:extLst>
                <a:ext uri="{63B3BB69-23CF-44E3-9099-C40C66FF867C}">
                  <a14:compatExt spid="_x0000_s540673"/>
                </a:ext>
                <a:ext uri="{FF2B5EF4-FFF2-40B4-BE49-F238E27FC236}">
                  <a16:creationId xmlns:a16="http://schemas.microsoft.com/office/drawing/2014/main" id="{00000000-0008-0000-0100-000001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127000</xdr:colOff>
          <xdr:row>15</xdr:row>
          <xdr:rowOff>38100</xdr:rowOff>
        </xdr:from>
        <xdr:to>
          <xdr:col>4</xdr:col>
          <xdr:colOff>342900</xdr:colOff>
          <xdr:row>15</xdr:row>
          <xdr:rowOff>222250</xdr:rowOff>
        </xdr:to>
        <xdr:sp macro="" textlink="">
          <xdr:nvSpPr>
            <xdr:cNvPr id="540674" name="Check Box 2" hidden="1">
              <a:extLst>
                <a:ext uri="{63B3BB69-23CF-44E3-9099-C40C66FF867C}">
                  <a14:compatExt spid="_x0000_s540674"/>
                </a:ext>
                <a:ext uri="{FF2B5EF4-FFF2-40B4-BE49-F238E27FC236}">
                  <a16:creationId xmlns:a16="http://schemas.microsoft.com/office/drawing/2014/main" id="{00000000-0008-0000-0100-000002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73</xdr:row>
          <xdr:rowOff>44450</xdr:rowOff>
        </xdr:from>
        <xdr:to>
          <xdr:col>4</xdr:col>
          <xdr:colOff>349250</xdr:colOff>
          <xdr:row>73</xdr:row>
          <xdr:rowOff>222250</xdr:rowOff>
        </xdr:to>
        <xdr:sp macro="" textlink="">
          <xdr:nvSpPr>
            <xdr:cNvPr id="540675" name="Check Box 3" hidden="1">
              <a:extLst>
                <a:ext uri="{63B3BB69-23CF-44E3-9099-C40C66FF867C}">
                  <a14:compatExt spid="_x0000_s540675"/>
                </a:ext>
                <a:ext uri="{FF2B5EF4-FFF2-40B4-BE49-F238E27FC236}">
                  <a16:creationId xmlns:a16="http://schemas.microsoft.com/office/drawing/2014/main" id="{00000000-0008-0000-0100-000003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74</xdr:row>
          <xdr:rowOff>44450</xdr:rowOff>
        </xdr:from>
        <xdr:to>
          <xdr:col>4</xdr:col>
          <xdr:colOff>349250</xdr:colOff>
          <xdr:row>74</xdr:row>
          <xdr:rowOff>222250</xdr:rowOff>
        </xdr:to>
        <xdr:sp macro="" textlink="">
          <xdr:nvSpPr>
            <xdr:cNvPr id="540676" name="Check Box 4" hidden="1">
              <a:extLst>
                <a:ext uri="{63B3BB69-23CF-44E3-9099-C40C66FF867C}">
                  <a14:compatExt spid="_x0000_s540676"/>
                </a:ext>
                <a:ext uri="{FF2B5EF4-FFF2-40B4-BE49-F238E27FC236}">
                  <a16:creationId xmlns:a16="http://schemas.microsoft.com/office/drawing/2014/main" id="{00000000-0008-0000-0100-000004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75</xdr:row>
          <xdr:rowOff>44450</xdr:rowOff>
        </xdr:from>
        <xdr:to>
          <xdr:col>4</xdr:col>
          <xdr:colOff>349250</xdr:colOff>
          <xdr:row>75</xdr:row>
          <xdr:rowOff>222250</xdr:rowOff>
        </xdr:to>
        <xdr:sp macro="" textlink="">
          <xdr:nvSpPr>
            <xdr:cNvPr id="540677" name="Check Box 5" hidden="1">
              <a:extLst>
                <a:ext uri="{63B3BB69-23CF-44E3-9099-C40C66FF867C}">
                  <a14:compatExt spid="_x0000_s540677"/>
                </a:ext>
                <a:ext uri="{FF2B5EF4-FFF2-40B4-BE49-F238E27FC236}">
                  <a16:creationId xmlns:a16="http://schemas.microsoft.com/office/drawing/2014/main" id="{00000000-0008-0000-0100-000005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76</xdr:row>
          <xdr:rowOff>44450</xdr:rowOff>
        </xdr:from>
        <xdr:to>
          <xdr:col>4</xdr:col>
          <xdr:colOff>349250</xdr:colOff>
          <xdr:row>76</xdr:row>
          <xdr:rowOff>222250</xdr:rowOff>
        </xdr:to>
        <xdr:sp macro="" textlink="">
          <xdr:nvSpPr>
            <xdr:cNvPr id="540678" name="Check Box 6" hidden="1">
              <a:extLst>
                <a:ext uri="{63B3BB69-23CF-44E3-9099-C40C66FF867C}">
                  <a14:compatExt spid="_x0000_s540678"/>
                </a:ext>
                <a:ext uri="{FF2B5EF4-FFF2-40B4-BE49-F238E27FC236}">
                  <a16:creationId xmlns:a16="http://schemas.microsoft.com/office/drawing/2014/main" id="{00000000-0008-0000-0100-000006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82</xdr:row>
          <xdr:rowOff>88900</xdr:rowOff>
        </xdr:from>
        <xdr:to>
          <xdr:col>4</xdr:col>
          <xdr:colOff>349250</xdr:colOff>
          <xdr:row>82</xdr:row>
          <xdr:rowOff>266700</xdr:rowOff>
        </xdr:to>
        <xdr:sp macro="" textlink="">
          <xdr:nvSpPr>
            <xdr:cNvPr id="540679" name="Check Box 7" hidden="1">
              <a:extLst>
                <a:ext uri="{63B3BB69-23CF-44E3-9099-C40C66FF867C}">
                  <a14:compatExt spid="_x0000_s540679"/>
                </a:ext>
                <a:ext uri="{FF2B5EF4-FFF2-40B4-BE49-F238E27FC236}">
                  <a16:creationId xmlns:a16="http://schemas.microsoft.com/office/drawing/2014/main" id="{00000000-0008-0000-0100-000007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241300</xdr:colOff>
          <xdr:row>9</xdr:row>
          <xdr:rowOff>69850</xdr:rowOff>
        </xdr:from>
        <xdr:to>
          <xdr:col>10</xdr:col>
          <xdr:colOff>457200</xdr:colOff>
          <xdr:row>9</xdr:row>
          <xdr:rowOff>260350</xdr:rowOff>
        </xdr:to>
        <xdr:sp macro="" textlink="">
          <xdr:nvSpPr>
            <xdr:cNvPr id="540680" name="Check Box 8" hidden="1">
              <a:extLst>
                <a:ext uri="{63B3BB69-23CF-44E3-9099-C40C66FF867C}">
                  <a14:compatExt spid="_x0000_s540680"/>
                </a:ext>
                <a:ext uri="{FF2B5EF4-FFF2-40B4-BE49-F238E27FC236}">
                  <a16:creationId xmlns:a16="http://schemas.microsoft.com/office/drawing/2014/main" id="{00000000-0008-0000-0100-000008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57</xdr:row>
          <xdr:rowOff>63500</xdr:rowOff>
        </xdr:from>
        <xdr:to>
          <xdr:col>10</xdr:col>
          <xdr:colOff>673100</xdr:colOff>
          <xdr:row>57</xdr:row>
          <xdr:rowOff>241300</xdr:rowOff>
        </xdr:to>
        <xdr:sp macro="" textlink="">
          <xdr:nvSpPr>
            <xdr:cNvPr id="540681" name="Check Box 9" hidden="1">
              <a:extLst>
                <a:ext uri="{63B3BB69-23CF-44E3-9099-C40C66FF867C}">
                  <a14:compatExt spid="_x0000_s540681"/>
                </a:ext>
                <a:ext uri="{FF2B5EF4-FFF2-40B4-BE49-F238E27FC236}">
                  <a16:creationId xmlns:a16="http://schemas.microsoft.com/office/drawing/2014/main" id="{00000000-0008-0000-0100-000009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57</xdr:row>
          <xdr:rowOff>63500</xdr:rowOff>
        </xdr:from>
        <xdr:to>
          <xdr:col>11</xdr:col>
          <xdr:colOff>469900</xdr:colOff>
          <xdr:row>57</xdr:row>
          <xdr:rowOff>241300</xdr:rowOff>
        </xdr:to>
        <xdr:sp macro="" textlink="">
          <xdr:nvSpPr>
            <xdr:cNvPr id="540682" name="Check Box 10" hidden="1">
              <a:extLst>
                <a:ext uri="{63B3BB69-23CF-44E3-9099-C40C66FF867C}">
                  <a14:compatExt spid="_x0000_s540682"/>
                </a:ext>
                <a:ext uri="{FF2B5EF4-FFF2-40B4-BE49-F238E27FC236}">
                  <a16:creationId xmlns:a16="http://schemas.microsoft.com/office/drawing/2014/main" id="{00000000-0008-0000-0100-00000A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58</xdr:row>
          <xdr:rowOff>63500</xdr:rowOff>
        </xdr:from>
        <xdr:to>
          <xdr:col>10</xdr:col>
          <xdr:colOff>673100</xdr:colOff>
          <xdr:row>58</xdr:row>
          <xdr:rowOff>241300</xdr:rowOff>
        </xdr:to>
        <xdr:sp macro="" textlink="">
          <xdr:nvSpPr>
            <xdr:cNvPr id="540683" name="Check Box 11" hidden="1">
              <a:extLst>
                <a:ext uri="{63B3BB69-23CF-44E3-9099-C40C66FF867C}">
                  <a14:compatExt spid="_x0000_s540683"/>
                </a:ext>
                <a:ext uri="{FF2B5EF4-FFF2-40B4-BE49-F238E27FC236}">
                  <a16:creationId xmlns:a16="http://schemas.microsoft.com/office/drawing/2014/main" id="{00000000-0008-0000-0100-00000B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58</xdr:row>
          <xdr:rowOff>63500</xdr:rowOff>
        </xdr:from>
        <xdr:to>
          <xdr:col>11</xdr:col>
          <xdr:colOff>469900</xdr:colOff>
          <xdr:row>58</xdr:row>
          <xdr:rowOff>241300</xdr:rowOff>
        </xdr:to>
        <xdr:sp macro="" textlink="">
          <xdr:nvSpPr>
            <xdr:cNvPr id="540684" name="Check Box 12" hidden="1">
              <a:extLst>
                <a:ext uri="{63B3BB69-23CF-44E3-9099-C40C66FF867C}">
                  <a14:compatExt spid="_x0000_s540684"/>
                </a:ext>
                <a:ext uri="{FF2B5EF4-FFF2-40B4-BE49-F238E27FC236}">
                  <a16:creationId xmlns:a16="http://schemas.microsoft.com/office/drawing/2014/main" id="{00000000-0008-0000-0100-00000C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666751</xdr:colOff>
      <xdr:row>0</xdr:row>
      <xdr:rowOff>19050</xdr:rowOff>
    </xdr:from>
    <xdr:to>
      <xdr:col>11</xdr:col>
      <xdr:colOff>17781</xdr:colOff>
      <xdr:row>1</xdr:row>
      <xdr:rowOff>153818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5951" y="19050"/>
          <a:ext cx="1471930" cy="560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81</xdr:row>
          <xdr:rowOff>44450</xdr:rowOff>
        </xdr:from>
        <xdr:to>
          <xdr:col>4</xdr:col>
          <xdr:colOff>349250</xdr:colOff>
          <xdr:row>81</xdr:row>
          <xdr:rowOff>222250</xdr:rowOff>
        </xdr:to>
        <xdr:sp macro="" textlink="">
          <xdr:nvSpPr>
            <xdr:cNvPr id="540685" name="Check Box 13" hidden="1">
              <a:extLst>
                <a:ext uri="{63B3BB69-23CF-44E3-9099-C40C66FF867C}">
                  <a14:compatExt spid="_x0000_s540685"/>
                </a:ext>
                <a:ext uri="{FF2B5EF4-FFF2-40B4-BE49-F238E27FC236}">
                  <a16:creationId xmlns:a16="http://schemas.microsoft.com/office/drawing/2014/main" id="{00000000-0008-0000-0100-00000D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57</xdr:row>
          <xdr:rowOff>63500</xdr:rowOff>
        </xdr:from>
        <xdr:to>
          <xdr:col>10</xdr:col>
          <xdr:colOff>673100</xdr:colOff>
          <xdr:row>57</xdr:row>
          <xdr:rowOff>241300</xdr:rowOff>
        </xdr:to>
        <xdr:sp macro="" textlink="">
          <xdr:nvSpPr>
            <xdr:cNvPr id="540688" name="Check Box 16" hidden="1">
              <a:extLst>
                <a:ext uri="{63B3BB69-23CF-44E3-9099-C40C66FF867C}">
                  <a14:compatExt spid="_x0000_s540688"/>
                </a:ext>
                <a:ext uri="{FF2B5EF4-FFF2-40B4-BE49-F238E27FC236}">
                  <a16:creationId xmlns:a16="http://schemas.microsoft.com/office/drawing/2014/main" id="{00000000-0008-0000-0100-000010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57</xdr:row>
          <xdr:rowOff>63500</xdr:rowOff>
        </xdr:from>
        <xdr:to>
          <xdr:col>11</xdr:col>
          <xdr:colOff>469900</xdr:colOff>
          <xdr:row>57</xdr:row>
          <xdr:rowOff>241300</xdr:rowOff>
        </xdr:to>
        <xdr:sp macro="" textlink="">
          <xdr:nvSpPr>
            <xdr:cNvPr id="540689" name="Check Box 17" hidden="1">
              <a:extLst>
                <a:ext uri="{63B3BB69-23CF-44E3-9099-C40C66FF867C}">
                  <a14:compatExt spid="_x0000_s540689"/>
                </a:ext>
                <a:ext uri="{FF2B5EF4-FFF2-40B4-BE49-F238E27FC236}">
                  <a16:creationId xmlns:a16="http://schemas.microsoft.com/office/drawing/2014/main" id="{00000000-0008-0000-0100-000011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58</xdr:row>
          <xdr:rowOff>63500</xdr:rowOff>
        </xdr:from>
        <xdr:to>
          <xdr:col>10</xdr:col>
          <xdr:colOff>673100</xdr:colOff>
          <xdr:row>58</xdr:row>
          <xdr:rowOff>241300</xdr:rowOff>
        </xdr:to>
        <xdr:sp macro="" textlink="">
          <xdr:nvSpPr>
            <xdr:cNvPr id="540690" name="Check Box 18" hidden="1">
              <a:extLst>
                <a:ext uri="{63B3BB69-23CF-44E3-9099-C40C66FF867C}">
                  <a14:compatExt spid="_x0000_s540690"/>
                </a:ext>
                <a:ext uri="{FF2B5EF4-FFF2-40B4-BE49-F238E27FC236}">
                  <a16:creationId xmlns:a16="http://schemas.microsoft.com/office/drawing/2014/main" id="{00000000-0008-0000-0100-000012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58</xdr:row>
          <xdr:rowOff>63500</xdr:rowOff>
        </xdr:from>
        <xdr:to>
          <xdr:col>11</xdr:col>
          <xdr:colOff>469900</xdr:colOff>
          <xdr:row>58</xdr:row>
          <xdr:rowOff>241300</xdr:rowOff>
        </xdr:to>
        <xdr:sp macro="" textlink="">
          <xdr:nvSpPr>
            <xdr:cNvPr id="540691" name="Check Box 19" hidden="1">
              <a:extLst>
                <a:ext uri="{63B3BB69-23CF-44E3-9099-C40C66FF867C}">
                  <a14:compatExt spid="_x0000_s540691"/>
                </a:ext>
                <a:ext uri="{FF2B5EF4-FFF2-40B4-BE49-F238E27FC236}">
                  <a16:creationId xmlns:a16="http://schemas.microsoft.com/office/drawing/2014/main" id="{00000000-0008-0000-0100-000013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1</xdr:col>
      <xdr:colOff>790718</xdr:colOff>
      <xdr:row>1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0"/>
          <a:ext cx="1162193" cy="4286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390523</xdr:colOff>
      <xdr:row>6</xdr:row>
      <xdr:rowOff>161925</xdr:rowOff>
    </xdr:from>
    <xdr:to>
      <xdr:col>14</xdr:col>
      <xdr:colOff>190500</xdr:colOff>
      <xdr:row>27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457199</xdr:colOff>
      <xdr:row>34</xdr:row>
      <xdr:rowOff>33337</xdr:rowOff>
    </xdr:from>
    <xdr:to>
      <xdr:col>14</xdr:col>
      <xdr:colOff>180974</xdr:colOff>
      <xdr:row>55</xdr:row>
      <xdr:rowOff>47625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457199" y="6383337"/>
          <a:ext cx="8728075" cy="3881438"/>
          <a:chOff x="390524" y="6567487"/>
          <a:chExt cx="8677275" cy="4014788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GrpSpPr/>
        </xdr:nvGrpSpPr>
        <xdr:grpSpPr>
          <a:xfrm>
            <a:off x="390524" y="6567487"/>
            <a:ext cx="8677275" cy="4014788"/>
            <a:chOff x="409574" y="6557962"/>
            <a:chExt cx="8677275" cy="4014788"/>
          </a:xfrm>
        </xdr:grpSpPr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409574" y="6557962"/>
            <a:ext cx="8677275" cy="401478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cxnSp macro="">
          <xdr:nvCxnSpPr>
            <xdr:cNvPr id="5" name="Straight Connector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CxnSpPr/>
          </xdr:nvCxnSpPr>
          <xdr:spPr>
            <a:xfrm>
              <a:off x="1419225" y="8010525"/>
              <a:ext cx="0" cy="169545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" name="Straight Connector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CxnSpPr/>
          </xdr:nvCxnSpPr>
          <xdr:spPr>
            <a:xfrm>
              <a:off x="2105025" y="8058150"/>
              <a:ext cx="0" cy="169545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Straight Connector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CxnSpPr/>
          </xdr:nvCxnSpPr>
          <xdr:spPr>
            <a:xfrm>
              <a:off x="3514725" y="8020050"/>
              <a:ext cx="0" cy="169545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Straight Connector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CxnSpPr/>
          </xdr:nvCxnSpPr>
          <xdr:spPr>
            <a:xfrm>
              <a:off x="5334000" y="8029575"/>
              <a:ext cx="0" cy="169545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" name="Straight Connector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CxnSpPr/>
          </xdr:nvCxnSpPr>
          <xdr:spPr>
            <a:xfrm>
              <a:off x="4286250" y="8039100"/>
              <a:ext cx="0" cy="1685925"/>
            </a:xfrm>
            <a:prstGeom prst="line">
              <a:avLst/>
            </a:prstGeom>
            <a:ln>
              <a:prstDash val="sysDot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13" name="Straight Connector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CxnSpPr/>
          </xdr:nvCxnSpPr>
          <xdr:spPr>
            <a:xfrm>
              <a:off x="5057775" y="7534275"/>
              <a:ext cx="0" cy="2190750"/>
            </a:xfrm>
            <a:prstGeom prst="line">
              <a:avLst/>
            </a:prstGeom>
            <a:ln>
              <a:prstDash val="sysDot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15" name="Straight Connector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CxnSpPr/>
          </xdr:nvCxnSpPr>
          <xdr:spPr>
            <a:xfrm>
              <a:off x="6419850" y="7486650"/>
              <a:ext cx="0" cy="2247900"/>
            </a:xfrm>
            <a:prstGeom prst="line">
              <a:avLst/>
            </a:prstGeom>
            <a:ln>
              <a:prstDash val="sysDot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17" name="Straight Connector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CxnSpPr/>
          </xdr:nvCxnSpPr>
          <xdr:spPr>
            <a:xfrm>
              <a:off x="8448675" y="7477125"/>
              <a:ext cx="0" cy="2247900"/>
            </a:xfrm>
            <a:prstGeom prst="line">
              <a:avLst/>
            </a:prstGeom>
            <a:ln>
              <a:prstDash val="sysDot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18" name="Straight Connector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CxnSpPr/>
          </xdr:nvCxnSpPr>
          <xdr:spPr>
            <a:xfrm>
              <a:off x="8915400" y="7458075"/>
              <a:ext cx="0" cy="2247900"/>
            </a:xfrm>
            <a:prstGeom prst="line">
              <a:avLst/>
            </a:prstGeom>
            <a:ln>
              <a:prstDash val="sysDot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</xdr:grpSp>
      <xdr:sp macro="" textlink="">
        <xdr:nvSpPr>
          <xdr:cNvPr id="20" name="Line Callout 2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2495550" y="7258049"/>
            <a:ext cx="742950" cy="390525"/>
          </a:xfrm>
          <a:prstGeom prst="borderCallout2">
            <a:avLst>
              <a:gd name="adj1" fmla="val 18750"/>
              <a:gd name="adj2" fmla="val -8333"/>
              <a:gd name="adj3" fmla="val 18750"/>
              <a:gd name="adj4" fmla="val -16667"/>
              <a:gd name="adj5" fmla="val 195833"/>
              <a:gd name="adj6" fmla="val -53077"/>
            </a:avLst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800"/>
              <a:t>Frist</a:t>
            </a:r>
            <a:r>
              <a:rPr lang="en-US" sz="800" baseline="0"/>
              <a:t> wort</a:t>
            </a:r>
          </a:p>
          <a:p>
            <a:pPr algn="l"/>
            <a:r>
              <a:rPr lang="en-US" sz="800" baseline="0"/>
              <a:t>210 Hl/h</a:t>
            </a:r>
            <a:endParaRPr lang="en-US" sz="800"/>
          </a:p>
        </xdr:txBody>
      </xdr:sp>
    </xdr:grp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0.66776</cdr:x>
      <cdr:y>0.3713</cdr:y>
    </cdr:from>
    <cdr:to>
      <cdr:x>0.66776</cdr:x>
      <cdr:y>0.7936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DEF9B3BE-564A-43AC-B32F-0FCD963C56D6}"/>
            </a:ext>
          </a:extLst>
        </cdr:cNvPr>
        <cdr:cNvCxnSpPr/>
      </cdr:nvCxnSpPr>
      <cdr:spPr>
        <a:xfrm xmlns:a="http://schemas.openxmlformats.org/drawingml/2006/main">
          <a:off x="5794351" y="1490671"/>
          <a:ext cx="0" cy="169544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0.69301</cdr:x>
      <cdr:y>0.36892</cdr:y>
    </cdr:from>
    <cdr:to>
      <cdr:x>0.69301</cdr:x>
      <cdr:y>0.79122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C881245-3A85-4C73-8E75-886E45ABB56B}"/>
            </a:ext>
          </a:extLst>
        </cdr:cNvPr>
        <cdr:cNvCxnSpPr/>
      </cdr:nvCxnSpPr>
      <cdr:spPr>
        <a:xfrm xmlns:a="http://schemas.openxmlformats.org/drawingml/2006/main">
          <a:off x="6013452" y="1481146"/>
          <a:ext cx="0" cy="169544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0.39627</cdr:x>
      <cdr:y>0.4994</cdr:y>
    </cdr:from>
    <cdr:to>
      <cdr:x>0.50165</cdr:x>
      <cdr:y>0.58481</cdr:y>
    </cdr:to>
    <cdr:sp macro="" textlink="">
      <cdr:nvSpPr>
        <cdr:cNvPr id="4" name="Line Callout 2 3"/>
        <cdr:cNvSpPr/>
      </cdr:nvSpPr>
      <cdr:spPr>
        <a:xfrm xmlns:a="http://schemas.openxmlformats.org/drawingml/2006/main">
          <a:off x="3438556" y="2005005"/>
          <a:ext cx="914412" cy="342903"/>
        </a:xfrm>
        <a:prstGeom xmlns:a="http://schemas.openxmlformats.org/drawingml/2006/main"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151389"/>
            <a:gd name="adj6" fmla="val -35691"/>
          </a:avLst>
        </a:prstGeom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800"/>
            <a:t>Second</a:t>
          </a:r>
          <a:r>
            <a:rPr lang="en-US" sz="800" baseline="0"/>
            <a:t> wort</a:t>
          </a:r>
        </a:p>
        <a:p xmlns:a="http://schemas.openxmlformats.org/drawingml/2006/main">
          <a:r>
            <a:rPr lang="en-US" sz="800" baseline="0"/>
            <a:t>220 hl/h</a:t>
          </a:r>
          <a:endParaRPr lang="en-US" sz="800"/>
        </a:p>
      </cdr:txBody>
    </cdr:sp>
  </cdr:relSizeAnchor>
  <cdr:relSizeAnchor xmlns:cdr="http://schemas.openxmlformats.org/drawingml/2006/chartDrawing">
    <cdr:from>
      <cdr:x>0.6063</cdr:x>
      <cdr:y>0.49664</cdr:y>
    </cdr:from>
    <cdr:to>
      <cdr:x>0.71168</cdr:x>
      <cdr:y>0.58205</cdr:y>
    </cdr:to>
    <cdr:sp macro="" textlink="">
      <cdr:nvSpPr>
        <cdr:cNvPr id="5" name="Line Callout 2 4"/>
        <cdr:cNvSpPr/>
      </cdr:nvSpPr>
      <cdr:spPr>
        <a:xfrm xmlns:a="http://schemas.openxmlformats.org/drawingml/2006/main">
          <a:off x="5260998" y="1993894"/>
          <a:ext cx="914411" cy="342903"/>
        </a:xfrm>
        <a:prstGeom xmlns:a="http://schemas.openxmlformats.org/drawingml/2006/main"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151389"/>
            <a:gd name="adj6" fmla="val -35691"/>
          </a:avLst>
        </a:prstGeom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aseline="0"/>
            <a:t>Weak wort</a:t>
          </a:r>
        </a:p>
        <a:p xmlns:a="http://schemas.openxmlformats.org/drawingml/2006/main">
          <a:r>
            <a:rPr lang="en-US" sz="800" baseline="0"/>
            <a:t>220 hl/h</a:t>
          </a:r>
          <a:endParaRPr lang="en-US" sz="800"/>
        </a:p>
      </cdr:txBody>
    </cdr:sp>
  </cdr:relSizeAnchor>
  <cdr:relSizeAnchor xmlns:cdr="http://schemas.openxmlformats.org/drawingml/2006/chartDrawing">
    <cdr:from>
      <cdr:x>0.76327</cdr:x>
      <cdr:y>0.25228</cdr:y>
    </cdr:from>
    <cdr:to>
      <cdr:x>0.86499</cdr:x>
      <cdr:y>0.32344</cdr:y>
    </cdr:to>
    <cdr:sp macro="" textlink="">
      <cdr:nvSpPr>
        <cdr:cNvPr id="6" name="Line Callout 2 5"/>
        <cdr:cNvSpPr/>
      </cdr:nvSpPr>
      <cdr:spPr>
        <a:xfrm xmlns:a="http://schemas.openxmlformats.org/drawingml/2006/main">
          <a:off x="6623071" y="1012831"/>
          <a:ext cx="882652" cy="285732"/>
        </a:xfrm>
        <a:prstGeom xmlns:a="http://schemas.openxmlformats.org/drawingml/2006/main"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52500"/>
            <a:gd name="adj6" fmla="val -68462"/>
          </a:avLst>
        </a:prstGeom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/>
            <a:t>Spent grain removal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57150</xdr:rowOff>
    </xdr:from>
    <xdr:to>
      <xdr:col>14</xdr:col>
      <xdr:colOff>409577</xdr:colOff>
      <xdr:row>21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200025</xdr:colOff>
      <xdr:row>21</xdr:row>
      <xdr:rowOff>57150</xdr:rowOff>
    </xdr:from>
    <xdr:to>
      <xdr:col>14</xdr:col>
      <xdr:colOff>419100</xdr:colOff>
      <xdr:row>42</xdr:row>
      <xdr:rowOff>71438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295275</xdr:colOff>
      <xdr:row>6</xdr:row>
      <xdr:rowOff>28575</xdr:rowOff>
    </xdr:from>
    <xdr:to>
      <xdr:col>4</xdr:col>
      <xdr:colOff>419100</xdr:colOff>
      <xdr:row>7</xdr:row>
      <xdr:rowOff>28575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2124075" y="1171575"/>
          <a:ext cx="733425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Gel rest</a:t>
          </a:r>
        </a:p>
      </xdr:txBody>
    </xdr:sp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0.45718</cdr:x>
      <cdr:y>0.54286</cdr:y>
    </cdr:from>
    <cdr:to>
      <cdr:x>0.45718</cdr:x>
      <cdr:y>0.78849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6D0A1F87-E9C2-46F2-888B-5B51621B51B2}"/>
            </a:ext>
          </a:extLst>
        </cdr:cNvPr>
        <cdr:cNvCxnSpPr/>
      </cdr:nvCxnSpPr>
      <cdr:spPr>
        <a:xfrm xmlns:a="http://schemas.openxmlformats.org/drawingml/2006/main">
          <a:off x="4001935" y="2171700"/>
          <a:ext cx="0" cy="982672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0.34764</cdr:x>
      <cdr:y>0.54127</cdr:y>
    </cdr:from>
    <cdr:to>
      <cdr:x>0.34764</cdr:x>
      <cdr:y>0.78691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63D29D1-B86D-4F02-BD66-D1E9C8743598}"/>
            </a:ext>
          </a:extLst>
        </cdr:cNvPr>
        <cdr:cNvCxnSpPr/>
      </cdr:nvCxnSpPr>
      <cdr:spPr>
        <a:xfrm xmlns:a="http://schemas.openxmlformats.org/drawingml/2006/main">
          <a:off x="3043085" y="2165350"/>
          <a:ext cx="0" cy="982672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0.16592</cdr:x>
      <cdr:y>0.53889</cdr:y>
    </cdr:from>
    <cdr:to>
      <cdr:x>0.16592</cdr:x>
      <cdr:y>0.78453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811D5A70-24D8-4AEB-9D01-34D1A2096464}"/>
            </a:ext>
          </a:extLst>
        </cdr:cNvPr>
        <cdr:cNvCxnSpPr/>
      </cdr:nvCxnSpPr>
      <cdr:spPr>
        <a:xfrm xmlns:a="http://schemas.openxmlformats.org/drawingml/2006/main">
          <a:off x="1452410" y="2155825"/>
          <a:ext cx="0" cy="982672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0.24753</cdr:x>
      <cdr:y>0.34365</cdr:y>
    </cdr:from>
    <cdr:to>
      <cdr:x>0.24753</cdr:x>
      <cdr:y>0.7881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337E1B74-DB79-4606-A3AC-5A3EAFE3BD6D}"/>
            </a:ext>
          </a:extLst>
        </cdr:cNvPr>
        <cdr:cNvCxnSpPr/>
      </cdr:nvCxnSpPr>
      <cdr:spPr>
        <a:xfrm xmlns:a="http://schemas.openxmlformats.org/drawingml/2006/main">
          <a:off x="2166785" y="1374775"/>
          <a:ext cx="0" cy="1778000"/>
        </a:xfrm>
        <a:prstGeom xmlns:a="http://schemas.openxmlformats.org/drawingml/2006/main" prst="line">
          <a:avLst/>
        </a:prstGeom>
        <a:ln xmlns:a="http://schemas.openxmlformats.org/drawingml/2006/main">
          <a:prstDash val="sysDash"/>
        </a:ln>
      </cdr:spPr>
      <cdr:style>
        <a:lnRef xmlns:a="http://schemas.openxmlformats.org/drawingml/2006/main" idx="2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1">
          <a:schemeClr val="accent2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0.29686</cdr:x>
      <cdr:y>0.34206</cdr:y>
    </cdr:from>
    <cdr:to>
      <cdr:x>0.29686</cdr:x>
      <cdr:y>0.78651</cdr:y>
    </cdr:to>
    <cdr:cxnSp macro="">
      <cdr:nvCxnSpPr>
        <cdr:cNvPr id="9" name="Straight Connector 8">
          <a:extLst xmlns:a="http://schemas.openxmlformats.org/drawingml/2006/main">
            <a:ext uri="{FF2B5EF4-FFF2-40B4-BE49-F238E27FC236}">
              <a16:creationId xmlns:a16="http://schemas.microsoft.com/office/drawing/2014/main" id="{925CCEBA-FF48-4D0E-A170-F868913D2C2C}"/>
            </a:ext>
          </a:extLst>
        </cdr:cNvPr>
        <cdr:cNvCxnSpPr/>
      </cdr:nvCxnSpPr>
      <cdr:spPr>
        <a:xfrm xmlns:a="http://schemas.openxmlformats.org/drawingml/2006/main">
          <a:off x="2598585" y="1368425"/>
          <a:ext cx="0" cy="1778000"/>
        </a:xfrm>
        <a:prstGeom xmlns:a="http://schemas.openxmlformats.org/drawingml/2006/main" prst="line">
          <a:avLst/>
        </a:prstGeom>
        <a:ln xmlns:a="http://schemas.openxmlformats.org/drawingml/2006/main">
          <a:prstDash val="sysDash"/>
        </a:ln>
      </cdr:spPr>
      <cdr:style>
        <a:lnRef xmlns:a="http://schemas.openxmlformats.org/drawingml/2006/main" idx="2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1">
          <a:schemeClr val="accent2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0.36868</cdr:x>
      <cdr:y>0.23016</cdr:y>
    </cdr:from>
    <cdr:to>
      <cdr:x>0.36868</cdr:x>
      <cdr:y>0.7881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2D02DEA7-9F5C-463D-8321-F157E1D5877D}"/>
            </a:ext>
          </a:extLst>
        </cdr:cNvPr>
        <cdr:cNvCxnSpPr/>
      </cdr:nvCxnSpPr>
      <cdr:spPr>
        <a:xfrm xmlns:a="http://schemas.openxmlformats.org/drawingml/2006/main">
          <a:off x="3227235" y="920750"/>
          <a:ext cx="0" cy="2232025"/>
        </a:xfrm>
        <a:prstGeom xmlns:a="http://schemas.openxmlformats.org/drawingml/2006/main" prst="line">
          <a:avLst/>
        </a:prstGeom>
        <a:ln xmlns:a="http://schemas.openxmlformats.org/drawingml/2006/main">
          <a:prstDash val="sysDash"/>
        </a:ln>
      </cdr:spPr>
      <cdr:style>
        <a:lnRef xmlns:a="http://schemas.openxmlformats.org/drawingml/2006/main" idx="2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1">
          <a:schemeClr val="accent2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0.5446</cdr:x>
      <cdr:y>0.42222</cdr:y>
    </cdr:from>
    <cdr:to>
      <cdr:x>0.5446</cdr:x>
      <cdr:y>0.78571</cdr:y>
    </cdr:to>
    <cdr:cxnSp macro="">
      <cdr:nvCxnSpPr>
        <cdr:cNvPr id="13" name="Straight Connector 12">
          <a:extLst xmlns:a="http://schemas.openxmlformats.org/drawingml/2006/main">
            <a:ext uri="{FF2B5EF4-FFF2-40B4-BE49-F238E27FC236}">
              <a16:creationId xmlns:a16="http://schemas.microsoft.com/office/drawing/2014/main" id="{3456800F-8218-488E-AA61-40C6FD8FD1CC}"/>
            </a:ext>
          </a:extLst>
        </cdr:cNvPr>
        <cdr:cNvCxnSpPr/>
      </cdr:nvCxnSpPr>
      <cdr:spPr>
        <a:xfrm xmlns:a="http://schemas.openxmlformats.org/drawingml/2006/main">
          <a:off x="4767110" y="1689100"/>
          <a:ext cx="0" cy="145415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0.83549</cdr:x>
      <cdr:y>0.42302</cdr:y>
    </cdr:from>
    <cdr:to>
      <cdr:x>0.83549</cdr:x>
      <cdr:y>0.78651</cdr:y>
    </cdr:to>
    <cdr:cxnSp macro="">
      <cdr:nvCxnSpPr>
        <cdr:cNvPr id="15" name="Straight Connector 14">
          <a:extLst xmlns:a="http://schemas.openxmlformats.org/drawingml/2006/main">
            <a:ext uri="{FF2B5EF4-FFF2-40B4-BE49-F238E27FC236}">
              <a16:creationId xmlns:a16="http://schemas.microsoft.com/office/drawing/2014/main" id="{B1F9F611-1439-4976-8EE9-1AB4411AC107}"/>
            </a:ext>
          </a:extLst>
        </cdr:cNvPr>
        <cdr:cNvCxnSpPr/>
      </cdr:nvCxnSpPr>
      <cdr:spPr>
        <a:xfrm xmlns:a="http://schemas.openxmlformats.org/drawingml/2006/main">
          <a:off x="7313460" y="1692275"/>
          <a:ext cx="0" cy="145415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0.89316</cdr:x>
      <cdr:y>0.36587</cdr:y>
    </cdr:from>
    <cdr:to>
      <cdr:x>0.89316</cdr:x>
      <cdr:y>0.7881</cdr:y>
    </cdr:to>
    <cdr:cxnSp macro="">
      <cdr:nvCxnSpPr>
        <cdr:cNvPr id="16" name="Straight Connector 15">
          <a:extLst xmlns:a="http://schemas.openxmlformats.org/drawingml/2006/main">
            <a:ext uri="{FF2B5EF4-FFF2-40B4-BE49-F238E27FC236}">
              <a16:creationId xmlns:a16="http://schemas.microsoft.com/office/drawing/2014/main" id="{CFA93ECB-D0DA-449E-B400-FE0417F98280}"/>
            </a:ext>
          </a:extLst>
        </cdr:cNvPr>
        <cdr:cNvCxnSpPr/>
      </cdr:nvCxnSpPr>
      <cdr:spPr>
        <a:xfrm xmlns:a="http://schemas.openxmlformats.org/drawingml/2006/main">
          <a:off x="7818285" y="1463675"/>
          <a:ext cx="0" cy="1689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0.37359</cdr:x>
      <cdr:y>0.16032</cdr:y>
    </cdr:from>
    <cdr:to>
      <cdr:x>0.45738</cdr:x>
      <cdr:y>0.20794</cdr:y>
    </cdr:to>
    <cdr:sp macro="" textlink="">
      <cdr:nvSpPr>
        <cdr:cNvPr id="19" name="TextBox 5"/>
        <cdr:cNvSpPr txBox="1"/>
      </cdr:nvSpPr>
      <cdr:spPr>
        <a:xfrm xmlns:a="http://schemas.openxmlformats.org/drawingml/2006/main">
          <a:off x="3270250" y="641350"/>
          <a:ext cx="733425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Boiling</a:t>
          </a:r>
        </a:p>
      </cdr:txBody>
    </cdr:sp>
  </cdr:relSizeAnchor>
  <cdr:relSizeAnchor xmlns:cdr="http://schemas.openxmlformats.org/drawingml/2006/chartDrawing">
    <cdr:from>
      <cdr:x>0.07653</cdr:x>
      <cdr:y>0.37937</cdr:y>
    </cdr:from>
    <cdr:to>
      <cdr:x>0.18281</cdr:x>
      <cdr:y>0.42143</cdr:y>
    </cdr:to>
    <cdr:sp macro="" textlink="">
      <cdr:nvSpPr>
        <cdr:cNvPr id="20" name="TextBox 5"/>
        <cdr:cNvSpPr txBox="1"/>
      </cdr:nvSpPr>
      <cdr:spPr>
        <a:xfrm xmlns:a="http://schemas.openxmlformats.org/drawingml/2006/main">
          <a:off x="669925" y="1517650"/>
          <a:ext cx="930275" cy="1682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Rice mash in</a:t>
          </a:r>
        </a:p>
      </cdr:txBody>
    </cdr:sp>
  </cdr:relSizeAnchor>
  <cdr:relSizeAnchor xmlns:cdr="http://schemas.openxmlformats.org/drawingml/2006/chartDrawing">
    <cdr:from>
      <cdr:x>0.13312</cdr:x>
      <cdr:y>0.47937</cdr:y>
    </cdr:from>
    <cdr:to>
      <cdr:x>0.23939</cdr:x>
      <cdr:y>0.52143</cdr:y>
    </cdr:to>
    <cdr:sp macro="" textlink="">
      <cdr:nvSpPr>
        <cdr:cNvPr id="21" name="TextBox 5"/>
        <cdr:cNvSpPr txBox="1"/>
      </cdr:nvSpPr>
      <cdr:spPr>
        <a:xfrm xmlns:a="http://schemas.openxmlformats.org/drawingml/2006/main">
          <a:off x="1165225" y="1917700"/>
          <a:ext cx="930275" cy="1682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Malt mash in</a:t>
          </a:r>
        </a:p>
      </cdr:txBody>
    </cdr:sp>
  </cdr:relSizeAnchor>
  <cdr:relSizeAnchor xmlns:cdr="http://schemas.openxmlformats.org/drawingml/2006/chartDrawing">
    <cdr:from>
      <cdr:x>0.35074</cdr:x>
      <cdr:y>0.56508</cdr:y>
    </cdr:from>
    <cdr:to>
      <cdr:x>0.45702</cdr:x>
      <cdr:y>0.60714</cdr:y>
    </cdr:to>
    <cdr:sp macro="" textlink="">
      <cdr:nvSpPr>
        <cdr:cNvPr id="22" name="TextBox 5"/>
        <cdr:cNvSpPr txBox="1"/>
      </cdr:nvSpPr>
      <cdr:spPr>
        <a:xfrm xmlns:a="http://schemas.openxmlformats.org/drawingml/2006/main">
          <a:off x="3070225" y="2260600"/>
          <a:ext cx="930275" cy="1682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Protein rest</a:t>
          </a:r>
        </a:p>
      </cdr:txBody>
    </cdr:sp>
  </cdr:relSizeAnchor>
  <cdr:relSizeAnchor xmlns:cdr="http://schemas.openxmlformats.org/drawingml/2006/chartDrawing">
    <cdr:from>
      <cdr:x>0.62278</cdr:x>
      <cdr:y>0.34603</cdr:y>
    </cdr:from>
    <cdr:to>
      <cdr:x>0.76061</cdr:x>
      <cdr:y>0.39048</cdr:y>
    </cdr:to>
    <cdr:sp macro="" textlink="">
      <cdr:nvSpPr>
        <cdr:cNvPr id="23" name="TextBox 5"/>
        <cdr:cNvSpPr txBox="1"/>
      </cdr:nvSpPr>
      <cdr:spPr>
        <a:xfrm xmlns:a="http://schemas.openxmlformats.org/drawingml/2006/main">
          <a:off x="5451475" y="1384300"/>
          <a:ext cx="1206500" cy="177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Conversion</a:t>
          </a:r>
          <a:r>
            <a:rPr lang="en-US" sz="1100" baseline="0"/>
            <a:t> rest</a:t>
          </a:r>
          <a:endParaRPr lang="en-US" sz="1100"/>
        </a:p>
      </cdr:txBody>
    </cdr:sp>
  </cdr:relSizeAnchor>
  <cdr:relSizeAnchor xmlns:cdr="http://schemas.openxmlformats.org/drawingml/2006/chartDrawing">
    <cdr:from>
      <cdr:x>0.86217</cdr:x>
      <cdr:y>0.28413</cdr:y>
    </cdr:from>
    <cdr:to>
      <cdr:x>1</cdr:x>
      <cdr:y>0.32857</cdr:y>
    </cdr:to>
    <cdr:sp macro="" textlink="">
      <cdr:nvSpPr>
        <cdr:cNvPr id="24" name="TextBox 5"/>
        <cdr:cNvSpPr txBox="1"/>
      </cdr:nvSpPr>
      <cdr:spPr>
        <a:xfrm xmlns:a="http://schemas.openxmlformats.org/drawingml/2006/main">
          <a:off x="7546977" y="1136650"/>
          <a:ext cx="1206500" cy="177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Mash off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0.64471</cdr:x>
      <cdr:y>0.36655</cdr:y>
    </cdr:from>
    <cdr:to>
      <cdr:x>0.64471</cdr:x>
      <cdr:y>0.78885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27F8B16-EEF2-44C5-8195-05E188493A03}"/>
            </a:ext>
          </a:extLst>
        </cdr:cNvPr>
        <cdr:cNvCxnSpPr/>
      </cdr:nvCxnSpPr>
      <cdr:spPr>
        <a:xfrm xmlns:a="http://schemas.openxmlformats.org/drawingml/2006/main">
          <a:off x="5594350" y="1471613"/>
          <a:ext cx="0" cy="169545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0.6985</cdr:x>
      <cdr:y>0.36655</cdr:y>
    </cdr:from>
    <cdr:to>
      <cdr:x>0.6985</cdr:x>
      <cdr:y>0.78885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F4DB5B3D-8666-4098-ABAF-86AB0877257B}"/>
            </a:ext>
          </a:extLst>
        </cdr:cNvPr>
        <cdr:cNvCxnSpPr/>
      </cdr:nvCxnSpPr>
      <cdr:spPr>
        <a:xfrm xmlns:a="http://schemas.openxmlformats.org/drawingml/2006/main">
          <a:off x="6061075" y="1471613"/>
          <a:ext cx="0" cy="169545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0.4303</cdr:x>
      <cdr:y>0.49466</cdr:y>
    </cdr:from>
    <cdr:to>
      <cdr:x>0.53568</cdr:x>
      <cdr:y>0.58007</cdr:y>
    </cdr:to>
    <cdr:sp macro="" textlink="">
      <cdr:nvSpPr>
        <cdr:cNvPr id="4" name="Line Callout 2 3"/>
        <cdr:cNvSpPr/>
      </cdr:nvSpPr>
      <cdr:spPr>
        <a:xfrm xmlns:a="http://schemas.openxmlformats.org/drawingml/2006/main">
          <a:off x="3733801" y="1985963"/>
          <a:ext cx="914400" cy="342900"/>
        </a:xfrm>
        <a:prstGeom xmlns:a="http://schemas.openxmlformats.org/drawingml/2006/main"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151389"/>
            <a:gd name="adj6" fmla="val -35691"/>
          </a:avLst>
        </a:prstGeom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800"/>
            <a:t>Second</a:t>
          </a:r>
          <a:r>
            <a:rPr lang="en-US" sz="800" baseline="0"/>
            <a:t> wort</a:t>
          </a:r>
        </a:p>
        <a:p xmlns:a="http://schemas.openxmlformats.org/drawingml/2006/main">
          <a:r>
            <a:rPr lang="en-US" sz="800" baseline="0"/>
            <a:t>220 hl/h</a:t>
          </a:r>
          <a:endParaRPr lang="en-US" sz="800"/>
        </a:p>
      </cdr:txBody>
    </cdr:sp>
  </cdr:relSizeAnchor>
  <cdr:relSizeAnchor xmlns:cdr="http://schemas.openxmlformats.org/drawingml/2006/chartDrawing">
    <cdr:from>
      <cdr:x>0.62825</cdr:x>
      <cdr:y>0.49901</cdr:y>
    </cdr:from>
    <cdr:to>
      <cdr:x>0.73363</cdr:x>
      <cdr:y>0.58442</cdr:y>
    </cdr:to>
    <cdr:sp macro="" textlink="">
      <cdr:nvSpPr>
        <cdr:cNvPr id="5" name="Line Callout 2 4"/>
        <cdr:cNvSpPr/>
      </cdr:nvSpPr>
      <cdr:spPr>
        <a:xfrm xmlns:a="http://schemas.openxmlformats.org/drawingml/2006/main">
          <a:off x="5451475" y="2003425"/>
          <a:ext cx="914400" cy="342900"/>
        </a:xfrm>
        <a:prstGeom xmlns:a="http://schemas.openxmlformats.org/drawingml/2006/main"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151389"/>
            <a:gd name="adj6" fmla="val -35691"/>
          </a:avLst>
        </a:prstGeom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aseline="0"/>
            <a:t>Weak wort</a:t>
          </a:r>
        </a:p>
        <a:p xmlns:a="http://schemas.openxmlformats.org/drawingml/2006/main">
          <a:r>
            <a:rPr lang="en-US" sz="800" baseline="0"/>
            <a:t>220 hl/h</a:t>
          </a:r>
          <a:endParaRPr lang="en-US" sz="800"/>
        </a:p>
      </cdr:txBody>
    </cdr:sp>
  </cdr:relSizeAnchor>
  <cdr:relSizeAnchor xmlns:cdr="http://schemas.openxmlformats.org/drawingml/2006/chartDrawing">
    <cdr:from>
      <cdr:x>0.74241</cdr:x>
      <cdr:y>0.25702</cdr:y>
    </cdr:from>
    <cdr:to>
      <cdr:x>0.84413</cdr:x>
      <cdr:y>0.32819</cdr:y>
    </cdr:to>
    <cdr:sp macro="" textlink="">
      <cdr:nvSpPr>
        <cdr:cNvPr id="6" name="Line Callout 2 5"/>
        <cdr:cNvSpPr/>
      </cdr:nvSpPr>
      <cdr:spPr>
        <a:xfrm xmlns:a="http://schemas.openxmlformats.org/drawingml/2006/main">
          <a:off x="6442075" y="1031875"/>
          <a:ext cx="882651" cy="285750"/>
        </a:xfrm>
        <a:prstGeom xmlns:a="http://schemas.openxmlformats.org/drawingml/2006/main"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52500"/>
            <a:gd name="adj6" fmla="val -68462"/>
          </a:avLst>
        </a:prstGeom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/>
            <a:t>Spent grain removal</a:t>
          </a:r>
        </a:p>
      </cdr:txBody>
    </cdr:sp>
  </cdr:relSizeAnchor>
  <cdr:relSizeAnchor xmlns:cdr="http://schemas.openxmlformats.org/drawingml/2006/chartDrawing">
    <cdr:from>
      <cdr:x>0.16629</cdr:x>
      <cdr:y>0.36734</cdr:y>
    </cdr:from>
    <cdr:to>
      <cdr:x>0.16629</cdr:x>
      <cdr:y>0.78964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07528D19-9E11-4DAC-B9A6-4D5E69387C20}"/>
            </a:ext>
          </a:extLst>
        </cdr:cNvPr>
        <cdr:cNvCxnSpPr/>
      </cdr:nvCxnSpPr>
      <cdr:spPr>
        <a:xfrm xmlns:a="http://schemas.openxmlformats.org/drawingml/2006/main">
          <a:off x="1455628" y="1474796"/>
          <a:ext cx="0" cy="169544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0.33386</cdr:x>
      <cdr:y>0.36497</cdr:y>
    </cdr:from>
    <cdr:to>
      <cdr:x>0.33386</cdr:x>
      <cdr:y>0.78727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43B8178C-A9A4-449E-BA1B-8E84A9E6AF13}"/>
            </a:ext>
          </a:extLst>
        </cdr:cNvPr>
        <cdr:cNvCxnSpPr/>
      </cdr:nvCxnSpPr>
      <cdr:spPr>
        <a:xfrm xmlns:a="http://schemas.openxmlformats.org/drawingml/2006/main">
          <a:off x="2922478" y="1465271"/>
          <a:ext cx="0" cy="169544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0.55149</cdr:x>
      <cdr:y>0.3626</cdr:y>
    </cdr:from>
    <cdr:to>
      <cdr:x>0.55149</cdr:x>
      <cdr:y>0.7849</cdr:y>
    </cdr:to>
    <cdr:cxnSp macro="">
      <cdr:nvCxnSpPr>
        <cdr:cNvPr id="9" name="Straight Connector 8">
          <a:extLst xmlns:a="http://schemas.openxmlformats.org/drawingml/2006/main">
            <a:ext uri="{FF2B5EF4-FFF2-40B4-BE49-F238E27FC236}">
              <a16:creationId xmlns:a16="http://schemas.microsoft.com/office/drawing/2014/main" id="{D96FAEB9-EE86-42F6-A0E9-54237985BE9F}"/>
            </a:ext>
          </a:extLst>
        </cdr:cNvPr>
        <cdr:cNvCxnSpPr/>
      </cdr:nvCxnSpPr>
      <cdr:spPr>
        <a:xfrm xmlns:a="http://schemas.openxmlformats.org/drawingml/2006/main">
          <a:off x="4827478" y="1455746"/>
          <a:ext cx="0" cy="169544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0.22887</cdr:x>
      <cdr:y>0.50138</cdr:y>
    </cdr:from>
    <cdr:to>
      <cdr:x>0.33425</cdr:x>
      <cdr:y>0.58679</cdr:y>
    </cdr:to>
    <cdr:sp macro="" textlink="">
      <cdr:nvSpPr>
        <cdr:cNvPr id="10" name="Line Callout 2 9"/>
        <cdr:cNvSpPr/>
      </cdr:nvSpPr>
      <cdr:spPr>
        <a:xfrm xmlns:a="http://schemas.openxmlformats.org/drawingml/2006/main">
          <a:off x="2003425" y="2012950"/>
          <a:ext cx="922441" cy="342903"/>
        </a:xfrm>
        <a:prstGeom xmlns:a="http://schemas.openxmlformats.org/drawingml/2006/main"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151389"/>
            <a:gd name="adj6" fmla="val -35691"/>
          </a:avLst>
        </a:prstGeom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aseline="0"/>
            <a:t>First wort</a:t>
          </a:r>
        </a:p>
        <a:p xmlns:a="http://schemas.openxmlformats.org/drawingml/2006/main">
          <a:r>
            <a:rPr lang="en-US" sz="800" baseline="0"/>
            <a:t>210 hl/h</a:t>
          </a:r>
          <a:endParaRPr lang="en-US" sz="800"/>
        </a:p>
      </cdr:txBody>
    </cdr:sp>
  </cdr:relSizeAnchor>
  <cdr:relSizeAnchor xmlns:cdr="http://schemas.openxmlformats.org/drawingml/2006/chartDrawing">
    <cdr:from>
      <cdr:x>0.428</cdr:x>
      <cdr:y>0.36655</cdr:y>
    </cdr:from>
    <cdr:to>
      <cdr:x>0.428</cdr:x>
      <cdr:y>0.78648</cdr:y>
    </cdr:to>
    <cdr:cxnSp macro="">
      <cdr:nvCxnSpPr>
        <cdr:cNvPr id="11" name="Straight Connector 10">
          <a:extLst xmlns:a="http://schemas.openxmlformats.org/drawingml/2006/main">
            <a:ext uri="{FF2B5EF4-FFF2-40B4-BE49-F238E27FC236}">
              <a16:creationId xmlns:a16="http://schemas.microsoft.com/office/drawing/2014/main" id="{F8B60B3D-F2CF-4F00-AE03-E770C2F96CA9}"/>
            </a:ext>
          </a:extLst>
        </cdr:cNvPr>
        <cdr:cNvCxnSpPr/>
      </cdr:nvCxnSpPr>
      <cdr:spPr>
        <a:xfrm xmlns:a="http://schemas.openxmlformats.org/drawingml/2006/main">
          <a:off x="3746500" y="1471613"/>
          <a:ext cx="0" cy="1685925"/>
        </a:xfrm>
        <a:prstGeom xmlns:a="http://schemas.openxmlformats.org/drawingml/2006/main" prst="line">
          <a:avLst/>
        </a:prstGeom>
        <a:ln xmlns:a="http://schemas.openxmlformats.org/drawingml/2006/main">
          <a:prstDash val="sysDot"/>
        </a:ln>
      </cdr:spPr>
      <cdr:style>
        <a:lnRef xmlns:a="http://schemas.openxmlformats.org/drawingml/2006/main" idx="2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1">
          <a:schemeClr val="accent2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0.51759</cdr:x>
      <cdr:y>0.23962</cdr:y>
    </cdr:from>
    <cdr:to>
      <cdr:x>0.51795</cdr:x>
      <cdr:y>0.7849</cdr:y>
    </cdr:to>
    <cdr:cxnSp macro="">
      <cdr:nvCxnSpPr>
        <cdr:cNvPr id="12" name="Straight Connector 11">
          <a:extLst xmlns:a="http://schemas.openxmlformats.org/drawingml/2006/main">
            <a:ext uri="{FF2B5EF4-FFF2-40B4-BE49-F238E27FC236}">
              <a16:creationId xmlns:a16="http://schemas.microsoft.com/office/drawing/2014/main" id="{DD85F08D-FDDE-4424-9F19-3BE6479F9100}"/>
            </a:ext>
          </a:extLst>
        </cdr:cNvPr>
        <cdr:cNvCxnSpPr/>
      </cdr:nvCxnSpPr>
      <cdr:spPr>
        <a:xfrm xmlns:a="http://schemas.openxmlformats.org/drawingml/2006/main" flipH="1">
          <a:off x="4530725" y="962025"/>
          <a:ext cx="3175" cy="2189163"/>
        </a:xfrm>
        <a:prstGeom xmlns:a="http://schemas.openxmlformats.org/drawingml/2006/main" prst="line">
          <a:avLst/>
        </a:prstGeom>
        <a:ln xmlns:a="http://schemas.openxmlformats.org/drawingml/2006/main">
          <a:prstDash val="sysDot"/>
        </a:ln>
      </cdr:spPr>
      <cdr:style>
        <a:lnRef xmlns:a="http://schemas.openxmlformats.org/drawingml/2006/main" idx="2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1">
          <a:schemeClr val="accent2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0.68299</cdr:x>
      <cdr:y>0.22618</cdr:y>
    </cdr:from>
    <cdr:to>
      <cdr:x>0.68299</cdr:x>
      <cdr:y>0.79004</cdr:y>
    </cdr:to>
    <cdr:cxnSp macro="">
      <cdr:nvCxnSpPr>
        <cdr:cNvPr id="14" name="Straight Connector 13">
          <a:extLst xmlns:a="http://schemas.openxmlformats.org/drawingml/2006/main">
            <a:ext uri="{FF2B5EF4-FFF2-40B4-BE49-F238E27FC236}">
              <a16:creationId xmlns:a16="http://schemas.microsoft.com/office/drawing/2014/main" id="{A853C39A-EEC2-4DCD-9E4C-E0D991079C85}"/>
            </a:ext>
          </a:extLst>
        </cdr:cNvPr>
        <cdr:cNvCxnSpPr/>
      </cdr:nvCxnSpPr>
      <cdr:spPr>
        <a:xfrm xmlns:a="http://schemas.openxmlformats.org/drawingml/2006/main" flipH="1">
          <a:off x="5978525" y="908050"/>
          <a:ext cx="1" cy="2263775"/>
        </a:xfrm>
        <a:prstGeom xmlns:a="http://schemas.openxmlformats.org/drawingml/2006/main" prst="line">
          <a:avLst/>
        </a:prstGeom>
        <a:ln xmlns:a="http://schemas.openxmlformats.org/drawingml/2006/main">
          <a:prstDash val="sysDot"/>
        </a:ln>
      </cdr:spPr>
      <cdr:style>
        <a:lnRef xmlns:a="http://schemas.openxmlformats.org/drawingml/2006/main" idx="2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1">
          <a:schemeClr val="accent2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0.92637</cdr:x>
      <cdr:y>0.23092</cdr:y>
    </cdr:from>
    <cdr:to>
      <cdr:x>0.92637</cdr:x>
      <cdr:y>0.79478</cdr:y>
    </cdr:to>
    <cdr:cxnSp macro="">
      <cdr:nvCxnSpPr>
        <cdr:cNvPr id="16" name="Straight Connector 15">
          <a:extLst xmlns:a="http://schemas.openxmlformats.org/drawingml/2006/main">
            <a:ext uri="{FF2B5EF4-FFF2-40B4-BE49-F238E27FC236}">
              <a16:creationId xmlns:a16="http://schemas.microsoft.com/office/drawing/2014/main" id="{9F14A7D0-0FC0-426A-9ABF-21741664C776}"/>
            </a:ext>
          </a:extLst>
        </cdr:cNvPr>
        <cdr:cNvCxnSpPr/>
      </cdr:nvCxnSpPr>
      <cdr:spPr>
        <a:xfrm xmlns:a="http://schemas.openxmlformats.org/drawingml/2006/main" flipH="1">
          <a:off x="8108950" y="927100"/>
          <a:ext cx="1" cy="2263775"/>
        </a:xfrm>
        <a:prstGeom xmlns:a="http://schemas.openxmlformats.org/drawingml/2006/main" prst="line">
          <a:avLst/>
        </a:prstGeom>
        <a:ln xmlns:a="http://schemas.openxmlformats.org/drawingml/2006/main">
          <a:prstDash val="sysDot"/>
        </a:ln>
      </cdr:spPr>
      <cdr:style>
        <a:lnRef xmlns:a="http://schemas.openxmlformats.org/drawingml/2006/main" idx="2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1">
          <a:schemeClr val="accent2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0.98186</cdr:x>
      <cdr:y>0.23092</cdr:y>
    </cdr:from>
    <cdr:to>
      <cdr:x>0.98186</cdr:x>
      <cdr:y>0.79478</cdr:y>
    </cdr:to>
    <cdr:cxnSp macro="">
      <cdr:nvCxnSpPr>
        <cdr:cNvPr id="17" name="Straight Connector 16">
          <a:extLst xmlns:a="http://schemas.openxmlformats.org/drawingml/2006/main">
            <a:ext uri="{FF2B5EF4-FFF2-40B4-BE49-F238E27FC236}">
              <a16:creationId xmlns:a16="http://schemas.microsoft.com/office/drawing/2014/main" id="{3AF94D6B-BD25-4CF2-ADB6-651A98443C6A}"/>
            </a:ext>
          </a:extLst>
        </cdr:cNvPr>
        <cdr:cNvCxnSpPr/>
      </cdr:nvCxnSpPr>
      <cdr:spPr>
        <a:xfrm xmlns:a="http://schemas.openxmlformats.org/drawingml/2006/main" flipH="1">
          <a:off x="8594725" y="927100"/>
          <a:ext cx="1" cy="2263775"/>
        </a:xfrm>
        <a:prstGeom xmlns:a="http://schemas.openxmlformats.org/drawingml/2006/main" prst="line">
          <a:avLst/>
        </a:prstGeom>
        <a:ln xmlns:a="http://schemas.openxmlformats.org/drawingml/2006/main">
          <a:prstDash val="sysDot"/>
        </a:ln>
      </cdr:spPr>
      <cdr:style>
        <a:lnRef xmlns:a="http://schemas.openxmlformats.org/drawingml/2006/main" idx="2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1">
          <a:schemeClr val="accent2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0.55169</cdr:x>
      <cdr:y>0.11625</cdr:y>
    </cdr:from>
    <cdr:to>
      <cdr:x>0.63439</cdr:x>
      <cdr:y>0.17794</cdr:y>
    </cdr:to>
    <cdr:sp macro="" textlink="">
      <cdr:nvSpPr>
        <cdr:cNvPr id="18" name="Line Callout 2 17"/>
        <cdr:cNvSpPr/>
      </cdr:nvSpPr>
      <cdr:spPr>
        <a:xfrm xmlns:a="http://schemas.openxmlformats.org/drawingml/2006/main">
          <a:off x="4829175" y="466725"/>
          <a:ext cx="723900" cy="247650"/>
        </a:xfrm>
        <a:prstGeom xmlns:a="http://schemas.openxmlformats.org/drawingml/2006/main"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89423"/>
            <a:gd name="adj6" fmla="val -38772"/>
          </a:avLst>
        </a:prstGeom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SOB</a:t>
          </a:r>
        </a:p>
      </cdr:txBody>
    </cdr:sp>
  </cdr:relSizeAnchor>
  <cdr:relSizeAnchor xmlns:cdr="http://schemas.openxmlformats.org/drawingml/2006/chartDrawing">
    <cdr:from>
      <cdr:x>0.72942</cdr:x>
      <cdr:y>0.1123</cdr:y>
    </cdr:from>
    <cdr:to>
      <cdr:x>0.85092</cdr:x>
      <cdr:y>0.17398</cdr:y>
    </cdr:to>
    <cdr:sp macro="" textlink="">
      <cdr:nvSpPr>
        <cdr:cNvPr id="19" name="Line Callout 2 18"/>
        <cdr:cNvSpPr/>
      </cdr:nvSpPr>
      <cdr:spPr>
        <a:xfrm xmlns:a="http://schemas.openxmlformats.org/drawingml/2006/main">
          <a:off x="6384924" y="450850"/>
          <a:ext cx="1063625" cy="247650"/>
        </a:xfrm>
        <a:prstGeom xmlns:a="http://schemas.openxmlformats.org/drawingml/2006/main"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89423"/>
            <a:gd name="adj6" fmla="val -38772"/>
          </a:avLst>
        </a:prstGeom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/>
            <a:t>Kettle full boil</a:t>
          </a:r>
        </a:p>
      </cdr:txBody>
    </cdr:sp>
  </cdr:relSizeAnchor>
  <cdr:relSizeAnchor xmlns:cdr="http://schemas.openxmlformats.org/drawingml/2006/chartDrawing">
    <cdr:from>
      <cdr:x>0.87849</cdr:x>
      <cdr:y>0.0862</cdr:y>
    </cdr:from>
    <cdr:to>
      <cdr:x>1</cdr:x>
      <cdr:y>0.14788</cdr:y>
    </cdr:to>
    <cdr:sp macro="" textlink="">
      <cdr:nvSpPr>
        <cdr:cNvPr id="20" name="Line Callout 2 19"/>
        <cdr:cNvSpPr/>
      </cdr:nvSpPr>
      <cdr:spPr>
        <a:xfrm xmlns:a="http://schemas.openxmlformats.org/drawingml/2006/main">
          <a:off x="7689850" y="346075"/>
          <a:ext cx="1063625" cy="247650"/>
        </a:xfrm>
        <a:prstGeom xmlns:a="http://schemas.openxmlformats.org/drawingml/2006/main"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235577"/>
            <a:gd name="adj6" fmla="val 40034"/>
          </a:avLst>
        </a:prstGeom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/>
            <a:t>Knock out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10</xdr:row>
      <xdr:rowOff>57150</xdr:rowOff>
    </xdr:from>
    <xdr:to>
      <xdr:col>8</xdr:col>
      <xdr:colOff>25400</xdr:colOff>
      <xdr:row>14</xdr:row>
      <xdr:rowOff>63500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1898650"/>
          <a:ext cx="1962150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62387</xdr:colOff>
      <xdr:row>0</xdr:row>
      <xdr:rowOff>95249</xdr:rowOff>
    </xdr:from>
    <xdr:to>
      <xdr:col>2</xdr:col>
      <xdr:colOff>1090933</xdr:colOff>
      <xdr:row>0</xdr:row>
      <xdr:rowOff>409574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182"/>
        <a:stretch/>
      </xdr:blipFill>
      <xdr:spPr bwMode="auto">
        <a:xfrm>
          <a:off x="214787" y="95249"/>
          <a:ext cx="1460346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37</xdr:row>
          <xdr:rowOff>50800</xdr:rowOff>
        </xdr:from>
        <xdr:to>
          <xdr:col>4</xdr:col>
          <xdr:colOff>349250</xdr:colOff>
          <xdr:row>37</xdr:row>
          <xdr:rowOff>260350</xdr:rowOff>
        </xdr:to>
        <xdr:sp macro="" textlink="">
          <xdr:nvSpPr>
            <xdr:cNvPr id="553985" name="Check Box 1" hidden="1">
              <a:extLst>
                <a:ext uri="{63B3BB69-23CF-44E3-9099-C40C66FF867C}">
                  <a14:compatExt spid="_x0000_s553985"/>
                </a:ext>
                <a:ext uri="{FF2B5EF4-FFF2-40B4-BE49-F238E27FC236}">
                  <a16:creationId xmlns:a16="http://schemas.microsoft.com/office/drawing/2014/main" id="{00000000-0008-0000-1200-000001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127000</xdr:colOff>
          <xdr:row>15</xdr:row>
          <xdr:rowOff>38100</xdr:rowOff>
        </xdr:from>
        <xdr:to>
          <xdr:col>4</xdr:col>
          <xdr:colOff>342900</xdr:colOff>
          <xdr:row>15</xdr:row>
          <xdr:rowOff>222250</xdr:rowOff>
        </xdr:to>
        <xdr:sp macro="" textlink="">
          <xdr:nvSpPr>
            <xdr:cNvPr id="553986" name="Check Box 2" hidden="1">
              <a:extLst>
                <a:ext uri="{63B3BB69-23CF-44E3-9099-C40C66FF867C}">
                  <a14:compatExt spid="_x0000_s553986"/>
                </a:ext>
                <a:ext uri="{FF2B5EF4-FFF2-40B4-BE49-F238E27FC236}">
                  <a16:creationId xmlns:a16="http://schemas.microsoft.com/office/drawing/2014/main" id="{00000000-0008-0000-1200-000002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73</xdr:row>
          <xdr:rowOff>44450</xdr:rowOff>
        </xdr:from>
        <xdr:to>
          <xdr:col>4</xdr:col>
          <xdr:colOff>349250</xdr:colOff>
          <xdr:row>73</xdr:row>
          <xdr:rowOff>222250</xdr:rowOff>
        </xdr:to>
        <xdr:sp macro="" textlink="">
          <xdr:nvSpPr>
            <xdr:cNvPr id="553987" name="Check Box 3" hidden="1">
              <a:extLst>
                <a:ext uri="{63B3BB69-23CF-44E3-9099-C40C66FF867C}">
                  <a14:compatExt spid="_x0000_s553987"/>
                </a:ext>
                <a:ext uri="{FF2B5EF4-FFF2-40B4-BE49-F238E27FC236}">
                  <a16:creationId xmlns:a16="http://schemas.microsoft.com/office/drawing/2014/main" id="{00000000-0008-0000-1200-000003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74</xdr:row>
          <xdr:rowOff>44450</xdr:rowOff>
        </xdr:from>
        <xdr:to>
          <xdr:col>4</xdr:col>
          <xdr:colOff>349250</xdr:colOff>
          <xdr:row>74</xdr:row>
          <xdr:rowOff>222250</xdr:rowOff>
        </xdr:to>
        <xdr:sp macro="" textlink="">
          <xdr:nvSpPr>
            <xdr:cNvPr id="553988" name="Check Box 4" hidden="1">
              <a:extLst>
                <a:ext uri="{63B3BB69-23CF-44E3-9099-C40C66FF867C}">
                  <a14:compatExt spid="_x0000_s553988"/>
                </a:ext>
                <a:ext uri="{FF2B5EF4-FFF2-40B4-BE49-F238E27FC236}">
                  <a16:creationId xmlns:a16="http://schemas.microsoft.com/office/drawing/2014/main" id="{00000000-0008-0000-1200-000004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75</xdr:row>
          <xdr:rowOff>44450</xdr:rowOff>
        </xdr:from>
        <xdr:to>
          <xdr:col>4</xdr:col>
          <xdr:colOff>349250</xdr:colOff>
          <xdr:row>75</xdr:row>
          <xdr:rowOff>222250</xdr:rowOff>
        </xdr:to>
        <xdr:sp macro="" textlink="">
          <xdr:nvSpPr>
            <xdr:cNvPr id="553989" name="Check Box 5" hidden="1">
              <a:extLst>
                <a:ext uri="{63B3BB69-23CF-44E3-9099-C40C66FF867C}">
                  <a14:compatExt spid="_x0000_s553989"/>
                </a:ext>
                <a:ext uri="{FF2B5EF4-FFF2-40B4-BE49-F238E27FC236}">
                  <a16:creationId xmlns:a16="http://schemas.microsoft.com/office/drawing/2014/main" id="{00000000-0008-0000-1200-000005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76</xdr:row>
          <xdr:rowOff>44450</xdr:rowOff>
        </xdr:from>
        <xdr:to>
          <xdr:col>4</xdr:col>
          <xdr:colOff>349250</xdr:colOff>
          <xdr:row>76</xdr:row>
          <xdr:rowOff>222250</xdr:rowOff>
        </xdr:to>
        <xdr:sp macro="" textlink="">
          <xdr:nvSpPr>
            <xdr:cNvPr id="553990" name="Check Box 6" hidden="1">
              <a:extLst>
                <a:ext uri="{63B3BB69-23CF-44E3-9099-C40C66FF867C}">
                  <a14:compatExt spid="_x0000_s553990"/>
                </a:ext>
                <a:ext uri="{FF2B5EF4-FFF2-40B4-BE49-F238E27FC236}">
                  <a16:creationId xmlns:a16="http://schemas.microsoft.com/office/drawing/2014/main" id="{00000000-0008-0000-1200-000006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82</xdr:row>
          <xdr:rowOff>88900</xdr:rowOff>
        </xdr:from>
        <xdr:to>
          <xdr:col>4</xdr:col>
          <xdr:colOff>349250</xdr:colOff>
          <xdr:row>82</xdr:row>
          <xdr:rowOff>266700</xdr:rowOff>
        </xdr:to>
        <xdr:sp macro="" textlink="">
          <xdr:nvSpPr>
            <xdr:cNvPr id="553991" name="Check Box 7" hidden="1">
              <a:extLst>
                <a:ext uri="{63B3BB69-23CF-44E3-9099-C40C66FF867C}">
                  <a14:compatExt spid="_x0000_s553991"/>
                </a:ext>
                <a:ext uri="{FF2B5EF4-FFF2-40B4-BE49-F238E27FC236}">
                  <a16:creationId xmlns:a16="http://schemas.microsoft.com/office/drawing/2014/main" id="{00000000-0008-0000-1200-000007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241300</xdr:colOff>
          <xdr:row>9</xdr:row>
          <xdr:rowOff>69850</xdr:rowOff>
        </xdr:from>
        <xdr:to>
          <xdr:col>10</xdr:col>
          <xdr:colOff>457200</xdr:colOff>
          <xdr:row>9</xdr:row>
          <xdr:rowOff>260350</xdr:rowOff>
        </xdr:to>
        <xdr:sp macro="" textlink="">
          <xdr:nvSpPr>
            <xdr:cNvPr id="553992" name="Check Box 8" hidden="1">
              <a:extLst>
                <a:ext uri="{63B3BB69-23CF-44E3-9099-C40C66FF867C}">
                  <a14:compatExt spid="_x0000_s553992"/>
                </a:ext>
                <a:ext uri="{FF2B5EF4-FFF2-40B4-BE49-F238E27FC236}">
                  <a16:creationId xmlns:a16="http://schemas.microsoft.com/office/drawing/2014/main" id="{00000000-0008-0000-1200-000008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57</xdr:row>
          <xdr:rowOff>63500</xdr:rowOff>
        </xdr:from>
        <xdr:to>
          <xdr:col>10</xdr:col>
          <xdr:colOff>673100</xdr:colOff>
          <xdr:row>57</xdr:row>
          <xdr:rowOff>241300</xdr:rowOff>
        </xdr:to>
        <xdr:sp macro="" textlink="">
          <xdr:nvSpPr>
            <xdr:cNvPr id="553993" name="Check Box 9" hidden="1">
              <a:extLst>
                <a:ext uri="{63B3BB69-23CF-44E3-9099-C40C66FF867C}">
                  <a14:compatExt spid="_x0000_s553993"/>
                </a:ext>
                <a:ext uri="{FF2B5EF4-FFF2-40B4-BE49-F238E27FC236}">
                  <a16:creationId xmlns:a16="http://schemas.microsoft.com/office/drawing/2014/main" id="{00000000-0008-0000-1200-000009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57</xdr:row>
          <xdr:rowOff>63500</xdr:rowOff>
        </xdr:from>
        <xdr:to>
          <xdr:col>11</xdr:col>
          <xdr:colOff>469900</xdr:colOff>
          <xdr:row>57</xdr:row>
          <xdr:rowOff>241300</xdr:rowOff>
        </xdr:to>
        <xdr:sp macro="" textlink="">
          <xdr:nvSpPr>
            <xdr:cNvPr id="553994" name="Check Box 10" hidden="1">
              <a:extLst>
                <a:ext uri="{63B3BB69-23CF-44E3-9099-C40C66FF867C}">
                  <a14:compatExt spid="_x0000_s553994"/>
                </a:ext>
                <a:ext uri="{FF2B5EF4-FFF2-40B4-BE49-F238E27FC236}">
                  <a16:creationId xmlns:a16="http://schemas.microsoft.com/office/drawing/2014/main" id="{00000000-0008-0000-1200-00000A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58</xdr:row>
          <xdr:rowOff>63500</xdr:rowOff>
        </xdr:from>
        <xdr:to>
          <xdr:col>10</xdr:col>
          <xdr:colOff>673100</xdr:colOff>
          <xdr:row>58</xdr:row>
          <xdr:rowOff>241300</xdr:rowOff>
        </xdr:to>
        <xdr:sp macro="" textlink="">
          <xdr:nvSpPr>
            <xdr:cNvPr id="553995" name="Check Box 11" hidden="1">
              <a:extLst>
                <a:ext uri="{63B3BB69-23CF-44E3-9099-C40C66FF867C}">
                  <a14:compatExt spid="_x0000_s553995"/>
                </a:ext>
                <a:ext uri="{FF2B5EF4-FFF2-40B4-BE49-F238E27FC236}">
                  <a16:creationId xmlns:a16="http://schemas.microsoft.com/office/drawing/2014/main" id="{00000000-0008-0000-1200-00000B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58</xdr:row>
          <xdr:rowOff>63500</xdr:rowOff>
        </xdr:from>
        <xdr:to>
          <xdr:col>11</xdr:col>
          <xdr:colOff>469900</xdr:colOff>
          <xdr:row>58</xdr:row>
          <xdr:rowOff>241300</xdr:rowOff>
        </xdr:to>
        <xdr:sp macro="" textlink="">
          <xdr:nvSpPr>
            <xdr:cNvPr id="553996" name="Check Box 12" hidden="1">
              <a:extLst>
                <a:ext uri="{63B3BB69-23CF-44E3-9099-C40C66FF867C}">
                  <a14:compatExt spid="_x0000_s553996"/>
                </a:ext>
                <a:ext uri="{FF2B5EF4-FFF2-40B4-BE49-F238E27FC236}">
                  <a16:creationId xmlns:a16="http://schemas.microsoft.com/office/drawing/2014/main" id="{00000000-0008-0000-1200-00000C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666751</xdr:colOff>
      <xdr:row>0</xdr:row>
      <xdr:rowOff>19050</xdr:rowOff>
    </xdr:from>
    <xdr:to>
      <xdr:col>11</xdr:col>
      <xdr:colOff>17781</xdr:colOff>
      <xdr:row>1</xdr:row>
      <xdr:rowOff>153818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5951" y="19050"/>
          <a:ext cx="1471930" cy="560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81</xdr:row>
          <xdr:rowOff>44450</xdr:rowOff>
        </xdr:from>
        <xdr:to>
          <xdr:col>4</xdr:col>
          <xdr:colOff>349250</xdr:colOff>
          <xdr:row>81</xdr:row>
          <xdr:rowOff>222250</xdr:rowOff>
        </xdr:to>
        <xdr:sp macro="" textlink="">
          <xdr:nvSpPr>
            <xdr:cNvPr id="553997" name="Check Box 13" hidden="1">
              <a:extLst>
                <a:ext uri="{63B3BB69-23CF-44E3-9099-C40C66FF867C}">
                  <a14:compatExt spid="_x0000_s553997"/>
                </a:ext>
                <a:ext uri="{FF2B5EF4-FFF2-40B4-BE49-F238E27FC236}">
                  <a16:creationId xmlns:a16="http://schemas.microsoft.com/office/drawing/2014/main" id="{00000000-0008-0000-1200-00000D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57</xdr:row>
          <xdr:rowOff>63500</xdr:rowOff>
        </xdr:from>
        <xdr:to>
          <xdr:col>10</xdr:col>
          <xdr:colOff>673100</xdr:colOff>
          <xdr:row>57</xdr:row>
          <xdr:rowOff>241300</xdr:rowOff>
        </xdr:to>
        <xdr:sp macro="" textlink="">
          <xdr:nvSpPr>
            <xdr:cNvPr id="553998" name="Check Box 14" hidden="1">
              <a:extLst>
                <a:ext uri="{63B3BB69-23CF-44E3-9099-C40C66FF867C}">
                  <a14:compatExt spid="_x0000_s553998"/>
                </a:ext>
                <a:ext uri="{FF2B5EF4-FFF2-40B4-BE49-F238E27FC236}">
                  <a16:creationId xmlns:a16="http://schemas.microsoft.com/office/drawing/2014/main" id="{00000000-0008-0000-1200-00000E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57</xdr:row>
          <xdr:rowOff>63500</xdr:rowOff>
        </xdr:from>
        <xdr:to>
          <xdr:col>11</xdr:col>
          <xdr:colOff>469900</xdr:colOff>
          <xdr:row>57</xdr:row>
          <xdr:rowOff>241300</xdr:rowOff>
        </xdr:to>
        <xdr:sp macro="" textlink="">
          <xdr:nvSpPr>
            <xdr:cNvPr id="553999" name="Check Box 15" hidden="1">
              <a:extLst>
                <a:ext uri="{63B3BB69-23CF-44E3-9099-C40C66FF867C}">
                  <a14:compatExt spid="_x0000_s553999"/>
                </a:ext>
                <a:ext uri="{FF2B5EF4-FFF2-40B4-BE49-F238E27FC236}">
                  <a16:creationId xmlns:a16="http://schemas.microsoft.com/office/drawing/2014/main" id="{00000000-0008-0000-1200-00000F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58</xdr:row>
          <xdr:rowOff>63500</xdr:rowOff>
        </xdr:from>
        <xdr:to>
          <xdr:col>10</xdr:col>
          <xdr:colOff>673100</xdr:colOff>
          <xdr:row>58</xdr:row>
          <xdr:rowOff>241300</xdr:rowOff>
        </xdr:to>
        <xdr:sp macro="" textlink="">
          <xdr:nvSpPr>
            <xdr:cNvPr id="554000" name="Check Box 16" hidden="1">
              <a:extLst>
                <a:ext uri="{63B3BB69-23CF-44E3-9099-C40C66FF867C}">
                  <a14:compatExt spid="_x0000_s554000"/>
                </a:ext>
                <a:ext uri="{FF2B5EF4-FFF2-40B4-BE49-F238E27FC236}">
                  <a16:creationId xmlns:a16="http://schemas.microsoft.com/office/drawing/2014/main" id="{00000000-0008-0000-1200-000010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58</xdr:row>
          <xdr:rowOff>63500</xdr:rowOff>
        </xdr:from>
        <xdr:to>
          <xdr:col>11</xdr:col>
          <xdr:colOff>469900</xdr:colOff>
          <xdr:row>58</xdr:row>
          <xdr:rowOff>241300</xdr:rowOff>
        </xdr:to>
        <xdr:sp macro="" textlink="">
          <xdr:nvSpPr>
            <xdr:cNvPr id="554001" name="Check Box 17" hidden="1">
              <a:extLst>
                <a:ext uri="{63B3BB69-23CF-44E3-9099-C40C66FF867C}">
                  <a14:compatExt spid="_x0000_s554001"/>
                </a:ext>
                <a:ext uri="{FF2B5EF4-FFF2-40B4-BE49-F238E27FC236}">
                  <a16:creationId xmlns:a16="http://schemas.microsoft.com/office/drawing/2014/main" id="{00000000-0008-0000-1200-000011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62387</xdr:colOff>
      <xdr:row>0</xdr:row>
      <xdr:rowOff>95249</xdr:rowOff>
    </xdr:from>
    <xdr:to>
      <xdr:col>2</xdr:col>
      <xdr:colOff>1090933</xdr:colOff>
      <xdr:row>0</xdr:row>
      <xdr:rowOff>409574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182"/>
        <a:stretch/>
      </xdr:blipFill>
      <xdr:spPr bwMode="auto">
        <a:xfrm>
          <a:off x="214787" y="95249"/>
          <a:ext cx="1460346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37</xdr:row>
          <xdr:rowOff>50800</xdr:rowOff>
        </xdr:from>
        <xdr:to>
          <xdr:col>4</xdr:col>
          <xdr:colOff>349250</xdr:colOff>
          <xdr:row>37</xdr:row>
          <xdr:rowOff>260350</xdr:rowOff>
        </xdr:to>
        <xdr:sp macro="" textlink="">
          <xdr:nvSpPr>
            <xdr:cNvPr id="604161" name="Check Box 1" hidden="1">
              <a:extLst>
                <a:ext uri="{63B3BB69-23CF-44E3-9099-C40C66FF867C}">
                  <a14:compatExt spid="_x0000_s604161"/>
                </a:ext>
                <a:ext uri="{FF2B5EF4-FFF2-40B4-BE49-F238E27FC236}">
                  <a16:creationId xmlns:a16="http://schemas.microsoft.com/office/drawing/2014/main" id="{00000000-0008-0000-1300-000001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127000</xdr:colOff>
          <xdr:row>15</xdr:row>
          <xdr:rowOff>38100</xdr:rowOff>
        </xdr:from>
        <xdr:to>
          <xdr:col>4</xdr:col>
          <xdr:colOff>342900</xdr:colOff>
          <xdr:row>15</xdr:row>
          <xdr:rowOff>222250</xdr:rowOff>
        </xdr:to>
        <xdr:sp macro="" textlink="">
          <xdr:nvSpPr>
            <xdr:cNvPr id="604162" name="Check Box 2" hidden="1">
              <a:extLst>
                <a:ext uri="{63B3BB69-23CF-44E3-9099-C40C66FF867C}">
                  <a14:compatExt spid="_x0000_s604162"/>
                </a:ext>
                <a:ext uri="{FF2B5EF4-FFF2-40B4-BE49-F238E27FC236}">
                  <a16:creationId xmlns:a16="http://schemas.microsoft.com/office/drawing/2014/main" id="{00000000-0008-0000-1300-000002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73</xdr:row>
          <xdr:rowOff>44450</xdr:rowOff>
        </xdr:from>
        <xdr:to>
          <xdr:col>4</xdr:col>
          <xdr:colOff>349250</xdr:colOff>
          <xdr:row>73</xdr:row>
          <xdr:rowOff>222250</xdr:rowOff>
        </xdr:to>
        <xdr:sp macro="" textlink="">
          <xdr:nvSpPr>
            <xdr:cNvPr id="604163" name="Check Box 3" hidden="1">
              <a:extLst>
                <a:ext uri="{63B3BB69-23CF-44E3-9099-C40C66FF867C}">
                  <a14:compatExt spid="_x0000_s604163"/>
                </a:ext>
                <a:ext uri="{FF2B5EF4-FFF2-40B4-BE49-F238E27FC236}">
                  <a16:creationId xmlns:a16="http://schemas.microsoft.com/office/drawing/2014/main" id="{00000000-0008-0000-1300-000003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74</xdr:row>
          <xdr:rowOff>44450</xdr:rowOff>
        </xdr:from>
        <xdr:to>
          <xdr:col>4</xdr:col>
          <xdr:colOff>349250</xdr:colOff>
          <xdr:row>74</xdr:row>
          <xdr:rowOff>222250</xdr:rowOff>
        </xdr:to>
        <xdr:sp macro="" textlink="">
          <xdr:nvSpPr>
            <xdr:cNvPr id="604164" name="Check Box 4" hidden="1">
              <a:extLst>
                <a:ext uri="{63B3BB69-23CF-44E3-9099-C40C66FF867C}">
                  <a14:compatExt spid="_x0000_s604164"/>
                </a:ext>
                <a:ext uri="{FF2B5EF4-FFF2-40B4-BE49-F238E27FC236}">
                  <a16:creationId xmlns:a16="http://schemas.microsoft.com/office/drawing/2014/main" id="{00000000-0008-0000-1300-000004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75</xdr:row>
          <xdr:rowOff>44450</xdr:rowOff>
        </xdr:from>
        <xdr:to>
          <xdr:col>4</xdr:col>
          <xdr:colOff>349250</xdr:colOff>
          <xdr:row>75</xdr:row>
          <xdr:rowOff>222250</xdr:rowOff>
        </xdr:to>
        <xdr:sp macro="" textlink="">
          <xdr:nvSpPr>
            <xdr:cNvPr id="604165" name="Check Box 5" hidden="1">
              <a:extLst>
                <a:ext uri="{63B3BB69-23CF-44E3-9099-C40C66FF867C}">
                  <a14:compatExt spid="_x0000_s604165"/>
                </a:ext>
                <a:ext uri="{FF2B5EF4-FFF2-40B4-BE49-F238E27FC236}">
                  <a16:creationId xmlns:a16="http://schemas.microsoft.com/office/drawing/2014/main" id="{00000000-0008-0000-1300-000005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76</xdr:row>
          <xdr:rowOff>44450</xdr:rowOff>
        </xdr:from>
        <xdr:to>
          <xdr:col>4</xdr:col>
          <xdr:colOff>349250</xdr:colOff>
          <xdr:row>76</xdr:row>
          <xdr:rowOff>222250</xdr:rowOff>
        </xdr:to>
        <xdr:sp macro="" textlink="">
          <xdr:nvSpPr>
            <xdr:cNvPr id="604166" name="Check Box 6" hidden="1">
              <a:extLst>
                <a:ext uri="{63B3BB69-23CF-44E3-9099-C40C66FF867C}">
                  <a14:compatExt spid="_x0000_s604166"/>
                </a:ext>
                <a:ext uri="{FF2B5EF4-FFF2-40B4-BE49-F238E27FC236}">
                  <a16:creationId xmlns:a16="http://schemas.microsoft.com/office/drawing/2014/main" id="{00000000-0008-0000-1300-000006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82</xdr:row>
          <xdr:rowOff>88900</xdr:rowOff>
        </xdr:from>
        <xdr:to>
          <xdr:col>4</xdr:col>
          <xdr:colOff>349250</xdr:colOff>
          <xdr:row>82</xdr:row>
          <xdr:rowOff>266700</xdr:rowOff>
        </xdr:to>
        <xdr:sp macro="" textlink="">
          <xdr:nvSpPr>
            <xdr:cNvPr id="604167" name="Check Box 7" hidden="1">
              <a:extLst>
                <a:ext uri="{63B3BB69-23CF-44E3-9099-C40C66FF867C}">
                  <a14:compatExt spid="_x0000_s604167"/>
                </a:ext>
                <a:ext uri="{FF2B5EF4-FFF2-40B4-BE49-F238E27FC236}">
                  <a16:creationId xmlns:a16="http://schemas.microsoft.com/office/drawing/2014/main" id="{00000000-0008-0000-1300-000007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241300</xdr:colOff>
          <xdr:row>9</xdr:row>
          <xdr:rowOff>69850</xdr:rowOff>
        </xdr:from>
        <xdr:to>
          <xdr:col>10</xdr:col>
          <xdr:colOff>457200</xdr:colOff>
          <xdr:row>9</xdr:row>
          <xdr:rowOff>260350</xdr:rowOff>
        </xdr:to>
        <xdr:sp macro="" textlink="">
          <xdr:nvSpPr>
            <xdr:cNvPr id="604168" name="Check Box 8" hidden="1">
              <a:extLst>
                <a:ext uri="{63B3BB69-23CF-44E3-9099-C40C66FF867C}">
                  <a14:compatExt spid="_x0000_s604168"/>
                </a:ext>
                <a:ext uri="{FF2B5EF4-FFF2-40B4-BE49-F238E27FC236}">
                  <a16:creationId xmlns:a16="http://schemas.microsoft.com/office/drawing/2014/main" id="{00000000-0008-0000-1300-000008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57</xdr:row>
          <xdr:rowOff>63500</xdr:rowOff>
        </xdr:from>
        <xdr:to>
          <xdr:col>10</xdr:col>
          <xdr:colOff>673100</xdr:colOff>
          <xdr:row>57</xdr:row>
          <xdr:rowOff>241300</xdr:rowOff>
        </xdr:to>
        <xdr:sp macro="" textlink="">
          <xdr:nvSpPr>
            <xdr:cNvPr id="604169" name="Check Box 9" hidden="1">
              <a:extLst>
                <a:ext uri="{63B3BB69-23CF-44E3-9099-C40C66FF867C}">
                  <a14:compatExt spid="_x0000_s604169"/>
                </a:ext>
                <a:ext uri="{FF2B5EF4-FFF2-40B4-BE49-F238E27FC236}">
                  <a16:creationId xmlns:a16="http://schemas.microsoft.com/office/drawing/2014/main" id="{00000000-0008-0000-1300-000009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57</xdr:row>
          <xdr:rowOff>63500</xdr:rowOff>
        </xdr:from>
        <xdr:to>
          <xdr:col>11</xdr:col>
          <xdr:colOff>469900</xdr:colOff>
          <xdr:row>57</xdr:row>
          <xdr:rowOff>241300</xdr:rowOff>
        </xdr:to>
        <xdr:sp macro="" textlink="">
          <xdr:nvSpPr>
            <xdr:cNvPr id="604170" name="Check Box 10" hidden="1">
              <a:extLst>
                <a:ext uri="{63B3BB69-23CF-44E3-9099-C40C66FF867C}">
                  <a14:compatExt spid="_x0000_s604170"/>
                </a:ext>
                <a:ext uri="{FF2B5EF4-FFF2-40B4-BE49-F238E27FC236}">
                  <a16:creationId xmlns:a16="http://schemas.microsoft.com/office/drawing/2014/main" id="{00000000-0008-0000-1300-00000A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58</xdr:row>
          <xdr:rowOff>63500</xdr:rowOff>
        </xdr:from>
        <xdr:to>
          <xdr:col>10</xdr:col>
          <xdr:colOff>673100</xdr:colOff>
          <xdr:row>58</xdr:row>
          <xdr:rowOff>241300</xdr:rowOff>
        </xdr:to>
        <xdr:sp macro="" textlink="">
          <xdr:nvSpPr>
            <xdr:cNvPr id="604171" name="Check Box 11" hidden="1">
              <a:extLst>
                <a:ext uri="{63B3BB69-23CF-44E3-9099-C40C66FF867C}">
                  <a14:compatExt spid="_x0000_s604171"/>
                </a:ext>
                <a:ext uri="{FF2B5EF4-FFF2-40B4-BE49-F238E27FC236}">
                  <a16:creationId xmlns:a16="http://schemas.microsoft.com/office/drawing/2014/main" id="{00000000-0008-0000-1300-00000B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58</xdr:row>
          <xdr:rowOff>63500</xdr:rowOff>
        </xdr:from>
        <xdr:to>
          <xdr:col>11</xdr:col>
          <xdr:colOff>469900</xdr:colOff>
          <xdr:row>58</xdr:row>
          <xdr:rowOff>241300</xdr:rowOff>
        </xdr:to>
        <xdr:sp macro="" textlink="">
          <xdr:nvSpPr>
            <xdr:cNvPr id="604172" name="Check Box 12" hidden="1">
              <a:extLst>
                <a:ext uri="{63B3BB69-23CF-44E3-9099-C40C66FF867C}">
                  <a14:compatExt spid="_x0000_s604172"/>
                </a:ext>
                <a:ext uri="{FF2B5EF4-FFF2-40B4-BE49-F238E27FC236}">
                  <a16:creationId xmlns:a16="http://schemas.microsoft.com/office/drawing/2014/main" id="{00000000-0008-0000-1300-00000C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666751</xdr:colOff>
      <xdr:row>0</xdr:row>
      <xdr:rowOff>19050</xdr:rowOff>
    </xdr:from>
    <xdr:to>
      <xdr:col>11</xdr:col>
      <xdr:colOff>17781</xdr:colOff>
      <xdr:row>1</xdr:row>
      <xdr:rowOff>153818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5951" y="19050"/>
          <a:ext cx="1471930" cy="560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81</xdr:row>
          <xdr:rowOff>44450</xdr:rowOff>
        </xdr:from>
        <xdr:to>
          <xdr:col>4</xdr:col>
          <xdr:colOff>349250</xdr:colOff>
          <xdr:row>81</xdr:row>
          <xdr:rowOff>222250</xdr:rowOff>
        </xdr:to>
        <xdr:sp macro="" textlink="">
          <xdr:nvSpPr>
            <xdr:cNvPr id="604173" name="Check Box 13" hidden="1">
              <a:extLst>
                <a:ext uri="{63B3BB69-23CF-44E3-9099-C40C66FF867C}">
                  <a14:compatExt spid="_x0000_s604173"/>
                </a:ext>
                <a:ext uri="{FF2B5EF4-FFF2-40B4-BE49-F238E27FC236}">
                  <a16:creationId xmlns:a16="http://schemas.microsoft.com/office/drawing/2014/main" id="{00000000-0008-0000-1300-00000D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57</xdr:row>
          <xdr:rowOff>63500</xdr:rowOff>
        </xdr:from>
        <xdr:to>
          <xdr:col>10</xdr:col>
          <xdr:colOff>673100</xdr:colOff>
          <xdr:row>57</xdr:row>
          <xdr:rowOff>241300</xdr:rowOff>
        </xdr:to>
        <xdr:sp macro="" textlink="">
          <xdr:nvSpPr>
            <xdr:cNvPr id="604174" name="Check Box 14" hidden="1">
              <a:extLst>
                <a:ext uri="{63B3BB69-23CF-44E3-9099-C40C66FF867C}">
                  <a14:compatExt spid="_x0000_s604174"/>
                </a:ext>
                <a:ext uri="{FF2B5EF4-FFF2-40B4-BE49-F238E27FC236}">
                  <a16:creationId xmlns:a16="http://schemas.microsoft.com/office/drawing/2014/main" id="{00000000-0008-0000-1300-00000E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57</xdr:row>
          <xdr:rowOff>63500</xdr:rowOff>
        </xdr:from>
        <xdr:to>
          <xdr:col>11</xdr:col>
          <xdr:colOff>469900</xdr:colOff>
          <xdr:row>57</xdr:row>
          <xdr:rowOff>241300</xdr:rowOff>
        </xdr:to>
        <xdr:sp macro="" textlink="">
          <xdr:nvSpPr>
            <xdr:cNvPr id="604175" name="Check Box 15" hidden="1">
              <a:extLst>
                <a:ext uri="{63B3BB69-23CF-44E3-9099-C40C66FF867C}">
                  <a14:compatExt spid="_x0000_s604175"/>
                </a:ext>
                <a:ext uri="{FF2B5EF4-FFF2-40B4-BE49-F238E27FC236}">
                  <a16:creationId xmlns:a16="http://schemas.microsoft.com/office/drawing/2014/main" id="{00000000-0008-0000-1300-00000F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58</xdr:row>
          <xdr:rowOff>63500</xdr:rowOff>
        </xdr:from>
        <xdr:to>
          <xdr:col>10</xdr:col>
          <xdr:colOff>673100</xdr:colOff>
          <xdr:row>58</xdr:row>
          <xdr:rowOff>241300</xdr:rowOff>
        </xdr:to>
        <xdr:sp macro="" textlink="">
          <xdr:nvSpPr>
            <xdr:cNvPr id="604176" name="Check Box 16" hidden="1">
              <a:extLst>
                <a:ext uri="{63B3BB69-23CF-44E3-9099-C40C66FF867C}">
                  <a14:compatExt spid="_x0000_s604176"/>
                </a:ext>
                <a:ext uri="{FF2B5EF4-FFF2-40B4-BE49-F238E27FC236}">
                  <a16:creationId xmlns:a16="http://schemas.microsoft.com/office/drawing/2014/main" id="{00000000-0008-0000-1300-000010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58</xdr:row>
          <xdr:rowOff>63500</xdr:rowOff>
        </xdr:from>
        <xdr:to>
          <xdr:col>11</xdr:col>
          <xdr:colOff>469900</xdr:colOff>
          <xdr:row>58</xdr:row>
          <xdr:rowOff>241300</xdr:rowOff>
        </xdr:to>
        <xdr:sp macro="" textlink="">
          <xdr:nvSpPr>
            <xdr:cNvPr id="604177" name="Check Box 17" hidden="1">
              <a:extLst>
                <a:ext uri="{63B3BB69-23CF-44E3-9099-C40C66FF867C}">
                  <a14:compatExt spid="_x0000_s604177"/>
                </a:ext>
                <a:ext uri="{FF2B5EF4-FFF2-40B4-BE49-F238E27FC236}">
                  <a16:creationId xmlns:a16="http://schemas.microsoft.com/office/drawing/2014/main" id="{00000000-0008-0000-1300-0000113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62387</xdr:colOff>
      <xdr:row>0</xdr:row>
      <xdr:rowOff>95249</xdr:rowOff>
    </xdr:from>
    <xdr:to>
      <xdr:col>2</xdr:col>
      <xdr:colOff>1090933</xdr:colOff>
      <xdr:row>0</xdr:row>
      <xdr:rowOff>409574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182"/>
        <a:stretch/>
      </xdr:blipFill>
      <xdr:spPr bwMode="auto">
        <a:xfrm>
          <a:off x="214787" y="95249"/>
          <a:ext cx="1460346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37</xdr:row>
          <xdr:rowOff>50800</xdr:rowOff>
        </xdr:from>
        <xdr:to>
          <xdr:col>4</xdr:col>
          <xdr:colOff>349250</xdr:colOff>
          <xdr:row>37</xdr:row>
          <xdr:rowOff>260350</xdr:rowOff>
        </xdr:to>
        <xdr:sp macro="" textlink="">
          <xdr:nvSpPr>
            <xdr:cNvPr id="605185" name="Check Box 1" hidden="1">
              <a:extLst>
                <a:ext uri="{63B3BB69-23CF-44E3-9099-C40C66FF867C}">
                  <a14:compatExt spid="_x0000_s605185"/>
                </a:ext>
                <a:ext uri="{FF2B5EF4-FFF2-40B4-BE49-F238E27FC236}">
                  <a16:creationId xmlns:a16="http://schemas.microsoft.com/office/drawing/2014/main" id="{00000000-0008-0000-1400-000001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127000</xdr:colOff>
          <xdr:row>15</xdr:row>
          <xdr:rowOff>38100</xdr:rowOff>
        </xdr:from>
        <xdr:to>
          <xdr:col>4</xdr:col>
          <xdr:colOff>342900</xdr:colOff>
          <xdr:row>15</xdr:row>
          <xdr:rowOff>222250</xdr:rowOff>
        </xdr:to>
        <xdr:sp macro="" textlink="">
          <xdr:nvSpPr>
            <xdr:cNvPr id="605186" name="Check Box 2" hidden="1">
              <a:extLst>
                <a:ext uri="{63B3BB69-23CF-44E3-9099-C40C66FF867C}">
                  <a14:compatExt spid="_x0000_s605186"/>
                </a:ext>
                <a:ext uri="{FF2B5EF4-FFF2-40B4-BE49-F238E27FC236}">
                  <a16:creationId xmlns:a16="http://schemas.microsoft.com/office/drawing/2014/main" id="{00000000-0008-0000-1400-000002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73</xdr:row>
          <xdr:rowOff>44450</xdr:rowOff>
        </xdr:from>
        <xdr:to>
          <xdr:col>4</xdr:col>
          <xdr:colOff>349250</xdr:colOff>
          <xdr:row>73</xdr:row>
          <xdr:rowOff>222250</xdr:rowOff>
        </xdr:to>
        <xdr:sp macro="" textlink="">
          <xdr:nvSpPr>
            <xdr:cNvPr id="605187" name="Check Box 3" hidden="1">
              <a:extLst>
                <a:ext uri="{63B3BB69-23CF-44E3-9099-C40C66FF867C}">
                  <a14:compatExt spid="_x0000_s605187"/>
                </a:ext>
                <a:ext uri="{FF2B5EF4-FFF2-40B4-BE49-F238E27FC236}">
                  <a16:creationId xmlns:a16="http://schemas.microsoft.com/office/drawing/2014/main" id="{00000000-0008-0000-1400-000003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74</xdr:row>
          <xdr:rowOff>44450</xdr:rowOff>
        </xdr:from>
        <xdr:to>
          <xdr:col>4</xdr:col>
          <xdr:colOff>349250</xdr:colOff>
          <xdr:row>74</xdr:row>
          <xdr:rowOff>222250</xdr:rowOff>
        </xdr:to>
        <xdr:sp macro="" textlink="">
          <xdr:nvSpPr>
            <xdr:cNvPr id="605188" name="Check Box 4" hidden="1">
              <a:extLst>
                <a:ext uri="{63B3BB69-23CF-44E3-9099-C40C66FF867C}">
                  <a14:compatExt spid="_x0000_s605188"/>
                </a:ext>
                <a:ext uri="{FF2B5EF4-FFF2-40B4-BE49-F238E27FC236}">
                  <a16:creationId xmlns:a16="http://schemas.microsoft.com/office/drawing/2014/main" id="{00000000-0008-0000-1400-000004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75</xdr:row>
          <xdr:rowOff>44450</xdr:rowOff>
        </xdr:from>
        <xdr:to>
          <xdr:col>4</xdr:col>
          <xdr:colOff>349250</xdr:colOff>
          <xdr:row>75</xdr:row>
          <xdr:rowOff>222250</xdr:rowOff>
        </xdr:to>
        <xdr:sp macro="" textlink="">
          <xdr:nvSpPr>
            <xdr:cNvPr id="605189" name="Check Box 5" hidden="1">
              <a:extLst>
                <a:ext uri="{63B3BB69-23CF-44E3-9099-C40C66FF867C}">
                  <a14:compatExt spid="_x0000_s605189"/>
                </a:ext>
                <a:ext uri="{FF2B5EF4-FFF2-40B4-BE49-F238E27FC236}">
                  <a16:creationId xmlns:a16="http://schemas.microsoft.com/office/drawing/2014/main" id="{00000000-0008-0000-1400-000005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76</xdr:row>
          <xdr:rowOff>44450</xdr:rowOff>
        </xdr:from>
        <xdr:to>
          <xdr:col>4</xdr:col>
          <xdr:colOff>349250</xdr:colOff>
          <xdr:row>76</xdr:row>
          <xdr:rowOff>222250</xdr:rowOff>
        </xdr:to>
        <xdr:sp macro="" textlink="">
          <xdr:nvSpPr>
            <xdr:cNvPr id="605190" name="Check Box 6" hidden="1">
              <a:extLst>
                <a:ext uri="{63B3BB69-23CF-44E3-9099-C40C66FF867C}">
                  <a14:compatExt spid="_x0000_s605190"/>
                </a:ext>
                <a:ext uri="{FF2B5EF4-FFF2-40B4-BE49-F238E27FC236}">
                  <a16:creationId xmlns:a16="http://schemas.microsoft.com/office/drawing/2014/main" id="{00000000-0008-0000-1400-000006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82</xdr:row>
          <xdr:rowOff>88900</xdr:rowOff>
        </xdr:from>
        <xdr:to>
          <xdr:col>4</xdr:col>
          <xdr:colOff>349250</xdr:colOff>
          <xdr:row>82</xdr:row>
          <xdr:rowOff>266700</xdr:rowOff>
        </xdr:to>
        <xdr:sp macro="" textlink="">
          <xdr:nvSpPr>
            <xdr:cNvPr id="605191" name="Check Box 7" hidden="1">
              <a:extLst>
                <a:ext uri="{63B3BB69-23CF-44E3-9099-C40C66FF867C}">
                  <a14:compatExt spid="_x0000_s605191"/>
                </a:ext>
                <a:ext uri="{FF2B5EF4-FFF2-40B4-BE49-F238E27FC236}">
                  <a16:creationId xmlns:a16="http://schemas.microsoft.com/office/drawing/2014/main" id="{00000000-0008-0000-1400-000007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241300</xdr:colOff>
          <xdr:row>9</xdr:row>
          <xdr:rowOff>69850</xdr:rowOff>
        </xdr:from>
        <xdr:to>
          <xdr:col>10</xdr:col>
          <xdr:colOff>457200</xdr:colOff>
          <xdr:row>9</xdr:row>
          <xdr:rowOff>260350</xdr:rowOff>
        </xdr:to>
        <xdr:sp macro="" textlink="">
          <xdr:nvSpPr>
            <xdr:cNvPr id="605192" name="Check Box 8" hidden="1">
              <a:extLst>
                <a:ext uri="{63B3BB69-23CF-44E3-9099-C40C66FF867C}">
                  <a14:compatExt spid="_x0000_s605192"/>
                </a:ext>
                <a:ext uri="{FF2B5EF4-FFF2-40B4-BE49-F238E27FC236}">
                  <a16:creationId xmlns:a16="http://schemas.microsoft.com/office/drawing/2014/main" id="{00000000-0008-0000-1400-000008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57</xdr:row>
          <xdr:rowOff>63500</xdr:rowOff>
        </xdr:from>
        <xdr:to>
          <xdr:col>10</xdr:col>
          <xdr:colOff>673100</xdr:colOff>
          <xdr:row>57</xdr:row>
          <xdr:rowOff>241300</xdr:rowOff>
        </xdr:to>
        <xdr:sp macro="" textlink="">
          <xdr:nvSpPr>
            <xdr:cNvPr id="605193" name="Check Box 9" hidden="1">
              <a:extLst>
                <a:ext uri="{63B3BB69-23CF-44E3-9099-C40C66FF867C}">
                  <a14:compatExt spid="_x0000_s605193"/>
                </a:ext>
                <a:ext uri="{FF2B5EF4-FFF2-40B4-BE49-F238E27FC236}">
                  <a16:creationId xmlns:a16="http://schemas.microsoft.com/office/drawing/2014/main" id="{00000000-0008-0000-1400-000009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57</xdr:row>
          <xdr:rowOff>63500</xdr:rowOff>
        </xdr:from>
        <xdr:to>
          <xdr:col>11</xdr:col>
          <xdr:colOff>469900</xdr:colOff>
          <xdr:row>57</xdr:row>
          <xdr:rowOff>241300</xdr:rowOff>
        </xdr:to>
        <xdr:sp macro="" textlink="">
          <xdr:nvSpPr>
            <xdr:cNvPr id="605194" name="Check Box 10" hidden="1">
              <a:extLst>
                <a:ext uri="{63B3BB69-23CF-44E3-9099-C40C66FF867C}">
                  <a14:compatExt spid="_x0000_s605194"/>
                </a:ext>
                <a:ext uri="{FF2B5EF4-FFF2-40B4-BE49-F238E27FC236}">
                  <a16:creationId xmlns:a16="http://schemas.microsoft.com/office/drawing/2014/main" id="{00000000-0008-0000-1400-00000A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58</xdr:row>
          <xdr:rowOff>63500</xdr:rowOff>
        </xdr:from>
        <xdr:to>
          <xdr:col>10</xdr:col>
          <xdr:colOff>673100</xdr:colOff>
          <xdr:row>58</xdr:row>
          <xdr:rowOff>241300</xdr:rowOff>
        </xdr:to>
        <xdr:sp macro="" textlink="">
          <xdr:nvSpPr>
            <xdr:cNvPr id="605195" name="Check Box 11" hidden="1">
              <a:extLst>
                <a:ext uri="{63B3BB69-23CF-44E3-9099-C40C66FF867C}">
                  <a14:compatExt spid="_x0000_s605195"/>
                </a:ext>
                <a:ext uri="{FF2B5EF4-FFF2-40B4-BE49-F238E27FC236}">
                  <a16:creationId xmlns:a16="http://schemas.microsoft.com/office/drawing/2014/main" id="{00000000-0008-0000-1400-00000B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58</xdr:row>
          <xdr:rowOff>63500</xdr:rowOff>
        </xdr:from>
        <xdr:to>
          <xdr:col>11</xdr:col>
          <xdr:colOff>469900</xdr:colOff>
          <xdr:row>58</xdr:row>
          <xdr:rowOff>241300</xdr:rowOff>
        </xdr:to>
        <xdr:sp macro="" textlink="">
          <xdr:nvSpPr>
            <xdr:cNvPr id="605196" name="Check Box 12" hidden="1">
              <a:extLst>
                <a:ext uri="{63B3BB69-23CF-44E3-9099-C40C66FF867C}">
                  <a14:compatExt spid="_x0000_s605196"/>
                </a:ext>
                <a:ext uri="{FF2B5EF4-FFF2-40B4-BE49-F238E27FC236}">
                  <a16:creationId xmlns:a16="http://schemas.microsoft.com/office/drawing/2014/main" id="{00000000-0008-0000-1400-00000C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666751</xdr:colOff>
      <xdr:row>0</xdr:row>
      <xdr:rowOff>19050</xdr:rowOff>
    </xdr:from>
    <xdr:to>
      <xdr:col>11</xdr:col>
      <xdr:colOff>17781</xdr:colOff>
      <xdr:row>1</xdr:row>
      <xdr:rowOff>153818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5951" y="19050"/>
          <a:ext cx="1471930" cy="560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81</xdr:row>
          <xdr:rowOff>44450</xdr:rowOff>
        </xdr:from>
        <xdr:to>
          <xdr:col>4</xdr:col>
          <xdr:colOff>349250</xdr:colOff>
          <xdr:row>81</xdr:row>
          <xdr:rowOff>222250</xdr:rowOff>
        </xdr:to>
        <xdr:sp macro="" textlink="">
          <xdr:nvSpPr>
            <xdr:cNvPr id="605197" name="Check Box 13" hidden="1">
              <a:extLst>
                <a:ext uri="{63B3BB69-23CF-44E3-9099-C40C66FF867C}">
                  <a14:compatExt spid="_x0000_s605197"/>
                </a:ext>
                <a:ext uri="{FF2B5EF4-FFF2-40B4-BE49-F238E27FC236}">
                  <a16:creationId xmlns:a16="http://schemas.microsoft.com/office/drawing/2014/main" id="{00000000-0008-0000-1400-00000D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57</xdr:row>
          <xdr:rowOff>63500</xdr:rowOff>
        </xdr:from>
        <xdr:to>
          <xdr:col>10</xdr:col>
          <xdr:colOff>673100</xdr:colOff>
          <xdr:row>57</xdr:row>
          <xdr:rowOff>241300</xdr:rowOff>
        </xdr:to>
        <xdr:sp macro="" textlink="">
          <xdr:nvSpPr>
            <xdr:cNvPr id="605198" name="Check Box 14" hidden="1">
              <a:extLst>
                <a:ext uri="{63B3BB69-23CF-44E3-9099-C40C66FF867C}">
                  <a14:compatExt spid="_x0000_s605198"/>
                </a:ext>
                <a:ext uri="{FF2B5EF4-FFF2-40B4-BE49-F238E27FC236}">
                  <a16:creationId xmlns:a16="http://schemas.microsoft.com/office/drawing/2014/main" id="{00000000-0008-0000-1400-00000E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57</xdr:row>
          <xdr:rowOff>63500</xdr:rowOff>
        </xdr:from>
        <xdr:to>
          <xdr:col>11</xdr:col>
          <xdr:colOff>469900</xdr:colOff>
          <xdr:row>57</xdr:row>
          <xdr:rowOff>241300</xdr:rowOff>
        </xdr:to>
        <xdr:sp macro="" textlink="">
          <xdr:nvSpPr>
            <xdr:cNvPr id="605199" name="Check Box 15" hidden="1">
              <a:extLst>
                <a:ext uri="{63B3BB69-23CF-44E3-9099-C40C66FF867C}">
                  <a14:compatExt spid="_x0000_s605199"/>
                </a:ext>
                <a:ext uri="{FF2B5EF4-FFF2-40B4-BE49-F238E27FC236}">
                  <a16:creationId xmlns:a16="http://schemas.microsoft.com/office/drawing/2014/main" id="{00000000-0008-0000-1400-00000F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58</xdr:row>
          <xdr:rowOff>63500</xdr:rowOff>
        </xdr:from>
        <xdr:to>
          <xdr:col>10</xdr:col>
          <xdr:colOff>673100</xdr:colOff>
          <xdr:row>58</xdr:row>
          <xdr:rowOff>241300</xdr:rowOff>
        </xdr:to>
        <xdr:sp macro="" textlink="">
          <xdr:nvSpPr>
            <xdr:cNvPr id="605200" name="Check Box 16" hidden="1">
              <a:extLst>
                <a:ext uri="{63B3BB69-23CF-44E3-9099-C40C66FF867C}">
                  <a14:compatExt spid="_x0000_s605200"/>
                </a:ext>
                <a:ext uri="{FF2B5EF4-FFF2-40B4-BE49-F238E27FC236}">
                  <a16:creationId xmlns:a16="http://schemas.microsoft.com/office/drawing/2014/main" id="{00000000-0008-0000-1400-000010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58</xdr:row>
          <xdr:rowOff>63500</xdr:rowOff>
        </xdr:from>
        <xdr:to>
          <xdr:col>11</xdr:col>
          <xdr:colOff>469900</xdr:colOff>
          <xdr:row>58</xdr:row>
          <xdr:rowOff>241300</xdr:rowOff>
        </xdr:to>
        <xdr:sp macro="" textlink="">
          <xdr:nvSpPr>
            <xdr:cNvPr id="605201" name="Check Box 17" hidden="1">
              <a:extLst>
                <a:ext uri="{63B3BB69-23CF-44E3-9099-C40C66FF867C}">
                  <a14:compatExt spid="_x0000_s605201"/>
                </a:ext>
                <a:ext uri="{FF2B5EF4-FFF2-40B4-BE49-F238E27FC236}">
                  <a16:creationId xmlns:a16="http://schemas.microsoft.com/office/drawing/2014/main" id="{00000000-0008-0000-1400-000011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62387</xdr:colOff>
      <xdr:row>0</xdr:row>
      <xdr:rowOff>95249</xdr:rowOff>
    </xdr:from>
    <xdr:to>
      <xdr:col>2</xdr:col>
      <xdr:colOff>1090933</xdr:colOff>
      <xdr:row>0</xdr:row>
      <xdr:rowOff>409574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182"/>
        <a:stretch/>
      </xdr:blipFill>
      <xdr:spPr bwMode="auto">
        <a:xfrm>
          <a:off x="214787" y="95249"/>
          <a:ext cx="1460346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37</xdr:row>
          <xdr:rowOff>50800</xdr:rowOff>
        </xdr:from>
        <xdr:to>
          <xdr:col>4</xdr:col>
          <xdr:colOff>349250</xdr:colOff>
          <xdr:row>37</xdr:row>
          <xdr:rowOff>260350</xdr:rowOff>
        </xdr:to>
        <xdr:sp macro="" textlink="">
          <xdr:nvSpPr>
            <xdr:cNvPr id="606209" name="Check Box 1" hidden="1">
              <a:extLst>
                <a:ext uri="{63B3BB69-23CF-44E3-9099-C40C66FF867C}">
                  <a14:compatExt spid="_x0000_s606209"/>
                </a:ext>
                <a:ext uri="{FF2B5EF4-FFF2-40B4-BE49-F238E27FC236}">
                  <a16:creationId xmlns:a16="http://schemas.microsoft.com/office/drawing/2014/main" id="{00000000-0008-0000-1500-000001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127000</xdr:colOff>
          <xdr:row>15</xdr:row>
          <xdr:rowOff>38100</xdr:rowOff>
        </xdr:from>
        <xdr:to>
          <xdr:col>4</xdr:col>
          <xdr:colOff>342900</xdr:colOff>
          <xdr:row>15</xdr:row>
          <xdr:rowOff>222250</xdr:rowOff>
        </xdr:to>
        <xdr:sp macro="" textlink="">
          <xdr:nvSpPr>
            <xdr:cNvPr id="606210" name="Check Box 2" hidden="1">
              <a:extLst>
                <a:ext uri="{63B3BB69-23CF-44E3-9099-C40C66FF867C}">
                  <a14:compatExt spid="_x0000_s606210"/>
                </a:ext>
                <a:ext uri="{FF2B5EF4-FFF2-40B4-BE49-F238E27FC236}">
                  <a16:creationId xmlns:a16="http://schemas.microsoft.com/office/drawing/2014/main" id="{00000000-0008-0000-1500-000002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73</xdr:row>
          <xdr:rowOff>44450</xdr:rowOff>
        </xdr:from>
        <xdr:to>
          <xdr:col>4</xdr:col>
          <xdr:colOff>349250</xdr:colOff>
          <xdr:row>73</xdr:row>
          <xdr:rowOff>222250</xdr:rowOff>
        </xdr:to>
        <xdr:sp macro="" textlink="">
          <xdr:nvSpPr>
            <xdr:cNvPr id="606211" name="Check Box 3" hidden="1">
              <a:extLst>
                <a:ext uri="{63B3BB69-23CF-44E3-9099-C40C66FF867C}">
                  <a14:compatExt spid="_x0000_s606211"/>
                </a:ext>
                <a:ext uri="{FF2B5EF4-FFF2-40B4-BE49-F238E27FC236}">
                  <a16:creationId xmlns:a16="http://schemas.microsoft.com/office/drawing/2014/main" id="{00000000-0008-0000-1500-000003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74</xdr:row>
          <xdr:rowOff>44450</xdr:rowOff>
        </xdr:from>
        <xdr:to>
          <xdr:col>4</xdr:col>
          <xdr:colOff>349250</xdr:colOff>
          <xdr:row>74</xdr:row>
          <xdr:rowOff>222250</xdr:rowOff>
        </xdr:to>
        <xdr:sp macro="" textlink="">
          <xdr:nvSpPr>
            <xdr:cNvPr id="606212" name="Check Box 4" hidden="1">
              <a:extLst>
                <a:ext uri="{63B3BB69-23CF-44E3-9099-C40C66FF867C}">
                  <a14:compatExt spid="_x0000_s606212"/>
                </a:ext>
                <a:ext uri="{FF2B5EF4-FFF2-40B4-BE49-F238E27FC236}">
                  <a16:creationId xmlns:a16="http://schemas.microsoft.com/office/drawing/2014/main" id="{00000000-0008-0000-1500-000004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75</xdr:row>
          <xdr:rowOff>44450</xdr:rowOff>
        </xdr:from>
        <xdr:to>
          <xdr:col>4</xdr:col>
          <xdr:colOff>349250</xdr:colOff>
          <xdr:row>75</xdr:row>
          <xdr:rowOff>222250</xdr:rowOff>
        </xdr:to>
        <xdr:sp macro="" textlink="">
          <xdr:nvSpPr>
            <xdr:cNvPr id="606213" name="Check Box 5" hidden="1">
              <a:extLst>
                <a:ext uri="{63B3BB69-23CF-44E3-9099-C40C66FF867C}">
                  <a14:compatExt spid="_x0000_s606213"/>
                </a:ext>
                <a:ext uri="{FF2B5EF4-FFF2-40B4-BE49-F238E27FC236}">
                  <a16:creationId xmlns:a16="http://schemas.microsoft.com/office/drawing/2014/main" id="{00000000-0008-0000-1500-000005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76</xdr:row>
          <xdr:rowOff>44450</xdr:rowOff>
        </xdr:from>
        <xdr:to>
          <xdr:col>4</xdr:col>
          <xdr:colOff>349250</xdr:colOff>
          <xdr:row>76</xdr:row>
          <xdr:rowOff>222250</xdr:rowOff>
        </xdr:to>
        <xdr:sp macro="" textlink="">
          <xdr:nvSpPr>
            <xdr:cNvPr id="606214" name="Check Box 6" hidden="1">
              <a:extLst>
                <a:ext uri="{63B3BB69-23CF-44E3-9099-C40C66FF867C}">
                  <a14:compatExt spid="_x0000_s606214"/>
                </a:ext>
                <a:ext uri="{FF2B5EF4-FFF2-40B4-BE49-F238E27FC236}">
                  <a16:creationId xmlns:a16="http://schemas.microsoft.com/office/drawing/2014/main" id="{00000000-0008-0000-1500-000006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82</xdr:row>
          <xdr:rowOff>88900</xdr:rowOff>
        </xdr:from>
        <xdr:to>
          <xdr:col>4</xdr:col>
          <xdr:colOff>349250</xdr:colOff>
          <xdr:row>82</xdr:row>
          <xdr:rowOff>266700</xdr:rowOff>
        </xdr:to>
        <xdr:sp macro="" textlink="">
          <xdr:nvSpPr>
            <xdr:cNvPr id="606215" name="Check Box 7" hidden="1">
              <a:extLst>
                <a:ext uri="{63B3BB69-23CF-44E3-9099-C40C66FF867C}">
                  <a14:compatExt spid="_x0000_s606215"/>
                </a:ext>
                <a:ext uri="{FF2B5EF4-FFF2-40B4-BE49-F238E27FC236}">
                  <a16:creationId xmlns:a16="http://schemas.microsoft.com/office/drawing/2014/main" id="{00000000-0008-0000-1500-000007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241300</xdr:colOff>
          <xdr:row>9</xdr:row>
          <xdr:rowOff>69850</xdr:rowOff>
        </xdr:from>
        <xdr:to>
          <xdr:col>10</xdr:col>
          <xdr:colOff>457200</xdr:colOff>
          <xdr:row>9</xdr:row>
          <xdr:rowOff>260350</xdr:rowOff>
        </xdr:to>
        <xdr:sp macro="" textlink="">
          <xdr:nvSpPr>
            <xdr:cNvPr id="606216" name="Check Box 8" hidden="1">
              <a:extLst>
                <a:ext uri="{63B3BB69-23CF-44E3-9099-C40C66FF867C}">
                  <a14:compatExt spid="_x0000_s606216"/>
                </a:ext>
                <a:ext uri="{FF2B5EF4-FFF2-40B4-BE49-F238E27FC236}">
                  <a16:creationId xmlns:a16="http://schemas.microsoft.com/office/drawing/2014/main" id="{00000000-0008-0000-1500-000008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57</xdr:row>
          <xdr:rowOff>63500</xdr:rowOff>
        </xdr:from>
        <xdr:to>
          <xdr:col>10</xdr:col>
          <xdr:colOff>673100</xdr:colOff>
          <xdr:row>57</xdr:row>
          <xdr:rowOff>241300</xdr:rowOff>
        </xdr:to>
        <xdr:sp macro="" textlink="">
          <xdr:nvSpPr>
            <xdr:cNvPr id="606217" name="Check Box 9" hidden="1">
              <a:extLst>
                <a:ext uri="{63B3BB69-23CF-44E3-9099-C40C66FF867C}">
                  <a14:compatExt spid="_x0000_s606217"/>
                </a:ext>
                <a:ext uri="{FF2B5EF4-FFF2-40B4-BE49-F238E27FC236}">
                  <a16:creationId xmlns:a16="http://schemas.microsoft.com/office/drawing/2014/main" id="{00000000-0008-0000-1500-000009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57</xdr:row>
          <xdr:rowOff>63500</xdr:rowOff>
        </xdr:from>
        <xdr:to>
          <xdr:col>11</xdr:col>
          <xdr:colOff>469900</xdr:colOff>
          <xdr:row>57</xdr:row>
          <xdr:rowOff>241300</xdr:rowOff>
        </xdr:to>
        <xdr:sp macro="" textlink="">
          <xdr:nvSpPr>
            <xdr:cNvPr id="606218" name="Check Box 10" hidden="1">
              <a:extLst>
                <a:ext uri="{63B3BB69-23CF-44E3-9099-C40C66FF867C}">
                  <a14:compatExt spid="_x0000_s606218"/>
                </a:ext>
                <a:ext uri="{FF2B5EF4-FFF2-40B4-BE49-F238E27FC236}">
                  <a16:creationId xmlns:a16="http://schemas.microsoft.com/office/drawing/2014/main" id="{00000000-0008-0000-1500-00000A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58</xdr:row>
          <xdr:rowOff>63500</xdr:rowOff>
        </xdr:from>
        <xdr:to>
          <xdr:col>10</xdr:col>
          <xdr:colOff>673100</xdr:colOff>
          <xdr:row>58</xdr:row>
          <xdr:rowOff>241300</xdr:rowOff>
        </xdr:to>
        <xdr:sp macro="" textlink="">
          <xdr:nvSpPr>
            <xdr:cNvPr id="606219" name="Check Box 11" hidden="1">
              <a:extLst>
                <a:ext uri="{63B3BB69-23CF-44E3-9099-C40C66FF867C}">
                  <a14:compatExt spid="_x0000_s606219"/>
                </a:ext>
                <a:ext uri="{FF2B5EF4-FFF2-40B4-BE49-F238E27FC236}">
                  <a16:creationId xmlns:a16="http://schemas.microsoft.com/office/drawing/2014/main" id="{00000000-0008-0000-1500-00000B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58</xdr:row>
          <xdr:rowOff>63500</xdr:rowOff>
        </xdr:from>
        <xdr:to>
          <xdr:col>11</xdr:col>
          <xdr:colOff>469900</xdr:colOff>
          <xdr:row>58</xdr:row>
          <xdr:rowOff>241300</xdr:rowOff>
        </xdr:to>
        <xdr:sp macro="" textlink="">
          <xdr:nvSpPr>
            <xdr:cNvPr id="606220" name="Check Box 12" hidden="1">
              <a:extLst>
                <a:ext uri="{63B3BB69-23CF-44E3-9099-C40C66FF867C}">
                  <a14:compatExt spid="_x0000_s606220"/>
                </a:ext>
                <a:ext uri="{FF2B5EF4-FFF2-40B4-BE49-F238E27FC236}">
                  <a16:creationId xmlns:a16="http://schemas.microsoft.com/office/drawing/2014/main" id="{00000000-0008-0000-1500-00000C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666751</xdr:colOff>
      <xdr:row>0</xdr:row>
      <xdr:rowOff>19050</xdr:rowOff>
    </xdr:from>
    <xdr:to>
      <xdr:col>11</xdr:col>
      <xdr:colOff>17781</xdr:colOff>
      <xdr:row>1</xdr:row>
      <xdr:rowOff>153818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5951" y="19050"/>
          <a:ext cx="1471930" cy="560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81</xdr:row>
          <xdr:rowOff>44450</xdr:rowOff>
        </xdr:from>
        <xdr:to>
          <xdr:col>4</xdr:col>
          <xdr:colOff>349250</xdr:colOff>
          <xdr:row>81</xdr:row>
          <xdr:rowOff>222250</xdr:rowOff>
        </xdr:to>
        <xdr:sp macro="" textlink="">
          <xdr:nvSpPr>
            <xdr:cNvPr id="606221" name="Check Box 13" hidden="1">
              <a:extLst>
                <a:ext uri="{63B3BB69-23CF-44E3-9099-C40C66FF867C}">
                  <a14:compatExt spid="_x0000_s606221"/>
                </a:ext>
                <a:ext uri="{FF2B5EF4-FFF2-40B4-BE49-F238E27FC236}">
                  <a16:creationId xmlns:a16="http://schemas.microsoft.com/office/drawing/2014/main" id="{00000000-0008-0000-1500-00000D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57</xdr:row>
          <xdr:rowOff>63500</xdr:rowOff>
        </xdr:from>
        <xdr:to>
          <xdr:col>10</xdr:col>
          <xdr:colOff>673100</xdr:colOff>
          <xdr:row>57</xdr:row>
          <xdr:rowOff>241300</xdr:rowOff>
        </xdr:to>
        <xdr:sp macro="" textlink="">
          <xdr:nvSpPr>
            <xdr:cNvPr id="606222" name="Check Box 14" hidden="1">
              <a:extLst>
                <a:ext uri="{63B3BB69-23CF-44E3-9099-C40C66FF867C}">
                  <a14:compatExt spid="_x0000_s606222"/>
                </a:ext>
                <a:ext uri="{FF2B5EF4-FFF2-40B4-BE49-F238E27FC236}">
                  <a16:creationId xmlns:a16="http://schemas.microsoft.com/office/drawing/2014/main" id="{00000000-0008-0000-1500-00000E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57</xdr:row>
          <xdr:rowOff>63500</xdr:rowOff>
        </xdr:from>
        <xdr:to>
          <xdr:col>11</xdr:col>
          <xdr:colOff>469900</xdr:colOff>
          <xdr:row>57</xdr:row>
          <xdr:rowOff>241300</xdr:rowOff>
        </xdr:to>
        <xdr:sp macro="" textlink="">
          <xdr:nvSpPr>
            <xdr:cNvPr id="606223" name="Check Box 15" hidden="1">
              <a:extLst>
                <a:ext uri="{63B3BB69-23CF-44E3-9099-C40C66FF867C}">
                  <a14:compatExt spid="_x0000_s606223"/>
                </a:ext>
                <a:ext uri="{FF2B5EF4-FFF2-40B4-BE49-F238E27FC236}">
                  <a16:creationId xmlns:a16="http://schemas.microsoft.com/office/drawing/2014/main" id="{00000000-0008-0000-1500-00000F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58</xdr:row>
          <xdr:rowOff>63500</xdr:rowOff>
        </xdr:from>
        <xdr:to>
          <xdr:col>10</xdr:col>
          <xdr:colOff>673100</xdr:colOff>
          <xdr:row>58</xdr:row>
          <xdr:rowOff>241300</xdr:rowOff>
        </xdr:to>
        <xdr:sp macro="" textlink="">
          <xdr:nvSpPr>
            <xdr:cNvPr id="606224" name="Check Box 16" hidden="1">
              <a:extLst>
                <a:ext uri="{63B3BB69-23CF-44E3-9099-C40C66FF867C}">
                  <a14:compatExt spid="_x0000_s606224"/>
                </a:ext>
                <a:ext uri="{FF2B5EF4-FFF2-40B4-BE49-F238E27FC236}">
                  <a16:creationId xmlns:a16="http://schemas.microsoft.com/office/drawing/2014/main" id="{00000000-0008-0000-1500-000010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58</xdr:row>
          <xdr:rowOff>63500</xdr:rowOff>
        </xdr:from>
        <xdr:to>
          <xdr:col>11</xdr:col>
          <xdr:colOff>469900</xdr:colOff>
          <xdr:row>58</xdr:row>
          <xdr:rowOff>241300</xdr:rowOff>
        </xdr:to>
        <xdr:sp macro="" textlink="">
          <xdr:nvSpPr>
            <xdr:cNvPr id="606225" name="Check Box 17" hidden="1">
              <a:extLst>
                <a:ext uri="{63B3BB69-23CF-44E3-9099-C40C66FF867C}">
                  <a14:compatExt spid="_x0000_s606225"/>
                </a:ext>
                <a:ext uri="{FF2B5EF4-FFF2-40B4-BE49-F238E27FC236}">
                  <a16:creationId xmlns:a16="http://schemas.microsoft.com/office/drawing/2014/main" id="{00000000-0008-0000-1500-0000114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62387</xdr:colOff>
      <xdr:row>0</xdr:row>
      <xdr:rowOff>95249</xdr:rowOff>
    </xdr:from>
    <xdr:to>
      <xdr:col>2</xdr:col>
      <xdr:colOff>1090933</xdr:colOff>
      <xdr:row>0</xdr:row>
      <xdr:rowOff>409574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182"/>
        <a:stretch/>
      </xdr:blipFill>
      <xdr:spPr bwMode="auto">
        <a:xfrm>
          <a:off x="214787" y="95249"/>
          <a:ext cx="1460346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37</xdr:row>
          <xdr:rowOff>50800</xdr:rowOff>
        </xdr:from>
        <xdr:to>
          <xdr:col>4</xdr:col>
          <xdr:colOff>349250</xdr:colOff>
          <xdr:row>37</xdr:row>
          <xdr:rowOff>260350</xdr:rowOff>
        </xdr:to>
        <xdr:sp macro="" textlink="">
          <xdr:nvSpPr>
            <xdr:cNvPr id="607233" name="Check Box 1" hidden="1">
              <a:extLst>
                <a:ext uri="{63B3BB69-23CF-44E3-9099-C40C66FF867C}">
                  <a14:compatExt spid="_x0000_s607233"/>
                </a:ext>
                <a:ext uri="{FF2B5EF4-FFF2-40B4-BE49-F238E27FC236}">
                  <a16:creationId xmlns:a16="http://schemas.microsoft.com/office/drawing/2014/main" id="{00000000-0008-0000-1600-00000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127000</xdr:colOff>
          <xdr:row>15</xdr:row>
          <xdr:rowOff>38100</xdr:rowOff>
        </xdr:from>
        <xdr:to>
          <xdr:col>4</xdr:col>
          <xdr:colOff>342900</xdr:colOff>
          <xdr:row>15</xdr:row>
          <xdr:rowOff>222250</xdr:rowOff>
        </xdr:to>
        <xdr:sp macro="" textlink="">
          <xdr:nvSpPr>
            <xdr:cNvPr id="607234" name="Check Box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16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73</xdr:row>
          <xdr:rowOff>44450</xdr:rowOff>
        </xdr:from>
        <xdr:to>
          <xdr:col>4</xdr:col>
          <xdr:colOff>349250</xdr:colOff>
          <xdr:row>73</xdr:row>
          <xdr:rowOff>222250</xdr:rowOff>
        </xdr:to>
        <xdr:sp macro="" textlink="">
          <xdr:nvSpPr>
            <xdr:cNvPr id="607235" name="Check Box 3" hidden="1">
              <a:extLst>
                <a:ext uri="{63B3BB69-23CF-44E3-9099-C40C66FF867C}">
                  <a14:compatExt spid="_x0000_s607235"/>
                </a:ext>
                <a:ext uri="{FF2B5EF4-FFF2-40B4-BE49-F238E27FC236}">
                  <a16:creationId xmlns:a16="http://schemas.microsoft.com/office/drawing/2014/main" id="{00000000-0008-0000-1600-00000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74</xdr:row>
          <xdr:rowOff>44450</xdr:rowOff>
        </xdr:from>
        <xdr:to>
          <xdr:col>4</xdr:col>
          <xdr:colOff>349250</xdr:colOff>
          <xdr:row>74</xdr:row>
          <xdr:rowOff>222250</xdr:rowOff>
        </xdr:to>
        <xdr:sp macro="" textlink="">
          <xdr:nvSpPr>
            <xdr:cNvPr id="607236" name="Check Box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16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75</xdr:row>
          <xdr:rowOff>44450</xdr:rowOff>
        </xdr:from>
        <xdr:to>
          <xdr:col>4</xdr:col>
          <xdr:colOff>349250</xdr:colOff>
          <xdr:row>75</xdr:row>
          <xdr:rowOff>222250</xdr:rowOff>
        </xdr:to>
        <xdr:sp macro="" textlink="">
          <xdr:nvSpPr>
            <xdr:cNvPr id="607237" name="Check Box 5" hidden="1">
              <a:extLst>
                <a:ext uri="{63B3BB69-23CF-44E3-9099-C40C66FF867C}">
                  <a14:compatExt spid="_x0000_s607237"/>
                </a:ext>
                <a:ext uri="{FF2B5EF4-FFF2-40B4-BE49-F238E27FC236}">
                  <a16:creationId xmlns:a16="http://schemas.microsoft.com/office/drawing/2014/main" id="{00000000-0008-0000-1600-000005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76</xdr:row>
          <xdr:rowOff>44450</xdr:rowOff>
        </xdr:from>
        <xdr:to>
          <xdr:col>4</xdr:col>
          <xdr:colOff>349250</xdr:colOff>
          <xdr:row>76</xdr:row>
          <xdr:rowOff>222250</xdr:rowOff>
        </xdr:to>
        <xdr:sp macro="" textlink="">
          <xdr:nvSpPr>
            <xdr:cNvPr id="607238" name="Check Box 6" hidden="1">
              <a:extLst>
                <a:ext uri="{63B3BB69-23CF-44E3-9099-C40C66FF867C}">
                  <a14:compatExt spid="_x0000_s607238"/>
                </a:ext>
                <a:ext uri="{FF2B5EF4-FFF2-40B4-BE49-F238E27FC236}">
                  <a16:creationId xmlns:a16="http://schemas.microsoft.com/office/drawing/2014/main" id="{00000000-0008-0000-1600-000006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82</xdr:row>
          <xdr:rowOff>88900</xdr:rowOff>
        </xdr:from>
        <xdr:to>
          <xdr:col>4</xdr:col>
          <xdr:colOff>349250</xdr:colOff>
          <xdr:row>82</xdr:row>
          <xdr:rowOff>266700</xdr:rowOff>
        </xdr:to>
        <xdr:sp macro="" textlink="">
          <xdr:nvSpPr>
            <xdr:cNvPr id="607239" name="Check Box 7" hidden="1">
              <a:extLst>
                <a:ext uri="{63B3BB69-23CF-44E3-9099-C40C66FF867C}">
                  <a14:compatExt spid="_x0000_s607239"/>
                </a:ext>
                <a:ext uri="{FF2B5EF4-FFF2-40B4-BE49-F238E27FC236}">
                  <a16:creationId xmlns:a16="http://schemas.microsoft.com/office/drawing/2014/main" id="{00000000-0008-0000-1600-000007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241300</xdr:colOff>
          <xdr:row>9</xdr:row>
          <xdr:rowOff>69850</xdr:rowOff>
        </xdr:from>
        <xdr:to>
          <xdr:col>10</xdr:col>
          <xdr:colOff>457200</xdr:colOff>
          <xdr:row>9</xdr:row>
          <xdr:rowOff>260350</xdr:rowOff>
        </xdr:to>
        <xdr:sp macro="" textlink="">
          <xdr:nvSpPr>
            <xdr:cNvPr id="607240" name="Check Box 8" hidden="1">
              <a:extLst>
                <a:ext uri="{63B3BB69-23CF-44E3-9099-C40C66FF867C}">
                  <a14:compatExt spid="_x0000_s607240"/>
                </a:ext>
                <a:ext uri="{FF2B5EF4-FFF2-40B4-BE49-F238E27FC236}">
                  <a16:creationId xmlns:a16="http://schemas.microsoft.com/office/drawing/2014/main" id="{00000000-0008-0000-1600-000008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57</xdr:row>
          <xdr:rowOff>63500</xdr:rowOff>
        </xdr:from>
        <xdr:to>
          <xdr:col>10</xdr:col>
          <xdr:colOff>673100</xdr:colOff>
          <xdr:row>57</xdr:row>
          <xdr:rowOff>241300</xdr:rowOff>
        </xdr:to>
        <xdr:sp macro="" textlink="">
          <xdr:nvSpPr>
            <xdr:cNvPr id="607241" name="Check Box 9" hidden="1">
              <a:extLst>
                <a:ext uri="{63B3BB69-23CF-44E3-9099-C40C66FF867C}">
                  <a14:compatExt spid="_x0000_s607241"/>
                </a:ext>
                <a:ext uri="{FF2B5EF4-FFF2-40B4-BE49-F238E27FC236}">
                  <a16:creationId xmlns:a16="http://schemas.microsoft.com/office/drawing/2014/main" id="{00000000-0008-0000-1600-000009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57</xdr:row>
          <xdr:rowOff>63500</xdr:rowOff>
        </xdr:from>
        <xdr:to>
          <xdr:col>11</xdr:col>
          <xdr:colOff>469900</xdr:colOff>
          <xdr:row>57</xdr:row>
          <xdr:rowOff>241300</xdr:rowOff>
        </xdr:to>
        <xdr:sp macro="" textlink="">
          <xdr:nvSpPr>
            <xdr:cNvPr id="607242" name="Check Box 10" hidden="1">
              <a:extLst>
                <a:ext uri="{63B3BB69-23CF-44E3-9099-C40C66FF867C}">
                  <a14:compatExt spid="_x0000_s607242"/>
                </a:ext>
                <a:ext uri="{FF2B5EF4-FFF2-40B4-BE49-F238E27FC236}">
                  <a16:creationId xmlns:a16="http://schemas.microsoft.com/office/drawing/2014/main" id="{00000000-0008-0000-1600-00000A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58</xdr:row>
          <xdr:rowOff>63500</xdr:rowOff>
        </xdr:from>
        <xdr:to>
          <xdr:col>10</xdr:col>
          <xdr:colOff>673100</xdr:colOff>
          <xdr:row>58</xdr:row>
          <xdr:rowOff>241300</xdr:rowOff>
        </xdr:to>
        <xdr:sp macro="" textlink="">
          <xdr:nvSpPr>
            <xdr:cNvPr id="607243" name="Check Box 11" hidden="1">
              <a:extLst>
                <a:ext uri="{63B3BB69-23CF-44E3-9099-C40C66FF867C}">
                  <a14:compatExt spid="_x0000_s607243"/>
                </a:ext>
                <a:ext uri="{FF2B5EF4-FFF2-40B4-BE49-F238E27FC236}">
                  <a16:creationId xmlns:a16="http://schemas.microsoft.com/office/drawing/2014/main" id="{00000000-0008-0000-1600-00000B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58</xdr:row>
          <xdr:rowOff>63500</xdr:rowOff>
        </xdr:from>
        <xdr:to>
          <xdr:col>11</xdr:col>
          <xdr:colOff>469900</xdr:colOff>
          <xdr:row>58</xdr:row>
          <xdr:rowOff>241300</xdr:rowOff>
        </xdr:to>
        <xdr:sp macro="" textlink="">
          <xdr:nvSpPr>
            <xdr:cNvPr id="607244" name="Check Box 12" hidden="1">
              <a:extLst>
                <a:ext uri="{63B3BB69-23CF-44E3-9099-C40C66FF867C}">
                  <a14:compatExt spid="_x0000_s607244"/>
                </a:ext>
                <a:ext uri="{FF2B5EF4-FFF2-40B4-BE49-F238E27FC236}">
                  <a16:creationId xmlns:a16="http://schemas.microsoft.com/office/drawing/2014/main" id="{00000000-0008-0000-1600-00000C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666751</xdr:colOff>
      <xdr:row>0</xdr:row>
      <xdr:rowOff>19050</xdr:rowOff>
    </xdr:from>
    <xdr:to>
      <xdr:col>11</xdr:col>
      <xdr:colOff>17781</xdr:colOff>
      <xdr:row>1</xdr:row>
      <xdr:rowOff>153818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5951" y="19050"/>
          <a:ext cx="1471930" cy="560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81</xdr:row>
          <xdr:rowOff>44450</xdr:rowOff>
        </xdr:from>
        <xdr:to>
          <xdr:col>4</xdr:col>
          <xdr:colOff>349250</xdr:colOff>
          <xdr:row>81</xdr:row>
          <xdr:rowOff>222250</xdr:rowOff>
        </xdr:to>
        <xdr:sp macro="" textlink="">
          <xdr:nvSpPr>
            <xdr:cNvPr id="607245" name="Check Box 13" hidden="1">
              <a:extLst>
                <a:ext uri="{63B3BB69-23CF-44E3-9099-C40C66FF867C}">
                  <a14:compatExt spid="_x0000_s607245"/>
                </a:ext>
                <a:ext uri="{FF2B5EF4-FFF2-40B4-BE49-F238E27FC236}">
                  <a16:creationId xmlns:a16="http://schemas.microsoft.com/office/drawing/2014/main" id="{00000000-0008-0000-1600-00000D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57</xdr:row>
          <xdr:rowOff>63500</xdr:rowOff>
        </xdr:from>
        <xdr:to>
          <xdr:col>10</xdr:col>
          <xdr:colOff>673100</xdr:colOff>
          <xdr:row>57</xdr:row>
          <xdr:rowOff>241300</xdr:rowOff>
        </xdr:to>
        <xdr:sp macro="" textlink="">
          <xdr:nvSpPr>
            <xdr:cNvPr id="607246" name="Check Box 14" hidden="1">
              <a:extLst>
                <a:ext uri="{63B3BB69-23CF-44E3-9099-C40C66FF867C}">
                  <a14:compatExt spid="_x0000_s607246"/>
                </a:ext>
                <a:ext uri="{FF2B5EF4-FFF2-40B4-BE49-F238E27FC236}">
                  <a16:creationId xmlns:a16="http://schemas.microsoft.com/office/drawing/2014/main" id="{00000000-0008-0000-1600-00000E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57</xdr:row>
          <xdr:rowOff>63500</xdr:rowOff>
        </xdr:from>
        <xdr:to>
          <xdr:col>11</xdr:col>
          <xdr:colOff>469900</xdr:colOff>
          <xdr:row>57</xdr:row>
          <xdr:rowOff>241300</xdr:rowOff>
        </xdr:to>
        <xdr:sp macro="" textlink="">
          <xdr:nvSpPr>
            <xdr:cNvPr id="607247" name="Check Box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16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58</xdr:row>
          <xdr:rowOff>63500</xdr:rowOff>
        </xdr:from>
        <xdr:to>
          <xdr:col>10</xdr:col>
          <xdr:colOff>673100</xdr:colOff>
          <xdr:row>58</xdr:row>
          <xdr:rowOff>241300</xdr:rowOff>
        </xdr:to>
        <xdr:sp macro="" textlink="">
          <xdr:nvSpPr>
            <xdr:cNvPr id="607248" name="Check Box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16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58</xdr:row>
          <xdr:rowOff>63500</xdr:rowOff>
        </xdr:from>
        <xdr:to>
          <xdr:col>11</xdr:col>
          <xdr:colOff>469900</xdr:colOff>
          <xdr:row>58</xdr:row>
          <xdr:rowOff>241300</xdr:rowOff>
        </xdr:to>
        <xdr:sp macro="" textlink="">
          <xdr:nvSpPr>
            <xdr:cNvPr id="607249" name="Check Box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16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engineeringtoolbox.com/density-specific-weight-gravity-d_290.html" TargetMode="External"/><Relationship Id="rId3" Type="http://schemas.openxmlformats.org/officeDocument/2006/relationships/hyperlink" Target="http://www.engineeringtoolbox.com/pressure-d_587.html" TargetMode="External"/><Relationship Id="rId7" Type="http://schemas.openxmlformats.org/officeDocument/2006/relationships/hyperlink" Target="http://www.engineeringtoolbox.com/density-specific-weight-gravity-d_290.html" TargetMode="External"/><Relationship Id="rId2" Type="http://schemas.openxmlformats.org/officeDocument/2006/relationships/hyperlink" Target="http://www.engineeringtoolbox.com/pressure-d_587.html" TargetMode="External"/><Relationship Id="rId1" Type="http://schemas.openxmlformats.org/officeDocument/2006/relationships/hyperlink" Target="http://www.engineeringtoolbox.com/pressure-d_587.html" TargetMode="External"/><Relationship Id="rId6" Type="http://schemas.openxmlformats.org/officeDocument/2006/relationships/hyperlink" Target="http://www.engineeringtoolbox.com/density-specific-weight-gravity-d_290.html" TargetMode="External"/><Relationship Id="rId5" Type="http://schemas.openxmlformats.org/officeDocument/2006/relationships/hyperlink" Target="http://www.engineeringtoolbox.com/temperature-d_291.html" TargetMode="External"/><Relationship Id="rId10" Type="http://schemas.openxmlformats.org/officeDocument/2006/relationships/printerSettings" Target="../printerSettings/printerSettings16.bin"/><Relationship Id="rId4" Type="http://schemas.openxmlformats.org/officeDocument/2006/relationships/hyperlink" Target="http://www.engineeringtoolbox.com/temperature-d_291.html" TargetMode="External"/><Relationship Id="rId9" Type="http://schemas.openxmlformats.org/officeDocument/2006/relationships/hyperlink" Target="http://www.engineeringtoolbox.com/density-specific-weight-gravity-d_290.html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18" Type="http://schemas.openxmlformats.org/officeDocument/2006/relationships/ctrlProp" Target="../ctrlProps/ctrlProp32.xml"/><Relationship Id="rId3" Type="http://schemas.openxmlformats.org/officeDocument/2006/relationships/vmlDrawing" Target="../drawings/vmlDrawing3.vml"/><Relationship Id="rId21" Type="http://schemas.openxmlformats.org/officeDocument/2006/relationships/comments" Target="../comments3.x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17" Type="http://schemas.openxmlformats.org/officeDocument/2006/relationships/ctrlProp" Target="../ctrlProps/ctrlProp31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0.xml"/><Relationship Id="rId20" Type="http://schemas.openxmlformats.org/officeDocument/2006/relationships/ctrlProp" Target="../ctrlProps/ctrlProp3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19" Type="http://schemas.openxmlformats.org/officeDocument/2006/relationships/ctrlProp" Target="../ctrlProps/ctrlProp33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3" Type="http://schemas.openxmlformats.org/officeDocument/2006/relationships/vmlDrawing" Target="../drawings/vmlDrawing4.vml"/><Relationship Id="rId21" Type="http://schemas.openxmlformats.org/officeDocument/2006/relationships/comments" Target="../comments4.x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47.xml"/><Relationship Id="rId20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5" Type="http://schemas.openxmlformats.org/officeDocument/2006/relationships/ctrlProp" Target="../ctrlProps/ctrlProp46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3" Type="http://schemas.openxmlformats.org/officeDocument/2006/relationships/vmlDrawing" Target="../drawings/vmlDrawing5.vml"/><Relationship Id="rId21" Type="http://schemas.openxmlformats.org/officeDocument/2006/relationships/comments" Target="../comments5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18" Type="http://schemas.openxmlformats.org/officeDocument/2006/relationships/ctrlProp" Target="../ctrlProps/ctrlProp83.xml"/><Relationship Id="rId3" Type="http://schemas.openxmlformats.org/officeDocument/2006/relationships/vmlDrawing" Target="../drawings/vmlDrawing6.vml"/><Relationship Id="rId21" Type="http://schemas.openxmlformats.org/officeDocument/2006/relationships/comments" Target="../comments6.x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17" Type="http://schemas.openxmlformats.org/officeDocument/2006/relationships/ctrlProp" Target="../ctrlProps/ctrlProp8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81.xml"/><Relationship Id="rId20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5" Type="http://schemas.openxmlformats.org/officeDocument/2006/relationships/ctrlProp" Target="../ctrlProps/ctrlProp80.xml"/><Relationship Id="rId10" Type="http://schemas.openxmlformats.org/officeDocument/2006/relationships/ctrlProp" Target="../ctrlProps/ctrlProp75.xml"/><Relationship Id="rId19" Type="http://schemas.openxmlformats.org/officeDocument/2006/relationships/ctrlProp" Target="../ctrlProps/ctrlProp84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Relationship Id="rId14" Type="http://schemas.openxmlformats.org/officeDocument/2006/relationships/ctrlProp" Target="../ctrlProps/ctrlProp7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.xml"/><Relationship Id="rId13" Type="http://schemas.openxmlformats.org/officeDocument/2006/relationships/ctrlProp" Target="../ctrlProps/ctrlProp95.xml"/><Relationship Id="rId18" Type="http://schemas.openxmlformats.org/officeDocument/2006/relationships/ctrlProp" Target="../ctrlProps/ctrlProp100.xml"/><Relationship Id="rId3" Type="http://schemas.openxmlformats.org/officeDocument/2006/relationships/vmlDrawing" Target="../drawings/vmlDrawing7.vml"/><Relationship Id="rId21" Type="http://schemas.openxmlformats.org/officeDocument/2006/relationships/comments" Target="../comments7.xml"/><Relationship Id="rId7" Type="http://schemas.openxmlformats.org/officeDocument/2006/relationships/ctrlProp" Target="../ctrlProps/ctrlProp89.xml"/><Relationship Id="rId12" Type="http://schemas.openxmlformats.org/officeDocument/2006/relationships/ctrlProp" Target="../ctrlProps/ctrlProp94.xml"/><Relationship Id="rId17" Type="http://schemas.openxmlformats.org/officeDocument/2006/relationships/ctrlProp" Target="../ctrlProps/ctrlProp99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98.xml"/><Relationship Id="rId20" Type="http://schemas.openxmlformats.org/officeDocument/2006/relationships/ctrlProp" Target="../ctrlProps/ctrlProp1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88.xml"/><Relationship Id="rId11" Type="http://schemas.openxmlformats.org/officeDocument/2006/relationships/ctrlProp" Target="../ctrlProps/ctrlProp93.xml"/><Relationship Id="rId5" Type="http://schemas.openxmlformats.org/officeDocument/2006/relationships/ctrlProp" Target="../ctrlProps/ctrlProp87.xml"/><Relationship Id="rId15" Type="http://schemas.openxmlformats.org/officeDocument/2006/relationships/ctrlProp" Target="../ctrlProps/ctrlProp97.xml"/><Relationship Id="rId10" Type="http://schemas.openxmlformats.org/officeDocument/2006/relationships/ctrlProp" Target="../ctrlProps/ctrlProp92.xml"/><Relationship Id="rId19" Type="http://schemas.openxmlformats.org/officeDocument/2006/relationships/ctrlProp" Target="../ctrlProps/ctrlProp101.xml"/><Relationship Id="rId4" Type="http://schemas.openxmlformats.org/officeDocument/2006/relationships/ctrlProp" Target="../ctrlProps/ctrlProp86.xml"/><Relationship Id="rId9" Type="http://schemas.openxmlformats.org/officeDocument/2006/relationships/ctrlProp" Target="../ctrlProps/ctrlProp91.xml"/><Relationship Id="rId14" Type="http://schemas.openxmlformats.org/officeDocument/2006/relationships/ctrlProp" Target="../ctrlProps/ctrlProp9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5"/>
  <sheetViews>
    <sheetView topLeftCell="A10" workbookViewId="0">
      <selection activeCell="C17" sqref="C17:D17"/>
    </sheetView>
  </sheetViews>
  <sheetFormatPr defaultColWidth="9" defaultRowHeight="14"/>
  <cols>
    <col min="1" max="1" width="9.453125" style="481" customWidth="1"/>
    <col min="2" max="2" width="11.1796875" style="481" customWidth="1"/>
    <col min="3" max="3" width="18.54296875" style="481" customWidth="1"/>
    <col min="4" max="4" width="51" style="481" customWidth="1"/>
    <col min="5" max="5" width="25" style="481" customWidth="1"/>
    <col min="6" max="256" width="9" style="481"/>
    <col min="257" max="257" width="9.453125" style="481" customWidth="1"/>
    <col min="258" max="258" width="11.1796875" style="481" customWidth="1"/>
    <col min="259" max="259" width="18.54296875" style="481" customWidth="1"/>
    <col min="260" max="260" width="29.453125" style="481" customWidth="1"/>
    <col min="261" max="261" width="22.453125" style="481" customWidth="1"/>
    <col min="262" max="512" width="9" style="481"/>
    <col min="513" max="513" width="9.453125" style="481" customWidth="1"/>
    <col min="514" max="514" width="11.1796875" style="481" customWidth="1"/>
    <col min="515" max="515" width="18.54296875" style="481" customWidth="1"/>
    <col min="516" max="516" width="29.453125" style="481" customWidth="1"/>
    <col min="517" max="517" width="22.453125" style="481" customWidth="1"/>
    <col min="518" max="768" width="9" style="481"/>
    <col min="769" max="769" width="9.453125" style="481" customWidth="1"/>
    <col min="770" max="770" width="11.1796875" style="481" customWidth="1"/>
    <col min="771" max="771" width="18.54296875" style="481" customWidth="1"/>
    <col min="772" max="772" width="29.453125" style="481" customWidth="1"/>
    <col min="773" max="773" width="22.453125" style="481" customWidth="1"/>
    <col min="774" max="1024" width="9" style="481"/>
    <col min="1025" max="1025" width="9.453125" style="481" customWidth="1"/>
    <col min="1026" max="1026" width="11.1796875" style="481" customWidth="1"/>
    <col min="1027" max="1027" width="18.54296875" style="481" customWidth="1"/>
    <col min="1028" max="1028" width="29.453125" style="481" customWidth="1"/>
    <col min="1029" max="1029" width="22.453125" style="481" customWidth="1"/>
    <col min="1030" max="1280" width="9" style="481"/>
    <col min="1281" max="1281" width="9.453125" style="481" customWidth="1"/>
    <col min="1282" max="1282" width="11.1796875" style="481" customWidth="1"/>
    <col min="1283" max="1283" width="18.54296875" style="481" customWidth="1"/>
    <col min="1284" max="1284" width="29.453125" style="481" customWidth="1"/>
    <col min="1285" max="1285" width="22.453125" style="481" customWidth="1"/>
    <col min="1286" max="1536" width="9" style="481"/>
    <col min="1537" max="1537" width="9.453125" style="481" customWidth="1"/>
    <col min="1538" max="1538" width="11.1796875" style="481" customWidth="1"/>
    <col min="1539" max="1539" width="18.54296875" style="481" customWidth="1"/>
    <col min="1540" max="1540" width="29.453125" style="481" customWidth="1"/>
    <col min="1541" max="1541" width="22.453125" style="481" customWidth="1"/>
    <col min="1542" max="1792" width="9" style="481"/>
    <col min="1793" max="1793" width="9.453125" style="481" customWidth="1"/>
    <col min="1794" max="1794" width="11.1796875" style="481" customWidth="1"/>
    <col min="1795" max="1795" width="18.54296875" style="481" customWidth="1"/>
    <col min="1796" max="1796" width="29.453125" style="481" customWidth="1"/>
    <col min="1797" max="1797" width="22.453125" style="481" customWidth="1"/>
    <col min="1798" max="2048" width="9" style="481"/>
    <col min="2049" max="2049" width="9.453125" style="481" customWidth="1"/>
    <col min="2050" max="2050" width="11.1796875" style="481" customWidth="1"/>
    <col min="2051" max="2051" width="18.54296875" style="481" customWidth="1"/>
    <col min="2052" max="2052" width="29.453125" style="481" customWidth="1"/>
    <col min="2053" max="2053" width="22.453125" style="481" customWidth="1"/>
    <col min="2054" max="2304" width="9" style="481"/>
    <col min="2305" max="2305" width="9.453125" style="481" customWidth="1"/>
    <col min="2306" max="2306" width="11.1796875" style="481" customWidth="1"/>
    <col min="2307" max="2307" width="18.54296875" style="481" customWidth="1"/>
    <col min="2308" max="2308" width="29.453125" style="481" customWidth="1"/>
    <col min="2309" max="2309" width="22.453125" style="481" customWidth="1"/>
    <col min="2310" max="2560" width="9" style="481"/>
    <col min="2561" max="2561" width="9.453125" style="481" customWidth="1"/>
    <col min="2562" max="2562" width="11.1796875" style="481" customWidth="1"/>
    <col min="2563" max="2563" width="18.54296875" style="481" customWidth="1"/>
    <col min="2564" max="2564" width="29.453125" style="481" customWidth="1"/>
    <col min="2565" max="2565" width="22.453125" style="481" customWidth="1"/>
    <col min="2566" max="2816" width="9" style="481"/>
    <col min="2817" max="2817" width="9.453125" style="481" customWidth="1"/>
    <col min="2818" max="2818" width="11.1796875" style="481" customWidth="1"/>
    <col min="2819" max="2819" width="18.54296875" style="481" customWidth="1"/>
    <col min="2820" max="2820" width="29.453125" style="481" customWidth="1"/>
    <col min="2821" max="2821" width="22.453125" style="481" customWidth="1"/>
    <col min="2822" max="3072" width="9" style="481"/>
    <col min="3073" max="3073" width="9.453125" style="481" customWidth="1"/>
    <col min="3074" max="3074" width="11.1796875" style="481" customWidth="1"/>
    <col min="3075" max="3075" width="18.54296875" style="481" customWidth="1"/>
    <col min="3076" max="3076" width="29.453125" style="481" customWidth="1"/>
    <col min="3077" max="3077" width="22.453125" style="481" customWidth="1"/>
    <col min="3078" max="3328" width="9" style="481"/>
    <col min="3329" max="3329" width="9.453125" style="481" customWidth="1"/>
    <col min="3330" max="3330" width="11.1796875" style="481" customWidth="1"/>
    <col min="3331" max="3331" width="18.54296875" style="481" customWidth="1"/>
    <col min="3332" max="3332" width="29.453125" style="481" customWidth="1"/>
    <col min="3333" max="3333" width="22.453125" style="481" customWidth="1"/>
    <col min="3334" max="3584" width="9" style="481"/>
    <col min="3585" max="3585" width="9.453125" style="481" customWidth="1"/>
    <col min="3586" max="3586" width="11.1796875" style="481" customWidth="1"/>
    <col min="3587" max="3587" width="18.54296875" style="481" customWidth="1"/>
    <col min="3588" max="3588" width="29.453125" style="481" customWidth="1"/>
    <col min="3589" max="3589" width="22.453125" style="481" customWidth="1"/>
    <col min="3590" max="3840" width="9" style="481"/>
    <col min="3841" max="3841" width="9.453125" style="481" customWidth="1"/>
    <col min="3842" max="3842" width="11.1796875" style="481" customWidth="1"/>
    <col min="3843" max="3843" width="18.54296875" style="481" customWidth="1"/>
    <col min="3844" max="3844" width="29.453125" style="481" customWidth="1"/>
    <col min="3845" max="3845" width="22.453125" style="481" customWidth="1"/>
    <col min="3846" max="4096" width="9" style="481"/>
    <col min="4097" max="4097" width="9.453125" style="481" customWidth="1"/>
    <col min="4098" max="4098" width="11.1796875" style="481" customWidth="1"/>
    <col min="4099" max="4099" width="18.54296875" style="481" customWidth="1"/>
    <col min="4100" max="4100" width="29.453125" style="481" customWidth="1"/>
    <col min="4101" max="4101" width="22.453125" style="481" customWidth="1"/>
    <col min="4102" max="4352" width="9" style="481"/>
    <col min="4353" max="4353" width="9.453125" style="481" customWidth="1"/>
    <col min="4354" max="4354" width="11.1796875" style="481" customWidth="1"/>
    <col min="4355" max="4355" width="18.54296875" style="481" customWidth="1"/>
    <col min="4356" max="4356" width="29.453125" style="481" customWidth="1"/>
    <col min="4357" max="4357" width="22.453125" style="481" customWidth="1"/>
    <col min="4358" max="4608" width="9" style="481"/>
    <col min="4609" max="4609" width="9.453125" style="481" customWidth="1"/>
    <col min="4610" max="4610" width="11.1796875" style="481" customWidth="1"/>
    <col min="4611" max="4611" width="18.54296875" style="481" customWidth="1"/>
    <col min="4612" max="4612" width="29.453125" style="481" customWidth="1"/>
    <col min="4613" max="4613" width="22.453125" style="481" customWidth="1"/>
    <col min="4614" max="4864" width="9" style="481"/>
    <col min="4865" max="4865" width="9.453125" style="481" customWidth="1"/>
    <col min="4866" max="4866" width="11.1796875" style="481" customWidth="1"/>
    <col min="4867" max="4867" width="18.54296875" style="481" customWidth="1"/>
    <col min="4868" max="4868" width="29.453125" style="481" customWidth="1"/>
    <col min="4869" max="4869" width="22.453125" style="481" customWidth="1"/>
    <col min="4870" max="5120" width="9" style="481"/>
    <col min="5121" max="5121" width="9.453125" style="481" customWidth="1"/>
    <col min="5122" max="5122" width="11.1796875" style="481" customWidth="1"/>
    <col min="5123" max="5123" width="18.54296875" style="481" customWidth="1"/>
    <col min="5124" max="5124" width="29.453125" style="481" customWidth="1"/>
    <col min="5125" max="5125" width="22.453125" style="481" customWidth="1"/>
    <col min="5126" max="5376" width="9" style="481"/>
    <col min="5377" max="5377" width="9.453125" style="481" customWidth="1"/>
    <col min="5378" max="5378" width="11.1796875" style="481" customWidth="1"/>
    <col min="5379" max="5379" width="18.54296875" style="481" customWidth="1"/>
    <col min="5380" max="5380" width="29.453125" style="481" customWidth="1"/>
    <col min="5381" max="5381" width="22.453125" style="481" customWidth="1"/>
    <col min="5382" max="5632" width="9" style="481"/>
    <col min="5633" max="5633" width="9.453125" style="481" customWidth="1"/>
    <col min="5634" max="5634" width="11.1796875" style="481" customWidth="1"/>
    <col min="5635" max="5635" width="18.54296875" style="481" customWidth="1"/>
    <col min="5636" max="5636" width="29.453125" style="481" customWidth="1"/>
    <col min="5637" max="5637" width="22.453125" style="481" customWidth="1"/>
    <col min="5638" max="5888" width="9" style="481"/>
    <col min="5889" max="5889" width="9.453125" style="481" customWidth="1"/>
    <col min="5890" max="5890" width="11.1796875" style="481" customWidth="1"/>
    <col min="5891" max="5891" width="18.54296875" style="481" customWidth="1"/>
    <col min="5892" max="5892" width="29.453125" style="481" customWidth="1"/>
    <col min="5893" max="5893" width="22.453125" style="481" customWidth="1"/>
    <col min="5894" max="6144" width="9" style="481"/>
    <col min="6145" max="6145" width="9.453125" style="481" customWidth="1"/>
    <col min="6146" max="6146" width="11.1796875" style="481" customWidth="1"/>
    <col min="6147" max="6147" width="18.54296875" style="481" customWidth="1"/>
    <col min="6148" max="6148" width="29.453125" style="481" customWidth="1"/>
    <col min="6149" max="6149" width="22.453125" style="481" customWidth="1"/>
    <col min="6150" max="6400" width="9" style="481"/>
    <col min="6401" max="6401" width="9.453125" style="481" customWidth="1"/>
    <col min="6402" max="6402" width="11.1796875" style="481" customWidth="1"/>
    <col min="6403" max="6403" width="18.54296875" style="481" customWidth="1"/>
    <col min="6404" max="6404" width="29.453125" style="481" customWidth="1"/>
    <col min="6405" max="6405" width="22.453125" style="481" customWidth="1"/>
    <col min="6406" max="6656" width="9" style="481"/>
    <col min="6657" max="6657" width="9.453125" style="481" customWidth="1"/>
    <col min="6658" max="6658" width="11.1796875" style="481" customWidth="1"/>
    <col min="6659" max="6659" width="18.54296875" style="481" customWidth="1"/>
    <col min="6660" max="6660" width="29.453125" style="481" customWidth="1"/>
    <col min="6661" max="6661" width="22.453125" style="481" customWidth="1"/>
    <col min="6662" max="6912" width="9" style="481"/>
    <col min="6913" max="6913" width="9.453125" style="481" customWidth="1"/>
    <col min="6914" max="6914" width="11.1796875" style="481" customWidth="1"/>
    <col min="6915" max="6915" width="18.54296875" style="481" customWidth="1"/>
    <col min="6916" max="6916" width="29.453125" style="481" customWidth="1"/>
    <col min="6917" max="6917" width="22.453125" style="481" customWidth="1"/>
    <col min="6918" max="7168" width="9" style="481"/>
    <col min="7169" max="7169" width="9.453125" style="481" customWidth="1"/>
    <col min="7170" max="7170" width="11.1796875" style="481" customWidth="1"/>
    <col min="7171" max="7171" width="18.54296875" style="481" customWidth="1"/>
    <col min="7172" max="7172" width="29.453125" style="481" customWidth="1"/>
    <col min="7173" max="7173" width="22.453125" style="481" customWidth="1"/>
    <col min="7174" max="7424" width="9" style="481"/>
    <col min="7425" max="7425" width="9.453125" style="481" customWidth="1"/>
    <col min="7426" max="7426" width="11.1796875" style="481" customWidth="1"/>
    <col min="7427" max="7427" width="18.54296875" style="481" customWidth="1"/>
    <col min="7428" max="7428" width="29.453125" style="481" customWidth="1"/>
    <col min="7429" max="7429" width="22.453125" style="481" customWidth="1"/>
    <col min="7430" max="7680" width="9" style="481"/>
    <col min="7681" max="7681" width="9.453125" style="481" customWidth="1"/>
    <col min="7682" max="7682" width="11.1796875" style="481" customWidth="1"/>
    <col min="7683" max="7683" width="18.54296875" style="481" customWidth="1"/>
    <col min="7684" max="7684" width="29.453125" style="481" customWidth="1"/>
    <col min="7685" max="7685" width="22.453125" style="481" customWidth="1"/>
    <col min="7686" max="7936" width="9" style="481"/>
    <col min="7937" max="7937" width="9.453125" style="481" customWidth="1"/>
    <col min="7938" max="7938" width="11.1796875" style="481" customWidth="1"/>
    <col min="7939" max="7939" width="18.54296875" style="481" customWidth="1"/>
    <col min="7940" max="7940" width="29.453125" style="481" customWidth="1"/>
    <col min="7941" max="7941" width="22.453125" style="481" customWidth="1"/>
    <col min="7942" max="8192" width="9" style="481"/>
    <col min="8193" max="8193" width="9.453125" style="481" customWidth="1"/>
    <col min="8194" max="8194" width="11.1796875" style="481" customWidth="1"/>
    <col min="8195" max="8195" width="18.54296875" style="481" customWidth="1"/>
    <col min="8196" max="8196" width="29.453125" style="481" customWidth="1"/>
    <col min="8197" max="8197" width="22.453125" style="481" customWidth="1"/>
    <col min="8198" max="8448" width="9" style="481"/>
    <col min="8449" max="8449" width="9.453125" style="481" customWidth="1"/>
    <col min="8450" max="8450" width="11.1796875" style="481" customWidth="1"/>
    <col min="8451" max="8451" width="18.54296875" style="481" customWidth="1"/>
    <col min="8452" max="8452" width="29.453125" style="481" customWidth="1"/>
    <col min="8453" max="8453" width="22.453125" style="481" customWidth="1"/>
    <col min="8454" max="8704" width="9" style="481"/>
    <col min="8705" max="8705" width="9.453125" style="481" customWidth="1"/>
    <col min="8706" max="8706" width="11.1796875" style="481" customWidth="1"/>
    <col min="8707" max="8707" width="18.54296875" style="481" customWidth="1"/>
    <col min="8708" max="8708" width="29.453125" style="481" customWidth="1"/>
    <col min="8709" max="8709" width="22.453125" style="481" customWidth="1"/>
    <col min="8710" max="8960" width="9" style="481"/>
    <col min="8961" max="8961" width="9.453125" style="481" customWidth="1"/>
    <col min="8962" max="8962" width="11.1796875" style="481" customWidth="1"/>
    <col min="8963" max="8963" width="18.54296875" style="481" customWidth="1"/>
    <col min="8964" max="8964" width="29.453125" style="481" customWidth="1"/>
    <col min="8965" max="8965" width="22.453125" style="481" customWidth="1"/>
    <col min="8966" max="9216" width="9" style="481"/>
    <col min="9217" max="9217" width="9.453125" style="481" customWidth="1"/>
    <col min="9218" max="9218" width="11.1796875" style="481" customWidth="1"/>
    <col min="9219" max="9219" width="18.54296875" style="481" customWidth="1"/>
    <col min="9220" max="9220" width="29.453125" style="481" customWidth="1"/>
    <col min="9221" max="9221" width="22.453125" style="481" customWidth="1"/>
    <col min="9222" max="9472" width="9" style="481"/>
    <col min="9473" max="9473" width="9.453125" style="481" customWidth="1"/>
    <col min="9474" max="9474" width="11.1796875" style="481" customWidth="1"/>
    <col min="9475" max="9475" width="18.54296875" style="481" customWidth="1"/>
    <col min="9476" max="9476" width="29.453125" style="481" customWidth="1"/>
    <col min="9477" max="9477" width="22.453125" style="481" customWidth="1"/>
    <col min="9478" max="9728" width="9" style="481"/>
    <col min="9729" max="9729" width="9.453125" style="481" customWidth="1"/>
    <col min="9730" max="9730" width="11.1796875" style="481" customWidth="1"/>
    <col min="9731" max="9731" width="18.54296875" style="481" customWidth="1"/>
    <col min="9732" max="9732" width="29.453125" style="481" customWidth="1"/>
    <col min="9733" max="9733" width="22.453125" style="481" customWidth="1"/>
    <col min="9734" max="9984" width="9" style="481"/>
    <col min="9985" max="9985" width="9.453125" style="481" customWidth="1"/>
    <col min="9986" max="9986" width="11.1796875" style="481" customWidth="1"/>
    <col min="9987" max="9987" width="18.54296875" style="481" customWidth="1"/>
    <col min="9988" max="9988" width="29.453125" style="481" customWidth="1"/>
    <col min="9989" max="9989" width="22.453125" style="481" customWidth="1"/>
    <col min="9990" max="10240" width="9" style="481"/>
    <col min="10241" max="10241" width="9.453125" style="481" customWidth="1"/>
    <col min="10242" max="10242" width="11.1796875" style="481" customWidth="1"/>
    <col min="10243" max="10243" width="18.54296875" style="481" customWidth="1"/>
    <col min="10244" max="10244" width="29.453125" style="481" customWidth="1"/>
    <col min="10245" max="10245" width="22.453125" style="481" customWidth="1"/>
    <col min="10246" max="10496" width="9" style="481"/>
    <col min="10497" max="10497" width="9.453125" style="481" customWidth="1"/>
    <col min="10498" max="10498" width="11.1796875" style="481" customWidth="1"/>
    <col min="10499" max="10499" width="18.54296875" style="481" customWidth="1"/>
    <col min="10500" max="10500" width="29.453125" style="481" customWidth="1"/>
    <col min="10501" max="10501" width="22.453125" style="481" customWidth="1"/>
    <col min="10502" max="10752" width="9" style="481"/>
    <col min="10753" max="10753" width="9.453125" style="481" customWidth="1"/>
    <col min="10754" max="10754" width="11.1796875" style="481" customWidth="1"/>
    <col min="10755" max="10755" width="18.54296875" style="481" customWidth="1"/>
    <col min="10756" max="10756" width="29.453125" style="481" customWidth="1"/>
    <col min="10757" max="10757" width="22.453125" style="481" customWidth="1"/>
    <col min="10758" max="11008" width="9" style="481"/>
    <col min="11009" max="11009" width="9.453125" style="481" customWidth="1"/>
    <col min="11010" max="11010" width="11.1796875" style="481" customWidth="1"/>
    <col min="11011" max="11011" width="18.54296875" style="481" customWidth="1"/>
    <col min="11012" max="11012" width="29.453125" style="481" customWidth="1"/>
    <col min="11013" max="11013" width="22.453125" style="481" customWidth="1"/>
    <col min="11014" max="11264" width="9" style="481"/>
    <col min="11265" max="11265" width="9.453125" style="481" customWidth="1"/>
    <col min="11266" max="11266" width="11.1796875" style="481" customWidth="1"/>
    <col min="11267" max="11267" width="18.54296875" style="481" customWidth="1"/>
    <col min="11268" max="11268" width="29.453125" style="481" customWidth="1"/>
    <col min="11269" max="11269" width="22.453125" style="481" customWidth="1"/>
    <col min="11270" max="11520" width="9" style="481"/>
    <col min="11521" max="11521" width="9.453125" style="481" customWidth="1"/>
    <col min="11522" max="11522" width="11.1796875" style="481" customWidth="1"/>
    <col min="11523" max="11523" width="18.54296875" style="481" customWidth="1"/>
    <col min="11524" max="11524" width="29.453125" style="481" customWidth="1"/>
    <col min="11525" max="11525" width="22.453125" style="481" customWidth="1"/>
    <col min="11526" max="11776" width="9" style="481"/>
    <col min="11777" max="11777" width="9.453125" style="481" customWidth="1"/>
    <col min="11778" max="11778" width="11.1796875" style="481" customWidth="1"/>
    <col min="11779" max="11779" width="18.54296875" style="481" customWidth="1"/>
    <col min="11780" max="11780" width="29.453125" style="481" customWidth="1"/>
    <col min="11781" max="11781" width="22.453125" style="481" customWidth="1"/>
    <col min="11782" max="12032" width="9" style="481"/>
    <col min="12033" max="12033" width="9.453125" style="481" customWidth="1"/>
    <col min="12034" max="12034" width="11.1796875" style="481" customWidth="1"/>
    <col min="12035" max="12035" width="18.54296875" style="481" customWidth="1"/>
    <col min="12036" max="12036" width="29.453125" style="481" customWidth="1"/>
    <col min="12037" max="12037" width="22.453125" style="481" customWidth="1"/>
    <col min="12038" max="12288" width="9" style="481"/>
    <col min="12289" max="12289" width="9.453125" style="481" customWidth="1"/>
    <col min="12290" max="12290" width="11.1796875" style="481" customWidth="1"/>
    <col min="12291" max="12291" width="18.54296875" style="481" customWidth="1"/>
    <col min="12292" max="12292" width="29.453125" style="481" customWidth="1"/>
    <col min="12293" max="12293" width="22.453125" style="481" customWidth="1"/>
    <col min="12294" max="12544" width="9" style="481"/>
    <col min="12545" max="12545" width="9.453125" style="481" customWidth="1"/>
    <col min="12546" max="12546" width="11.1796875" style="481" customWidth="1"/>
    <col min="12547" max="12547" width="18.54296875" style="481" customWidth="1"/>
    <col min="12548" max="12548" width="29.453125" style="481" customWidth="1"/>
    <col min="12549" max="12549" width="22.453125" style="481" customWidth="1"/>
    <col min="12550" max="12800" width="9" style="481"/>
    <col min="12801" max="12801" width="9.453125" style="481" customWidth="1"/>
    <col min="12802" max="12802" width="11.1796875" style="481" customWidth="1"/>
    <col min="12803" max="12803" width="18.54296875" style="481" customWidth="1"/>
    <col min="12804" max="12804" width="29.453125" style="481" customWidth="1"/>
    <col min="12805" max="12805" width="22.453125" style="481" customWidth="1"/>
    <col min="12806" max="13056" width="9" style="481"/>
    <col min="13057" max="13057" width="9.453125" style="481" customWidth="1"/>
    <col min="13058" max="13058" width="11.1796875" style="481" customWidth="1"/>
    <col min="13059" max="13059" width="18.54296875" style="481" customWidth="1"/>
    <col min="13060" max="13060" width="29.453125" style="481" customWidth="1"/>
    <col min="13061" max="13061" width="22.453125" style="481" customWidth="1"/>
    <col min="13062" max="13312" width="9" style="481"/>
    <col min="13313" max="13313" width="9.453125" style="481" customWidth="1"/>
    <col min="13314" max="13314" width="11.1796875" style="481" customWidth="1"/>
    <col min="13315" max="13315" width="18.54296875" style="481" customWidth="1"/>
    <col min="13316" max="13316" width="29.453125" style="481" customWidth="1"/>
    <col min="13317" max="13317" width="22.453125" style="481" customWidth="1"/>
    <col min="13318" max="13568" width="9" style="481"/>
    <col min="13569" max="13569" width="9.453125" style="481" customWidth="1"/>
    <col min="13570" max="13570" width="11.1796875" style="481" customWidth="1"/>
    <col min="13571" max="13571" width="18.54296875" style="481" customWidth="1"/>
    <col min="13572" max="13572" width="29.453125" style="481" customWidth="1"/>
    <col min="13573" max="13573" width="22.453125" style="481" customWidth="1"/>
    <col min="13574" max="13824" width="9" style="481"/>
    <col min="13825" max="13825" width="9.453125" style="481" customWidth="1"/>
    <col min="13826" max="13826" width="11.1796875" style="481" customWidth="1"/>
    <col min="13827" max="13827" width="18.54296875" style="481" customWidth="1"/>
    <col min="13828" max="13828" width="29.453125" style="481" customWidth="1"/>
    <col min="13829" max="13829" width="22.453125" style="481" customWidth="1"/>
    <col min="13830" max="14080" width="9" style="481"/>
    <col min="14081" max="14081" width="9.453125" style="481" customWidth="1"/>
    <col min="14082" max="14082" width="11.1796875" style="481" customWidth="1"/>
    <col min="14083" max="14083" width="18.54296875" style="481" customWidth="1"/>
    <col min="14084" max="14084" width="29.453125" style="481" customWidth="1"/>
    <col min="14085" max="14085" width="22.453125" style="481" customWidth="1"/>
    <col min="14086" max="14336" width="9" style="481"/>
    <col min="14337" max="14337" width="9.453125" style="481" customWidth="1"/>
    <col min="14338" max="14338" width="11.1796875" style="481" customWidth="1"/>
    <col min="14339" max="14339" width="18.54296875" style="481" customWidth="1"/>
    <col min="14340" max="14340" width="29.453125" style="481" customWidth="1"/>
    <col min="14341" max="14341" width="22.453125" style="481" customWidth="1"/>
    <col min="14342" max="14592" width="9" style="481"/>
    <col min="14593" max="14593" width="9.453125" style="481" customWidth="1"/>
    <col min="14594" max="14594" width="11.1796875" style="481" customWidth="1"/>
    <col min="14595" max="14595" width="18.54296875" style="481" customWidth="1"/>
    <col min="14596" max="14596" width="29.453125" style="481" customWidth="1"/>
    <col min="14597" max="14597" width="22.453125" style="481" customWidth="1"/>
    <col min="14598" max="14848" width="9" style="481"/>
    <col min="14849" max="14849" width="9.453125" style="481" customWidth="1"/>
    <col min="14850" max="14850" width="11.1796875" style="481" customWidth="1"/>
    <col min="14851" max="14851" width="18.54296875" style="481" customWidth="1"/>
    <col min="14852" max="14852" width="29.453125" style="481" customWidth="1"/>
    <col min="14853" max="14853" width="22.453125" style="481" customWidth="1"/>
    <col min="14854" max="15104" width="9" style="481"/>
    <col min="15105" max="15105" width="9.453125" style="481" customWidth="1"/>
    <col min="15106" max="15106" width="11.1796875" style="481" customWidth="1"/>
    <col min="15107" max="15107" width="18.54296875" style="481" customWidth="1"/>
    <col min="15108" max="15108" width="29.453125" style="481" customWidth="1"/>
    <col min="15109" max="15109" width="22.453125" style="481" customWidth="1"/>
    <col min="15110" max="15360" width="9" style="481"/>
    <col min="15361" max="15361" width="9.453125" style="481" customWidth="1"/>
    <col min="15362" max="15362" width="11.1796875" style="481" customWidth="1"/>
    <col min="15363" max="15363" width="18.54296875" style="481" customWidth="1"/>
    <col min="15364" max="15364" width="29.453125" style="481" customWidth="1"/>
    <col min="15365" max="15365" width="22.453125" style="481" customWidth="1"/>
    <col min="15366" max="15616" width="9" style="481"/>
    <col min="15617" max="15617" width="9.453125" style="481" customWidth="1"/>
    <col min="15618" max="15618" width="11.1796875" style="481" customWidth="1"/>
    <col min="15619" max="15619" width="18.54296875" style="481" customWidth="1"/>
    <col min="15620" max="15620" width="29.453125" style="481" customWidth="1"/>
    <col min="15621" max="15621" width="22.453125" style="481" customWidth="1"/>
    <col min="15622" max="15872" width="9" style="481"/>
    <col min="15873" max="15873" width="9.453125" style="481" customWidth="1"/>
    <col min="15874" max="15874" width="11.1796875" style="481" customWidth="1"/>
    <col min="15875" max="15875" width="18.54296875" style="481" customWidth="1"/>
    <col min="15876" max="15876" width="29.453125" style="481" customWidth="1"/>
    <col min="15877" max="15877" width="22.453125" style="481" customWidth="1"/>
    <col min="15878" max="16128" width="9" style="481"/>
    <col min="16129" max="16129" width="9.453125" style="481" customWidth="1"/>
    <col min="16130" max="16130" width="11.1796875" style="481" customWidth="1"/>
    <col min="16131" max="16131" width="18.54296875" style="481" customWidth="1"/>
    <col min="16132" max="16132" width="29.453125" style="481" customWidth="1"/>
    <col min="16133" max="16133" width="22.453125" style="481" customWidth="1"/>
    <col min="16134" max="16384" width="9" style="481"/>
  </cols>
  <sheetData>
    <row r="1" spans="1:5" ht="25" customHeight="1">
      <c r="A1" s="924"/>
      <c r="B1" s="924"/>
      <c r="C1" s="925" t="s">
        <v>0</v>
      </c>
      <c r="D1" s="925"/>
      <c r="E1" s="926"/>
    </row>
    <row r="2" spans="1:5" ht="21" customHeight="1">
      <c r="A2" s="929">
        <v>44365</v>
      </c>
      <c r="B2" s="924"/>
      <c r="C2" s="482" t="s">
        <v>1</v>
      </c>
      <c r="D2" s="489" t="s">
        <v>2</v>
      </c>
      <c r="E2" s="927"/>
    </row>
    <row r="3" spans="1:5" ht="18.75" customHeight="1">
      <c r="A3" s="924" t="s">
        <v>3</v>
      </c>
      <c r="B3" s="924"/>
      <c r="C3" s="482" t="s">
        <v>4</v>
      </c>
      <c r="D3" s="489" t="s">
        <v>2</v>
      </c>
      <c r="E3" s="928"/>
    </row>
    <row r="4" spans="1:5" ht="20.25" customHeight="1">
      <c r="A4" s="930" t="s">
        <v>5</v>
      </c>
      <c r="B4" s="930"/>
      <c r="C4" s="925" t="s">
        <v>6</v>
      </c>
      <c r="D4" s="925"/>
      <c r="E4" s="489" t="s">
        <v>7</v>
      </c>
    </row>
    <row r="5" spans="1:5" ht="20.25" customHeight="1">
      <c r="A5" s="930"/>
      <c r="B5" s="930"/>
      <c r="C5" s="925"/>
      <c r="D5" s="925"/>
      <c r="E5" s="489" t="s">
        <v>8</v>
      </c>
    </row>
    <row r="8" spans="1:5" ht="18">
      <c r="A8" s="483" t="s">
        <v>9</v>
      </c>
      <c r="B8" s="483"/>
    </row>
    <row r="10" spans="1:5" ht="21" customHeight="1">
      <c r="A10" s="931" t="s">
        <v>10</v>
      </c>
      <c r="B10" s="933" t="s">
        <v>11</v>
      </c>
      <c r="C10" s="934" t="s">
        <v>12</v>
      </c>
      <c r="D10" s="935"/>
      <c r="E10" s="931" t="s">
        <v>13</v>
      </c>
    </row>
    <row r="11" spans="1:5" ht="21" customHeight="1">
      <c r="A11" s="932"/>
      <c r="B11" s="933"/>
      <c r="C11" s="936"/>
      <c r="D11" s="937"/>
      <c r="E11" s="932"/>
    </row>
    <row r="12" spans="1:5" ht="32.25" customHeight="1">
      <c r="A12" s="484" t="s">
        <v>14</v>
      </c>
      <c r="B12" s="484">
        <v>42271</v>
      </c>
      <c r="C12" s="922" t="s">
        <v>15</v>
      </c>
      <c r="D12" s="923"/>
      <c r="E12" s="485" t="s">
        <v>16</v>
      </c>
    </row>
    <row r="13" spans="1:5" ht="69" customHeight="1">
      <c r="A13" s="484" t="s">
        <v>17</v>
      </c>
      <c r="B13" s="484">
        <v>44365</v>
      </c>
      <c r="C13" s="922" t="s">
        <v>18</v>
      </c>
      <c r="D13" s="923"/>
      <c r="E13" s="485" t="s">
        <v>19</v>
      </c>
    </row>
    <row r="14" spans="1:5" ht="207" customHeight="1">
      <c r="A14" s="484" t="s">
        <v>20</v>
      </c>
      <c r="B14" s="484">
        <v>44417</v>
      </c>
      <c r="C14" s="922" t="s">
        <v>21</v>
      </c>
      <c r="D14" s="923"/>
      <c r="E14" s="485" t="s">
        <v>19</v>
      </c>
    </row>
    <row r="15" spans="1:5" ht="96.75" customHeight="1">
      <c r="A15" s="484" t="s">
        <v>22</v>
      </c>
      <c r="B15" s="484">
        <v>44494</v>
      </c>
      <c r="C15" s="922" t="s">
        <v>23</v>
      </c>
      <c r="D15" s="923"/>
      <c r="E15" s="485" t="s">
        <v>19</v>
      </c>
    </row>
    <row r="16" spans="1:5" ht="39.75" customHeight="1">
      <c r="A16" s="484"/>
      <c r="B16" s="484"/>
      <c r="C16" s="922"/>
      <c r="D16" s="923"/>
      <c r="E16" s="485"/>
    </row>
    <row r="17" spans="1:5" ht="27" customHeight="1">
      <c r="A17" s="484"/>
      <c r="B17" s="484"/>
      <c r="C17" s="922"/>
      <c r="D17" s="923"/>
      <c r="E17" s="485"/>
    </row>
    <row r="18" spans="1:5" ht="29.25" customHeight="1">
      <c r="A18" s="484"/>
      <c r="B18" s="484"/>
      <c r="C18" s="922"/>
      <c r="D18" s="923"/>
      <c r="E18" s="485"/>
    </row>
    <row r="19" spans="1:5" ht="24.75" customHeight="1">
      <c r="A19" s="484"/>
      <c r="B19" s="484"/>
      <c r="C19" s="938"/>
      <c r="D19" s="939"/>
      <c r="E19" s="485"/>
    </row>
    <row r="20" spans="1:5" ht="41.25" customHeight="1">
      <c r="A20" s="484"/>
      <c r="B20" s="484"/>
      <c r="C20" s="940"/>
      <c r="D20" s="939"/>
      <c r="E20" s="485"/>
    </row>
    <row r="21" spans="1:5" ht="55.5" customHeight="1">
      <c r="A21" s="484"/>
      <c r="B21" s="484"/>
      <c r="C21" s="922"/>
      <c r="D21" s="923"/>
      <c r="E21" s="485"/>
    </row>
    <row r="22" spans="1:5" ht="20.149999999999999" customHeight="1">
      <c r="A22" s="486"/>
      <c r="B22" s="487"/>
      <c r="C22" s="938"/>
      <c r="D22" s="939"/>
      <c r="E22" s="488"/>
    </row>
    <row r="23" spans="1:5" ht="20.149999999999999" customHeight="1">
      <c r="A23" s="486"/>
      <c r="B23" s="487"/>
      <c r="C23" s="938"/>
      <c r="D23" s="939"/>
      <c r="E23" s="488"/>
    </row>
    <row r="24" spans="1:5" ht="20.149999999999999" customHeight="1">
      <c r="A24" s="486"/>
      <c r="B24" s="487"/>
      <c r="C24" s="938"/>
      <c r="D24" s="939"/>
      <c r="E24" s="488"/>
    </row>
    <row r="25" spans="1:5" ht="20.149999999999999" customHeight="1">
      <c r="A25" s="486"/>
      <c r="B25" s="487"/>
      <c r="C25" s="938"/>
      <c r="D25" s="939"/>
      <c r="E25" s="488"/>
    </row>
    <row r="26" spans="1:5" ht="20.149999999999999" customHeight="1">
      <c r="A26" s="486"/>
      <c r="B26" s="487"/>
      <c r="C26" s="938"/>
      <c r="D26" s="939"/>
      <c r="E26" s="488"/>
    </row>
    <row r="27" spans="1:5" ht="20.149999999999999" customHeight="1">
      <c r="A27" s="486"/>
      <c r="B27" s="487"/>
      <c r="C27" s="938"/>
      <c r="D27" s="939"/>
      <c r="E27" s="488"/>
    </row>
    <row r="28" spans="1:5" ht="20.149999999999999" customHeight="1">
      <c r="A28" s="486"/>
      <c r="B28" s="487"/>
      <c r="C28" s="938"/>
      <c r="D28" s="939"/>
      <c r="E28" s="488"/>
    </row>
    <row r="29" spans="1:5" ht="20.149999999999999" customHeight="1">
      <c r="A29" s="486"/>
      <c r="B29" s="487"/>
      <c r="C29" s="938"/>
      <c r="D29" s="939"/>
      <c r="E29" s="488"/>
    </row>
    <row r="30" spans="1:5" ht="20.149999999999999" customHeight="1">
      <c r="A30" s="486"/>
      <c r="B30" s="487"/>
      <c r="C30" s="938"/>
      <c r="D30" s="939"/>
      <c r="E30" s="488"/>
    </row>
    <row r="31" spans="1:5" ht="20.149999999999999" customHeight="1">
      <c r="A31" s="486"/>
      <c r="B31" s="487"/>
      <c r="C31" s="938"/>
      <c r="D31" s="939"/>
      <c r="E31" s="488"/>
    </row>
    <row r="32" spans="1:5" ht="20.149999999999999" customHeight="1">
      <c r="A32" s="486"/>
      <c r="B32" s="487"/>
      <c r="C32" s="938"/>
      <c r="D32" s="939"/>
      <c r="E32" s="488"/>
    </row>
    <row r="33" spans="1:5" ht="20.149999999999999" customHeight="1">
      <c r="A33" s="486"/>
      <c r="B33" s="487"/>
      <c r="C33" s="938"/>
      <c r="D33" s="939"/>
      <c r="E33" s="488"/>
    </row>
    <row r="34" spans="1:5" ht="20.149999999999999" customHeight="1">
      <c r="A34" s="486"/>
      <c r="B34" s="487"/>
      <c r="C34" s="938"/>
      <c r="D34" s="939"/>
      <c r="E34" s="488"/>
    </row>
    <row r="35" spans="1:5" ht="20.149999999999999" customHeight="1">
      <c r="A35" s="486"/>
      <c r="B35" s="487"/>
      <c r="C35" s="938"/>
      <c r="D35" s="939"/>
      <c r="E35" s="488"/>
    </row>
  </sheetData>
  <mergeCells count="35">
    <mergeCell ref="C32:D32"/>
    <mergeCell ref="C33:D33"/>
    <mergeCell ref="C34:D34"/>
    <mergeCell ref="C35:D35"/>
    <mergeCell ref="C26:D26"/>
    <mergeCell ref="C27:D27"/>
    <mergeCell ref="C28:D28"/>
    <mergeCell ref="C29:D29"/>
    <mergeCell ref="C30:D30"/>
    <mergeCell ref="C31:D31"/>
    <mergeCell ref="C25:D25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13:D13"/>
    <mergeCell ref="A1:B1"/>
    <mergeCell ref="C1:D1"/>
    <mergeCell ref="E1:E3"/>
    <mergeCell ref="A2:B2"/>
    <mergeCell ref="A3:B3"/>
    <mergeCell ref="A4:B5"/>
    <mergeCell ref="C4:D5"/>
    <mergeCell ref="A10:A11"/>
    <mergeCell ref="B10:B11"/>
    <mergeCell ref="C10:D11"/>
    <mergeCell ref="E10:E11"/>
    <mergeCell ref="C12:D12"/>
  </mergeCells>
  <pageMargins left="0.69930555555555551" right="0.69930555555555551" top="0.75" bottom="0.75" header="0.3" footer="0.3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4F016-217B-474B-9936-EFBF6053A0B7}">
  <sheetPr>
    <tabColor rgb="FFFF0000"/>
  </sheetPr>
  <dimension ref="B1:ER109"/>
  <sheetViews>
    <sheetView tabSelected="1" zoomScaleNormal="100" workbookViewId="0">
      <pane xSplit="45" topLeftCell="AU1" activePane="topRight" state="frozen"/>
      <selection activeCell="H2" sqref="H2"/>
      <selection pane="topRight" activeCell="AU4" sqref="AU4:EO8"/>
    </sheetView>
  </sheetViews>
  <sheetFormatPr defaultColWidth="9.1796875" defaultRowHeight="12.5"/>
  <cols>
    <col min="1" max="1" width="2.1796875" style="661" customWidth="1"/>
    <col min="2" max="2" width="6.1796875" style="665" customWidth="1"/>
    <col min="3" max="3" width="31.81640625" style="666" customWidth="1"/>
    <col min="4" max="4" width="7.54296875" style="667" customWidth="1"/>
    <col min="5" max="5" width="7.1796875" style="667" customWidth="1"/>
    <col min="6" max="6" width="9.54296875" style="667" customWidth="1"/>
    <col min="7" max="7" width="9.453125" style="667" customWidth="1"/>
    <col min="8" max="8" width="7.81640625" style="667" customWidth="1"/>
    <col min="9" max="9" width="8.453125" style="667" customWidth="1"/>
    <col min="10" max="10" width="19.81640625" style="668" customWidth="1"/>
    <col min="11" max="11" width="10.54296875" style="669" customWidth="1"/>
    <col min="12" max="12" width="7.81640625" style="670" customWidth="1"/>
    <col min="13" max="13" width="7.453125" style="661" hidden="1" customWidth="1"/>
    <col min="14" max="19" width="8" style="661" hidden="1" customWidth="1"/>
    <col min="20" max="20" width="9.1796875" style="661" hidden="1" customWidth="1"/>
    <col min="21" max="21" width="11.1796875" style="661" hidden="1" customWidth="1"/>
    <col min="22" max="23" width="9.1796875" style="661" hidden="1" customWidth="1"/>
    <col min="24" max="24" width="9.1796875" style="661" hidden="1" customWidth="1" collapsed="1"/>
    <col min="25" max="34" width="9.1796875" style="661" hidden="1" customWidth="1"/>
    <col min="35" max="35" width="6.54296875" style="661" hidden="1" customWidth="1"/>
    <col min="36" max="37" width="9.1796875" style="661" hidden="1" customWidth="1"/>
    <col min="38" max="38" width="10.1796875" style="661" hidden="1" customWidth="1"/>
    <col min="39" max="39" width="13" style="661" hidden="1" customWidth="1"/>
    <col min="40" max="40" width="11.81640625" style="661" hidden="1" customWidth="1"/>
    <col min="41" max="41" width="14.1796875" style="661" hidden="1" customWidth="1"/>
    <col min="42" max="42" width="16.1796875" style="661" hidden="1" customWidth="1"/>
    <col min="43" max="43" width="13.81640625" style="661" hidden="1" customWidth="1"/>
    <col min="44" max="44" width="13" style="661" hidden="1" customWidth="1"/>
    <col min="45" max="45" width="9.1796875" style="661" hidden="1" customWidth="1"/>
    <col min="46" max="46" width="9.1796875" style="661" customWidth="1"/>
    <col min="47" max="47" width="5.54296875" style="661" customWidth="1"/>
    <col min="48" max="48" width="12" style="661" customWidth="1"/>
    <col min="49" max="49" width="10.81640625" style="661" customWidth="1"/>
    <col min="50" max="50" width="10.54296875" style="661" customWidth="1"/>
    <col min="51" max="51" width="6.1796875" style="661" customWidth="1"/>
    <col min="52" max="52" width="6.54296875" style="661" customWidth="1"/>
    <col min="53" max="53" width="10.1796875" style="661" customWidth="1"/>
    <col min="54" max="54" width="6.54296875" style="661" customWidth="1"/>
    <col min="55" max="55" width="7.81640625" style="661" customWidth="1"/>
    <col min="56" max="56" width="11.1796875" style="661" customWidth="1"/>
    <col min="57" max="57" width="11.54296875" style="661" bestFit="1" customWidth="1"/>
    <col min="58" max="58" width="5.54296875" style="661" customWidth="1"/>
    <col min="59" max="60" width="6.81640625" style="661" customWidth="1"/>
    <col min="61" max="61" width="8.54296875" style="661" customWidth="1"/>
    <col min="62" max="62" width="8.81640625" style="661" customWidth="1"/>
    <col min="63" max="65" width="9.1796875" style="661" customWidth="1"/>
    <col min="66" max="66" width="7.54296875" style="661" customWidth="1"/>
    <col min="67" max="67" width="7.1796875" style="661" customWidth="1"/>
    <col min="68" max="68" width="8.81640625" style="661" customWidth="1"/>
    <col min="69" max="69" width="7.54296875" style="661" customWidth="1"/>
    <col min="70" max="70" width="8.1796875" style="661" customWidth="1"/>
    <col min="71" max="71" width="7.1796875" style="661" customWidth="1"/>
    <col min="72" max="72" width="6.54296875" style="661" customWidth="1"/>
    <col min="73" max="73" width="9.1796875" style="661" customWidth="1"/>
    <col min="74" max="74" width="7.1796875" style="661" customWidth="1"/>
    <col min="75" max="75" width="5.81640625" style="661" customWidth="1"/>
    <col min="76" max="78" width="6.1796875" style="661" customWidth="1"/>
    <col min="79" max="80" width="9.1796875" style="661" customWidth="1"/>
    <col min="81" max="81" width="5.54296875" style="661" customWidth="1"/>
    <col min="82" max="82" width="6" style="661" customWidth="1"/>
    <col min="83" max="83" width="5.453125" style="661" customWidth="1"/>
    <col min="84" max="97" width="6.81640625" style="661" customWidth="1"/>
    <col min="98" max="98" width="7.54296875" style="661" customWidth="1"/>
    <col min="99" max="99" width="6.1796875" style="661" customWidth="1"/>
    <col min="100" max="100" width="6" style="661" customWidth="1"/>
    <col min="101" max="101" width="6.453125" style="661" customWidth="1"/>
    <col min="102" max="102" width="5.453125" style="661" customWidth="1"/>
    <col min="103" max="103" width="6.81640625" style="661" customWidth="1"/>
    <col min="104" max="104" width="6.453125" style="661" customWidth="1"/>
    <col min="105" max="105" width="11.54296875" style="661" customWidth="1"/>
    <col min="106" max="106" width="7.81640625" style="661" customWidth="1"/>
    <col min="107" max="107" width="7.453125" style="661" customWidth="1"/>
    <col min="108" max="108" width="6.1796875" style="661" customWidth="1"/>
    <col min="109" max="109" width="6.81640625" style="661" customWidth="1"/>
    <col min="110" max="110" width="5.1796875" style="661" customWidth="1"/>
    <col min="111" max="112" width="8" style="661" customWidth="1"/>
    <col min="113" max="113" width="7.453125" style="661" customWidth="1"/>
    <col min="114" max="116" width="6.1796875" style="661" customWidth="1"/>
    <col min="117" max="117" width="6.81640625" style="661" customWidth="1"/>
    <col min="118" max="118" width="10.1796875" style="661" customWidth="1"/>
    <col min="119" max="119" width="6" style="661" customWidth="1"/>
    <col min="120" max="120" width="6.81640625" style="661" customWidth="1"/>
    <col min="121" max="121" width="7" style="661" customWidth="1"/>
    <col min="122" max="122" width="7.54296875" style="661" customWidth="1"/>
    <col min="123" max="124" width="9.1796875" style="661" customWidth="1"/>
    <col min="125" max="125" width="6.1796875" style="661" customWidth="1"/>
    <col min="126" max="126" width="7.1796875" style="661" customWidth="1"/>
    <col min="127" max="127" width="6.54296875" style="661" customWidth="1"/>
    <col min="128" max="128" width="5.1796875" style="661" customWidth="1"/>
    <col min="129" max="129" width="6.81640625" style="661" customWidth="1"/>
    <col min="130" max="130" width="8.1796875" style="661" customWidth="1"/>
    <col min="131" max="131" width="7" style="661" customWidth="1"/>
    <col min="132" max="132" width="6.1796875" style="661" customWidth="1"/>
    <col min="133" max="133" width="7.1796875" style="661" customWidth="1"/>
    <col min="134" max="134" width="6.81640625" style="661" customWidth="1"/>
    <col min="135" max="135" width="7.1796875" style="661" customWidth="1"/>
    <col min="136" max="136" width="7.453125" style="661" customWidth="1"/>
    <col min="137" max="137" width="7.54296875" style="661" customWidth="1"/>
    <col min="138" max="138" width="6.1796875" style="661" customWidth="1"/>
    <col min="139" max="140" width="6.81640625" style="661" customWidth="1"/>
    <col min="141" max="141" width="6.54296875" style="661" customWidth="1"/>
    <col min="142" max="142" width="5.1796875" style="661" customWidth="1"/>
    <col min="143" max="143" width="7.81640625" style="661" customWidth="1"/>
    <col min="144" max="144" width="5.81640625" style="661" customWidth="1"/>
    <col min="145" max="145" width="5.54296875" style="661" customWidth="1"/>
    <col min="146" max="146" width="9.1796875" style="661" customWidth="1"/>
    <col min="147" max="16384" width="9.1796875" style="661"/>
  </cols>
  <sheetData>
    <row r="1" spans="2:148" s="660" customFormat="1" ht="33.75" customHeight="1" thickBot="1">
      <c r="B1" s="994" t="s">
        <v>24</v>
      </c>
      <c r="C1" s="994"/>
      <c r="D1" s="994"/>
      <c r="E1" s="994"/>
      <c r="F1" s="994"/>
      <c r="G1" s="994"/>
      <c r="H1" s="994"/>
      <c r="I1" s="994"/>
      <c r="J1" s="994"/>
      <c r="K1" s="994"/>
      <c r="L1" s="994"/>
      <c r="M1" s="994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3"/>
      <c r="AG1" s="233"/>
      <c r="AH1" s="233"/>
      <c r="AI1" s="233"/>
      <c r="AJ1" s="233"/>
      <c r="AK1" s="233"/>
      <c r="AL1" s="233"/>
      <c r="AM1" s="233"/>
      <c r="AN1" s="233"/>
      <c r="AO1" s="233"/>
      <c r="AP1" s="233"/>
      <c r="AQ1" s="233"/>
      <c r="AR1" s="233"/>
      <c r="AS1" s="233"/>
      <c r="AU1" s="720">
        <v>1</v>
      </c>
      <c r="AV1" s="721" t="s">
        <v>25</v>
      </c>
      <c r="AW1" s="672"/>
      <c r="AX1" s="672"/>
      <c r="AY1" s="672"/>
      <c r="AZ1" s="672"/>
      <c r="BA1" s="672"/>
      <c r="BB1" s="672"/>
      <c r="BC1" s="672"/>
      <c r="BD1" s="672"/>
      <c r="BE1" s="672"/>
      <c r="BF1" s="672"/>
      <c r="BG1" s="672"/>
      <c r="BH1" s="672"/>
      <c r="BI1" s="672"/>
      <c r="BJ1" s="672"/>
      <c r="BK1" s="672"/>
      <c r="BL1" s="672"/>
      <c r="BM1" s="672"/>
      <c r="BN1" s="672"/>
      <c r="BO1" s="672"/>
      <c r="BP1" s="672"/>
      <c r="BQ1" s="672"/>
      <c r="BR1" s="672"/>
      <c r="BS1" s="672"/>
      <c r="BT1" s="672"/>
      <c r="BU1" s="672"/>
      <c r="BV1" s="672"/>
      <c r="BW1" s="672"/>
      <c r="BX1" s="672"/>
      <c r="BY1" s="672"/>
      <c r="BZ1" s="672"/>
      <c r="CA1" s="672"/>
      <c r="CB1" s="672"/>
      <c r="CC1" s="672"/>
      <c r="CD1" s="672"/>
      <c r="CE1" s="672"/>
      <c r="CF1" s="672"/>
      <c r="CG1" s="672"/>
      <c r="CH1" s="672"/>
      <c r="CI1" s="672"/>
      <c r="CJ1" s="672"/>
      <c r="CK1" s="672"/>
      <c r="CL1" s="672"/>
      <c r="CM1" s="672"/>
      <c r="CN1" s="672"/>
      <c r="CO1" s="672"/>
      <c r="CP1" s="672"/>
      <c r="CQ1" s="672"/>
      <c r="CR1" s="672"/>
      <c r="CS1" s="672"/>
      <c r="CT1" s="672"/>
      <c r="CU1" s="672"/>
      <c r="CV1" s="672"/>
      <c r="CW1" s="672"/>
      <c r="CX1" s="672"/>
      <c r="CY1" s="672"/>
      <c r="CZ1" s="672"/>
      <c r="DA1" s="672"/>
      <c r="DB1" s="672"/>
      <c r="DC1" s="672"/>
      <c r="DD1" s="672"/>
      <c r="DE1" s="672"/>
      <c r="DF1" s="672"/>
      <c r="DG1" s="672"/>
      <c r="DH1" s="672"/>
      <c r="DI1" s="672"/>
      <c r="DJ1" s="672"/>
      <c r="DK1" s="672"/>
      <c r="DL1" s="672"/>
      <c r="DM1" s="672"/>
      <c r="DN1" s="672"/>
      <c r="DO1" s="672"/>
      <c r="DP1" s="672"/>
      <c r="DQ1" s="672"/>
      <c r="DR1" s="672"/>
      <c r="DS1" s="672"/>
      <c r="DT1" s="672"/>
      <c r="DU1" s="672"/>
      <c r="DV1" s="672"/>
      <c r="DW1" s="672"/>
      <c r="DX1" s="672"/>
      <c r="DY1" s="672"/>
      <c r="DZ1" s="672"/>
      <c r="EA1" s="672"/>
      <c r="EB1" s="672"/>
      <c r="EC1" s="672"/>
      <c r="ED1" s="672"/>
      <c r="EE1" s="672"/>
      <c r="EF1" s="672"/>
      <c r="EG1" s="672"/>
      <c r="EH1" s="672"/>
      <c r="EI1" s="672"/>
      <c r="EJ1" s="672"/>
      <c r="EK1" s="672"/>
      <c r="EL1" s="672"/>
      <c r="EM1" s="672"/>
      <c r="EN1" s="672"/>
      <c r="EO1" s="672"/>
      <c r="EP1" s="672"/>
      <c r="EQ1" s="671"/>
      <c r="ER1" s="671"/>
    </row>
    <row r="2" spans="2:148" s="660" customFormat="1" ht="14.5">
      <c r="B2" s="798"/>
      <c r="C2" s="798" t="s">
        <v>26</v>
      </c>
      <c r="D2" s="799" t="s">
        <v>27</v>
      </c>
      <c r="E2" s="752" t="s">
        <v>28</v>
      </c>
      <c r="F2" s="752"/>
      <c r="G2" s="799" t="s">
        <v>29</v>
      </c>
      <c r="H2" s="832">
        <v>27</v>
      </c>
      <c r="I2" s="798"/>
      <c r="J2" s="800"/>
      <c r="K2" s="801"/>
      <c r="L2" s="802"/>
      <c r="M2" s="803"/>
      <c r="N2" s="233"/>
      <c r="O2" s="233"/>
      <c r="P2" s="233"/>
      <c r="Q2" s="233"/>
      <c r="R2" s="233"/>
      <c r="S2" s="233"/>
      <c r="T2" s="233"/>
      <c r="U2" s="233"/>
      <c r="V2" s="233"/>
      <c r="W2" s="233"/>
      <c r="X2" s="233"/>
      <c r="Y2" s="233"/>
      <c r="Z2" s="233"/>
      <c r="AA2" s="233"/>
      <c r="AB2" s="233"/>
      <c r="AC2" s="233"/>
      <c r="AD2" s="233"/>
      <c r="AE2" s="233"/>
      <c r="AF2" s="233"/>
      <c r="AG2" s="233"/>
      <c r="AH2" s="233"/>
      <c r="AI2" s="233"/>
      <c r="AJ2" s="233"/>
      <c r="AK2" s="233"/>
      <c r="AL2" s="515" t="s">
        <v>30</v>
      </c>
      <c r="AM2" s="516" t="s">
        <v>31</v>
      </c>
      <c r="AN2" s="516" t="s">
        <v>32</v>
      </c>
      <c r="AO2" s="233"/>
      <c r="AP2" s="233"/>
      <c r="AQ2" s="233"/>
      <c r="AR2" s="233"/>
      <c r="AS2" s="233"/>
      <c r="AU2" s="720">
        <v>2</v>
      </c>
      <c r="AV2" s="721" t="s">
        <v>33</v>
      </c>
      <c r="AW2" s="672"/>
      <c r="AX2" s="672"/>
      <c r="AY2" s="673"/>
      <c r="AZ2" s="674"/>
      <c r="BA2" s="672"/>
      <c r="BB2" s="674"/>
      <c r="BC2" s="672"/>
      <c r="BD2" s="672"/>
      <c r="BE2" s="672"/>
      <c r="BF2" s="672"/>
      <c r="BG2" s="672"/>
      <c r="BH2" s="672"/>
      <c r="BI2" s="672"/>
      <c r="BJ2" s="672"/>
      <c r="BK2" s="672"/>
      <c r="BL2" s="672"/>
      <c r="BM2" s="672"/>
      <c r="BN2" s="672"/>
      <c r="BO2" s="672"/>
      <c r="BP2" s="672"/>
      <c r="BQ2" s="672"/>
      <c r="BR2" s="672"/>
      <c r="BS2" s="672"/>
      <c r="BT2" s="672"/>
      <c r="BU2" s="672"/>
      <c r="BV2" s="672"/>
      <c r="BW2" s="672"/>
      <c r="BX2" s="672"/>
      <c r="BY2" s="672"/>
      <c r="BZ2" s="672"/>
      <c r="CA2" s="672"/>
      <c r="CB2" s="672"/>
      <c r="CC2" s="672"/>
      <c r="CD2" s="672"/>
      <c r="CE2" s="672"/>
      <c r="CF2" s="672"/>
      <c r="CG2" s="672"/>
      <c r="CH2" s="672"/>
      <c r="CI2" s="672"/>
      <c r="CJ2" s="672"/>
      <c r="CK2" s="672"/>
      <c r="CL2" s="672"/>
      <c r="CM2" s="672"/>
      <c r="CN2" s="672"/>
      <c r="CO2" s="672"/>
      <c r="CP2" s="672"/>
      <c r="CQ2" s="672"/>
      <c r="CR2" s="672"/>
      <c r="CS2" s="672"/>
      <c r="CT2" s="672"/>
      <c r="CU2" s="672"/>
      <c r="CV2" s="672"/>
      <c r="CW2" s="672"/>
      <c r="CX2" s="672"/>
      <c r="CY2" s="672"/>
      <c r="CZ2" s="672"/>
      <c r="DA2" s="672"/>
      <c r="DB2" s="672"/>
      <c r="DC2" s="672"/>
      <c r="DD2" s="672"/>
      <c r="DE2" s="672"/>
      <c r="DF2" s="672"/>
      <c r="DG2" s="672"/>
      <c r="DH2" s="672"/>
      <c r="DI2" s="672"/>
      <c r="DJ2" s="672"/>
      <c r="DK2" s="672"/>
      <c r="DL2" s="672"/>
      <c r="DM2" s="672"/>
      <c r="DN2" s="672"/>
      <c r="DO2" s="672"/>
      <c r="DP2" s="672"/>
      <c r="DQ2" s="672"/>
      <c r="DR2" s="672"/>
      <c r="DS2" s="672"/>
      <c r="DT2" s="672"/>
      <c r="DU2" s="672"/>
      <c r="DV2" s="672"/>
      <c r="DW2" s="672"/>
      <c r="DX2" s="672"/>
      <c r="DY2" s="672"/>
      <c r="DZ2" s="672"/>
      <c r="EA2" s="672"/>
      <c r="EB2" s="672"/>
      <c r="EC2" s="672"/>
      <c r="ED2" s="672"/>
      <c r="EE2" s="672"/>
      <c r="EF2" s="672"/>
      <c r="EG2" s="672"/>
      <c r="EH2" s="672"/>
      <c r="EI2" s="672"/>
      <c r="EJ2" s="672"/>
      <c r="EK2" s="672"/>
      <c r="EL2" s="672"/>
      <c r="EM2" s="672"/>
      <c r="EN2" s="672"/>
      <c r="EO2" s="672"/>
      <c r="EP2" s="672"/>
      <c r="EQ2" s="671"/>
      <c r="ER2" s="671"/>
    </row>
    <row r="3" spans="2:148" s="660" customFormat="1" ht="15" thickBot="1">
      <c r="B3" s="798"/>
      <c r="C3" s="831" t="s">
        <v>34</v>
      </c>
      <c r="D3" s="801" t="s">
        <v>35</v>
      </c>
      <c r="E3" s="801">
        <v>10026</v>
      </c>
      <c r="F3" s="801"/>
      <c r="G3" s="800" t="s">
        <v>36</v>
      </c>
      <c r="H3" s="832">
        <f>10000+H2</f>
        <v>10027</v>
      </c>
      <c r="I3" s="800" t="s">
        <v>37</v>
      </c>
      <c r="J3" s="833">
        <v>46043</v>
      </c>
      <c r="K3" s="800" t="s">
        <v>38</v>
      </c>
      <c r="L3" s="834">
        <v>14</v>
      </c>
      <c r="M3" s="798"/>
      <c r="N3" s="233"/>
      <c r="O3" s="233"/>
      <c r="P3" s="233">
        <f>36+5</f>
        <v>41</v>
      </c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517" t="e">
        <f>(K9)/(D9+K15)*100</f>
        <v>#VALUE!</v>
      </c>
      <c r="AM3" s="518" t="e">
        <f>(K8)/(D8-K15)*100</f>
        <v>#VALUE!</v>
      </c>
      <c r="AN3" s="518" t="e">
        <f>(K8+K9)/(D8+D9)*100</f>
        <v>#VALUE!</v>
      </c>
      <c r="AO3" s="233"/>
      <c r="AP3" s="233"/>
      <c r="AQ3" s="233"/>
      <c r="AR3" s="233"/>
      <c r="AS3" s="233"/>
      <c r="AU3" s="720">
        <v>3</v>
      </c>
      <c r="AV3" s="721" t="s">
        <v>34</v>
      </c>
    </row>
    <row r="4" spans="2:148" ht="15.75" customHeight="1" thickBot="1">
      <c r="B4" s="804"/>
      <c r="C4" s="805"/>
      <c r="D4" s="806"/>
      <c r="E4" s="806"/>
      <c r="F4" s="806"/>
      <c r="G4" s="806"/>
      <c r="H4" s="806"/>
      <c r="I4" s="806"/>
      <c r="J4" s="807"/>
      <c r="K4" s="808"/>
      <c r="L4" s="809"/>
      <c r="M4" s="810"/>
      <c r="N4" s="519"/>
      <c r="O4" s="519"/>
      <c r="P4" s="519">
        <f>P3+15</f>
        <v>56</v>
      </c>
      <c r="Q4" s="519"/>
      <c r="R4" s="519"/>
      <c r="S4" s="519"/>
      <c r="T4" s="520" t="s">
        <v>39</v>
      </c>
      <c r="U4" s="519"/>
      <c r="V4" s="519"/>
      <c r="W4" s="519"/>
      <c r="X4" s="519"/>
      <c r="Y4" s="519"/>
      <c r="Z4" s="519"/>
      <c r="AA4" s="519"/>
      <c r="AB4" s="519"/>
      <c r="AC4" s="519"/>
      <c r="AD4" s="519"/>
      <c r="AE4" s="519"/>
      <c r="AF4" s="519"/>
      <c r="AG4" s="519"/>
      <c r="AH4" s="519"/>
      <c r="AI4" s="519"/>
      <c r="AJ4" s="519"/>
      <c r="AK4" s="519"/>
      <c r="AL4" s="519"/>
      <c r="AM4" s="519"/>
      <c r="AN4" s="519"/>
      <c r="AO4" s="519"/>
      <c r="AP4" s="519"/>
      <c r="AQ4" s="519"/>
      <c r="AR4" s="519"/>
      <c r="AS4" s="519"/>
      <c r="AV4" s="811"/>
      <c r="BJ4" s="989" t="s">
        <v>40</v>
      </c>
      <c r="BU4" s="989" t="s">
        <v>41</v>
      </c>
      <c r="CE4" s="989" t="s">
        <v>42</v>
      </c>
      <c r="DH4" s="980" t="s">
        <v>43</v>
      </c>
      <c r="DI4" s="980" t="s">
        <v>44</v>
      </c>
      <c r="DJ4" s="980" t="s">
        <v>45</v>
      </c>
      <c r="DK4" s="980" t="s">
        <v>46</v>
      </c>
      <c r="DL4" s="980" t="s">
        <v>46</v>
      </c>
      <c r="DM4" s="980" t="s">
        <v>47</v>
      </c>
      <c r="DN4" s="981" t="s">
        <v>48</v>
      </c>
      <c r="DO4" s="980" t="s">
        <v>49</v>
      </c>
      <c r="DP4" s="980" t="s">
        <v>50</v>
      </c>
      <c r="DS4" s="980" t="s">
        <v>51</v>
      </c>
      <c r="DT4" s="980" t="s">
        <v>52</v>
      </c>
      <c r="DU4" s="980" t="s">
        <v>53</v>
      </c>
      <c r="EA4" s="980" t="s">
        <v>54</v>
      </c>
      <c r="EF4" s="980" t="s">
        <v>55</v>
      </c>
      <c r="EG4" s="980" t="s">
        <v>56</v>
      </c>
      <c r="EH4" s="980" t="s">
        <v>57</v>
      </c>
      <c r="EI4" s="980" t="s">
        <v>58</v>
      </c>
      <c r="EL4" s="989" t="s">
        <v>59</v>
      </c>
    </row>
    <row r="5" spans="2:148" s="695" customFormat="1" ht="15" customHeight="1">
      <c r="B5" s="982" t="s">
        <v>60</v>
      </c>
      <c r="C5" s="984" t="s">
        <v>61</v>
      </c>
      <c r="D5" s="986" t="s">
        <v>62</v>
      </c>
      <c r="E5" s="986"/>
      <c r="F5" s="986" t="s">
        <v>63</v>
      </c>
      <c r="G5" s="986"/>
      <c r="H5" s="986"/>
      <c r="I5" s="986"/>
      <c r="J5" s="984" t="s">
        <v>64</v>
      </c>
      <c r="K5" s="987" t="s">
        <v>65</v>
      </c>
      <c r="L5" s="995" t="s">
        <v>66</v>
      </c>
      <c r="M5" s="997" t="s">
        <v>67</v>
      </c>
      <c r="N5" s="693"/>
      <c r="O5" s="693"/>
      <c r="P5" s="693"/>
      <c r="Q5" s="693"/>
      <c r="R5" s="693"/>
      <c r="S5" s="693"/>
      <c r="T5" s="693"/>
      <c r="U5" s="693"/>
      <c r="V5" s="693"/>
      <c r="W5" s="693"/>
      <c r="X5" s="693"/>
      <c r="Y5" s="693"/>
      <c r="Z5" s="693"/>
      <c r="AA5" s="693"/>
      <c r="AB5" s="693"/>
      <c r="AC5" s="693"/>
      <c r="AD5" s="693"/>
      <c r="AE5" s="693"/>
      <c r="AF5" s="693"/>
      <c r="AG5" s="693"/>
      <c r="AH5" s="693"/>
      <c r="AI5" s="694"/>
      <c r="AJ5" s="693"/>
      <c r="AK5" s="693" t="s">
        <v>68</v>
      </c>
      <c r="AL5" s="693"/>
      <c r="AM5" s="693"/>
      <c r="AN5" s="693"/>
      <c r="AO5" s="693"/>
      <c r="AP5" s="693"/>
      <c r="AQ5" s="693"/>
      <c r="AR5" s="693"/>
      <c r="AS5" s="693"/>
      <c r="AU5" s="980" t="s">
        <v>69</v>
      </c>
      <c r="AV5" s="980" t="s">
        <v>70</v>
      </c>
      <c r="AW5" s="980" t="s">
        <v>71</v>
      </c>
      <c r="AX5" s="971" t="s">
        <v>72</v>
      </c>
      <c r="AY5" s="971" t="s">
        <v>73</v>
      </c>
      <c r="AZ5" s="980" t="s">
        <v>74</v>
      </c>
      <c r="BA5" s="980" t="s">
        <v>75</v>
      </c>
      <c r="BB5" s="980" t="s">
        <v>76</v>
      </c>
      <c r="BC5" s="971" t="s">
        <v>77</v>
      </c>
      <c r="BD5" s="971" t="s">
        <v>78</v>
      </c>
      <c r="BE5" s="971" t="s">
        <v>79</v>
      </c>
      <c r="BF5" s="971" t="s">
        <v>71</v>
      </c>
      <c r="BG5" s="971" t="s">
        <v>80</v>
      </c>
      <c r="BH5" s="971" t="s">
        <v>81</v>
      </c>
      <c r="BI5" s="971" t="s">
        <v>82</v>
      </c>
      <c r="BJ5" s="989"/>
      <c r="BK5" s="971" t="s">
        <v>83</v>
      </c>
      <c r="BL5" s="971" t="s">
        <v>84</v>
      </c>
      <c r="BM5" s="971" t="s">
        <v>85</v>
      </c>
      <c r="BN5" s="971" t="s">
        <v>74</v>
      </c>
      <c r="BO5" s="971" t="s">
        <v>86</v>
      </c>
      <c r="BP5" s="971" t="s">
        <v>87</v>
      </c>
      <c r="BQ5" s="971" t="s">
        <v>88</v>
      </c>
      <c r="BR5" s="971" t="s">
        <v>89</v>
      </c>
      <c r="BS5" s="971" t="s">
        <v>90</v>
      </c>
      <c r="BT5" s="971" t="s">
        <v>91</v>
      </c>
      <c r="BU5" s="989"/>
      <c r="BV5" s="971" t="s">
        <v>92</v>
      </c>
      <c r="BW5" s="971" t="s">
        <v>93</v>
      </c>
      <c r="BX5" s="971" t="s">
        <v>94</v>
      </c>
      <c r="BY5" s="971" t="s">
        <v>95</v>
      </c>
      <c r="BZ5" s="971" t="s">
        <v>96</v>
      </c>
      <c r="CA5" s="971" t="s">
        <v>97</v>
      </c>
      <c r="CB5" s="971" t="s">
        <v>98</v>
      </c>
      <c r="CC5" s="971" t="s">
        <v>99</v>
      </c>
      <c r="CD5" s="971" t="s">
        <v>100</v>
      </c>
      <c r="CE5" s="989"/>
      <c r="CF5" s="971" t="s">
        <v>101</v>
      </c>
      <c r="CG5" s="917"/>
      <c r="CH5" s="917"/>
      <c r="CI5" s="917"/>
      <c r="CJ5" s="917"/>
      <c r="CK5" s="917"/>
      <c r="CL5" s="917"/>
      <c r="CM5" s="917"/>
      <c r="CN5" s="917"/>
      <c r="CO5" s="917"/>
      <c r="CP5" s="917"/>
      <c r="CQ5" s="917"/>
      <c r="CR5" s="917"/>
      <c r="CS5" s="917"/>
      <c r="CT5" s="971" t="s">
        <v>102</v>
      </c>
      <c r="CU5" s="971" t="s">
        <v>103</v>
      </c>
      <c r="CV5" s="971" t="s">
        <v>104</v>
      </c>
      <c r="CW5" s="971" t="s">
        <v>105</v>
      </c>
      <c r="CX5" s="971" t="s">
        <v>105</v>
      </c>
      <c r="CY5" s="971" t="s">
        <v>106</v>
      </c>
      <c r="CZ5" s="971" t="s">
        <v>107</v>
      </c>
      <c r="DA5" s="971" t="s">
        <v>108</v>
      </c>
      <c r="DB5" s="971" t="s">
        <v>109</v>
      </c>
      <c r="DC5" s="971" t="s">
        <v>110</v>
      </c>
      <c r="DD5" s="971" t="s">
        <v>111</v>
      </c>
      <c r="DE5" s="971" t="s">
        <v>112</v>
      </c>
      <c r="DF5" s="971" t="s">
        <v>113</v>
      </c>
      <c r="DG5" s="977" t="s">
        <v>114</v>
      </c>
      <c r="DH5" s="980"/>
      <c r="DI5" s="980"/>
      <c r="DJ5" s="980"/>
      <c r="DK5" s="980"/>
      <c r="DL5" s="980"/>
      <c r="DM5" s="980"/>
      <c r="DN5" s="981"/>
      <c r="DO5" s="980"/>
      <c r="DP5" s="980"/>
      <c r="DQ5" s="991" t="s">
        <v>115</v>
      </c>
      <c r="DR5" s="977" t="s">
        <v>116</v>
      </c>
      <c r="DS5" s="980"/>
      <c r="DT5" s="980"/>
      <c r="DU5" s="980"/>
      <c r="DV5" s="971" t="s">
        <v>117</v>
      </c>
      <c r="DW5" s="971" t="s">
        <v>118</v>
      </c>
      <c r="DX5" s="971" t="s">
        <v>119</v>
      </c>
      <c r="DY5" s="971" t="s">
        <v>120</v>
      </c>
      <c r="DZ5" s="977" t="s">
        <v>121</v>
      </c>
      <c r="EA5" s="980"/>
      <c r="EB5" s="971" t="s">
        <v>122</v>
      </c>
      <c r="EC5" s="971" t="s">
        <v>123</v>
      </c>
      <c r="ED5" s="971" t="s">
        <v>124</v>
      </c>
      <c r="EE5" s="977" t="s">
        <v>125</v>
      </c>
      <c r="EF5" s="980"/>
      <c r="EG5" s="980"/>
      <c r="EH5" s="980"/>
      <c r="EI5" s="980"/>
      <c r="EJ5" s="991" t="s">
        <v>126</v>
      </c>
      <c r="EK5" s="971" t="s">
        <v>127</v>
      </c>
      <c r="EL5" s="989"/>
      <c r="EM5" s="971" t="s">
        <v>128</v>
      </c>
      <c r="EN5" s="971" t="s">
        <v>129</v>
      </c>
      <c r="EO5" s="971" t="s">
        <v>130</v>
      </c>
    </row>
    <row r="6" spans="2:148" s="698" customFormat="1" ht="12" thickBot="1">
      <c r="B6" s="983"/>
      <c r="C6" s="985"/>
      <c r="D6" s="794" t="s">
        <v>131</v>
      </c>
      <c r="E6" s="794" t="s">
        <v>66</v>
      </c>
      <c r="F6" s="794" t="s">
        <v>132</v>
      </c>
      <c r="G6" s="794" t="s">
        <v>133</v>
      </c>
      <c r="H6" s="794" t="s">
        <v>134</v>
      </c>
      <c r="I6" s="794" t="s">
        <v>66</v>
      </c>
      <c r="J6" s="985"/>
      <c r="K6" s="988"/>
      <c r="L6" s="996"/>
      <c r="M6" s="998"/>
      <c r="N6" s="696"/>
      <c r="O6" s="696"/>
      <c r="P6" s="696"/>
      <c r="Q6" s="696"/>
      <c r="R6" s="696"/>
      <c r="S6" s="696"/>
      <c r="T6" s="696" t="s">
        <v>135</v>
      </c>
      <c r="U6" s="696"/>
      <c r="V6" s="696"/>
      <c r="W6" s="696"/>
      <c r="X6" s="696"/>
      <c r="Y6" s="696"/>
      <c r="Z6" s="696"/>
      <c r="AA6" s="696"/>
      <c r="AB6" s="696"/>
      <c r="AC6" s="696"/>
      <c r="AD6" s="696"/>
      <c r="AE6" s="696"/>
      <c r="AF6" s="696"/>
      <c r="AG6" s="696"/>
      <c r="AH6" s="696"/>
      <c r="AI6" s="697"/>
      <c r="AJ6" s="696"/>
      <c r="AK6" s="696"/>
      <c r="AL6" s="696"/>
      <c r="AM6" s="696"/>
      <c r="AN6" s="696"/>
      <c r="AO6" s="696"/>
      <c r="AP6" s="696"/>
      <c r="AQ6" s="696"/>
      <c r="AR6" s="696"/>
      <c r="AS6" s="696"/>
      <c r="AU6" s="980"/>
      <c r="AV6" s="980"/>
      <c r="AW6" s="980"/>
      <c r="AX6" s="972"/>
      <c r="AY6" s="972"/>
      <c r="AZ6" s="980"/>
      <c r="BA6" s="980"/>
      <c r="BB6" s="980"/>
      <c r="BC6" s="972"/>
      <c r="BD6" s="972"/>
      <c r="BE6" s="972"/>
      <c r="BF6" s="972"/>
      <c r="BG6" s="972"/>
      <c r="BH6" s="972"/>
      <c r="BI6" s="972"/>
      <c r="BJ6" s="989"/>
      <c r="BK6" s="972"/>
      <c r="BL6" s="972"/>
      <c r="BM6" s="972"/>
      <c r="BN6" s="972"/>
      <c r="BO6" s="972"/>
      <c r="BP6" s="972"/>
      <c r="BQ6" s="972"/>
      <c r="BR6" s="972"/>
      <c r="BS6" s="972"/>
      <c r="BT6" s="972"/>
      <c r="BU6" s="989"/>
      <c r="BV6" s="972"/>
      <c r="BW6" s="972"/>
      <c r="BX6" s="972"/>
      <c r="BY6" s="972"/>
      <c r="BZ6" s="972"/>
      <c r="CA6" s="972"/>
      <c r="CB6" s="972"/>
      <c r="CC6" s="972"/>
      <c r="CD6" s="972"/>
      <c r="CE6" s="989"/>
      <c r="CF6" s="972"/>
      <c r="CG6" s="918"/>
      <c r="CH6" s="918"/>
      <c r="CI6" s="918"/>
      <c r="CJ6" s="918"/>
      <c r="CK6" s="918"/>
      <c r="CL6" s="918"/>
      <c r="CM6" s="918"/>
      <c r="CN6" s="918"/>
      <c r="CO6" s="918"/>
      <c r="CP6" s="918"/>
      <c r="CQ6" s="918"/>
      <c r="CR6" s="918"/>
      <c r="CS6" s="918"/>
      <c r="CT6" s="972"/>
      <c r="CU6" s="972"/>
      <c r="CV6" s="972"/>
      <c r="CW6" s="972"/>
      <c r="CX6" s="972"/>
      <c r="CY6" s="972"/>
      <c r="CZ6" s="972"/>
      <c r="DA6" s="972"/>
      <c r="DB6" s="972"/>
      <c r="DC6" s="972"/>
      <c r="DD6" s="972"/>
      <c r="DE6" s="972"/>
      <c r="DF6" s="972"/>
      <c r="DG6" s="978"/>
      <c r="DH6" s="980"/>
      <c r="DI6" s="980"/>
      <c r="DJ6" s="980"/>
      <c r="DK6" s="980"/>
      <c r="DL6" s="980"/>
      <c r="DM6" s="980"/>
      <c r="DN6" s="981"/>
      <c r="DO6" s="980"/>
      <c r="DP6" s="980"/>
      <c r="DQ6" s="992"/>
      <c r="DR6" s="978"/>
      <c r="DS6" s="980"/>
      <c r="DT6" s="980"/>
      <c r="DU6" s="980"/>
      <c r="DV6" s="972"/>
      <c r="DW6" s="972"/>
      <c r="DX6" s="972"/>
      <c r="DY6" s="972"/>
      <c r="DZ6" s="978"/>
      <c r="EA6" s="980"/>
      <c r="EB6" s="972"/>
      <c r="EC6" s="972"/>
      <c r="ED6" s="972"/>
      <c r="EE6" s="978"/>
      <c r="EF6" s="980"/>
      <c r="EG6" s="980"/>
      <c r="EH6" s="980"/>
      <c r="EI6" s="980"/>
      <c r="EJ6" s="992"/>
      <c r="EK6" s="972"/>
      <c r="EL6" s="989"/>
      <c r="EM6" s="972"/>
      <c r="EN6" s="972"/>
      <c r="EO6" s="972"/>
    </row>
    <row r="7" spans="2:148" s="695" customFormat="1" ht="12.75" customHeight="1" thickBot="1">
      <c r="B7" s="797"/>
      <c r="C7" s="974" t="s">
        <v>136</v>
      </c>
      <c r="D7" s="975"/>
      <c r="E7" s="975"/>
      <c r="F7" s="975"/>
      <c r="G7" s="975"/>
      <c r="H7" s="975"/>
      <c r="I7" s="975"/>
      <c r="J7" s="975"/>
      <c r="K7" s="975"/>
      <c r="L7" s="976"/>
      <c r="M7" s="699"/>
      <c r="N7" s="693"/>
      <c r="O7" s="693"/>
      <c r="P7" s="693"/>
      <c r="Q7" s="693"/>
      <c r="R7" s="693"/>
      <c r="S7" s="693"/>
      <c r="T7" s="693"/>
      <c r="U7" s="693"/>
      <c r="V7" s="700" t="s">
        <v>137</v>
      </c>
      <c r="W7" s="700" t="s">
        <v>138</v>
      </c>
      <c r="X7" s="693"/>
      <c r="Y7" s="693"/>
      <c r="Z7" s="693"/>
      <c r="AA7" s="693"/>
      <c r="AB7" s="693"/>
      <c r="AC7" s="693"/>
      <c r="AD7" s="693"/>
      <c r="AE7" s="693"/>
      <c r="AF7" s="693"/>
      <c r="AG7" s="693"/>
      <c r="AH7" s="693"/>
      <c r="AI7" s="694"/>
      <c r="AJ7" s="693"/>
      <c r="AK7" s="693"/>
      <c r="AL7" s="693"/>
      <c r="AM7" s="693"/>
      <c r="AN7" s="693"/>
      <c r="AO7" s="693"/>
      <c r="AP7" s="693"/>
      <c r="AQ7" s="701" t="s">
        <v>139</v>
      </c>
      <c r="AR7" s="701" t="s">
        <v>140</v>
      </c>
      <c r="AS7" s="701" t="s">
        <v>141</v>
      </c>
      <c r="AU7" s="980"/>
      <c r="AV7" s="980"/>
      <c r="AW7" s="980"/>
      <c r="AX7" s="973"/>
      <c r="AY7" s="973"/>
      <c r="AZ7" s="980"/>
      <c r="BA7" s="980"/>
      <c r="BB7" s="980"/>
      <c r="BC7" s="973"/>
      <c r="BD7" s="973"/>
      <c r="BE7" s="973"/>
      <c r="BF7" s="973"/>
      <c r="BG7" s="973"/>
      <c r="BH7" s="973"/>
      <c r="BI7" s="973"/>
      <c r="BJ7" s="990"/>
      <c r="BK7" s="973"/>
      <c r="BL7" s="973"/>
      <c r="BM7" s="973"/>
      <c r="BN7" s="973"/>
      <c r="BO7" s="973"/>
      <c r="BP7" s="973"/>
      <c r="BQ7" s="973"/>
      <c r="BR7" s="973"/>
      <c r="BS7" s="973"/>
      <c r="BT7" s="973"/>
      <c r="BU7" s="990"/>
      <c r="BV7" s="973"/>
      <c r="BW7" s="973"/>
      <c r="BX7" s="973"/>
      <c r="BY7" s="973"/>
      <c r="BZ7" s="973"/>
      <c r="CA7" s="973"/>
      <c r="CB7" s="973"/>
      <c r="CC7" s="973"/>
      <c r="CD7" s="973"/>
      <c r="CE7" s="990"/>
      <c r="CF7" s="973"/>
      <c r="CG7" s="919"/>
      <c r="CH7" s="919"/>
      <c r="CI7" s="919"/>
      <c r="CJ7" s="919"/>
      <c r="CK7" s="919"/>
      <c r="CL7" s="919"/>
      <c r="CM7" s="919"/>
      <c r="CN7" s="919"/>
      <c r="CO7" s="919"/>
      <c r="CP7" s="919"/>
      <c r="CQ7" s="919"/>
      <c r="CR7" s="919"/>
      <c r="CS7" s="919"/>
      <c r="CT7" s="973"/>
      <c r="CU7" s="973"/>
      <c r="CV7" s="973"/>
      <c r="CW7" s="973"/>
      <c r="CX7" s="973"/>
      <c r="CY7" s="973"/>
      <c r="CZ7" s="973"/>
      <c r="DA7" s="973"/>
      <c r="DB7" s="973"/>
      <c r="DC7" s="973"/>
      <c r="DD7" s="973"/>
      <c r="DE7" s="973"/>
      <c r="DF7" s="973"/>
      <c r="DG7" s="979"/>
      <c r="DH7" s="980"/>
      <c r="DI7" s="980"/>
      <c r="DJ7" s="980"/>
      <c r="DK7" s="980"/>
      <c r="DL7" s="980"/>
      <c r="DM7" s="980"/>
      <c r="DN7" s="981"/>
      <c r="DO7" s="980"/>
      <c r="DP7" s="980"/>
      <c r="DQ7" s="993"/>
      <c r="DR7" s="979"/>
      <c r="DS7" s="980"/>
      <c r="DT7" s="980"/>
      <c r="DU7" s="980"/>
      <c r="DV7" s="973"/>
      <c r="DW7" s="973"/>
      <c r="DX7" s="973"/>
      <c r="DY7" s="973"/>
      <c r="DZ7" s="979"/>
      <c r="EA7" s="980"/>
      <c r="EB7" s="973"/>
      <c r="EC7" s="973"/>
      <c r="ED7" s="973"/>
      <c r="EE7" s="979"/>
      <c r="EF7" s="980"/>
      <c r="EG7" s="980"/>
      <c r="EH7" s="980"/>
      <c r="EI7" s="980"/>
      <c r="EJ7" s="993"/>
      <c r="EK7" s="973"/>
      <c r="EL7" s="990"/>
      <c r="EM7" s="973"/>
      <c r="EN7" s="973"/>
      <c r="EO7" s="973"/>
    </row>
    <row r="8" spans="2:148" s="662" customFormat="1" ht="22.5" customHeight="1">
      <c r="B8" s="745"/>
      <c r="C8" s="813"/>
      <c r="D8" s="544" t="s">
        <v>142</v>
      </c>
      <c r="E8" s="795">
        <v>1</v>
      </c>
      <c r="F8" s="966" t="s">
        <v>143</v>
      </c>
      <c r="G8" s="967"/>
      <c r="H8" s="814">
        <f>IF(E9="",0,E9-D9)+IF(E10="",0,E10-D10)</f>
        <v>34</v>
      </c>
      <c r="I8" s="812" t="s">
        <v>144</v>
      </c>
      <c r="J8" s="543" t="s">
        <v>145</v>
      </c>
      <c r="K8" s="882">
        <f>D37+D36</f>
        <v>94</v>
      </c>
      <c r="L8" s="796">
        <f>E37+E36</f>
        <v>94</v>
      </c>
      <c r="M8" s="531"/>
      <c r="N8" s="521" t="e">
        <v>#VALUE!</v>
      </c>
      <c r="O8" s="521" t="e">
        <f>(D8-K15)/133+K8</f>
        <v>#VALUE!</v>
      </c>
      <c r="P8" s="521" t="s">
        <v>146</v>
      </c>
      <c r="Q8" s="521"/>
      <c r="R8" s="532" t="e">
        <f>D8/0.667</f>
        <v>#VALUE!</v>
      </c>
      <c r="S8" s="521"/>
      <c r="T8" s="521">
        <f>K8*100</f>
        <v>9400</v>
      </c>
      <c r="U8" s="521" t="e">
        <f>(D8-K15)*0.67</f>
        <v>#VALUE!</v>
      </c>
      <c r="V8" s="521" t="e">
        <f>T8+U8</f>
        <v>#VALUE!</v>
      </c>
      <c r="W8" s="521">
        <v>44</v>
      </c>
      <c r="X8" s="521" t="e">
        <f>V8*W8</f>
        <v>#VALUE!</v>
      </c>
      <c r="Y8" s="521" t="s">
        <v>147</v>
      </c>
      <c r="Z8" s="521"/>
      <c r="AA8" s="521" t="e">
        <f>V8/100</f>
        <v>#VALUE!</v>
      </c>
      <c r="AB8" s="521">
        <f>(235*0.67+800)</f>
        <v>957.45</v>
      </c>
      <c r="AC8" s="521">
        <f>AB8/100</f>
        <v>9.5745000000000005</v>
      </c>
      <c r="AD8" s="521" t="e">
        <f>AA8+AC8</f>
        <v>#VALUE!</v>
      </c>
      <c r="AE8" s="521"/>
      <c r="AF8" s="521"/>
      <c r="AG8" s="532"/>
      <c r="AH8" s="521">
        <f>98+47</f>
        <v>145</v>
      </c>
      <c r="AI8" s="522"/>
      <c r="AJ8" s="521"/>
      <c r="AK8" s="521"/>
      <c r="AL8" s="521"/>
      <c r="AM8" s="533" t="s">
        <v>148</v>
      </c>
      <c r="AN8" s="534" t="s">
        <v>149</v>
      </c>
      <c r="AO8" s="534" t="s">
        <v>150</v>
      </c>
      <c r="AP8" s="521"/>
      <c r="AQ8" s="535" t="s">
        <v>151</v>
      </c>
      <c r="AR8" s="535">
        <v>261</v>
      </c>
      <c r="AS8" s="705">
        <v>163</v>
      </c>
      <c r="AT8" s="706"/>
      <c r="AU8" s="688">
        <f>L15/E10%</f>
        <v>10.70627802690583</v>
      </c>
      <c r="AV8" s="690">
        <f>I13+I14</f>
        <v>12.999999999999954</v>
      </c>
      <c r="AW8" s="688">
        <f>L9/(L15+E10)%</f>
        <v>2.7848101265822787</v>
      </c>
      <c r="AX8" s="689">
        <f>E20</f>
        <v>79.7</v>
      </c>
      <c r="AY8" s="690">
        <f>I20</f>
        <v>9.9999999999999645</v>
      </c>
      <c r="AZ8" s="689"/>
      <c r="BA8" s="690">
        <f>I22</f>
        <v>1.9999999999999929</v>
      </c>
      <c r="BB8" s="703">
        <f>E22</f>
        <v>96.4</v>
      </c>
      <c r="BC8" s="690">
        <f>I33</f>
        <v>53.999999999999972</v>
      </c>
      <c r="BD8" s="689">
        <f>SUM(I13:I15)</f>
        <v>16.99999999999994</v>
      </c>
      <c r="BE8" s="689">
        <f ca="1">L37</f>
        <v>47</v>
      </c>
      <c r="BF8" s="688">
        <f>L8/E9%</f>
        <v>2.3797468354430378</v>
      </c>
      <c r="BG8" s="689">
        <f>E40</f>
        <v>46.4</v>
      </c>
      <c r="BH8" s="690">
        <f>I40</f>
        <v>4.9999999999999822</v>
      </c>
      <c r="BI8" s="703">
        <f>K41</f>
        <v>65.3</v>
      </c>
      <c r="BJ8" s="690">
        <f>K42</f>
        <v>0</v>
      </c>
      <c r="BK8" s="689">
        <f>E43</f>
        <v>65.7</v>
      </c>
      <c r="BL8" s="690">
        <f>I43</f>
        <v>49.999999999999986</v>
      </c>
      <c r="BM8" s="690">
        <f>I45</f>
        <v>9.9999999999999645</v>
      </c>
      <c r="BN8" s="689"/>
      <c r="BO8" s="690">
        <f>E47</f>
        <v>75.7</v>
      </c>
      <c r="BP8" s="690">
        <f>I51</f>
        <v>119.00000000000006</v>
      </c>
      <c r="BQ8" s="690">
        <f>I57</f>
        <v>7.9999999999999716</v>
      </c>
      <c r="BR8" s="703">
        <f>E57</f>
        <v>11.2</v>
      </c>
      <c r="BS8" s="689">
        <f>L55</f>
        <v>22.75</v>
      </c>
      <c r="BT8" s="689">
        <f>L63</f>
        <v>2.46</v>
      </c>
      <c r="BU8" s="689">
        <f>L64</f>
        <v>0.81</v>
      </c>
      <c r="BV8" s="690">
        <f>E61</f>
        <v>75</v>
      </c>
      <c r="BW8" s="690">
        <f>E60</f>
        <v>2</v>
      </c>
      <c r="BX8" s="690">
        <f>E58</f>
        <v>142</v>
      </c>
      <c r="BY8" s="690">
        <f>E59</f>
        <v>264</v>
      </c>
      <c r="BZ8" s="688">
        <f ca="1">L60</f>
        <v>16.61</v>
      </c>
      <c r="CA8" s="688">
        <f>BX8/(L8+L9+12)%</f>
        <v>88.198757763975152</v>
      </c>
      <c r="CB8" s="688">
        <f>BX8/BY8%</f>
        <v>53.787878787878782</v>
      </c>
      <c r="CC8" s="689"/>
      <c r="CD8" s="690">
        <f>I59+I58</f>
        <v>99.000000000000128</v>
      </c>
      <c r="CE8" s="690">
        <f>I64</f>
        <v>136</v>
      </c>
      <c r="CF8" s="689">
        <f ca="1">L56</f>
        <v>79.7</v>
      </c>
      <c r="CG8" s="689"/>
      <c r="CH8" s="689"/>
      <c r="CI8" s="689"/>
      <c r="CJ8" s="689"/>
      <c r="CK8" s="689"/>
      <c r="CL8" s="689"/>
      <c r="CM8" s="689"/>
      <c r="CN8" s="689"/>
      <c r="CO8" s="689"/>
      <c r="CP8" s="689"/>
      <c r="CQ8" s="689"/>
      <c r="CR8" s="689"/>
      <c r="CS8" s="689"/>
      <c r="CT8" s="689" t="s">
        <v>152</v>
      </c>
      <c r="CU8" s="689" t="s">
        <v>153</v>
      </c>
      <c r="CV8" s="690">
        <f>E72</f>
        <v>180</v>
      </c>
      <c r="CW8" s="689"/>
      <c r="CX8" s="689"/>
      <c r="CY8" s="690">
        <f>E78</f>
        <v>270</v>
      </c>
      <c r="CZ8" s="703">
        <f ca="1">I77</f>
        <v>101</v>
      </c>
      <c r="DA8" s="724"/>
      <c r="DB8" s="691">
        <f>I72</f>
        <v>30.000000000000053</v>
      </c>
      <c r="DC8" s="691">
        <f>I78+I80</f>
        <v>45</v>
      </c>
      <c r="DD8" s="691">
        <f>DB8+DC8</f>
        <v>75.000000000000057</v>
      </c>
      <c r="DE8" s="691">
        <f>DD8-75</f>
        <v>0</v>
      </c>
      <c r="DF8" s="687" t="s">
        <v>154</v>
      </c>
      <c r="DG8" s="691"/>
      <c r="DH8" s="691">
        <f>I74</f>
        <v>5</v>
      </c>
      <c r="DI8" s="691">
        <f>I75</f>
        <v>10</v>
      </c>
      <c r="DJ8" s="692" t="s">
        <v>155</v>
      </c>
      <c r="DK8" s="692">
        <f>(E78-E84)/E78%</f>
        <v>9.2592592592592595</v>
      </c>
      <c r="DL8" s="702"/>
      <c r="DM8" s="687"/>
      <c r="DN8" s="687"/>
      <c r="DO8" s="692">
        <f>(E66-E98-10.5)/E66%</f>
        <v>11.296296296296296</v>
      </c>
      <c r="DP8" s="691">
        <f>I76</f>
        <v>0</v>
      </c>
      <c r="DQ8" s="712">
        <f ca="1">L77</f>
        <v>100.9</v>
      </c>
      <c r="DR8" s="687"/>
      <c r="DS8" s="687"/>
      <c r="DT8" s="687"/>
      <c r="DU8" s="691">
        <f>K83</f>
        <v>1366</v>
      </c>
      <c r="DV8" s="691">
        <f>K83+K75</f>
        <v>2418</v>
      </c>
      <c r="DW8" s="687"/>
      <c r="DX8" s="691">
        <f>I84</f>
        <v>9.9999999999999645</v>
      </c>
      <c r="DY8" s="691">
        <f>I88</f>
        <v>9.9999999999999645</v>
      </c>
      <c r="DZ8" s="691">
        <f>DY8-10</f>
        <v>-3.5527136788005009E-14</v>
      </c>
      <c r="EA8" s="687"/>
      <c r="EB8" s="710">
        <f>D83/E98</f>
        <v>0.66375545851528384</v>
      </c>
      <c r="EC8" s="691">
        <f>I98</f>
        <v>50.999999999999979</v>
      </c>
      <c r="ED8" s="687">
        <f>L98</f>
        <v>10.4</v>
      </c>
      <c r="EE8" s="692">
        <f>E100</f>
        <v>3.6</v>
      </c>
      <c r="EF8" s="692">
        <f>EE8*1000/E98</f>
        <v>15.720524017467248</v>
      </c>
      <c r="EG8" s="687"/>
      <c r="EH8" s="691">
        <f>E98</f>
        <v>229</v>
      </c>
      <c r="EI8" s="691">
        <f>L105</f>
        <v>224.99999999999983</v>
      </c>
      <c r="EJ8" s="687">
        <f>ABS(L105-K105)</f>
        <v>5.0000000000001705</v>
      </c>
      <c r="EK8" s="692">
        <f>L103</f>
        <v>6.1499999999999968</v>
      </c>
      <c r="EL8" s="687">
        <f>ABS(L103-K103)</f>
        <v>0.1499999999999968</v>
      </c>
      <c r="EM8" s="692">
        <f>L106</f>
        <v>175.92592592592729</v>
      </c>
      <c r="EN8" s="687">
        <f>L96</f>
        <v>18.09</v>
      </c>
      <c r="EO8" s="687">
        <f>L97</f>
        <v>5.25</v>
      </c>
    </row>
    <row r="9" spans="2:148" s="662" customFormat="1" ht="22.5" customHeight="1">
      <c r="B9" s="744"/>
      <c r="C9" s="536" t="s">
        <v>156</v>
      </c>
      <c r="D9" s="479">
        <v>3950</v>
      </c>
      <c r="E9" s="646">
        <v>3950</v>
      </c>
      <c r="F9" s="714"/>
      <c r="G9" s="714"/>
      <c r="H9" s="448" t="str">
        <f>IF(OR(F9="",G9=""),"",IF(G9&gt;=F9,(G9-F9)*24*60,(1+G9-F9)*24*60))</f>
        <v/>
      </c>
      <c r="I9" s="685" t="str">
        <f>IF(OR(F15="",G9=""),"",IF(F15&gt;=G9,(F15-G9)*24*60,(1+F15-G9)*24*60))</f>
        <v/>
      </c>
      <c r="J9" s="539" t="s">
        <v>157</v>
      </c>
      <c r="K9" s="448">
        <f>D14+D13+D15</f>
        <v>55</v>
      </c>
      <c r="L9" s="707">
        <f>E14+E13+E15</f>
        <v>55</v>
      </c>
      <c r="M9" s="531"/>
      <c r="N9" s="521">
        <v>2840</v>
      </c>
      <c r="O9" s="521" t="e">
        <f>(D9+K15)/133+K9+D15</f>
        <v>#VALUE!</v>
      </c>
      <c r="P9" s="521" t="s">
        <v>158</v>
      </c>
      <c r="Q9" s="521"/>
      <c r="R9" s="521">
        <f>52+15</f>
        <v>67</v>
      </c>
      <c r="S9" s="521">
        <v>236</v>
      </c>
      <c r="T9" s="521">
        <f>(D13+D15)*100</f>
        <v>5100</v>
      </c>
      <c r="U9" s="521" t="e">
        <f>D9*0.7+K15*0.67</f>
        <v>#VALUE!</v>
      </c>
      <c r="V9" s="521" t="e">
        <f>T9+U9</f>
        <v>#VALUE!</v>
      </c>
      <c r="W9" s="521">
        <v>100</v>
      </c>
      <c r="X9" s="521" t="e">
        <f>V9*W9</f>
        <v>#VALUE!</v>
      </c>
      <c r="Y9" s="521" t="s">
        <v>159</v>
      </c>
      <c r="Z9" s="521"/>
      <c r="AA9" s="521" t="e">
        <f>V9/100</f>
        <v>#VALUE!</v>
      </c>
      <c r="AB9" s="521"/>
      <c r="AC9" s="521"/>
      <c r="AD9" s="521"/>
      <c r="AE9" s="521"/>
      <c r="AF9" s="521"/>
      <c r="AG9" s="521"/>
      <c r="AH9" s="521">
        <f>AH8+10+2+16</f>
        <v>173</v>
      </c>
      <c r="AI9" s="968" t="s">
        <v>160</v>
      </c>
      <c r="AJ9" s="969"/>
      <c r="AK9" s="969"/>
      <c r="AL9" s="970"/>
      <c r="AM9" s="541">
        <v>44</v>
      </c>
      <c r="AN9" s="542">
        <v>44</v>
      </c>
      <c r="AO9" s="542">
        <v>20</v>
      </c>
      <c r="AP9" s="521"/>
      <c r="AQ9" s="535" t="s">
        <v>161</v>
      </c>
      <c r="AR9" s="535">
        <v>96</v>
      </c>
      <c r="AS9" s="535">
        <v>99</v>
      </c>
    </row>
    <row r="10" spans="2:148" s="662" customFormat="1" ht="24.75" customHeight="1" thickBot="1">
      <c r="B10" s="745"/>
      <c r="C10" s="536" t="s">
        <v>162</v>
      </c>
      <c r="D10" s="479">
        <v>1750</v>
      </c>
      <c r="E10" s="646">
        <v>1784</v>
      </c>
      <c r="F10" s="714"/>
      <c r="G10" s="714"/>
      <c r="H10" s="815" t="str">
        <f>IF(OR(F10="",G10=""),"",IF(G10&gt;=F10,(G10-F10)*24*60,(1+G10-F10)*24*60))</f>
        <v/>
      </c>
      <c r="I10" s="685" t="str">
        <f>IF(OR(F13="",G10=""),"",IF(F13&gt;=G10,(F13-G10)*24*60,(1+F13-G10)*24*60))</f>
        <v/>
      </c>
      <c r="J10" s="543" t="s">
        <v>163</v>
      </c>
      <c r="K10" s="792"/>
      <c r="L10" s="645"/>
      <c r="M10" s="545"/>
      <c r="N10" s="521"/>
      <c r="O10" s="521"/>
      <c r="P10" s="521"/>
      <c r="Q10" s="521"/>
      <c r="R10" s="521"/>
      <c r="S10" s="521"/>
      <c r="T10" s="521"/>
      <c r="U10" s="521"/>
      <c r="V10" s="521"/>
      <c r="W10" s="521"/>
      <c r="X10" s="521"/>
      <c r="Y10" s="521"/>
      <c r="Z10" s="521"/>
      <c r="AA10" s="521"/>
      <c r="AB10" s="521"/>
      <c r="AC10" s="521"/>
      <c r="AD10" s="521"/>
      <c r="AE10" s="521"/>
      <c r="AF10" s="521"/>
      <c r="AG10" s="521"/>
      <c r="AH10" s="521"/>
      <c r="AI10" s="968" t="s">
        <v>164</v>
      </c>
      <c r="AJ10" s="969"/>
      <c r="AK10" s="969"/>
      <c r="AL10" s="969"/>
      <c r="AM10" s="546">
        <f>(K8+K9+D31+D49+D54)-D58</f>
        <v>42</v>
      </c>
      <c r="AN10" s="546">
        <f>K61+AM10-(D59-D58)</f>
        <v>56</v>
      </c>
      <c r="AO10" s="546">
        <f>AN10+K62-D61</f>
        <v>16</v>
      </c>
      <c r="AP10" s="521"/>
      <c r="AQ10" s="535"/>
      <c r="AR10" s="535"/>
      <c r="AS10" s="535"/>
      <c r="AV10" s="959" t="s">
        <v>165</v>
      </c>
      <c r="AW10" s="959" t="s">
        <v>166</v>
      </c>
      <c r="AX10" s="959" t="s">
        <v>167</v>
      </c>
      <c r="AY10" s="959" t="s">
        <v>168</v>
      </c>
      <c r="AZ10" s="959" t="s">
        <v>169</v>
      </c>
      <c r="BA10" s="959" t="s">
        <v>170</v>
      </c>
      <c r="BB10" s="959" t="s">
        <v>171</v>
      </c>
      <c r="BC10" s="959" t="s">
        <v>172</v>
      </c>
      <c r="BD10" s="959" t="s">
        <v>173</v>
      </c>
      <c r="BE10" s="959" t="s">
        <v>174</v>
      </c>
    </row>
    <row r="11" spans="2:148" s="662" customFormat="1" ht="15" customHeight="1" thickBot="1">
      <c r="B11" s="770"/>
      <c r="C11" s="941" t="s">
        <v>175</v>
      </c>
      <c r="D11" s="942"/>
      <c r="E11" s="942"/>
      <c r="F11" s="942"/>
      <c r="G11" s="942"/>
      <c r="H11" s="942"/>
      <c r="I11" s="942"/>
      <c r="J11" s="942"/>
      <c r="K11" s="942"/>
      <c r="L11" s="943"/>
      <c r="M11" s="530"/>
      <c r="N11" s="521"/>
      <c r="O11" s="521">
        <v>47</v>
      </c>
      <c r="P11" s="521">
        <v>50</v>
      </c>
      <c r="Q11" s="521"/>
      <c r="R11" s="521"/>
      <c r="S11" s="521"/>
      <c r="T11" s="521"/>
      <c r="U11" s="521"/>
      <c r="V11" s="521"/>
      <c r="W11" s="547" t="e">
        <f>((O8*W8)+(O9*W9))/SUM(O8:O9)</f>
        <v>#VALUE!</v>
      </c>
      <c r="X11" s="521"/>
      <c r="Y11" s="521"/>
      <c r="Z11" s="521"/>
      <c r="AA11" s="521"/>
      <c r="AB11" s="521"/>
      <c r="AC11" s="521"/>
      <c r="AD11" s="521">
        <f>226</f>
        <v>226</v>
      </c>
      <c r="AE11" s="521"/>
      <c r="AF11" s="521"/>
      <c r="AG11" s="521"/>
      <c r="AH11" s="521"/>
      <c r="AI11" s="522"/>
      <c r="AJ11" s="521"/>
      <c r="AK11" s="521"/>
      <c r="AL11" s="521"/>
      <c r="AM11" s="521"/>
      <c r="AN11" s="521"/>
      <c r="AO11" s="521"/>
      <c r="AP11" s="521"/>
      <c r="AQ11" s="535" t="s">
        <v>176</v>
      </c>
      <c r="AR11" s="535">
        <v>45</v>
      </c>
      <c r="AS11" s="535">
        <v>30</v>
      </c>
      <c r="AV11" s="959"/>
      <c r="AW11" s="959"/>
      <c r="AX11" s="959"/>
      <c r="AY11" s="959"/>
      <c r="AZ11" s="959"/>
      <c r="BA11" s="959"/>
      <c r="BB11" s="959"/>
      <c r="BC11" s="959"/>
      <c r="BD11" s="959"/>
      <c r="BE11" s="959"/>
    </row>
    <row r="12" spans="2:148" s="662" customFormat="1" ht="23.25" customHeight="1">
      <c r="B12" s="767"/>
      <c r="C12" s="756" t="s">
        <v>177</v>
      </c>
      <c r="D12" s="882">
        <v>5</v>
      </c>
      <c r="E12" s="647"/>
      <c r="F12" s="775"/>
      <c r="G12" s="775"/>
      <c r="H12" s="882">
        <v>1</v>
      </c>
      <c r="I12" s="882"/>
      <c r="J12" s="790" t="s">
        <v>178</v>
      </c>
      <c r="K12" s="882">
        <v>180</v>
      </c>
      <c r="L12" s="793">
        <v>180</v>
      </c>
      <c r="M12" s="548"/>
      <c r="N12" s="521"/>
      <c r="O12" s="521"/>
      <c r="P12" s="521">
        <v>91</v>
      </c>
      <c r="Q12" s="521"/>
      <c r="R12" s="521"/>
      <c r="S12" s="521"/>
      <c r="T12" s="964" t="s">
        <v>179</v>
      </c>
      <c r="U12" s="964"/>
      <c r="V12" s="532">
        <f>D9/H13*1.2</f>
        <v>384.32432432432438</v>
      </c>
      <c r="W12" s="521"/>
      <c r="X12" s="549" t="s">
        <v>180</v>
      </c>
      <c r="Y12" s="550" t="e">
        <f>D9+K15+(K9+D15)*100</f>
        <v>#VALUE!</v>
      </c>
      <c r="Z12" s="521"/>
      <c r="AA12" s="521"/>
      <c r="AB12" s="521"/>
      <c r="AC12" s="521"/>
      <c r="AD12" s="521">
        <v>150</v>
      </c>
      <c r="AE12" s="521"/>
      <c r="AF12" s="521"/>
      <c r="AG12" s="532">
        <f>K8+K9+D15+D31+D49+D54</f>
        <v>192</v>
      </c>
      <c r="AH12" s="532">
        <f>AG12-59</f>
        <v>133</v>
      </c>
      <c r="AI12" s="522"/>
      <c r="AJ12" s="521"/>
      <c r="AK12" s="521"/>
      <c r="AL12" s="521"/>
      <c r="AM12" s="521"/>
      <c r="AN12" s="521"/>
      <c r="AO12" s="521"/>
      <c r="AP12" s="521"/>
      <c r="AQ12" s="535" t="s">
        <v>181</v>
      </c>
      <c r="AR12" s="535">
        <v>269</v>
      </c>
      <c r="AS12" s="535">
        <v>265</v>
      </c>
      <c r="AV12" s="724">
        <f>$J$3+F13</f>
        <v>46043.65347222222</v>
      </c>
      <c r="AW12" s="724">
        <f>IF(F58&gt;=F13,$J$3+F58,$J$3+1+F58)</f>
        <v>46043.753472222219</v>
      </c>
      <c r="AX12" s="724">
        <f>IF(F70&gt;=F13,$J$3+F70,$J$3+1+F70)</f>
        <v>46043.782638888886</v>
      </c>
      <c r="AY12" s="724">
        <f>IF(F72&gt;=F13,$J$3+F72,$J$3+1+F72)</f>
        <v>46043.808333333334</v>
      </c>
      <c r="AZ12" s="718"/>
      <c r="BA12" s="719">
        <f>E78</f>
        <v>270</v>
      </c>
      <c r="BB12" s="724">
        <f>IF(G80&gt;=F13,$J$3+G80,$J$3+1+G80)</f>
        <v>46043.86041666667</v>
      </c>
      <c r="BC12" s="718"/>
      <c r="BD12" s="719">
        <f>E84</f>
        <v>245</v>
      </c>
      <c r="BE12" s="724">
        <f>IF(G98&gt;=F13,$J$3+G98,$J$3+1+G98)</f>
        <v>46043.909722222219</v>
      </c>
    </row>
    <row r="13" spans="2:148" s="662" customFormat="1" ht="28.5" customHeight="1">
      <c r="B13" s="746"/>
      <c r="C13" s="551" t="s">
        <v>182</v>
      </c>
      <c r="D13" s="448">
        <v>37</v>
      </c>
      <c r="E13" s="646">
        <v>37</v>
      </c>
      <c r="F13" s="714">
        <v>0.65347222222222223</v>
      </c>
      <c r="G13" s="648"/>
      <c r="H13" s="448">
        <f>D13/K12*60</f>
        <v>12.333333333333332</v>
      </c>
      <c r="I13" s="685">
        <f>IF(OR(F14="",F13=""),"",IF(F14&gt;=F13,(F14-F13)*24*60,(1+F14-F13)*24*60))</f>
        <v>11.999999999999957</v>
      </c>
      <c r="J13" s="552" t="s">
        <v>183</v>
      </c>
      <c r="K13" s="583">
        <v>61</v>
      </c>
      <c r="L13" s="561">
        <f ca="1">K13+RANDBETWEEN(-2,2)/10</f>
        <v>61.1</v>
      </c>
      <c r="M13" s="554"/>
      <c r="N13" s="521"/>
      <c r="O13" s="521"/>
      <c r="P13" s="521"/>
      <c r="Q13" s="521"/>
      <c r="R13" s="521"/>
      <c r="S13" s="521"/>
      <c r="T13" s="555" t="s">
        <v>184</v>
      </c>
      <c r="U13" s="521"/>
      <c r="V13" s="556" t="e">
        <f>(K9+D15)/(D9+K15)*100</f>
        <v>#VALUE!</v>
      </c>
      <c r="W13" s="521"/>
      <c r="X13" s="521"/>
      <c r="Y13" s="521"/>
      <c r="Z13" s="521"/>
      <c r="AA13" s="521"/>
      <c r="AB13" s="521"/>
      <c r="AC13" s="521"/>
      <c r="AD13" s="521">
        <f>AD11-AD12</f>
        <v>76</v>
      </c>
      <c r="AE13" s="521">
        <f>AD13/280*60</f>
        <v>16.285714285714285</v>
      </c>
      <c r="AF13" s="521"/>
      <c r="AG13" s="532">
        <f>AG12-35</f>
        <v>157</v>
      </c>
      <c r="AH13" s="521"/>
      <c r="AI13" s="522"/>
      <c r="AJ13" s="521"/>
      <c r="AK13" s="521"/>
      <c r="AL13" s="521"/>
      <c r="AM13" s="521"/>
      <c r="AN13" s="521"/>
      <c r="AO13" s="521"/>
      <c r="AP13" s="521"/>
      <c r="AQ13" s="535" t="s">
        <v>185</v>
      </c>
      <c r="AR13" s="535">
        <v>3.2</v>
      </c>
      <c r="AS13" s="535">
        <v>3.3</v>
      </c>
    </row>
    <row r="14" spans="2:148" s="662" customFormat="1" ht="20.25" customHeight="1">
      <c r="B14" s="746"/>
      <c r="C14" s="536" t="s">
        <v>186</v>
      </c>
      <c r="D14" s="448">
        <v>4</v>
      </c>
      <c r="E14" s="646">
        <v>4</v>
      </c>
      <c r="F14" s="714">
        <v>0.66180555555555554</v>
      </c>
      <c r="G14" s="648"/>
      <c r="H14" s="448">
        <v>1</v>
      </c>
      <c r="I14" s="685">
        <f>IF(OR(F15="",F14=""),"",IF(F15&gt;=F14,(F15-F14)*24*60,(1+F15-F14)*24*60))</f>
        <v>0.99999999999999645</v>
      </c>
      <c r="J14" s="552" t="s">
        <v>187</v>
      </c>
      <c r="K14" s="583">
        <v>60</v>
      </c>
      <c r="L14" s="561">
        <f ca="1">57+RANDBETWEEN(-5,5)/10</f>
        <v>56.9</v>
      </c>
      <c r="M14" s="554"/>
      <c r="N14" s="521"/>
      <c r="O14" s="521"/>
      <c r="P14" s="521"/>
      <c r="Q14" s="521"/>
      <c r="R14" s="521"/>
      <c r="S14" s="521"/>
      <c r="T14" s="555"/>
      <c r="U14" s="521"/>
      <c r="V14" s="556"/>
      <c r="W14" s="521"/>
      <c r="X14" s="521"/>
      <c r="Y14" s="521"/>
      <c r="Z14" s="521"/>
      <c r="AA14" s="521"/>
      <c r="AB14" s="521"/>
      <c r="AC14" s="521"/>
      <c r="AD14" s="521"/>
      <c r="AE14" s="521"/>
      <c r="AF14" s="521"/>
      <c r="AG14" s="532"/>
      <c r="AH14" s="521"/>
      <c r="AI14" s="522"/>
      <c r="AJ14" s="521"/>
      <c r="AK14" s="521"/>
      <c r="AL14" s="521"/>
      <c r="AM14" s="521"/>
      <c r="AN14" s="521"/>
      <c r="AO14" s="521"/>
      <c r="AP14" s="521"/>
      <c r="AQ14" s="535" t="s">
        <v>188</v>
      </c>
      <c r="AR14" s="535">
        <v>2.9</v>
      </c>
      <c r="AS14" s="535">
        <v>2.9</v>
      </c>
    </row>
    <row r="15" spans="2:148" s="663" customFormat="1" ht="33.75" customHeight="1">
      <c r="B15" s="744"/>
      <c r="C15" s="536" t="s">
        <v>189</v>
      </c>
      <c r="D15" s="448">
        <v>14</v>
      </c>
      <c r="E15" s="646">
        <v>14</v>
      </c>
      <c r="F15" s="714">
        <v>0.66249999999999998</v>
      </c>
      <c r="G15" s="648"/>
      <c r="H15" s="448">
        <f>D15/K35*60</f>
        <v>3.7333333333333334</v>
      </c>
      <c r="I15" s="685">
        <f>IF(OR(F19="",F15=""),"",IF(F19&gt;=F15,(F19-F15)*24*60,(1+F19-F15)*24*60))</f>
        <v>3.9999999999999858</v>
      </c>
      <c r="J15" s="539" t="s">
        <v>190</v>
      </c>
      <c r="K15" s="448" t="s">
        <v>191</v>
      </c>
      <c r="L15" s="640">
        <v>191</v>
      </c>
      <c r="M15" s="531">
        <v>270</v>
      </c>
      <c r="N15" s="523"/>
      <c r="O15" s="523"/>
      <c r="P15" s="523"/>
      <c r="Q15" s="523"/>
      <c r="R15" s="523"/>
      <c r="S15" s="523"/>
      <c r="T15" s="523"/>
      <c r="U15" s="523"/>
      <c r="V15" s="523"/>
      <c r="W15" s="523"/>
      <c r="X15" s="523">
        <v>109</v>
      </c>
      <c r="Y15" s="523"/>
      <c r="Z15" s="523"/>
      <c r="AA15" s="523"/>
      <c r="AB15" s="523"/>
      <c r="AC15" s="523"/>
      <c r="AD15" s="523">
        <f>150/240*60</f>
        <v>37.5</v>
      </c>
      <c r="AE15" s="523"/>
      <c r="AF15" s="523"/>
      <c r="AG15" s="523"/>
      <c r="AH15" s="523"/>
      <c r="AI15" s="524"/>
      <c r="AJ15" s="523"/>
      <c r="AK15" s="523"/>
      <c r="AL15" s="523"/>
      <c r="AM15" s="523"/>
      <c r="AN15" s="523"/>
      <c r="AO15" s="523"/>
      <c r="AP15" s="523"/>
      <c r="AQ15" s="535" t="s">
        <v>192</v>
      </c>
      <c r="AR15" s="535">
        <v>0.36</v>
      </c>
      <c r="AS15" s="535">
        <v>0.3</v>
      </c>
    </row>
    <row r="16" spans="2:148" s="662" customFormat="1" ht="20.25" customHeight="1">
      <c r="B16" s="744"/>
      <c r="C16" s="536" t="s">
        <v>193</v>
      </c>
      <c r="D16" s="557">
        <v>3</v>
      </c>
      <c r="E16" s="646"/>
      <c r="F16" s="648"/>
      <c r="G16" s="648"/>
      <c r="H16" s="448"/>
      <c r="I16" s="448"/>
      <c r="J16" s="448"/>
      <c r="K16" s="448"/>
      <c r="L16" s="558"/>
      <c r="M16" s="531"/>
      <c r="N16" s="521"/>
      <c r="O16" s="521"/>
      <c r="P16" s="521"/>
      <c r="Q16" s="521"/>
      <c r="R16" s="521"/>
      <c r="S16" s="521"/>
      <c r="T16" s="521"/>
      <c r="U16" s="521"/>
      <c r="V16" s="521" t="e">
        <f>#REF!/100</f>
        <v>#REF!</v>
      </c>
      <c r="W16" s="521"/>
      <c r="X16" s="521"/>
      <c r="Y16" s="521"/>
      <c r="Z16" s="521"/>
      <c r="AA16" s="521"/>
      <c r="AB16" s="521"/>
      <c r="AC16" s="521"/>
      <c r="AD16" s="521">
        <f>AD15+AE13</f>
        <v>53.785714285714285</v>
      </c>
      <c r="AE16" s="521"/>
      <c r="AF16" s="521"/>
      <c r="AG16" s="521"/>
      <c r="AH16" s="521"/>
      <c r="AI16" s="522"/>
      <c r="AJ16" s="521"/>
      <c r="AK16" s="521"/>
      <c r="AL16" s="521"/>
      <c r="AM16" s="521"/>
      <c r="AN16" s="521"/>
      <c r="AO16" s="521"/>
      <c r="AP16" s="521"/>
      <c r="AQ16" s="521"/>
      <c r="AR16" s="521"/>
      <c r="AS16" s="521"/>
    </row>
    <row r="17" spans="2:99" s="662" customFormat="1" ht="24" hidden="1" customHeight="1">
      <c r="B17" s="747"/>
      <c r="C17" s="551" t="s">
        <v>194</v>
      </c>
      <c r="D17" s="557"/>
      <c r="E17" s="649"/>
      <c r="F17" s="650"/>
      <c r="G17" s="648"/>
      <c r="H17" s="559"/>
      <c r="I17" s="559"/>
      <c r="J17" s="560"/>
      <c r="K17" s="560"/>
      <c r="L17" s="561"/>
      <c r="M17" s="531"/>
      <c r="N17" s="521"/>
      <c r="O17" s="521"/>
      <c r="P17" s="521"/>
      <c r="Q17" s="521"/>
      <c r="R17" s="521"/>
      <c r="S17" s="521"/>
      <c r="T17" s="521"/>
      <c r="U17" s="521"/>
      <c r="V17" s="521"/>
      <c r="W17" s="521"/>
      <c r="X17" s="521"/>
      <c r="Y17" s="521"/>
      <c r="Z17" s="521"/>
      <c r="AA17" s="521"/>
      <c r="AB17" s="521"/>
      <c r="AC17" s="521"/>
      <c r="AD17" s="521"/>
      <c r="AE17" s="521"/>
      <c r="AF17" s="521"/>
      <c r="AG17" s="521"/>
      <c r="AH17" s="521"/>
      <c r="AI17" s="522"/>
      <c r="AJ17" s="521"/>
      <c r="AK17" s="521"/>
      <c r="AL17" s="521"/>
      <c r="AM17" s="521"/>
      <c r="AN17" s="521"/>
      <c r="AO17" s="521"/>
      <c r="AP17" s="521"/>
      <c r="AQ17" s="521"/>
      <c r="AR17" s="521"/>
      <c r="AS17" s="521"/>
    </row>
    <row r="18" spans="2:99" s="662" customFormat="1" ht="24" hidden="1" customHeight="1">
      <c r="B18" s="747"/>
      <c r="C18" s="551" t="s">
        <v>195</v>
      </c>
      <c r="D18" s="557"/>
      <c r="E18" s="649"/>
      <c r="F18" s="650"/>
      <c r="G18" s="648"/>
      <c r="H18" s="559"/>
      <c r="I18" s="559"/>
      <c r="J18" s="560"/>
      <c r="K18" s="560"/>
      <c r="L18" s="561"/>
      <c r="M18" s="531"/>
      <c r="N18" s="521"/>
      <c r="O18" s="523"/>
      <c r="P18" s="523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2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</row>
    <row r="19" spans="2:99" s="662" customFormat="1" ht="27.75" customHeight="1">
      <c r="B19" s="744"/>
      <c r="C19" s="536" t="s">
        <v>196</v>
      </c>
      <c r="D19" s="562">
        <v>78</v>
      </c>
      <c r="E19" s="651"/>
      <c r="F19" s="714">
        <v>0.66527777777777775</v>
      </c>
      <c r="G19" s="648"/>
      <c r="H19" s="448">
        <v>9</v>
      </c>
      <c r="I19" s="685">
        <f>IF(OR(F20="",F19=""),"",IF(F20&gt;=F19,(F20-F19)*24*60,(1+F20-F19)*24*60))</f>
        <v>9.0000000000001279</v>
      </c>
      <c r="J19" s="585" t="s">
        <v>197</v>
      </c>
      <c r="K19" s="448">
        <v>520</v>
      </c>
      <c r="L19" s="564"/>
      <c r="M19" s="531"/>
      <c r="N19" s="521"/>
      <c r="O19" s="521"/>
      <c r="P19" s="521"/>
      <c r="Q19" s="521"/>
      <c r="R19" s="521"/>
      <c r="S19" s="521"/>
      <c r="T19" s="521">
        <f>K19*H19/60</f>
        <v>78</v>
      </c>
      <c r="U19" s="521"/>
      <c r="V19" s="521">
        <f>9/60</f>
        <v>0.15</v>
      </c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2"/>
      <c r="AJ19" s="521"/>
      <c r="AK19" s="521"/>
      <c r="AL19" s="965" t="s">
        <v>198</v>
      </c>
      <c r="AM19" s="965"/>
      <c r="AN19" s="965"/>
      <c r="AO19" s="521"/>
      <c r="AP19" s="521"/>
      <c r="AQ19" s="521"/>
      <c r="AR19" s="521"/>
      <c r="AS19" s="521"/>
      <c r="AU19" s="726" t="s">
        <v>142</v>
      </c>
      <c r="AV19" s="727" t="s">
        <v>199</v>
      </c>
      <c r="AW19" s="727" t="s">
        <v>200</v>
      </c>
      <c r="AX19" s="728" t="s">
        <v>201</v>
      </c>
      <c r="AY19" s="728" t="s">
        <v>202</v>
      </c>
      <c r="AZ19" s="728" t="s">
        <v>203</v>
      </c>
      <c r="BA19" s="728" t="s">
        <v>204</v>
      </c>
      <c r="BB19" s="727" t="s">
        <v>205</v>
      </c>
      <c r="BC19" s="728" t="s">
        <v>206</v>
      </c>
      <c r="BD19" s="729" t="s">
        <v>207</v>
      </c>
      <c r="BE19" s="729" t="s">
        <v>208</v>
      </c>
      <c r="BF19" s="728" t="s">
        <v>209</v>
      </c>
      <c r="BG19" s="727" t="s">
        <v>210</v>
      </c>
      <c r="BH19" s="727" t="s">
        <v>211</v>
      </c>
      <c r="BI19" s="727" t="s">
        <v>212</v>
      </c>
      <c r="BJ19" s="727" t="s">
        <v>213</v>
      </c>
      <c r="BK19" s="727" t="s">
        <v>214</v>
      </c>
      <c r="BL19" s="727" t="s">
        <v>215</v>
      </c>
      <c r="BM19" s="727" t="s">
        <v>216</v>
      </c>
      <c r="BN19" s="727" t="s">
        <v>217</v>
      </c>
      <c r="BO19" s="727" t="s">
        <v>218</v>
      </c>
      <c r="BP19" s="730" t="s">
        <v>219</v>
      </c>
      <c r="BQ19" s="727" t="s">
        <v>220</v>
      </c>
      <c r="BR19" s="727" t="s">
        <v>221</v>
      </c>
      <c r="BS19" s="727" t="s">
        <v>222</v>
      </c>
      <c r="BT19" s="730" t="s">
        <v>223</v>
      </c>
      <c r="BU19" s="730" t="s">
        <v>224</v>
      </c>
      <c r="BV19" s="730" t="s">
        <v>225</v>
      </c>
      <c r="BW19" s="727" t="s">
        <v>226</v>
      </c>
      <c r="BX19" s="730" t="s">
        <v>227</v>
      </c>
      <c r="BY19" s="730" t="s">
        <v>228</v>
      </c>
      <c r="BZ19" s="730"/>
      <c r="CA19" s="731" t="s">
        <v>229</v>
      </c>
      <c r="CB19" s="728" t="s">
        <v>209</v>
      </c>
      <c r="CC19" s="727" t="s">
        <v>230</v>
      </c>
      <c r="CD19" s="730" t="s">
        <v>231</v>
      </c>
      <c r="CE19" s="730" t="s">
        <v>232</v>
      </c>
      <c r="CF19" s="730" t="s">
        <v>233</v>
      </c>
      <c r="CG19" s="727" t="s">
        <v>234</v>
      </c>
      <c r="CH19" s="727" t="s">
        <v>235</v>
      </c>
      <c r="CI19" s="727" t="s">
        <v>229</v>
      </c>
      <c r="CJ19" s="727" t="s">
        <v>236</v>
      </c>
      <c r="CK19" s="732" t="s">
        <v>237</v>
      </c>
      <c r="CL19" s="732" t="s">
        <v>238</v>
      </c>
      <c r="CM19" s="732" t="s">
        <v>239</v>
      </c>
      <c r="CN19" s="733" t="s">
        <v>240</v>
      </c>
      <c r="CO19" s="727" t="s">
        <v>241</v>
      </c>
      <c r="CR19" s="841" t="s">
        <v>242</v>
      </c>
      <c r="CU19" s="842" t="s">
        <v>243</v>
      </c>
    </row>
    <row r="20" spans="2:99" s="662" customFormat="1" ht="23.25" customHeight="1">
      <c r="B20" s="744"/>
      <c r="C20" s="566" t="s">
        <v>244</v>
      </c>
      <c r="D20" s="448"/>
      <c r="E20" s="652">
        <v>79.7</v>
      </c>
      <c r="F20" s="714">
        <v>0.67152777777777783</v>
      </c>
      <c r="G20" s="648">
        <f>IF(ISBLANK(F20),"",F20+TIME(0,H20,0))</f>
        <v>0.67847222222222225</v>
      </c>
      <c r="H20" s="479">
        <v>10</v>
      </c>
      <c r="I20" s="685">
        <f>IF(OR(F21="",F20=""),"",IF(F21&gt;=F20,(F21-F20)*24*60,(1+F21-F20)*24*60))</f>
        <v>9.9999999999999645</v>
      </c>
      <c r="J20" s="539" t="s">
        <v>245</v>
      </c>
      <c r="K20" s="583" t="s">
        <v>246</v>
      </c>
      <c r="L20" s="564"/>
      <c r="M20" s="567" t="s">
        <v>247</v>
      </c>
      <c r="N20" s="521"/>
      <c r="O20" s="521"/>
      <c r="P20" s="521"/>
      <c r="Q20" s="521"/>
      <c r="R20" s="521"/>
      <c r="S20" s="521"/>
      <c r="T20" s="521"/>
      <c r="U20" s="521"/>
      <c r="V20" s="521" t="e">
        <f>V16/V19</f>
        <v>#REF!</v>
      </c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2"/>
      <c r="AJ20" s="521"/>
      <c r="AK20" s="521"/>
      <c r="AL20" s="521">
        <v>96</v>
      </c>
      <c r="AM20" s="521">
        <f>K9*100+D9</f>
        <v>9450</v>
      </c>
      <c r="AN20" s="521" t="e">
        <f>(AL20*AM20+AL21*AM21)/(AM20+AM21)</f>
        <v>#VALUE!</v>
      </c>
      <c r="AO20" s="521"/>
      <c r="AP20" s="521"/>
      <c r="AQ20" s="521"/>
      <c r="AR20" s="521"/>
      <c r="AS20" s="521"/>
      <c r="AU20" s="734">
        <f>E8</f>
        <v>1</v>
      </c>
      <c r="AV20" s="735" t="str">
        <f>"BUD"&amp;RIGHT(H3,3)</f>
        <v>BUD027</v>
      </c>
      <c r="AW20" s="734">
        <f>E9</f>
        <v>3950</v>
      </c>
      <c r="AX20" s="736">
        <v>0.80700000000000005</v>
      </c>
      <c r="AY20" s="736">
        <v>4.4699999999999997E-2</v>
      </c>
      <c r="AZ20" s="736"/>
      <c r="BA20" s="736">
        <v>0.3</v>
      </c>
      <c r="BB20" s="734">
        <f>E10</f>
        <v>1784</v>
      </c>
      <c r="BC20" s="736">
        <v>0.8</v>
      </c>
      <c r="BD20" s="736">
        <f>AW20/(AW20+BB20)</f>
        <v>0.6888733868154866</v>
      </c>
      <c r="BE20" s="736">
        <f>BB20/(AW20+BB20)</f>
        <v>0.31112661318451346</v>
      </c>
      <c r="BF20" s="734">
        <f>(AW20-AZ20-0)*AX20*(100%-AY20)+AZ20*BA20+(BB20+0)*BC20</f>
        <v>4472.3620449999999</v>
      </c>
      <c r="BG20" s="737">
        <f>D16</f>
        <v>3</v>
      </c>
      <c r="BH20" s="737">
        <f>D38</f>
        <v>4</v>
      </c>
      <c r="BI20" s="737">
        <f>D74</f>
        <v>2.5</v>
      </c>
      <c r="BJ20" s="738"/>
      <c r="BK20" s="738">
        <f>D75</f>
        <v>2.48</v>
      </c>
      <c r="BL20" s="735"/>
      <c r="BM20" s="738">
        <f>D76</f>
        <v>2.2000000000000002</v>
      </c>
      <c r="BN20" s="738">
        <f>D77</f>
        <v>2.41</v>
      </c>
      <c r="BO20" s="737">
        <f>D82</f>
        <v>2.1</v>
      </c>
      <c r="BP20" s="737">
        <f>D83</f>
        <v>152</v>
      </c>
      <c r="BQ20" s="734">
        <f>E98</f>
        <v>229</v>
      </c>
      <c r="BR20" s="737">
        <f>E100</f>
        <v>3.6</v>
      </c>
      <c r="BS20" s="734">
        <f>E85</f>
        <v>0</v>
      </c>
      <c r="BT20" s="735">
        <f>L55</f>
        <v>22.75</v>
      </c>
      <c r="BU20" s="735">
        <f>L96</f>
        <v>18.09</v>
      </c>
      <c r="BV20" s="738">
        <f>K91</f>
        <v>18.28</v>
      </c>
      <c r="BW20" s="735" t="str">
        <f>C3</f>
        <v>Nhân</v>
      </c>
      <c r="BX20" s="735">
        <f>L97</f>
        <v>5.25</v>
      </c>
      <c r="BY20" s="735"/>
      <c r="BZ20" s="735"/>
      <c r="CA20" s="735">
        <f>IF(BU20="","",+BU20*(1+(BU20-0.4644)/238.4)-0.02)</f>
        <v>19.407445906040266</v>
      </c>
      <c r="CB20" s="735">
        <f>IF(OR(CA20="",BQ20=""),"",BQ20*CA20)</f>
        <v>4444.3051124832209</v>
      </c>
      <c r="CC20" s="734">
        <f>E66</f>
        <v>270</v>
      </c>
      <c r="CD20" s="735">
        <f>L63</f>
        <v>2.46</v>
      </c>
      <c r="CE20" s="735">
        <f>L64</f>
        <v>0.81</v>
      </c>
      <c r="CF20" s="734">
        <f>E61</f>
        <v>75</v>
      </c>
      <c r="CG20" s="735"/>
      <c r="CH20" s="735"/>
      <c r="CI20" s="735"/>
      <c r="CJ20" s="735"/>
      <c r="CK20" s="734">
        <f>K30</f>
        <v>222</v>
      </c>
      <c r="CL20" s="735">
        <f>K48</f>
        <v>233</v>
      </c>
      <c r="CM20" s="734">
        <f>K86</f>
        <v>2777</v>
      </c>
      <c r="CN20" s="734">
        <f>BF20-CB20-CJ20</f>
        <v>28.056932516778943</v>
      </c>
      <c r="CO20" s="738">
        <f>IF(BV20="","",CN20/BF20%)</f>
        <v>0.6273403681203753</v>
      </c>
      <c r="CR20" s="736">
        <f>(CC20-BQ20-BS20-10.5)/CC20</f>
        <v>0.11296296296296296</v>
      </c>
      <c r="CU20" s="734">
        <f>SUM(CK20:CM20)</f>
        <v>3232</v>
      </c>
    </row>
    <row r="21" spans="2:99" s="662" customFormat="1" ht="26.25" customHeight="1">
      <c r="B21" s="744"/>
      <c r="C21" s="536" t="s">
        <v>248</v>
      </c>
      <c r="D21" s="562">
        <v>95</v>
      </c>
      <c r="E21" s="816"/>
      <c r="F21" s="680">
        <f>G20</f>
        <v>0.67847222222222225</v>
      </c>
      <c r="G21" s="648"/>
      <c r="H21" s="448">
        <v>9</v>
      </c>
      <c r="I21" s="685">
        <f>IF(OR(F22="",F21=""),"",IF(F22&gt;=F21,(F22-F21)*24*60,(1+F22-F21)*24*60))</f>
        <v>7.9999999999999716</v>
      </c>
      <c r="J21" s="585" t="s">
        <v>197</v>
      </c>
      <c r="K21" s="448">
        <v>520</v>
      </c>
      <c r="L21" s="564"/>
      <c r="M21" s="568"/>
      <c r="N21" s="521"/>
      <c r="O21" s="521"/>
      <c r="P21" s="521"/>
      <c r="Q21" s="521"/>
      <c r="R21" s="521"/>
      <c r="S21" s="521"/>
      <c r="T21" s="521">
        <f>K21*H21/60</f>
        <v>78</v>
      </c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2"/>
      <c r="AJ21" s="521"/>
      <c r="AK21" s="521"/>
      <c r="AL21" s="521">
        <v>44</v>
      </c>
      <c r="AM21" s="521" t="e">
        <f>K8*100+D8</f>
        <v>#VALUE!</v>
      </c>
      <c r="AN21" s="521"/>
      <c r="AO21" s="521"/>
      <c r="AP21" s="521"/>
      <c r="AQ21" s="521"/>
      <c r="AR21" s="521"/>
      <c r="AS21" s="521"/>
    </row>
    <row r="22" spans="2:99" s="662" customFormat="1" ht="21.75" customHeight="1">
      <c r="B22" s="744"/>
      <c r="C22" s="566" t="s">
        <v>249</v>
      </c>
      <c r="D22" s="448"/>
      <c r="E22" s="652">
        <v>96.4</v>
      </c>
      <c r="F22" s="714">
        <v>0.68402777777777779</v>
      </c>
      <c r="G22" s="648">
        <f>IF(ISBLANK(F22),"",F22+TIME(0,H22,0))</f>
        <v>0.68541666666666667</v>
      </c>
      <c r="H22" s="479">
        <v>2</v>
      </c>
      <c r="I22" s="685">
        <f>IF(OR(F30="",F22=""),"",IF(F30&gt;=F22,(F30-F22)*24*60,(1+F30-F22)*24*60))</f>
        <v>1.9999999999999929</v>
      </c>
      <c r="J22" s="539" t="s">
        <v>245</v>
      </c>
      <c r="K22" s="583" t="s">
        <v>246</v>
      </c>
      <c r="L22" s="564"/>
      <c r="M22" s="570"/>
      <c r="N22" s="521"/>
      <c r="O22" s="523"/>
      <c r="P22" s="523"/>
      <c r="Q22" s="521"/>
      <c r="R22" s="521"/>
      <c r="S22" s="521"/>
      <c r="T22" s="521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2"/>
      <c r="AJ22" s="521"/>
      <c r="AK22" s="521"/>
      <c r="AL22" s="521"/>
      <c r="AM22" s="521"/>
      <c r="AN22" s="521"/>
      <c r="AO22" s="521"/>
      <c r="AP22" s="521"/>
      <c r="AQ22" s="521"/>
      <c r="AR22" s="521"/>
      <c r="AS22" s="521"/>
    </row>
    <row r="23" spans="2:99" s="662" customFormat="1" ht="21.75" hidden="1" customHeight="1">
      <c r="B23" s="744"/>
      <c r="C23" s="536" t="s">
        <v>250</v>
      </c>
      <c r="D23" s="448"/>
      <c r="E23" s="646"/>
      <c r="F23" s="715"/>
      <c r="G23" s="648"/>
      <c r="H23" s="565"/>
      <c r="I23" s="685" t="str">
        <f t="shared" ref="I23:I29" si="0">IF(OR(F24="",F23=""),"",IF(F24&gt;F23,(F24-F23)*24*60,(1+F24-F23)*24*60))</f>
        <v/>
      </c>
      <c r="J23" s="571" t="s">
        <v>251</v>
      </c>
      <c r="K23" s="572"/>
      <c r="L23" s="564"/>
      <c r="M23" s="568"/>
      <c r="N23" s="521"/>
      <c r="O23" s="521"/>
      <c r="P23" s="521"/>
      <c r="Q23" s="521"/>
      <c r="R23" s="521"/>
      <c r="S23" s="521"/>
      <c r="T23" s="521"/>
      <c r="U23" s="521"/>
      <c r="V23" s="521"/>
      <c r="W23" s="521"/>
      <c r="X23" s="521"/>
      <c r="Y23" s="521"/>
      <c r="Z23" s="521"/>
      <c r="AA23" s="521"/>
      <c r="AB23" s="521"/>
      <c r="AC23" s="521"/>
      <c r="AD23" s="521"/>
      <c r="AE23" s="521"/>
      <c r="AF23" s="521"/>
      <c r="AG23" s="521"/>
      <c r="AH23" s="521"/>
      <c r="AI23" s="522"/>
      <c r="AJ23" s="521"/>
      <c r="AK23" s="521"/>
      <c r="AL23" s="521"/>
      <c r="AM23" s="521"/>
      <c r="AN23" s="521"/>
      <c r="AO23" s="521"/>
      <c r="AP23" s="521"/>
      <c r="AQ23" s="521"/>
      <c r="AR23" s="521"/>
      <c r="AS23" s="521"/>
    </row>
    <row r="24" spans="2:99" s="662" customFormat="1" ht="15" hidden="1" customHeight="1">
      <c r="B24" s="744"/>
      <c r="C24" s="573" t="s">
        <v>252</v>
      </c>
      <c r="D24" s="448"/>
      <c r="E24" s="646"/>
      <c r="F24" s="715"/>
      <c r="G24" s="648"/>
      <c r="H24" s="565"/>
      <c r="I24" s="685" t="str">
        <f t="shared" si="0"/>
        <v/>
      </c>
      <c r="J24" s="559"/>
      <c r="K24" s="559"/>
      <c r="L24" s="564"/>
      <c r="M24" s="531"/>
      <c r="N24" s="521"/>
      <c r="O24" s="521"/>
      <c r="P24" s="521"/>
      <c r="Q24" s="521"/>
      <c r="R24" s="521"/>
      <c r="S24" s="521"/>
      <c r="T24" s="521"/>
      <c r="U24" s="521"/>
      <c r="V24" s="521"/>
      <c r="W24" s="521"/>
      <c r="X24" s="521"/>
      <c r="Y24" s="521"/>
      <c r="Z24" s="521"/>
      <c r="AA24" s="521"/>
      <c r="AB24" s="521"/>
      <c r="AC24" s="521"/>
      <c r="AD24" s="521"/>
      <c r="AE24" s="521"/>
      <c r="AF24" s="521"/>
      <c r="AG24" s="521"/>
      <c r="AH24" s="521"/>
      <c r="AI24" s="522"/>
      <c r="AJ24" s="521"/>
      <c r="AK24" s="521"/>
      <c r="AL24" s="521"/>
      <c r="AM24" s="521"/>
      <c r="AN24" s="521"/>
      <c r="AO24" s="521"/>
      <c r="AP24" s="521"/>
      <c r="AQ24" s="521"/>
      <c r="AR24" s="521"/>
      <c r="AS24" s="521"/>
    </row>
    <row r="25" spans="2:99" s="662" customFormat="1" ht="22.5" hidden="1" customHeight="1">
      <c r="B25" s="744"/>
      <c r="C25" s="551" t="s">
        <v>253</v>
      </c>
      <c r="D25" s="448"/>
      <c r="E25" s="646"/>
      <c r="F25" s="715"/>
      <c r="G25" s="648"/>
      <c r="H25" s="565"/>
      <c r="I25" s="685" t="str">
        <f t="shared" si="0"/>
        <v/>
      </c>
      <c r="J25" s="559"/>
      <c r="K25" s="559"/>
      <c r="L25" s="564"/>
      <c r="M25" s="531"/>
      <c r="N25" s="521"/>
      <c r="O25" s="521"/>
      <c r="P25" s="521"/>
      <c r="Q25" s="521"/>
      <c r="R25" s="521"/>
      <c r="S25" s="521"/>
      <c r="T25" s="521"/>
      <c r="U25" s="521"/>
      <c r="V25" s="521"/>
      <c r="W25" s="521"/>
      <c r="X25" s="521"/>
      <c r="Y25" s="521"/>
      <c r="Z25" s="521"/>
      <c r="AA25" s="521"/>
      <c r="AB25" s="521"/>
      <c r="AC25" s="521"/>
      <c r="AD25" s="521"/>
      <c r="AE25" s="521"/>
      <c r="AF25" s="521"/>
      <c r="AG25" s="521"/>
      <c r="AH25" s="521"/>
      <c r="AI25" s="522"/>
      <c r="AJ25" s="521"/>
      <c r="AK25" s="521"/>
      <c r="AL25" s="521"/>
      <c r="AM25" s="521"/>
      <c r="AN25" s="521"/>
      <c r="AO25" s="521"/>
      <c r="AP25" s="521"/>
      <c r="AQ25" s="521"/>
      <c r="AR25" s="521"/>
      <c r="AS25" s="521"/>
    </row>
    <row r="26" spans="2:99" s="662" customFormat="1" ht="14.25" hidden="1" customHeight="1">
      <c r="B26" s="744"/>
      <c r="C26" s="573" t="s">
        <v>254</v>
      </c>
      <c r="D26" s="448"/>
      <c r="E26" s="646"/>
      <c r="F26" s="715"/>
      <c r="G26" s="648"/>
      <c r="H26" s="565"/>
      <c r="I26" s="685" t="str">
        <f t="shared" si="0"/>
        <v/>
      </c>
      <c r="J26" s="559"/>
      <c r="K26" s="559"/>
      <c r="L26" s="564"/>
      <c r="M26" s="531"/>
      <c r="N26" s="521"/>
      <c r="O26" s="521"/>
      <c r="P26" s="521"/>
      <c r="Q26" s="521"/>
      <c r="R26" s="521"/>
      <c r="S26" s="521"/>
      <c r="T26" s="521"/>
      <c r="U26" s="521"/>
      <c r="V26" s="521"/>
      <c r="W26" s="521"/>
      <c r="X26" s="521"/>
      <c r="Y26" s="521"/>
      <c r="Z26" s="521"/>
      <c r="AA26" s="521"/>
      <c r="AB26" s="521"/>
      <c r="AC26" s="521"/>
      <c r="AD26" s="521"/>
      <c r="AE26" s="521"/>
      <c r="AF26" s="521"/>
      <c r="AG26" s="521"/>
      <c r="AH26" s="521"/>
      <c r="AI26" s="522"/>
      <c r="AJ26" s="521"/>
      <c r="AK26" s="521"/>
      <c r="AL26" s="521"/>
      <c r="AM26" s="521"/>
      <c r="AN26" s="521"/>
      <c r="AO26" s="521"/>
      <c r="AP26" s="521"/>
      <c r="AQ26" s="521"/>
      <c r="AR26" s="521"/>
      <c r="AS26" s="521"/>
    </row>
    <row r="27" spans="2:99" s="662" customFormat="1" ht="17.25" hidden="1" customHeight="1">
      <c r="B27" s="744"/>
      <c r="C27" s="536" t="s">
        <v>255</v>
      </c>
      <c r="D27" s="448"/>
      <c r="E27" s="646"/>
      <c r="F27" s="715"/>
      <c r="G27" s="648"/>
      <c r="H27" s="565"/>
      <c r="I27" s="685" t="str">
        <f t="shared" si="0"/>
        <v/>
      </c>
      <c r="J27" s="559"/>
      <c r="K27" s="559"/>
      <c r="L27" s="564"/>
      <c r="M27" s="531"/>
      <c r="N27" s="521"/>
      <c r="O27" s="521"/>
      <c r="P27" s="521"/>
      <c r="Q27" s="521"/>
      <c r="R27" s="521"/>
      <c r="S27" s="521"/>
      <c r="T27" s="521"/>
      <c r="U27" s="521"/>
      <c r="V27" s="521"/>
      <c r="W27" s="521"/>
      <c r="X27" s="521"/>
      <c r="Y27" s="521"/>
      <c r="Z27" s="521"/>
      <c r="AA27" s="521"/>
      <c r="AB27" s="521"/>
      <c r="AC27" s="521"/>
      <c r="AD27" s="521"/>
      <c r="AE27" s="521"/>
      <c r="AF27" s="521"/>
      <c r="AG27" s="521"/>
      <c r="AH27" s="521"/>
      <c r="AI27" s="522"/>
      <c r="AJ27" s="521"/>
      <c r="AK27" s="521"/>
      <c r="AL27" s="521"/>
      <c r="AM27" s="521"/>
      <c r="AN27" s="521"/>
      <c r="AO27" s="521"/>
      <c r="AP27" s="521"/>
      <c r="AQ27" s="521"/>
      <c r="AR27" s="521"/>
      <c r="AS27" s="521"/>
    </row>
    <row r="28" spans="2:99" s="662" customFormat="1" ht="15.75" hidden="1" customHeight="1">
      <c r="B28" s="744"/>
      <c r="C28" s="573" t="s">
        <v>256</v>
      </c>
      <c r="D28" s="448"/>
      <c r="E28" s="646"/>
      <c r="F28" s="715"/>
      <c r="G28" s="648"/>
      <c r="H28" s="565"/>
      <c r="I28" s="685" t="str">
        <f t="shared" si="0"/>
        <v/>
      </c>
      <c r="J28" s="559"/>
      <c r="K28" s="559"/>
      <c r="L28" s="564"/>
      <c r="M28" s="531"/>
      <c r="N28" s="521"/>
      <c r="O28" s="521"/>
      <c r="P28" s="521"/>
      <c r="Q28" s="521"/>
      <c r="R28" s="521"/>
      <c r="S28" s="521"/>
      <c r="T28" s="521"/>
      <c r="U28" s="521"/>
      <c r="V28" s="521"/>
      <c r="W28" s="521"/>
      <c r="X28" s="521"/>
      <c r="Y28" s="521"/>
      <c r="Z28" s="521"/>
      <c r="AA28" s="521"/>
      <c r="AB28" s="521"/>
      <c r="AC28" s="521"/>
      <c r="AD28" s="521"/>
      <c r="AE28" s="521"/>
      <c r="AF28" s="521"/>
      <c r="AG28" s="521"/>
      <c r="AH28" s="521"/>
      <c r="AI28" s="522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</row>
    <row r="29" spans="2:99" s="662" customFormat="1" ht="23.25" hidden="1" customHeight="1">
      <c r="B29" s="748"/>
      <c r="C29" s="536" t="s">
        <v>257</v>
      </c>
      <c r="D29" s="448"/>
      <c r="E29" s="646"/>
      <c r="F29" s="715"/>
      <c r="G29" s="648"/>
      <c r="H29" s="537"/>
      <c r="I29" s="685" t="str">
        <f t="shared" si="0"/>
        <v/>
      </c>
      <c r="J29" s="571" t="s">
        <v>251</v>
      </c>
      <c r="K29" s="572"/>
      <c r="L29" s="564"/>
      <c r="M29" s="568"/>
      <c r="N29" s="521"/>
      <c r="O29" s="521"/>
      <c r="P29" s="521"/>
      <c r="Q29" s="521"/>
      <c r="R29" s="521"/>
      <c r="S29" s="521"/>
      <c r="T29" s="521"/>
      <c r="U29" s="521"/>
      <c r="V29" s="521"/>
      <c r="W29" s="521"/>
      <c r="X29" s="521"/>
      <c r="Y29" s="521"/>
      <c r="Z29" s="521"/>
      <c r="AA29" s="521"/>
      <c r="AB29" s="521"/>
      <c r="AC29" s="521"/>
      <c r="AD29" s="521"/>
      <c r="AE29" s="521"/>
      <c r="AF29" s="521"/>
      <c r="AG29" s="521"/>
      <c r="AH29" s="521"/>
      <c r="AI29" s="522"/>
      <c r="AJ29" s="521"/>
      <c r="AK29" s="521"/>
      <c r="AL29" s="521"/>
      <c r="AM29" s="521"/>
      <c r="AN29" s="521"/>
      <c r="AO29" s="521"/>
      <c r="AP29" s="521"/>
      <c r="AQ29" s="521"/>
      <c r="AR29" s="521"/>
      <c r="AS29" s="521"/>
    </row>
    <row r="30" spans="2:99" s="662" customFormat="1" ht="24.75" customHeight="1" collapsed="1">
      <c r="B30" s="744"/>
      <c r="C30" s="536" t="s">
        <v>258</v>
      </c>
      <c r="D30" s="448"/>
      <c r="E30" s="651"/>
      <c r="F30" s="714">
        <v>0.68541666666666667</v>
      </c>
      <c r="G30" s="648"/>
      <c r="H30" s="448">
        <v>7</v>
      </c>
      <c r="I30" s="685">
        <f>IF(OR(F31="",F30=""),"",IF(F31&gt;=F30,(F31-F30)*24*60,(1+F31-F30)*24*60))</f>
        <v>5.9999999999999787</v>
      </c>
      <c r="J30" s="574" t="s">
        <v>259</v>
      </c>
      <c r="K30" s="537">
        <v>222</v>
      </c>
      <c r="L30" s="569"/>
      <c r="M30" s="531"/>
      <c r="N30" s="521"/>
      <c r="O30" s="521"/>
      <c r="P30" s="521"/>
      <c r="Q30" s="521"/>
      <c r="R30" s="521"/>
      <c r="S30" s="521"/>
      <c r="T30" s="521"/>
      <c r="U30" s="521"/>
      <c r="V30" s="521"/>
      <c r="W30" s="521"/>
      <c r="X30" s="521"/>
      <c r="Y30" s="521"/>
      <c r="Z30" s="521"/>
      <c r="AA30" s="521"/>
      <c r="AB30" s="521"/>
      <c r="AC30" s="521"/>
      <c r="AD30" s="521"/>
      <c r="AE30" s="521"/>
      <c r="AF30" s="521"/>
      <c r="AG30" s="521"/>
      <c r="AH30" s="521"/>
      <c r="AI30" s="522"/>
      <c r="AJ30" s="521"/>
      <c r="AK30" s="521"/>
      <c r="AL30" s="521"/>
      <c r="AM30" s="535" t="s">
        <v>260</v>
      </c>
      <c r="AN30" s="535" t="s">
        <v>261</v>
      </c>
      <c r="AO30" s="535" t="s">
        <v>199</v>
      </c>
      <c r="AP30" s="535" t="s">
        <v>262</v>
      </c>
      <c r="AQ30" s="535" t="s">
        <v>263</v>
      </c>
      <c r="AR30" s="575" t="s">
        <v>264</v>
      </c>
      <c r="AS30" s="521"/>
    </row>
    <row r="31" spans="2:99" s="662" customFormat="1" ht="24.75" customHeight="1">
      <c r="B31" s="744"/>
      <c r="C31" s="536" t="s">
        <v>265</v>
      </c>
      <c r="D31" s="448">
        <v>7</v>
      </c>
      <c r="E31" s="651"/>
      <c r="F31" s="714">
        <v>0.68958333333333333</v>
      </c>
      <c r="G31" s="648">
        <f>IF(F42="","",F42)</f>
        <v>0.69097222222222221</v>
      </c>
      <c r="H31" s="448">
        <v>1</v>
      </c>
      <c r="I31" s="685">
        <f>IF(OR(G31="",F31=""),"",IF(G31&gt;=F31,(G31-F31)*24*60,(1+G31-F31)*24*60))</f>
        <v>1.9999999999999929</v>
      </c>
      <c r="J31" s="539"/>
      <c r="K31" s="539"/>
      <c r="L31" s="641"/>
      <c r="M31" s="554"/>
      <c r="N31" s="521"/>
      <c r="O31" s="521"/>
      <c r="P31" s="521"/>
      <c r="Q31" s="521"/>
      <c r="R31" s="521"/>
      <c r="S31" s="521"/>
      <c r="T31" s="521"/>
      <c r="U31" s="521"/>
      <c r="V31" s="521"/>
      <c r="W31" s="521"/>
      <c r="X31" s="521"/>
      <c r="Y31" s="521"/>
      <c r="Z31" s="521"/>
      <c r="AA31" s="521"/>
      <c r="AB31" s="521"/>
      <c r="AC31" s="521"/>
      <c r="AD31" s="521"/>
      <c r="AE31" s="521"/>
      <c r="AF31" s="521"/>
      <c r="AG31" s="521"/>
      <c r="AH31" s="521"/>
      <c r="AI31" s="522"/>
      <c r="AJ31" s="521"/>
      <c r="AK31" s="521"/>
      <c r="AL31" s="521"/>
      <c r="AM31" s="535"/>
      <c r="AN31" s="535">
        <v>80</v>
      </c>
      <c r="AO31" s="535">
        <v>30</v>
      </c>
      <c r="AP31" s="535">
        <v>60</v>
      </c>
      <c r="AQ31" s="535">
        <v>180</v>
      </c>
      <c r="AR31" s="575">
        <f>AQ31*AO32</f>
        <v>72</v>
      </c>
      <c r="AS31" s="521"/>
    </row>
    <row r="32" spans="2:99" s="662" customFormat="1" ht="24.75" customHeight="1">
      <c r="B32" s="744"/>
      <c r="C32" s="536" t="s">
        <v>266</v>
      </c>
      <c r="D32" s="448">
        <v>2</v>
      </c>
      <c r="E32" s="651"/>
      <c r="F32" s="651"/>
      <c r="G32" s="651"/>
      <c r="H32" s="448">
        <v>0</v>
      </c>
      <c r="I32" s="448"/>
      <c r="J32" s="539"/>
      <c r="K32" s="539"/>
      <c r="L32" s="641"/>
      <c r="M32" s="554"/>
      <c r="N32" s="521"/>
      <c r="O32" s="521"/>
      <c r="P32" s="521"/>
      <c r="Q32" s="521"/>
      <c r="R32" s="521"/>
      <c r="S32" s="521"/>
      <c r="T32" s="521"/>
      <c r="U32" s="521"/>
      <c r="V32" s="521"/>
      <c r="W32" s="521"/>
      <c r="X32" s="521"/>
      <c r="Y32" s="521"/>
      <c r="Z32" s="521"/>
      <c r="AA32" s="521"/>
      <c r="AB32" s="521"/>
      <c r="AC32" s="521"/>
      <c r="AD32" s="521"/>
      <c r="AE32" s="521"/>
      <c r="AF32" s="521"/>
      <c r="AG32" s="521"/>
      <c r="AH32" s="521"/>
      <c r="AI32" s="522"/>
      <c r="AJ32" s="521"/>
      <c r="AK32" s="521"/>
      <c r="AL32" s="521"/>
      <c r="AM32" s="535"/>
      <c r="AN32" s="535">
        <v>0.6</v>
      </c>
      <c r="AO32" s="535">
        <f>1-AN32</f>
        <v>0.4</v>
      </c>
      <c r="AP32" s="576">
        <f>AN31*AN32+AO31*AO32</f>
        <v>60</v>
      </c>
      <c r="AQ32" s="535"/>
      <c r="AR32" s="535"/>
      <c r="AS32" s="521"/>
    </row>
    <row r="33" spans="2:45" s="662" customFormat="1" ht="22.5" customHeight="1" thickBot="1">
      <c r="B33" s="745"/>
      <c r="C33" s="779" t="s">
        <v>267</v>
      </c>
      <c r="D33" s="882"/>
      <c r="E33" s="882"/>
      <c r="F33" s="882"/>
      <c r="G33" s="882"/>
      <c r="H33" s="882">
        <f>SUM(H12:H32)</f>
        <v>56.066666666666663</v>
      </c>
      <c r="I33" s="882">
        <f>IF(OR(G31="",F13=""),"",IF(G31&gt;=F13,(G31-F13)*24*60,(G31+1-F13)*24*60))</f>
        <v>53.999999999999972</v>
      </c>
      <c r="J33" s="543"/>
      <c r="K33" s="543"/>
      <c r="L33" s="643"/>
      <c r="M33" s="580"/>
      <c r="N33" s="521"/>
      <c r="O33" s="521"/>
      <c r="P33" s="521"/>
      <c r="Q33" s="521"/>
      <c r="R33" s="521"/>
      <c r="S33" s="521"/>
      <c r="T33" s="521"/>
      <c r="U33" s="521"/>
      <c r="V33" s="521"/>
      <c r="W33" s="521"/>
      <c r="X33" s="521"/>
      <c r="Y33" s="521"/>
      <c r="Z33" s="521"/>
      <c r="AA33" s="521"/>
      <c r="AB33" s="521"/>
      <c r="AC33" s="521"/>
      <c r="AD33" s="521"/>
      <c r="AE33" s="521"/>
      <c r="AF33" s="521"/>
      <c r="AG33" s="521"/>
      <c r="AH33" s="521"/>
      <c r="AI33" s="522"/>
      <c r="AJ33" s="521"/>
      <c r="AK33" s="521"/>
      <c r="AL33" s="521"/>
      <c r="AM33" s="521"/>
      <c r="AN33" s="521"/>
      <c r="AO33" s="521"/>
      <c r="AP33" s="521"/>
      <c r="AQ33" s="521"/>
      <c r="AR33" s="521"/>
      <c r="AS33" s="521"/>
    </row>
    <row r="34" spans="2:45" s="662" customFormat="1" ht="15" customHeight="1" thickBot="1">
      <c r="B34" s="770"/>
      <c r="C34" s="941" t="s">
        <v>268</v>
      </c>
      <c r="D34" s="942"/>
      <c r="E34" s="942"/>
      <c r="F34" s="942"/>
      <c r="G34" s="942"/>
      <c r="H34" s="942"/>
      <c r="I34" s="942"/>
      <c r="J34" s="942"/>
      <c r="K34" s="942"/>
      <c r="L34" s="943"/>
      <c r="M34" s="582"/>
      <c r="N34" s="521"/>
      <c r="O34" s="521"/>
      <c r="P34" s="521"/>
      <c r="Q34" s="521"/>
      <c r="R34" s="521"/>
      <c r="S34" s="521"/>
      <c r="T34" s="521"/>
      <c r="U34" s="521"/>
      <c r="V34" s="521"/>
      <c r="W34" s="521"/>
      <c r="X34" s="521"/>
      <c r="Y34" s="521"/>
      <c r="Z34" s="521"/>
      <c r="AA34" s="521"/>
      <c r="AB34" s="521"/>
      <c r="AC34" s="521"/>
      <c r="AD34" s="521"/>
      <c r="AE34" s="521"/>
      <c r="AF34" s="521"/>
      <c r="AG34" s="521"/>
      <c r="AH34" s="521"/>
      <c r="AI34" s="522"/>
      <c r="AJ34" s="521"/>
      <c r="AK34" s="521"/>
      <c r="AL34" s="521"/>
      <c r="AM34" s="521"/>
      <c r="AN34" s="521"/>
      <c r="AO34" s="521"/>
      <c r="AP34" s="521"/>
      <c r="AQ34" s="521"/>
      <c r="AR34" s="521"/>
      <c r="AS34" s="521"/>
    </row>
    <row r="35" spans="2:45" s="662" customFormat="1" ht="24.75" customHeight="1">
      <c r="B35" s="745"/>
      <c r="C35" s="594" t="s">
        <v>269</v>
      </c>
      <c r="D35" s="882">
        <v>10</v>
      </c>
      <c r="E35" s="647"/>
      <c r="F35" s="775"/>
      <c r="G35" s="775"/>
      <c r="H35" s="882">
        <v>2</v>
      </c>
      <c r="I35" s="882"/>
      <c r="J35" s="790" t="s">
        <v>178</v>
      </c>
      <c r="K35" s="791">
        <v>225</v>
      </c>
      <c r="L35" s="713">
        <v>225</v>
      </c>
      <c r="M35" s="584"/>
      <c r="N35" s="521"/>
      <c r="O35" s="521"/>
      <c r="P35" s="521"/>
      <c r="Q35" s="521"/>
      <c r="R35" s="521"/>
      <c r="S35" s="521"/>
      <c r="T35" s="964" t="s">
        <v>270</v>
      </c>
      <c r="U35" s="964"/>
      <c r="V35" s="521" t="e">
        <f>(D8-K15)/H36*1.2</f>
        <v>#VALUE!</v>
      </c>
      <c r="W35" s="521"/>
      <c r="X35" s="521"/>
      <c r="Y35" s="521"/>
      <c r="Z35" s="521"/>
      <c r="AA35" s="521"/>
      <c r="AB35" s="521"/>
      <c r="AC35" s="521"/>
      <c r="AD35" s="521"/>
      <c r="AE35" s="521"/>
      <c r="AF35" s="521"/>
      <c r="AG35" s="521"/>
      <c r="AH35" s="521"/>
      <c r="AI35" s="522"/>
      <c r="AJ35" s="521"/>
      <c r="AK35" s="521"/>
      <c r="AL35" s="521"/>
      <c r="AM35" s="535" t="s">
        <v>271</v>
      </c>
      <c r="AN35" s="535" t="s">
        <v>261</v>
      </c>
      <c r="AO35" s="535" t="s">
        <v>199</v>
      </c>
      <c r="AP35" s="535" t="s">
        <v>272</v>
      </c>
      <c r="AQ35" s="535" t="s">
        <v>273</v>
      </c>
      <c r="AR35" s="575" t="s">
        <v>264</v>
      </c>
      <c r="AS35" s="521"/>
    </row>
    <row r="36" spans="2:45" s="663" customFormat="1" ht="24" customHeight="1">
      <c r="B36" s="744"/>
      <c r="C36" s="536" t="s">
        <v>274</v>
      </c>
      <c r="D36" s="448">
        <v>80</v>
      </c>
      <c r="E36" s="646">
        <v>80</v>
      </c>
      <c r="F36" s="648">
        <f>IF(F19="","",F19)</f>
        <v>0.66527777777777775</v>
      </c>
      <c r="G36" s="648"/>
      <c r="H36" s="448">
        <f>D36/K35*60</f>
        <v>21.333333333333336</v>
      </c>
      <c r="I36" s="685">
        <f>IF(OR(F37="",F36=""),"",IF(F37&gt;=F36,(F37-F36)*24*60,(1+F37-F36)*24*60))</f>
        <v>21.000000000000085</v>
      </c>
      <c r="J36" s="585" t="s">
        <v>275</v>
      </c>
      <c r="K36" s="583">
        <v>43.8</v>
      </c>
      <c r="L36" s="561">
        <f ca="1">43.8+RANDBETWEEN(-2,2)/10</f>
        <v>43.9</v>
      </c>
      <c r="M36" s="586"/>
      <c r="N36" s="523"/>
      <c r="O36" s="523"/>
      <c r="P36" s="523"/>
      <c r="Q36" s="523"/>
      <c r="R36" s="523"/>
      <c r="S36" s="523"/>
      <c r="T36" s="555" t="s">
        <v>184</v>
      </c>
      <c r="U36" s="523"/>
      <c r="V36" s="587" t="e">
        <f>(K8)/(D8-K15)*100</f>
        <v>#VALUE!</v>
      </c>
      <c r="W36" s="523"/>
      <c r="X36" s="523"/>
      <c r="Y36" s="523"/>
      <c r="Z36" s="523"/>
      <c r="AA36" s="523"/>
      <c r="AB36" s="523"/>
      <c r="AC36" s="523"/>
      <c r="AD36" s="523"/>
      <c r="AE36" s="523"/>
      <c r="AF36" s="523"/>
      <c r="AG36" s="523"/>
      <c r="AH36" s="523"/>
      <c r="AI36" s="524"/>
      <c r="AJ36" s="523"/>
      <c r="AK36" s="523"/>
      <c r="AL36" s="523"/>
      <c r="AM36" s="588"/>
      <c r="AN36" s="535">
        <v>80</v>
      </c>
      <c r="AO36" s="535">
        <v>30</v>
      </c>
      <c r="AP36" s="535">
        <v>41</v>
      </c>
      <c r="AQ36" s="535">
        <v>240</v>
      </c>
      <c r="AR36" s="575">
        <f>AQ36*AO37</f>
        <v>187.20000000000002</v>
      </c>
      <c r="AS36" s="523"/>
    </row>
    <row r="37" spans="2:45" s="663" customFormat="1" ht="24" customHeight="1">
      <c r="B37" s="744"/>
      <c r="C37" s="536" t="s">
        <v>276</v>
      </c>
      <c r="D37" s="448">
        <v>14</v>
      </c>
      <c r="E37" s="646">
        <v>14</v>
      </c>
      <c r="F37" s="714">
        <v>0.67986111111111114</v>
      </c>
      <c r="G37" s="648"/>
      <c r="H37" s="448">
        <f>D37/280*60</f>
        <v>3</v>
      </c>
      <c r="I37" s="685">
        <f>IF(OR(F40="",F37=""),"",IF(F40&gt;=F37,(F40-F37)*24*60,(1+F40-F37)*24*60))</f>
        <v>2.9999999999999893</v>
      </c>
      <c r="J37" s="552" t="s">
        <v>187</v>
      </c>
      <c r="K37" s="583">
        <v>46.5</v>
      </c>
      <c r="L37" s="561">
        <f ca="1">46.7+RANDBETWEEN(-1,3)/10</f>
        <v>47</v>
      </c>
      <c r="M37" s="586"/>
      <c r="N37" s="523"/>
      <c r="O37" s="523"/>
      <c r="P37" s="523"/>
      <c r="Q37" s="523"/>
      <c r="R37" s="523"/>
      <c r="S37" s="523"/>
      <c r="T37" s="555"/>
      <c r="U37" s="523"/>
      <c r="V37" s="587"/>
      <c r="W37" s="523"/>
      <c r="X37" s="523"/>
      <c r="Y37" s="523"/>
      <c r="Z37" s="523"/>
      <c r="AA37" s="523"/>
      <c r="AB37" s="523"/>
      <c r="AC37" s="523"/>
      <c r="AD37" s="523"/>
      <c r="AE37" s="523"/>
      <c r="AF37" s="523"/>
      <c r="AG37" s="523"/>
      <c r="AH37" s="523"/>
      <c r="AI37" s="524"/>
      <c r="AJ37" s="523"/>
      <c r="AK37" s="523"/>
      <c r="AL37" s="523"/>
      <c r="AM37" s="588"/>
      <c r="AN37" s="535">
        <v>0.22</v>
      </c>
      <c r="AO37" s="535">
        <f>1-AN37</f>
        <v>0.78</v>
      </c>
      <c r="AP37" s="576">
        <f>AN36*AN37+AO36*AO37</f>
        <v>41</v>
      </c>
      <c r="AQ37" s="535"/>
      <c r="AR37" s="535"/>
      <c r="AS37" s="523"/>
    </row>
    <row r="38" spans="2:45" s="662" customFormat="1" ht="24" customHeight="1">
      <c r="B38" s="744"/>
      <c r="C38" s="536" t="s">
        <v>193</v>
      </c>
      <c r="D38" s="557">
        <v>4</v>
      </c>
      <c r="E38" s="646"/>
      <c r="F38" s="648"/>
      <c r="G38" s="648"/>
      <c r="H38" s="448"/>
      <c r="I38" s="448"/>
      <c r="J38" s="585"/>
      <c r="K38" s="557"/>
      <c r="L38" s="589"/>
      <c r="M38" s="590"/>
      <c r="N38" s="521"/>
      <c r="O38" s="521"/>
      <c r="P38" s="521"/>
      <c r="Q38" s="521"/>
      <c r="R38" s="521"/>
      <c r="S38" s="521"/>
      <c r="T38" s="521"/>
      <c r="U38" s="521"/>
      <c r="V38" s="521"/>
      <c r="W38" s="521"/>
      <c r="X38" s="521"/>
      <c r="Y38" s="521"/>
      <c r="Z38" s="521"/>
      <c r="AA38" s="521"/>
      <c r="AB38" s="521"/>
      <c r="AC38" s="521"/>
      <c r="AD38" s="521"/>
      <c r="AE38" s="521"/>
      <c r="AF38" s="521"/>
      <c r="AG38" s="521"/>
      <c r="AH38" s="521"/>
      <c r="AI38" s="522"/>
      <c r="AJ38" s="521"/>
      <c r="AK38" s="521"/>
      <c r="AL38" s="521"/>
      <c r="AM38" s="521"/>
      <c r="AN38" s="521"/>
      <c r="AO38" s="521"/>
      <c r="AP38" s="521"/>
      <c r="AQ38" s="521"/>
      <c r="AR38" s="521"/>
      <c r="AS38" s="521"/>
    </row>
    <row r="39" spans="2:45" s="662" customFormat="1" ht="20.25" customHeight="1">
      <c r="B39" s="747"/>
      <c r="C39" s="536" t="s">
        <v>277</v>
      </c>
      <c r="D39" s="557"/>
      <c r="E39" s="651"/>
      <c r="F39" s="715">
        <v>0.68194444444444446</v>
      </c>
      <c r="G39" s="648"/>
      <c r="H39" s="448"/>
      <c r="I39" s="448"/>
      <c r="J39" s="563"/>
      <c r="K39" s="557"/>
      <c r="L39" s="540"/>
      <c r="M39" s="586"/>
      <c r="N39" s="521"/>
      <c r="O39" s="521"/>
      <c r="P39" s="521"/>
      <c r="Q39" s="521"/>
      <c r="R39" s="521"/>
      <c r="S39" s="521"/>
      <c r="T39" s="521"/>
      <c r="U39" s="521"/>
      <c r="V39" s="521"/>
      <c r="W39" s="521"/>
      <c r="X39" s="521"/>
      <c r="Y39" s="521"/>
      <c r="Z39" s="521"/>
      <c r="AA39" s="521"/>
      <c r="AB39" s="521"/>
      <c r="AC39" s="521"/>
      <c r="AD39" s="521"/>
      <c r="AE39" s="521"/>
      <c r="AF39" s="521"/>
      <c r="AG39" s="521"/>
      <c r="AH39" s="521"/>
      <c r="AI39" s="522"/>
      <c r="AJ39" s="521"/>
      <c r="AK39" s="521"/>
      <c r="AL39" s="521"/>
      <c r="AM39" s="521"/>
      <c r="AN39" s="521"/>
      <c r="AO39" s="521"/>
      <c r="AP39" s="521"/>
      <c r="AQ39" s="521"/>
      <c r="AR39" s="521"/>
      <c r="AS39" s="521"/>
    </row>
    <row r="40" spans="2:45" s="662" customFormat="1" ht="24" customHeight="1">
      <c r="B40" s="747"/>
      <c r="C40" s="563" t="s">
        <v>278</v>
      </c>
      <c r="D40" s="557"/>
      <c r="E40" s="652">
        <v>46.4</v>
      </c>
      <c r="F40" s="714">
        <v>0.68194444444444446</v>
      </c>
      <c r="G40" s="648">
        <f>IF(ISBLANK(F40),"",F40+TIME(0,H40,0))</f>
        <v>0.68541666666666667</v>
      </c>
      <c r="H40" s="479">
        <v>5</v>
      </c>
      <c r="I40" s="685">
        <f t="shared" ref="I40:I48" si="1">IF(OR(F41="",F40=""),"",IF(F41&gt;=F40,(F41-F40)*24*60,(1+F41-F40)*24*60))</f>
        <v>4.9999999999999822</v>
      </c>
      <c r="J40" s="566"/>
      <c r="K40" s="557"/>
      <c r="L40" s="540"/>
      <c r="M40" s="586"/>
      <c r="N40" s="521"/>
      <c r="O40" s="521"/>
      <c r="P40" s="521"/>
      <c r="Q40" s="521"/>
      <c r="R40" s="521"/>
      <c r="S40" s="521"/>
      <c r="T40" s="521"/>
      <c r="U40" s="521"/>
      <c r="V40" s="521"/>
      <c r="W40" s="521"/>
      <c r="X40" s="521"/>
      <c r="Y40" s="521"/>
      <c r="Z40" s="521"/>
      <c r="AA40" s="521"/>
      <c r="AB40" s="521"/>
      <c r="AC40" s="521"/>
      <c r="AD40" s="521"/>
      <c r="AE40" s="521"/>
      <c r="AF40" s="521"/>
      <c r="AG40" s="521"/>
      <c r="AH40" s="521"/>
      <c r="AI40" s="522"/>
      <c r="AJ40" s="521"/>
      <c r="AK40" s="521"/>
      <c r="AL40" s="521"/>
      <c r="AM40" s="535" t="s">
        <v>279</v>
      </c>
      <c r="AN40" s="535" t="s">
        <v>261</v>
      </c>
      <c r="AO40" s="535" t="s">
        <v>199</v>
      </c>
      <c r="AP40" s="535" t="s">
        <v>280</v>
      </c>
      <c r="AQ40" s="535" t="s">
        <v>263</v>
      </c>
      <c r="AR40" s="575" t="s">
        <v>264</v>
      </c>
      <c r="AS40" s="521"/>
    </row>
    <row r="41" spans="2:45" s="662" customFormat="1" ht="24" customHeight="1">
      <c r="B41" s="744"/>
      <c r="C41" s="536" t="s">
        <v>281</v>
      </c>
      <c r="D41" s="557"/>
      <c r="E41" s="653"/>
      <c r="F41" s="680">
        <f>IF(F30="","",F30)</f>
        <v>0.68541666666666667</v>
      </c>
      <c r="G41" s="648"/>
      <c r="H41" s="448">
        <f>SUM(H30,H31)</f>
        <v>8</v>
      </c>
      <c r="I41" s="685">
        <f t="shared" si="1"/>
        <v>7.9999999999999716</v>
      </c>
      <c r="J41" s="574" t="s">
        <v>282</v>
      </c>
      <c r="K41" s="681">
        <v>65.3</v>
      </c>
      <c r="L41" s="558"/>
      <c r="M41" s="586"/>
      <c r="N41" s="521"/>
      <c r="O41" s="521"/>
      <c r="P41" s="521"/>
      <c r="Q41" s="521"/>
      <c r="R41" s="521"/>
      <c r="S41" s="521"/>
      <c r="T41" s="521"/>
      <c r="U41" s="521"/>
      <c r="V41" s="521"/>
      <c r="W41" s="521"/>
      <c r="X41" s="521"/>
      <c r="Y41" s="521"/>
      <c r="Z41" s="521"/>
      <c r="AA41" s="521"/>
      <c r="AB41" s="521"/>
      <c r="AC41" s="521"/>
      <c r="AD41" s="521"/>
      <c r="AE41" s="521"/>
      <c r="AF41" s="521"/>
      <c r="AG41" s="521"/>
      <c r="AH41" s="521"/>
      <c r="AI41" s="522"/>
      <c r="AJ41" s="521"/>
      <c r="AK41" s="521"/>
      <c r="AL41" s="521"/>
      <c r="AM41" s="588"/>
      <c r="AN41" s="535">
        <v>80</v>
      </c>
      <c r="AO41" s="535">
        <v>30</v>
      </c>
      <c r="AP41" s="535">
        <v>80</v>
      </c>
      <c r="AQ41" s="535">
        <v>220</v>
      </c>
      <c r="AR41" s="575">
        <f>AQ41*AO42</f>
        <v>0</v>
      </c>
      <c r="AS41" s="521"/>
    </row>
    <row r="42" spans="2:45" s="662" customFormat="1" ht="24" customHeight="1">
      <c r="B42" s="744"/>
      <c r="C42" s="536" t="s">
        <v>283</v>
      </c>
      <c r="D42" s="448"/>
      <c r="E42" s="651"/>
      <c r="F42" s="714">
        <v>0.69097222222222221</v>
      </c>
      <c r="G42" s="648"/>
      <c r="H42" s="448">
        <v>0</v>
      </c>
      <c r="I42" s="685">
        <f t="shared" si="1"/>
        <v>0</v>
      </c>
      <c r="J42" s="539" t="s">
        <v>259</v>
      </c>
      <c r="K42" s="591">
        <v>0</v>
      </c>
      <c r="L42" s="558"/>
      <c r="M42" s="586"/>
      <c r="N42" s="521"/>
      <c r="O42" s="521"/>
      <c r="P42" s="521"/>
      <c r="Q42" s="521"/>
      <c r="R42" s="521"/>
      <c r="S42" s="521"/>
      <c r="T42" s="555" t="s">
        <v>184</v>
      </c>
      <c r="U42" s="521"/>
      <c r="V42" s="556" t="e">
        <f>(K8+K9+D15)/(D8+D9)*100</f>
        <v>#VALUE!</v>
      </c>
      <c r="W42" s="521"/>
      <c r="X42" s="549" t="s">
        <v>284</v>
      </c>
      <c r="Y42" s="550" t="e">
        <f>D8+D9+(K8+K9+D15+D31)*100</f>
        <v>#VALUE!</v>
      </c>
      <c r="Z42" s="521"/>
      <c r="AA42" s="521"/>
      <c r="AB42" s="521"/>
      <c r="AC42" s="521"/>
      <c r="AD42" s="521"/>
      <c r="AE42" s="521"/>
      <c r="AF42" s="521"/>
      <c r="AG42" s="521"/>
      <c r="AH42" s="521"/>
      <c r="AI42" s="522"/>
      <c r="AJ42" s="521"/>
      <c r="AK42" s="521"/>
      <c r="AL42" s="521"/>
      <c r="AM42" s="588"/>
      <c r="AN42" s="535">
        <v>1</v>
      </c>
      <c r="AO42" s="535">
        <f>1-AN42</f>
        <v>0</v>
      </c>
      <c r="AP42" s="576">
        <f>AN41*AN42+AO41*AO42</f>
        <v>80</v>
      </c>
      <c r="AQ42" s="535"/>
      <c r="AR42" s="535"/>
      <c r="AS42" s="521"/>
    </row>
    <row r="43" spans="2:45" s="662" customFormat="1" ht="25.5" customHeight="1">
      <c r="B43" s="744"/>
      <c r="C43" s="566" t="s">
        <v>285</v>
      </c>
      <c r="D43" s="562">
        <v>65.5</v>
      </c>
      <c r="E43" s="652">
        <v>65.7</v>
      </c>
      <c r="F43" s="714">
        <v>0.69097222222222221</v>
      </c>
      <c r="G43" s="648">
        <f>IF(ISBLANK(F43),"",F43+TIME(0,H43,0))</f>
        <v>0.72569444444444442</v>
      </c>
      <c r="H43" s="479">
        <v>50</v>
      </c>
      <c r="I43" s="685">
        <f t="shared" si="1"/>
        <v>49.999999999999986</v>
      </c>
      <c r="J43" s="539" t="s">
        <v>286</v>
      </c>
      <c r="K43" s="583" t="s">
        <v>287</v>
      </c>
      <c r="L43" s="708"/>
      <c r="M43" s="567"/>
      <c r="N43" s="521"/>
      <c r="O43" s="521"/>
      <c r="P43" s="521"/>
      <c r="Q43" s="521"/>
      <c r="R43" s="521"/>
      <c r="S43" s="521"/>
      <c r="T43" s="521"/>
      <c r="U43" s="521"/>
      <c r="V43" s="521"/>
      <c r="W43" s="521"/>
      <c r="X43" s="521"/>
      <c r="Y43" s="521"/>
      <c r="Z43" s="521"/>
      <c r="AA43" s="521"/>
      <c r="AB43" s="521"/>
      <c r="AC43" s="521"/>
      <c r="AD43" s="521"/>
      <c r="AE43" s="521"/>
      <c r="AF43" s="521"/>
      <c r="AG43" s="521"/>
      <c r="AH43" s="521"/>
      <c r="AI43" s="522"/>
      <c r="AJ43" s="521"/>
      <c r="AK43" s="521"/>
      <c r="AL43" s="521"/>
      <c r="AM43" s="521"/>
      <c r="AN43" s="521"/>
      <c r="AO43" s="521"/>
      <c r="AP43" s="521"/>
      <c r="AQ43" s="521"/>
      <c r="AR43" s="521"/>
      <c r="AS43" s="521"/>
    </row>
    <row r="44" spans="2:45" s="662" customFormat="1" ht="25.5" customHeight="1">
      <c r="B44" s="747"/>
      <c r="C44" s="536" t="s">
        <v>288</v>
      </c>
      <c r="D44" s="448"/>
      <c r="E44" s="651"/>
      <c r="F44" s="680">
        <f>G43</f>
        <v>0.72569444444444442</v>
      </c>
      <c r="G44" s="648"/>
      <c r="H44" s="448">
        <v>7</v>
      </c>
      <c r="I44" s="685">
        <f t="shared" si="1"/>
        <v>8.999999999999968</v>
      </c>
      <c r="J44" s="566" t="s">
        <v>289</v>
      </c>
      <c r="K44" s="553" t="s">
        <v>290</v>
      </c>
      <c r="L44" s="708"/>
      <c r="M44" s="531"/>
      <c r="N44" s="521"/>
      <c r="O44" s="521"/>
      <c r="P44" s="521"/>
      <c r="Q44" s="521"/>
      <c r="R44" s="521"/>
      <c r="S44" s="521"/>
      <c r="T44" s="521"/>
      <c r="U44" s="521"/>
      <c r="V44" s="521"/>
      <c r="W44" s="521"/>
      <c r="X44" s="521"/>
      <c r="Y44" s="521"/>
      <c r="Z44" s="521"/>
      <c r="AA44" s="521"/>
      <c r="AB44" s="521"/>
      <c r="AC44" s="521"/>
      <c r="AD44" s="521"/>
      <c r="AE44" s="521"/>
      <c r="AF44" s="521"/>
      <c r="AG44" s="521"/>
      <c r="AH44" s="521"/>
      <c r="AI44" s="522"/>
      <c r="AJ44" s="521"/>
      <c r="AK44" s="521"/>
      <c r="AL44" s="521"/>
      <c r="AM44" s="535" t="s">
        <v>291</v>
      </c>
      <c r="AN44" s="535" t="s">
        <v>261</v>
      </c>
      <c r="AO44" s="535" t="s">
        <v>199</v>
      </c>
      <c r="AP44" s="535" t="s">
        <v>272</v>
      </c>
      <c r="AQ44" s="535" t="s">
        <v>263</v>
      </c>
      <c r="AR44" s="575" t="s">
        <v>264</v>
      </c>
      <c r="AS44" s="521"/>
    </row>
    <row r="45" spans="2:45" s="662" customFormat="1" ht="25.5" customHeight="1">
      <c r="B45" s="747"/>
      <c r="C45" s="566" t="s">
        <v>292</v>
      </c>
      <c r="D45" s="448"/>
      <c r="E45" s="652">
        <v>71.599999999999994</v>
      </c>
      <c r="F45" s="714">
        <v>0.7319444444444444</v>
      </c>
      <c r="G45" s="648">
        <f>IF(ISBLANK(F45),"",F45+TIME(0,H45,0))</f>
        <v>0.73888888888888882</v>
      </c>
      <c r="H45" s="479">
        <v>10</v>
      </c>
      <c r="I45" s="685">
        <f t="shared" si="1"/>
        <v>9.9999999999999645</v>
      </c>
      <c r="J45" s="566"/>
      <c r="K45" s="553"/>
      <c r="L45" s="708"/>
      <c r="M45" s="531"/>
      <c r="N45" s="521"/>
      <c r="O45" s="521"/>
      <c r="P45" s="521"/>
      <c r="Q45" s="521"/>
      <c r="R45" s="521"/>
      <c r="S45" s="521"/>
      <c r="T45" s="521"/>
      <c r="U45" s="521"/>
      <c r="V45" s="521"/>
      <c r="W45" s="521"/>
      <c r="X45" s="521"/>
      <c r="Y45" s="521"/>
      <c r="Z45" s="521"/>
      <c r="AA45" s="521"/>
      <c r="AB45" s="521"/>
      <c r="AC45" s="521"/>
      <c r="AD45" s="521"/>
      <c r="AE45" s="521"/>
      <c r="AF45" s="521"/>
      <c r="AG45" s="521"/>
      <c r="AH45" s="521"/>
      <c r="AI45" s="522"/>
      <c r="AJ45" s="521"/>
      <c r="AK45" s="521"/>
      <c r="AL45" s="521"/>
      <c r="AM45" s="535"/>
      <c r="AN45" s="535"/>
      <c r="AO45" s="535"/>
      <c r="AP45" s="535"/>
      <c r="AQ45" s="535"/>
      <c r="AR45" s="575"/>
      <c r="AS45" s="521"/>
    </row>
    <row r="46" spans="2:45" s="662" customFormat="1" ht="25.5" customHeight="1">
      <c r="B46" s="747"/>
      <c r="C46" s="536" t="s">
        <v>293</v>
      </c>
      <c r="D46" s="448"/>
      <c r="E46" s="651"/>
      <c r="F46" s="680">
        <f>G45</f>
        <v>0.73888888888888882</v>
      </c>
      <c r="G46" s="648"/>
      <c r="H46" s="448">
        <v>5</v>
      </c>
      <c r="I46" s="685">
        <f t="shared" si="1"/>
        <v>4.0000000000001457</v>
      </c>
      <c r="J46" s="566"/>
      <c r="K46" s="553"/>
      <c r="L46" s="708"/>
      <c r="M46" s="531"/>
      <c r="N46" s="521"/>
      <c r="O46" s="521"/>
      <c r="P46" s="521"/>
      <c r="Q46" s="521"/>
      <c r="R46" s="521"/>
      <c r="S46" s="521"/>
      <c r="T46" s="521"/>
      <c r="U46" s="521"/>
      <c r="V46" s="521"/>
      <c r="W46" s="521"/>
      <c r="X46" s="521"/>
      <c r="Y46" s="521"/>
      <c r="Z46" s="521"/>
      <c r="AA46" s="521"/>
      <c r="AB46" s="521"/>
      <c r="AC46" s="521"/>
      <c r="AD46" s="521"/>
      <c r="AE46" s="521"/>
      <c r="AF46" s="521"/>
      <c r="AG46" s="521"/>
      <c r="AH46" s="521"/>
      <c r="AI46" s="522"/>
      <c r="AJ46" s="521"/>
      <c r="AK46" s="521"/>
      <c r="AL46" s="521"/>
      <c r="AM46" s="535"/>
      <c r="AN46" s="535"/>
      <c r="AO46" s="535"/>
      <c r="AP46" s="535"/>
      <c r="AQ46" s="535"/>
      <c r="AR46" s="575"/>
      <c r="AS46" s="521"/>
    </row>
    <row r="47" spans="2:45" s="662" customFormat="1" ht="24" customHeight="1">
      <c r="B47" s="744"/>
      <c r="C47" s="536" t="s">
        <v>294</v>
      </c>
      <c r="D47" s="448"/>
      <c r="E47" s="652">
        <v>75.7</v>
      </c>
      <c r="F47" s="714">
        <v>0.7416666666666667</v>
      </c>
      <c r="G47" s="648"/>
      <c r="H47" s="448">
        <v>0</v>
      </c>
      <c r="I47" s="685">
        <f t="shared" si="1"/>
        <v>0</v>
      </c>
      <c r="J47" s="539" t="s">
        <v>245</v>
      </c>
      <c r="K47" s="583" t="s">
        <v>246</v>
      </c>
      <c r="L47" s="642"/>
      <c r="M47" s="568"/>
      <c r="N47" s="521"/>
      <c r="O47" s="521"/>
      <c r="P47" s="521"/>
      <c r="Q47" s="521"/>
      <c r="R47" s="521"/>
      <c r="S47" s="521"/>
      <c r="T47" s="521"/>
      <c r="U47" s="521"/>
      <c r="V47" s="521"/>
      <c r="W47" s="521"/>
      <c r="X47" s="521"/>
      <c r="Y47" s="521"/>
      <c r="Z47" s="521"/>
      <c r="AA47" s="521"/>
      <c r="AB47" s="521"/>
      <c r="AC47" s="521"/>
      <c r="AD47" s="521"/>
      <c r="AE47" s="521"/>
      <c r="AF47" s="521"/>
      <c r="AG47" s="521"/>
      <c r="AH47" s="521"/>
      <c r="AI47" s="522"/>
      <c r="AJ47" s="521"/>
      <c r="AK47" s="521"/>
      <c r="AL47" s="521"/>
      <c r="AM47" s="588"/>
      <c r="AN47" s="535">
        <v>0.88</v>
      </c>
      <c r="AO47" s="535">
        <f>1-AN47</f>
        <v>0.12</v>
      </c>
      <c r="AP47" s="576" t="e">
        <f>#REF!*AN47+#REF!*AO47</f>
        <v>#REF!</v>
      </c>
      <c r="AQ47" s="535"/>
      <c r="AR47" s="535"/>
      <c r="AS47" s="521"/>
    </row>
    <row r="48" spans="2:45" s="663" customFormat="1" ht="22.5" customHeight="1">
      <c r="B48" s="746"/>
      <c r="C48" s="573" t="s">
        <v>295</v>
      </c>
      <c r="D48" s="479"/>
      <c r="E48" s="651"/>
      <c r="F48" s="714">
        <v>0.7416666666666667</v>
      </c>
      <c r="G48" s="648"/>
      <c r="H48" s="479">
        <v>8</v>
      </c>
      <c r="I48" s="685">
        <f t="shared" si="1"/>
        <v>6.9999999999999751</v>
      </c>
      <c r="J48" s="539" t="s">
        <v>259</v>
      </c>
      <c r="K48" s="591">
        <v>233</v>
      </c>
      <c r="L48" s="592"/>
      <c r="M48" s="593"/>
      <c r="N48" s="523"/>
      <c r="O48" s="523"/>
      <c r="P48" s="523"/>
      <c r="Q48" s="523"/>
      <c r="R48" s="523"/>
      <c r="S48" s="523"/>
      <c r="T48" s="523"/>
      <c r="U48" s="523"/>
      <c r="V48" s="523"/>
      <c r="W48" s="523"/>
      <c r="X48" s="523"/>
      <c r="Y48" s="523"/>
      <c r="Z48" s="523"/>
      <c r="AA48" s="523"/>
      <c r="AB48" s="523"/>
      <c r="AC48" s="523"/>
      <c r="AD48" s="523"/>
      <c r="AE48" s="523"/>
      <c r="AF48" s="523"/>
      <c r="AG48" s="523"/>
      <c r="AH48" s="523"/>
      <c r="AI48" s="524"/>
      <c r="AJ48" s="523"/>
      <c r="AK48" s="523"/>
      <c r="AL48" s="523"/>
      <c r="AM48" s="523"/>
      <c r="AN48" s="523"/>
      <c r="AO48" s="523"/>
      <c r="AP48" s="523"/>
      <c r="AQ48" s="523"/>
      <c r="AR48" s="523"/>
      <c r="AS48" s="523" t="s">
        <v>296</v>
      </c>
    </row>
    <row r="49" spans="2:46" s="662" customFormat="1" ht="20.25" customHeight="1">
      <c r="B49" s="745"/>
      <c r="C49" s="594" t="s">
        <v>297</v>
      </c>
      <c r="D49" s="882">
        <v>10</v>
      </c>
      <c r="E49" s="647"/>
      <c r="F49" s="714">
        <v>0.74652777777777779</v>
      </c>
      <c r="G49" s="648">
        <f>IF(F57="","",F57)</f>
        <v>0.74791666666666667</v>
      </c>
      <c r="H49" s="882">
        <v>2</v>
      </c>
      <c r="I49" s="685">
        <f>IF(OR(G49="",F49=""),"",IF(G49&gt;=F49,(G49-F49)*24*60,(1+G49-F49)*24*60))</f>
        <v>1.9999999999999929</v>
      </c>
      <c r="J49" s="543"/>
      <c r="K49" s="543"/>
      <c r="L49" s="643"/>
      <c r="M49" s="548"/>
      <c r="N49" s="521"/>
      <c r="O49" s="521"/>
      <c r="P49" s="521"/>
      <c r="Q49" s="521"/>
      <c r="R49" s="521"/>
      <c r="S49" s="521"/>
      <c r="T49" s="521"/>
      <c r="U49" s="521"/>
      <c r="V49" s="521"/>
      <c r="W49" s="521"/>
      <c r="X49" s="521"/>
      <c r="Y49" s="521"/>
      <c r="Z49" s="521"/>
      <c r="AA49" s="521"/>
      <c r="AB49" s="521"/>
      <c r="AC49" s="521"/>
      <c r="AD49" s="521"/>
      <c r="AE49" s="521"/>
      <c r="AF49" s="521"/>
      <c r="AG49" s="521"/>
      <c r="AH49" s="521"/>
      <c r="AI49" s="522"/>
      <c r="AJ49" s="521"/>
      <c r="AK49" s="521"/>
      <c r="AL49" s="521"/>
      <c r="AM49" s="521"/>
      <c r="AN49" s="521"/>
      <c r="AO49" s="521"/>
      <c r="AP49" s="521" t="s">
        <v>298</v>
      </c>
      <c r="AQ49" s="521">
        <v>6</v>
      </c>
      <c r="AR49" s="521" t="e">
        <f>#REF!</f>
        <v>#REF!</v>
      </c>
      <c r="AS49" s="521" t="e">
        <f>(AQ49*AR49+AQ50*AR50)/(AR49+AR50)</f>
        <v>#REF!</v>
      </c>
    </row>
    <row r="50" spans="2:46" s="662" customFormat="1" ht="20.25" customHeight="1">
      <c r="B50" s="744"/>
      <c r="C50" s="536" t="s">
        <v>266</v>
      </c>
      <c r="D50" s="448">
        <v>2</v>
      </c>
      <c r="E50" s="651"/>
      <c r="F50" s="648"/>
      <c r="G50" s="648"/>
      <c r="H50" s="448">
        <v>1</v>
      </c>
      <c r="I50" s="448"/>
      <c r="J50" s="539"/>
      <c r="K50" s="539"/>
      <c r="L50" s="641"/>
      <c r="M50" s="554"/>
      <c r="N50" s="521"/>
      <c r="O50" s="521"/>
      <c r="P50" s="521"/>
      <c r="Q50" s="521"/>
      <c r="R50" s="521"/>
      <c r="S50" s="521"/>
      <c r="T50" s="521"/>
      <c r="U50" s="521"/>
      <c r="V50" s="521"/>
      <c r="W50" s="521"/>
      <c r="X50" s="521"/>
      <c r="Y50" s="521"/>
      <c r="Z50" s="521"/>
      <c r="AA50" s="521"/>
      <c r="AB50" s="521"/>
      <c r="AC50" s="521"/>
      <c r="AD50" s="521"/>
      <c r="AE50" s="521"/>
      <c r="AF50" s="521"/>
      <c r="AG50" s="521"/>
      <c r="AH50" s="521"/>
      <c r="AI50" s="522"/>
      <c r="AJ50" s="521"/>
      <c r="AK50" s="521"/>
      <c r="AL50" s="521"/>
      <c r="AM50" s="521"/>
      <c r="AN50" s="521"/>
      <c r="AO50" s="521"/>
      <c r="AP50" s="521" t="s">
        <v>299</v>
      </c>
      <c r="AQ50" s="521">
        <v>6.4</v>
      </c>
      <c r="AR50" s="521" t="e">
        <f>#REF!-AR49</f>
        <v>#REF!</v>
      </c>
      <c r="AS50" s="521"/>
    </row>
    <row r="51" spans="2:46" s="662" customFormat="1" ht="22.5" customHeight="1" thickBot="1">
      <c r="B51" s="749"/>
      <c r="C51" s="595" t="s">
        <v>300</v>
      </c>
      <c r="D51" s="596"/>
      <c r="E51" s="654"/>
      <c r="F51" s="596"/>
      <c r="G51" s="654"/>
      <c r="H51" s="596">
        <f>SUM(H35:H50)</f>
        <v>122.33333333333334</v>
      </c>
      <c r="I51" s="596">
        <f>IF(OR(G49="",F36=""),"",IF(G49&gt;=F36,(G49-F36)*24*60,(G49+1-F36)*24*60))</f>
        <v>119.00000000000006</v>
      </c>
      <c r="J51" s="597"/>
      <c r="K51" s="597"/>
      <c r="L51" s="644"/>
      <c r="M51" s="598"/>
      <c r="N51" s="521"/>
      <c r="O51" s="521"/>
      <c r="P51" s="521"/>
      <c r="Q51" s="521"/>
      <c r="R51" s="521"/>
      <c r="S51" s="521"/>
      <c r="T51" s="521"/>
      <c r="U51" s="521"/>
      <c r="V51" s="521"/>
      <c r="W51" s="521"/>
      <c r="X51" s="521"/>
      <c r="Y51" s="521"/>
      <c r="Z51" s="521"/>
      <c r="AA51" s="521"/>
      <c r="AB51" s="521"/>
      <c r="AC51" s="521"/>
      <c r="AD51" s="521"/>
      <c r="AE51" s="521"/>
      <c r="AF51" s="521"/>
      <c r="AG51" s="521"/>
      <c r="AH51" s="521"/>
      <c r="AI51" s="522"/>
      <c r="AJ51" s="521"/>
      <c r="AK51" s="521"/>
      <c r="AL51" s="521"/>
      <c r="AM51" s="521"/>
      <c r="AN51" s="521"/>
      <c r="AO51" s="521"/>
      <c r="AP51" s="521"/>
      <c r="AQ51" s="521"/>
      <c r="AR51" s="521"/>
      <c r="AS51" s="521"/>
    </row>
    <row r="52" spans="2:46" s="662" customFormat="1" ht="22.5" hidden="1" customHeight="1" thickBot="1">
      <c r="B52" s="749"/>
      <c r="C52" s="835"/>
      <c r="D52" s="836"/>
      <c r="E52" s="837"/>
      <c r="F52" s="836"/>
      <c r="G52" s="837"/>
      <c r="H52" s="836"/>
      <c r="I52" s="836"/>
      <c r="J52" s="838"/>
      <c r="K52" s="838"/>
      <c r="L52" s="839"/>
      <c r="M52" s="548"/>
      <c r="N52" s="521"/>
      <c r="O52" s="521"/>
      <c r="P52" s="521"/>
      <c r="Q52" s="521"/>
      <c r="R52" s="521"/>
      <c r="S52" s="521"/>
      <c r="T52" s="521"/>
      <c r="U52" s="521"/>
      <c r="V52" s="521"/>
      <c r="W52" s="521"/>
      <c r="X52" s="521"/>
      <c r="Y52" s="521"/>
      <c r="Z52" s="521"/>
      <c r="AA52" s="521"/>
      <c r="AB52" s="521"/>
      <c r="AC52" s="521"/>
      <c r="AD52" s="521"/>
      <c r="AE52" s="521"/>
      <c r="AF52" s="521"/>
      <c r="AG52" s="521"/>
      <c r="AH52" s="521"/>
      <c r="AI52" s="522"/>
      <c r="AJ52" s="521"/>
      <c r="AK52" s="521"/>
      <c r="AL52" s="521"/>
      <c r="AM52" s="521"/>
      <c r="AN52" s="521"/>
      <c r="AO52" s="521"/>
      <c r="AP52" s="521"/>
      <c r="AQ52" s="521"/>
      <c r="AR52" s="521"/>
      <c r="AS52" s="521"/>
    </row>
    <row r="53" spans="2:46" s="662" customFormat="1" ht="15" customHeight="1" thickBot="1">
      <c r="B53" s="770"/>
      <c r="C53" s="941" t="s">
        <v>301</v>
      </c>
      <c r="D53" s="942"/>
      <c r="E53" s="942"/>
      <c r="F53" s="942"/>
      <c r="G53" s="942"/>
      <c r="H53" s="942"/>
      <c r="I53" s="942"/>
      <c r="J53" s="942"/>
      <c r="K53" s="942"/>
      <c r="L53" s="943"/>
      <c r="M53" s="599"/>
      <c r="N53" s="521"/>
      <c r="O53" s="521"/>
      <c r="P53" s="521"/>
      <c r="Q53" s="521"/>
      <c r="R53" s="521"/>
      <c r="S53" s="521"/>
      <c r="T53" s="521"/>
      <c r="U53" s="521"/>
      <c r="V53" s="521"/>
      <c r="W53" s="521"/>
      <c r="X53" s="521"/>
      <c r="Y53" s="521"/>
      <c r="Z53" s="521"/>
      <c r="AA53" s="521"/>
      <c r="AB53" s="521"/>
      <c r="AC53" s="521"/>
      <c r="AD53" s="521"/>
      <c r="AE53" s="521"/>
      <c r="AF53" s="521"/>
      <c r="AG53" s="521"/>
      <c r="AH53" s="521"/>
      <c r="AI53" s="522"/>
      <c r="AJ53" s="521"/>
      <c r="AK53" s="521"/>
      <c r="AL53" s="521"/>
      <c r="AM53" s="521"/>
      <c r="AN53" s="521"/>
      <c r="AO53" s="521"/>
      <c r="AP53" s="521"/>
      <c r="AQ53" s="521"/>
      <c r="AR53" s="521"/>
      <c r="AS53" s="521"/>
    </row>
    <row r="54" spans="2:46" s="662" customFormat="1" ht="22.5" customHeight="1">
      <c r="B54" s="745"/>
      <c r="C54" s="594" t="s">
        <v>302</v>
      </c>
      <c r="D54" s="882">
        <v>12</v>
      </c>
      <c r="E54" s="647"/>
      <c r="F54" s="775"/>
      <c r="G54" s="775"/>
      <c r="H54" s="882">
        <v>2</v>
      </c>
      <c r="I54" s="764" t="str">
        <f>IF(OR(G54="",F54=""),"",IF(G54&gt;=F54,(G54-F54)*24*60,(1+G54-F54)*24*60))</f>
        <v/>
      </c>
      <c r="J54" s="543" t="s">
        <v>303</v>
      </c>
      <c r="K54" s="787">
        <v>200</v>
      </c>
      <c r="L54" s="788">
        <v>200</v>
      </c>
      <c r="M54" s="600"/>
      <c r="N54" s="532">
        <f>K8+K9+D15+D31+D49+D54</f>
        <v>192</v>
      </c>
      <c r="O54" s="521"/>
      <c r="P54" s="521"/>
      <c r="Q54" s="521"/>
      <c r="R54" s="521"/>
      <c r="S54" s="521"/>
      <c r="T54" s="521"/>
      <c r="U54" s="521"/>
      <c r="V54" s="521"/>
      <c r="W54" s="521"/>
      <c r="X54" s="521"/>
      <c r="Y54" s="521"/>
      <c r="Z54" s="521"/>
      <c r="AA54" s="521"/>
      <c r="AB54" s="521"/>
      <c r="AC54" s="521"/>
      <c r="AD54" s="521"/>
      <c r="AE54" s="521"/>
      <c r="AF54" s="521"/>
      <c r="AG54" s="521"/>
      <c r="AH54" s="521"/>
      <c r="AI54" s="522"/>
      <c r="AJ54" s="521"/>
      <c r="AK54" s="521"/>
      <c r="AL54" s="521"/>
      <c r="AM54" s="521"/>
      <c r="AN54" s="521"/>
      <c r="AO54" s="521"/>
      <c r="AP54" s="523"/>
      <c r="AQ54" s="523"/>
      <c r="AR54" s="523"/>
      <c r="AS54" s="523" t="s">
        <v>296</v>
      </c>
    </row>
    <row r="55" spans="2:46" s="662" customFormat="1" ht="21" customHeight="1">
      <c r="B55" s="744"/>
      <c r="C55" s="536" t="s">
        <v>304</v>
      </c>
      <c r="D55" s="448"/>
      <c r="E55" s="651"/>
      <c r="F55" s="680">
        <f>IF(F48="","",F48)</f>
        <v>0.7416666666666667</v>
      </c>
      <c r="G55" s="648"/>
      <c r="H55" s="448">
        <f>H48</f>
        <v>8</v>
      </c>
      <c r="I55" s="685">
        <f>IF(OR(F57="",F55=""),"",IF(F57&gt;=F55,(F57-F55)*24*60,(1+F57-F55)*24*60))</f>
        <v>8.999999999999968</v>
      </c>
      <c r="J55" s="539" t="s">
        <v>305</v>
      </c>
      <c r="K55" s="562" t="s">
        <v>306</v>
      </c>
      <c r="L55" s="722">
        <v>22.75</v>
      </c>
      <c r="M55" s="601"/>
      <c r="N55" s="521" t="e">
        <f>#REF!/N54</f>
        <v>#REF!</v>
      </c>
      <c r="O55" s="521"/>
      <c r="P55" s="521"/>
      <c r="Q55" s="521"/>
      <c r="R55" s="521"/>
      <c r="S55" s="521"/>
      <c r="T55" s="521"/>
      <c r="U55" s="521"/>
      <c r="V55" s="521"/>
      <c r="W55" s="521"/>
      <c r="X55" s="521"/>
      <c r="Y55" s="521"/>
      <c r="Z55" s="521"/>
      <c r="AA55" s="521"/>
      <c r="AB55" s="521"/>
      <c r="AC55" s="521"/>
      <c r="AD55" s="521"/>
      <c r="AE55" s="521"/>
      <c r="AF55" s="521"/>
      <c r="AG55" s="521"/>
      <c r="AH55" s="521"/>
      <c r="AI55" s="522"/>
      <c r="AJ55" s="521"/>
      <c r="AK55" s="521"/>
      <c r="AL55" s="521"/>
      <c r="AM55" s="521"/>
      <c r="AN55" s="521"/>
      <c r="AO55" s="521"/>
      <c r="AP55" s="521" t="s">
        <v>307</v>
      </c>
      <c r="AQ55" s="521">
        <v>6</v>
      </c>
      <c r="AR55" s="521">
        <v>21.999999999999996</v>
      </c>
      <c r="AS55" s="521">
        <f>(AQ55*AR55+AQ56*AR56)/(AR55+AR56)</f>
        <v>6.36</v>
      </c>
    </row>
    <row r="56" spans="2:46" s="662" customFormat="1" ht="20.25" customHeight="1">
      <c r="B56" s="744"/>
      <c r="C56" s="536" t="s">
        <v>308</v>
      </c>
      <c r="D56" s="448"/>
      <c r="E56" s="651"/>
      <c r="F56" s="648">
        <f>IF(F49="","",F49)</f>
        <v>0.74652777777777779</v>
      </c>
      <c r="G56" s="648"/>
      <c r="H56" s="448">
        <v>2</v>
      </c>
      <c r="I56" s="448"/>
      <c r="J56" s="539" t="s">
        <v>309</v>
      </c>
      <c r="K56" s="448">
        <v>80</v>
      </c>
      <c r="L56" s="741">
        <f ca="1">80+RANDBETWEEN(-3,3)/10</f>
        <v>79.7</v>
      </c>
      <c r="M56" s="602"/>
      <c r="N56" s="521"/>
      <c r="O56" s="521"/>
      <c r="P56" s="521"/>
      <c r="Q56" s="521"/>
      <c r="R56" s="521"/>
      <c r="S56" s="521"/>
      <c r="T56" s="521"/>
      <c r="U56" s="521"/>
      <c r="V56" s="521"/>
      <c r="W56" s="521">
        <v>2100</v>
      </c>
      <c r="X56" s="521"/>
      <c r="Y56" s="521"/>
      <c r="Z56" s="521"/>
      <c r="AA56" s="521"/>
      <c r="AB56" s="521"/>
      <c r="AC56" s="521"/>
      <c r="AD56" s="521"/>
      <c r="AE56" s="521"/>
      <c r="AF56" s="521"/>
      <c r="AG56" s="521"/>
      <c r="AH56" s="521"/>
      <c r="AI56" s="522"/>
      <c r="AJ56" s="521"/>
      <c r="AK56" s="521"/>
      <c r="AL56" s="521"/>
      <c r="AM56" s="521"/>
      <c r="AN56" s="521"/>
      <c r="AO56" s="521"/>
      <c r="AP56" s="521" t="s">
        <v>299</v>
      </c>
      <c r="AQ56" s="521">
        <v>6.4</v>
      </c>
      <c r="AR56" s="521">
        <v>198</v>
      </c>
      <c r="AS56" s="521"/>
    </row>
    <row r="57" spans="2:46" s="662" customFormat="1" ht="23.25" customHeight="1">
      <c r="B57" s="744"/>
      <c r="C57" s="536" t="s">
        <v>310</v>
      </c>
      <c r="D57" s="479" t="s">
        <v>311</v>
      </c>
      <c r="E57" s="652">
        <v>11.2</v>
      </c>
      <c r="F57" s="714">
        <v>0.74791666666666667</v>
      </c>
      <c r="G57" s="648"/>
      <c r="H57" s="448">
        <v>7</v>
      </c>
      <c r="I57" s="685">
        <f>IF(OR(F58="",F57=""),"",IF(F58&gt;=F57,(F58-F57)*24*60,(1+F58-F57)*24*60))</f>
        <v>7.9999999999999716</v>
      </c>
      <c r="J57" s="539" t="s">
        <v>312</v>
      </c>
      <c r="K57" s="583">
        <v>210</v>
      </c>
      <c r="L57" s="708">
        <v>210</v>
      </c>
      <c r="M57" s="531"/>
      <c r="N57" s="521"/>
      <c r="O57" s="521"/>
      <c r="P57" s="521"/>
      <c r="Q57" s="521"/>
      <c r="R57" s="521"/>
      <c r="S57" s="521"/>
      <c r="T57" s="521"/>
      <c r="U57" s="532"/>
      <c r="V57" s="521"/>
      <c r="W57" s="521">
        <v>1106</v>
      </c>
      <c r="X57" s="521"/>
      <c r="Y57" s="521"/>
      <c r="Z57" s="521"/>
      <c r="AA57" s="521"/>
      <c r="AB57" s="521"/>
      <c r="AC57" s="521"/>
      <c r="AD57" s="521"/>
      <c r="AE57" s="521"/>
      <c r="AF57" s="521"/>
      <c r="AG57" s="521"/>
      <c r="AH57" s="521"/>
      <c r="AI57" s="522"/>
      <c r="AJ57" s="521"/>
      <c r="AK57" s="521"/>
      <c r="AL57" s="521"/>
      <c r="AM57" s="521"/>
      <c r="AN57" s="521"/>
      <c r="AO57" s="521"/>
      <c r="AP57" s="521"/>
      <c r="AQ57" s="521"/>
      <c r="AR57" s="521"/>
      <c r="AS57" s="521"/>
    </row>
    <row r="58" spans="2:46" s="662" customFormat="1" ht="24" customHeight="1">
      <c r="B58" s="744"/>
      <c r="C58" s="539" t="s">
        <v>313</v>
      </c>
      <c r="D58" s="303">
        <v>136</v>
      </c>
      <c r="E58" s="646">
        <v>142</v>
      </c>
      <c r="F58" s="714">
        <v>0.75347222222222221</v>
      </c>
      <c r="G58" s="648"/>
      <c r="H58" s="448">
        <f>D58/K54*60</f>
        <v>40.800000000000004</v>
      </c>
      <c r="I58" s="685">
        <f>IF(OR(F59="",F58=""),"",IF(F59&gt;=F58,(F59-F58)*24*60,(1+F59-F58)*24*60))</f>
        <v>62.999999999999936</v>
      </c>
      <c r="J58" s="539" t="s">
        <v>314</v>
      </c>
      <c r="K58" s="603" t="s">
        <v>315</v>
      </c>
      <c r="L58" s="686" t="s">
        <v>316</v>
      </c>
      <c r="M58" s="604"/>
      <c r="N58" s="521"/>
      <c r="O58" s="521"/>
      <c r="P58" s="521"/>
      <c r="Q58" s="521"/>
      <c r="R58" s="521"/>
      <c r="S58" s="521"/>
      <c r="T58" s="532">
        <f>170-D58</f>
        <v>34</v>
      </c>
      <c r="U58" s="532">
        <f>K8+K9+D15+D31+D49+D54</f>
        <v>192</v>
      </c>
      <c r="V58" s="521"/>
      <c r="W58" s="521">
        <f>W56-W57</f>
        <v>994</v>
      </c>
      <c r="X58" s="521"/>
      <c r="Y58" s="521"/>
      <c r="Z58" s="521"/>
      <c r="AA58" s="521"/>
      <c r="AB58" s="521"/>
      <c r="AC58" s="521"/>
      <c r="AD58" s="521"/>
      <c r="AE58" s="521"/>
      <c r="AF58" s="521"/>
      <c r="AG58" s="521"/>
      <c r="AH58" s="521"/>
      <c r="AI58" s="522"/>
      <c r="AJ58" s="521"/>
      <c r="AK58" s="521"/>
      <c r="AL58" s="521"/>
      <c r="AM58" s="521"/>
      <c r="AN58" s="521"/>
      <c r="AO58" s="521"/>
      <c r="AP58" s="521"/>
      <c r="AQ58" s="521"/>
      <c r="AR58" s="521"/>
      <c r="AS58" s="521"/>
    </row>
    <row r="59" spans="2:46" s="662" customFormat="1" ht="24" customHeight="1">
      <c r="B59" s="744"/>
      <c r="C59" s="539" t="s">
        <v>317</v>
      </c>
      <c r="D59" s="479">
        <v>257</v>
      </c>
      <c r="E59" s="646">
        <v>264</v>
      </c>
      <c r="F59" s="714">
        <v>0.79722222222222217</v>
      </c>
      <c r="G59" s="648"/>
      <c r="H59" s="448">
        <f>(D59-D58)/K57*60</f>
        <v>34.571428571428569</v>
      </c>
      <c r="I59" s="685">
        <f>IF(OR(F61="",F59=""),"",IF(F61&gt;=F59,(F61-F59)*24*60,(1+F61-F59)*24*60))</f>
        <v>36.000000000000192</v>
      </c>
      <c r="J59" s="539" t="s">
        <v>314</v>
      </c>
      <c r="K59" s="603" t="s">
        <v>315</v>
      </c>
      <c r="L59" s="686" t="s">
        <v>316</v>
      </c>
      <c r="M59" s="605"/>
      <c r="N59" s="532"/>
      <c r="O59" s="521"/>
      <c r="P59" s="521"/>
      <c r="Q59" s="521"/>
      <c r="R59" s="521"/>
      <c r="S59" s="521"/>
      <c r="T59" s="521">
        <f>T58/K57*60</f>
        <v>9.7142857142857153</v>
      </c>
      <c r="U59" s="532" t="e">
        <f>U58+K61-D60</f>
        <v>#VALUE!</v>
      </c>
      <c r="V59" s="532"/>
      <c r="W59" s="521">
        <f>W58/1000</f>
        <v>0.99399999999999999</v>
      </c>
      <c r="X59" s="521">
        <f>4400/1000</f>
        <v>4.4000000000000004</v>
      </c>
      <c r="Y59" s="521"/>
      <c r="Z59" s="521"/>
      <c r="AA59" s="521"/>
      <c r="AB59" s="521"/>
      <c r="AC59" s="521"/>
      <c r="AD59" s="521"/>
      <c r="AE59" s="521"/>
      <c r="AF59" s="521"/>
      <c r="AG59" s="521"/>
      <c r="AH59" s="521"/>
      <c r="AI59" s="522"/>
      <c r="AJ59" s="521"/>
      <c r="AK59" s="521"/>
      <c r="AL59" s="521"/>
      <c r="AM59" s="521"/>
      <c r="AN59" s="532"/>
      <c r="AO59" s="532"/>
      <c r="AP59" s="521"/>
      <c r="AQ59" s="521"/>
      <c r="AR59" s="521"/>
      <c r="AS59" s="521"/>
    </row>
    <row r="60" spans="2:46" s="662" customFormat="1" ht="24" customHeight="1">
      <c r="B60" s="744"/>
      <c r="C60" s="536" t="s">
        <v>318</v>
      </c>
      <c r="D60" s="479" t="s">
        <v>319</v>
      </c>
      <c r="E60" s="646">
        <v>2</v>
      </c>
      <c r="F60" s="648"/>
      <c r="G60" s="648"/>
      <c r="H60" s="448">
        <f>E60*5.5</f>
        <v>11</v>
      </c>
      <c r="I60" s="448"/>
      <c r="J60" s="539" t="s">
        <v>320</v>
      </c>
      <c r="K60" s="448">
        <v>17</v>
      </c>
      <c r="L60" s="722">
        <f ca="1">16+RANDBETWEEN(23,62)/100</f>
        <v>16.61</v>
      </c>
      <c r="M60" s="605"/>
      <c r="N60" s="532"/>
      <c r="O60" s="521"/>
      <c r="P60" s="521"/>
      <c r="Q60" s="521"/>
      <c r="R60" s="521"/>
      <c r="S60" s="521"/>
      <c r="T60" s="532">
        <f>T59+H58</f>
        <v>50.51428571428572</v>
      </c>
      <c r="U60" s="532"/>
      <c r="V60" s="532"/>
      <c r="W60" s="521">
        <f>PI()*(X59/2)^2*W59</f>
        <v>15.114076592714353</v>
      </c>
      <c r="X60" s="521"/>
      <c r="Y60" s="521"/>
      <c r="Z60" s="521"/>
      <c r="AA60" s="521"/>
      <c r="AB60" s="521"/>
      <c r="AC60" s="521"/>
      <c r="AD60" s="521"/>
      <c r="AE60" s="521"/>
      <c r="AF60" s="521"/>
      <c r="AG60" s="521"/>
      <c r="AH60" s="521"/>
      <c r="AI60" s="522"/>
      <c r="AJ60" s="521"/>
      <c r="AK60" s="521"/>
      <c r="AL60" s="521"/>
      <c r="AM60" s="521"/>
      <c r="AN60" s="521"/>
      <c r="AO60" s="521"/>
      <c r="AP60" s="521"/>
      <c r="AQ60" s="521"/>
      <c r="AR60" s="521"/>
      <c r="AS60" s="521"/>
      <c r="AT60" s="725"/>
    </row>
    <row r="61" spans="2:46" s="662" customFormat="1" ht="21.75" customHeight="1">
      <c r="B61" s="744"/>
      <c r="C61" s="536" t="s">
        <v>321</v>
      </c>
      <c r="D61" s="479">
        <v>75</v>
      </c>
      <c r="E61" s="646">
        <v>75</v>
      </c>
      <c r="F61" s="714">
        <v>0.8222222222222223</v>
      </c>
      <c r="G61" s="648">
        <f>IF(ISBLANK(F61),"",F61+TIME(0,E61/220*60,0))</f>
        <v>0.83611111111111114</v>
      </c>
      <c r="H61" s="448">
        <f>D61/K57*60</f>
        <v>21.428571428571431</v>
      </c>
      <c r="I61" s="685">
        <f>IF(OR(G61="",F61=""),"",IF(G61&gt;=F61,(G61-F61)*24*60,(1+G61-F61)*24*60))</f>
        <v>19.999999999999929</v>
      </c>
      <c r="J61" s="539" t="s">
        <v>322</v>
      </c>
      <c r="K61" s="448">
        <v>135</v>
      </c>
      <c r="L61" s="709">
        <v>135</v>
      </c>
      <c r="M61" s="606"/>
      <c r="N61" s="521"/>
      <c r="O61" s="521"/>
      <c r="P61" s="521"/>
      <c r="Q61" s="521"/>
      <c r="R61" s="521"/>
      <c r="S61" s="521"/>
      <c r="T61" s="532" t="e">
        <f>D61-D60</f>
        <v>#VALUE!</v>
      </c>
      <c r="U61" s="532"/>
      <c r="V61" s="521"/>
      <c r="W61" s="521"/>
      <c r="X61" s="521"/>
      <c r="Y61" s="521"/>
      <c r="Z61" s="521"/>
      <c r="AA61" s="521"/>
      <c r="AB61" s="521"/>
      <c r="AC61" s="521"/>
      <c r="AD61" s="521"/>
      <c r="AE61" s="521"/>
      <c r="AF61" s="521"/>
      <c r="AG61" s="521"/>
      <c r="AH61" s="521"/>
      <c r="AI61" s="522"/>
      <c r="AJ61" s="521"/>
      <c r="AK61" s="521"/>
      <c r="AL61" s="521"/>
      <c r="AM61" s="521"/>
      <c r="AN61" s="521"/>
      <c r="AO61" s="521"/>
      <c r="AP61" s="521"/>
      <c r="AQ61" s="521"/>
      <c r="AR61" s="521"/>
      <c r="AS61" s="521"/>
    </row>
    <row r="62" spans="2:46" s="662" customFormat="1" ht="18.75" customHeight="1">
      <c r="B62" s="744"/>
      <c r="C62" s="536" t="s">
        <v>323</v>
      </c>
      <c r="D62" s="448"/>
      <c r="E62" s="651"/>
      <c r="F62" s="648"/>
      <c r="G62" s="648"/>
      <c r="H62" s="448">
        <v>10</v>
      </c>
      <c r="I62" s="448"/>
      <c r="J62" s="539" t="s">
        <v>324</v>
      </c>
      <c r="K62" s="448">
        <v>35</v>
      </c>
      <c r="L62" s="708">
        <v>35</v>
      </c>
      <c r="M62" s="531"/>
      <c r="N62" s="521"/>
      <c r="O62" s="521"/>
      <c r="P62" s="521"/>
      <c r="Q62" s="521"/>
      <c r="R62" s="521"/>
      <c r="S62" s="521"/>
      <c r="T62" s="521"/>
      <c r="U62" s="521"/>
      <c r="V62" s="521"/>
      <c r="W62" s="521"/>
      <c r="X62" s="521"/>
      <c r="Y62" s="521"/>
      <c r="Z62" s="521"/>
      <c r="AA62" s="521"/>
      <c r="AB62" s="521"/>
      <c r="AC62" s="521"/>
      <c r="AD62" s="521"/>
      <c r="AE62" s="521"/>
      <c r="AF62" s="521"/>
      <c r="AG62" s="521"/>
      <c r="AH62" s="521"/>
      <c r="AI62" s="522"/>
      <c r="AJ62" s="521"/>
      <c r="AK62" s="521"/>
      <c r="AL62" s="521"/>
      <c r="AM62" s="521"/>
      <c r="AN62" s="521"/>
      <c r="AO62" s="521"/>
      <c r="AP62" s="521"/>
      <c r="AQ62" s="521"/>
      <c r="AR62" s="521"/>
      <c r="AS62" s="521"/>
    </row>
    <row r="63" spans="2:46" s="662" customFormat="1" ht="20.149999999999999" customHeight="1">
      <c r="B63" s="744"/>
      <c r="C63" s="536" t="s">
        <v>325</v>
      </c>
      <c r="D63" s="448"/>
      <c r="E63" s="651"/>
      <c r="F63" s="648"/>
      <c r="G63" s="648"/>
      <c r="H63" s="448">
        <v>3</v>
      </c>
      <c r="I63" s="448"/>
      <c r="J63" s="539" t="s">
        <v>326</v>
      </c>
      <c r="K63" s="583" t="s">
        <v>327</v>
      </c>
      <c r="L63" s="561">
        <v>2.46</v>
      </c>
      <c r="M63" s="531"/>
      <c r="N63" s="521"/>
      <c r="O63" s="521"/>
      <c r="P63" s="521"/>
      <c r="Q63" s="521"/>
      <c r="R63" s="521"/>
      <c r="S63" s="521"/>
      <c r="T63" s="521"/>
      <c r="U63" s="521"/>
      <c r="V63" s="521"/>
      <c r="W63" s="521"/>
      <c r="X63" s="521"/>
      <c r="Y63" s="521"/>
      <c r="Z63" s="521"/>
      <c r="AA63" s="521"/>
      <c r="AB63" s="521"/>
      <c r="AC63" s="521"/>
      <c r="AD63" s="521"/>
      <c r="AE63" s="521"/>
      <c r="AF63" s="521"/>
      <c r="AG63" s="521"/>
      <c r="AH63" s="521"/>
      <c r="AI63" s="522"/>
      <c r="AJ63" s="521"/>
      <c r="AK63" s="521"/>
      <c r="AL63" s="521"/>
      <c r="AM63" s="521"/>
      <c r="AN63" s="521"/>
      <c r="AO63" s="521"/>
      <c r="AP63" s="521"/>
      <c r="AQ63" s="521"/>
      <c r="AR63" s="521"/>
      <c r="AS63" s="521"/>
    </row>
    <row r="64" spans="2:46" s="662" customFormat="1" ht="20.149999999999999" customHeight="1" thickBot="1">
      <c r="B64" s="755"/>
      <c r="C64" s="756" t="s">
        <v>328</v>
      </c>
      <c r="D64" s="882"/>
      <c r="E64" s="647"/>
      <c r="F64" s="647"/>
      <c r="G64" s="647"/>
      <c r="H64" s="882">
        <f>SUM(H54:H63)</f>
        <v>139.80000000000001</v>
      </c>
      <c r="I64" s="882">
        <f>IF(OR(G61="",F55=""),"",IF(G61&gt;=F55,(G61-F55)*24*60,(G61+1-F55)*24*60))</f>
        <v>136</v>
      </c>
      <c r="J64" s="780" t="s">
        <v>329</v>
      </c>
      <c r="K64" s="781" t="s">
        <v>330</v>
      </c>
      <c r="L64" s="713">
        <v>0.81</v>
      </c>
      <c r="M64" s="531"/>
      <c r="N64" s="521"/>
      <c r="O64" s="521"/>
      <c r="P64" s="521"/>
      <c r="Q64" s="521"/>
      <c r="R64" s="521"/>
      <c r="S64" s="521"/>
      <c r="T64" s="521"/>
      <c r="U64" s="521"/>
      <c r="V64" s="521"/>
      <c r="W64" s="521"/>
      <c r="X64" s="521"/>
      <c r="Y64" s="521"/>
      <c r="Z64" s="521"/>
      <c r="AA64" s="521"/>
      <c r="AB64" s="521"/>
      <c r="AC64" s="521"/>
      <c r="AD64" s="521"/>
      <c r="AE64" s="521"/>
      <c r="AF64" s="521"/>
      <c r="AG64" s="521"/>
      <c r="AH64" s="521"/>
      <c r="AI64" s="522"/>
      <c r="AJ64" s="521"/>
      <c r="AK64" s="521"/>
      <c r="AL64" s="521"/>
      <c r="AM64" s="521"/>
      <c r="AN64" s="521"/>
      <c r="AO64" s="521"/>
      <c r="AP64" s="521"/>
      <c r="AQ64" s="521"/>
      <c r="AR64" s="521"/>
      <c r="AS64" s="521"/>
    </row>
    <row r="65" spans="2:45" s="662" customFormat="1" ht="12" thickBot="1">
      <c r="B65" s="770"/>
      <c r="C65" s="941" t="s">
        <v>331</v>
      </c>
      <c r="D65" s="942"/>
      <c r="E65" s="942"/>
      <c r="F65" s="942"/>
      <c r="G65" s="942"/>
      <c r="H65" s="942"/>
      <c r="I65" s="942"/>
      <c r="J65" s="942"/>
      <c r="K65" s="942"/>
      <c r="L65" s="943"/>
      <c r="M65" s="582"/>
      <c r="N65" s="521"/>
      <c r="O65" s="521"/>
      <c r="P65" s="521"/>
      <c r="Q65" s="521"/>
      <c r="R65" s="521"/>
      <c r="S65" s="521"/>
      <c r="T65" s="521"/>
      <c r="U65" s="521"/>
      <c r="V65" s="521"/>
      <c r="W65" s="521"/>
      <c r="X65" s="521"/>
      <c r="Y65" s="521"/>
      <c r="Z65" s="521"/>
      <c r="AA65" s="521"/>
      <c r="AB65" s="521"/>
      <c r="AC65" s="521"/>
      <c r="AD65" s="521"/>
      <c r="AE65" s="521"/>
      <c r="AF65" s="521"/>
      <c r="AG65" s="521"/>
      <c r="AH65" s="521"/>
      <c r="AI65" s="522"/>
      <c r="AJ65" s="521"/>
      <c r="AK65" s="521"/>
      <c r="AL65" s="521"/>
      <c r="AM65" s="521"/>
      <c r="AN65" s="521"/>
      <c r="AO65" s="521"/>
      <c r="AP65" s="521"/>
      <c r="AQ65" s="521"/>
      <c r="AR65" s="521"/>
      <c r="AS65" s="521"/>
    </row>
    <row r="66" spans="2:45" s="662" customFormat="1" ht="17.25" customHeight="1">
      <c r="B66" s="782"/>
      <c r="C66" s="783" t="s">
        <v>332</v>
      </c>
      <c r="D66" s="884">
        <f>D59</f>
        <v>257</v>
      </c>
      <c r="E66" s="895">
        <v>270</v>
      </c>
      <c r="F66" s="888"/>
      <c r="G66" s="888"/>
      <c r="H66" s="769">
        <f>H58+H59</f>
        <v>75.371428571428567</v>
      </c>
      <c r="I66" s="769"/>
      <c r="J66" s="784" t="s">
        <v>333</v>
      </c>
      <c r="K66" s="785">
        <v>72</v>
      </c>
      <c r="L66" s="786"/>
      <c r="M66" s="607"/>
      <c r="N66" s="521"/>
      <c r="O66" s="521"/>
      <c r="P66" s="521"/>
      <c r="Q66" s="521"/>
      <c r="R66" s="521"/>
      <c r="S66" s="521"/>
      <c r="T66" s="521"/>
      <c r="U66" s="521"/>
      <c r="V66" s="521"/>
      <c r="W66" s="521"/>
      <c r="X66" s="521"/>
      <c r="Y66" s="521"/>
      <c r="Z66" s="521"/>
      <c r="AA66" s="521"/>
      <c r="AB66" s="521"/>
      <c r="AC66" s="521"/>
      <c r="AD66" s="521"/>
      <c r="AE66" s="521"/>
      <c r="AF66" s="521"/>
      <c r="AG66" s="521"/>
      <c r="AH66" s="521"/>
      <c r="AI66" s="522"/>
      <c r="AJ66" s="521"/>
      <c r="AK66" s="521"/>
      <c r="AL66" s="521"/>
      <c r="AM66" s="521"/>
      <c r="AN66" s="521"/>
      <c r="AO66" s="521"/>
      <c r="AP66" s="521"/>
      <c r="AQ66" s="521"/>
      <c r="AR66" s="521"/>
      <c r="AS66" s="521"/>
    </row>
    <row r="67" spans="2:45" s="662" customFormat="1" ht="23">
      <c r="B67" s="744"/>
      <c r="C67" s="136" t="s">
        <v>334</v>
      </c>
      <c r="D67" s="479">
        <v>115</v>
      </c>
      <c r="E67" s="651"/>
      <c r="F67" s="899" t="s">
        <v>335</v>
      </c>
      <c r="G67" s="651">
        <v>300</v>
      </c>
      <c r="H67" s="448"/>
      <c r="I67" s="448"/>
      <c r="J67" s="566" t="s">
        <v>336</v>
      </c>
      <c r="K67" s="553">
        <v>88</v>
      </c>
      <c r="L67" s="638"/>
      <c r="M67" s="608"/>
      <c r="N67" s="521"/>
      <c r="O67" s="521"/>
      <c r="P67" s="521"/>
      <c r="Q67" s="521"/>
      <c r="R67" s="521"/>
      <c r="S67" s="521"/>
      <c r="T67" s="521"/>
      <c r="U67" s="521"/>
      <c r="V67" s="521"/>
      <c r="W67" s="521"/>
      <c r="X67" s="521"/>
      <c r="Y67" s="521"/>
      <c r="Z67" s="521"/>
      <c r="AA67" s="521"/>
      <c r="AB67" s="521"/>
      <c r="AC67" s="521"/>
      <c r="AD67" s="521"/>
      <c r="AE67" s="521"/>
      <c r="AF67" s="521"/>
      <c r="AG67" s="521"/>
      <c r="AH67" s="521"/>
      <c r="AI67" s="522"/>
      <c r="AJ67" s="521"/>
      <c r="AK67" s="521"/>
      <c r="AL67" s="521"/>
      <c r="AM67" s="521"/>
      <c r="AN67" s="521"/>
      <c r="AO67" s="521"/>
      <c r="AP67" s="521"/>
      <c r="AQ67" s="521"/>
      <c r="AR67" s="521"/>
      <c r="AS67" s="521"/>
    </row>
    <row r="68" spans="2:45" s="662" customFormat="1" ht="13.5" thickBot="1">
      <c r="B68" s="751"/>
      <c r="C68" s="613" t="s">
        <v>337</v>
      </c>
      <c r="D68" s="883">
        <v>3</v>
      </c>
      <c r="E68" s="887"/>
      <c r="F68" s="887"/>
      <c r="G68" s="887"/>
      <c r="H68" s="538">
        <v>2</v>
      </c>
      <c r="I68" s="538"/>
      <c r="J68" s="771" t="s">
        <v>338</v>
      </c>
      <c r="K68" s="772">
        <v>92</v>
      </c>
      <c r="L68" s="773"/>
      <c r="M68" s="608"/>
      <c r="N68" s="521"/>
      <c r="O68" s="521"/>
      <c r="P68" s="521"/>
      <c r="Q68" s="521"/>
      <c r="R68" s="521"/>
      <c r="S68" s="521"/>
      <c r="T68" s="521"/>
      <c r="U68" s="521"/>
      <c r="V68" s="521"/>
      <c r="W68" s="521"/>
      <c r="X68" s="521"/>
      <c r="Y68" s="521"/>
      <c r="Z68" s="521"/>
      <c r="AA68" s="521"/>
      <c r="AB68" s="521"/>
      <c r="AC68" s="521"/>
      <c r="AD68" s="521"/>
      <c r="AE68" s="521"/>
      <c r="AF68" s="521"/>
      <c r="AG68" s="521"/>
      <c r="AH68" s="521"/>
      <c r="AI68" s="522"/>
      <c r="AJ68" s="521"/>
      <c r="AK68" s="521"/>
      <c r="AL68" s="521"/>
      <c r="AM68" s="521"/>
      <c r="AN68" s="521"/>
      <c r="AO68" s="521"/>
      <c r="AP68" s="521"/>
      <c r="AQ68" s="521"/>
      <c r="AR68" s="521"/>
      <c r="AS68" s="521"/>
    </row>
    <row r="69" spans="2:45" s="662" customFormat="1" ht="12" thickBot="1">
      <c r="B69" s="778"/>
      <c r="C69" s="941" t="s">
        <v>339</v>
      </c>
      <c r="D69" s="942"/>
      <c r="E69" s="942"/>
      <c r="F69" s="942"/>
      <c r="G69" s="942"/>
      <c r="H69" s="942"/>
      <c r="I69" s="942"/>
      <c r="J69" s="942"/>
      <c r="K69" s="942"/>
      <c r="L69" s="943"/>
      <c r="M69" s="582"/>
      <c r="N69" s="521"/>
      <c r="O69" s="521"/>
      <c r="P69" s="521"/>
      <c r="Q69" s="521"/>
      <c r="R69" s="521"/>
      <c r="S69" s="521"/>
      <c r="T69" s="521"/>
      <c r="U69" s="521"/>
      <c r="V69" s="521"/>
      <c r="W69" s="521"/>
      <c r="X69" s="521"/>
      <c r="Y69" s="521"/>
      <c r="Z69" s="521"/>
      <c r="AA69" s="521"/>
      <c r="AB69" s="521"/>
      <c r="AC69" s="521"/>
      <c r="AD69" s="521"/>
      <c r="AE69" s="521"/>
      <c r="AF69" s="521"/>
      <c r="AG69" s="521"/>
      <c r="AH69" s="521"/>
      <c r="AI69" s="522"/>
      <c r="AJ69" s="521"/>
      <c r="AK69" s="521"/>
      <c r="AL69" s="521"/>
      <c r="AM69" s="521"/>
      <c r="AN69" s="521"/>
      <c r="AO69" s="521"/>
      <c r="AP69" s="521"/>
      <c r="AQ69" s="521"/>
      <c r="AR69" s="521"/>
      <c r="AS69" s="521"/>
    </row>
    <row r="70" spans="2:45" s="662" customFormat="1" ht="24" customHeight="1">
      <c r="B70" s="745"/>
      <c r="C70" s="594" t="s">
        <v>340</v>
      </c>
      <c r="D70" s="544">
        <v>65</v>
      </c>
      <c r="E70" s="647"/>
      <c r="F70" s="774">
        <v>0.78263888888888899</v>
      </c>
      <c r="G70" s="775"/>
      <c r="H70" s="882">
        <f>(D70)/G67*60</f>
        <v>13</v>
      </c>
      <c r="I70" s="764">
        <f>IF(OR(F71="",F70=""),"",IF(F71&gt;=F70,(F71-F70)*24*60,(1+F71-F70)*24*60))</f>
        <v>12.999999999999954</v>
      </c>
      <c r="J70" s="776" t="s">
        <v>341</v>
      </c>
      <c r="K70" s="769">
        <v>2400</v>
      </c>
      <c r="L70" s="777" t="s">
        <v>342</v>
      </c>
      <c r="M70" s="531"/>
      <c r="N70" s="521"/>
      <c r="O70" s="521"/>
      <c r="P70" s="521"/>
      <c r="Q70" s="521"/>
      <c r="R70" s="521"/>
      <c r="S70" s="521"/>
      <c r="T70" s="521"/>
      <c r="U70" s="521"/>
      <c r="V70" s="521"/>
      <c r="W70" s="521"/>
      <c r="X70" s="521"/>
      <c r="Y70" s="521"/>
      <c r="Z70" s="521"/>
      <c r="AA70" s="521"/>
      <c r="AB70" s="521"/>
      <c r="AC70" s="521"/>
      <c r="AD70" s="521"/>
      <c r="AE70" s="521"/>
      <c r="AF70" s="521"/>
      <c r="AG70" s="521"/>
      <c r="AH70" s="521"/>
      <c r="AI70" s="522"/>
      <c r="AJ70" s="521"/>
      <c r="AK70" s="521"/>
      <c r="AL70" s="521"/>
      <c r="AM70" s="521"/>
      <c r="AN70" s="521"/>
      <c r="AO70" s="521"/>
      <c r="AP70" s="521"/>
      <c r="AQ70" s="521"/>
      <c r="AR70" s="521"/>
      <c r="AS70" s="521"/>
    </row>
    <row r="71" spans="2:45" s="662" customFormat="1" ht="24" customHeight="1">
      <c r="B71" s="744"/>
      <c r="C71" s="536" t="s">
        <v>343</v>
      </c>
      <c r="D71" s="448"/>
      <c r="E71" s="651"/>
      <c r="F71" s="648">
        <f>IF(ISBLANK(F70),"",F70+TIME(0,H70,0))</f>
        <v>0.79166666666666674</v>
      </c>
      <c r="G71" s="648"/>
      <c r="H71" s="448">
        <f>(180-D70)/G67*60</f>
        <v>23</v>
      </c>
      <c r="I71" s="685">
        <f>IF(OR(F72="",F71=""),"",IF(F72&gt;=F71,(F72-F71)*24*60,(1+F72-F71)*24*60))</f>
        <v>23.999999999999755</v>
      </c>
      <c r="J71" s="539" t="s">
        <v>341</v>
      </c>
      <c r="K71" s="610">
        <v>1100</v>
      </c>
      <c r="L71" s="609" t="s">
        <v>344</v>
      </c>
      <c r="M71" s="531"/>
      <c r="N71" s="521"/>
      <c r="O71" s="521">
        <f>K71*4/60</f>
        <v>73.333333333333329</v>
      </c>
      <c r="P71" s="521"/>
      <c r="Q71" s="521">
        <v>734</v>
      </c>
      <c r="R71" s="521"/>
      <c r="S71" s="521"/>
      <c r="T71" s="521"/>
      <c r="U71" s="521"/>
      <c r="V71" s="521"/>
      <c r="W71" s="521"/>
      <c r="X71" s="521"/>
      <c r="Y71" s="521"/>
      <c r="Z71" s="521"/>
      <c r="AA71" s="521"/>
      <c r="AB71" s="521"/>
      <c r="AC71" s="521"/>
      <c r="AD71" s="521"/>
      <c r="AE71" s="521"/>
      <c r="AF71" s="521"/>
      <c r="AG71" s="521"/>
      <c r="AH71" s="521"/>
      <c r="AI71" s="522"/>
      <c r="AJ71" s="521"/>
      <c r="AK71" s="521"/>
      <c r="AL71" s="521"/>
      <c r="AM71" s="521"/>
      <c r="AN71" s="521"/>
      <c r="AO71" s="521"/>
      <c r="AP71" s="521"/>
      <c r="AQ71" s="521"/>
      <c r="AR71" s="521"/>
      <c r="AS71" s="521"/>
    </row>
    <row r="72" spans="2:45" s="662" customFormat="1" ht="16" customHeight="1">
      <c r="B72" s="885"/>
      <c r="C72" s="949" t="s">
        <v>345</v>
      </c>
      <c r="D72" s="951" t="s">
        <v>346</v>
      </c>
      <c r="E72" s="960">
        <v>180</v>
      </c>
      <c r="F72" s="962">
        <v>0.80833333333333324</v>
      </c>
      <c r="G72" s="955">
        <f>IF(ISBLANK($F$72),"",F72+TIME(0,H72,0))</f>
        <v>0.82916666666666661</v>
      </c>
      <c r="H72" s="951">
        <v>30</v>
      </c>
      <c r="I72" s="947">
        <f>IF(ISBLANK($F$72),"",(G72-F72)*24*60)</f>
        <v>30.000000000000053</v>
      </c>
      <c r="J72" s="566" t="s">
        <v>347</v>
      </c>
      <c r="K72" s="479">
        <v>1700</v>
      </c>
      <c r="L72" s="611"/>
      <c r="M72" s="593"/>
      <c r="N72" s="521"/>
      <c r="O72" s="521">
        <f>K72*H72/60</f>
        <v>850</v>
      </c>
      <c r="P72" s="521"/>
      <c r="Q72" s="521">
        <v>1763</v>
      </c>
      <c r="R72" s="521"/>
      <c r="S72" s="521"/>
      <c r="T72" s="521"/>
      <c r="U72" s="521"/>
      <c r="V72" s="521"/>
      <c r="W72" s="521"/>
      <c r="X72" s="521"/>
      <c r="Y72" s="521"/>
      <c r="Z72" s="521"/>
      <c r="AA72" s="521"/>
      <c r="AB72" s="521"/>
      <c r="AC72" s="521"/>
      <c r="AD72" s="521"/>
      <c r="AE72" s="521"/>
      <c r="AF72" s="521"/>
      <c r="AG72" s="521"/>
      <c r="AH72" s="521"/>
      <c r="AI72" s="522"/>
      <c r="AJ72" s="521"/>
      <c r="AK72" s="521"/>
      <c r="AL72" s="521"/>
      <c r="AM72" s="521"/>
      <c r="AN72" s="521"/>
      <c r="AO72" s="521"/>
      <c r="AP72" s="521"/>
      <c r="AQ72" s="521"/>
      <c r="AR72" s="521"/>
      <c r="AS72" s="521"/>
    </row>
    <row r="73" spans="2:45" s="662" customFormat="1" ht="16" customHeight="1">
      <c r="B73" s="886"/>
      <c r="C73" s="950"/>
      <c r="D73" s="952"/>
      <c r="E73" s="961"/>
      <c r="F73" s="963"/>
      <c r="G73" s="956"/>
      <c r="H73" s="952"/>
      <c r="I73" s="948"/>
      <c r="J73" s="566" t="s">
        <v>348</v>
      </c>
      <c r="K73" s="883">
        <v>1100</v>
      </c>
      <c r="L73" s="611"/>
      <c r="M73" s="612"/>
      <c r="N73" s="521"/>
      <c r="O73" s="521"/>
      <c r="P73" s="521"/>
      <c r="Q73" s="521"/>
      <c r="R73" s="521"/>
      <c r="S73" s="521"/>
      <c r="T73" s="521"/>
      <c r="U73" s="521"/>
      <c r="V73" s="521"/>
      <c r="W73" s="521"/>
      <c r="X73" s="521"/>
      <c r="Y73" s="521"/>
      <c r="Z73" s="521"/>
      <c r="AA73" s="521"/>
      <c r="AB73" s="521"/>
      <c r="AC73" s="521"/>
      <c r="AD73" s="521"/>
      <c r="AE73" s="521"/>
      <c r="AF73" s="521"/>
      <c r="AG73" s="521"/>
      <c r="AH73" s="521"/>
      <c r="AI73" s="522"/>
      <c r="AJ73" s="521"/>
      <c r="AK73" s="521"/>
      <c r="AL73" s="521"/>
      <c r="AM73" s="521"/>
      <c r="AN73" s="521"/>
      <c r="AO73" s="521"/>
      <c r="AP73" s="521"/>
      <c r="AQ73" s="521"/>
      <c r="AR73" s="521"/>
      <c r="AS73" s="521"/>
    </row>
    <row r="74" spans="2:45" s="662" customFormat="1" ht="20.149999999999999" customHeight="1">
      <c r="B74" s="751"/>
      <c r="C74" s="613" t="s">
        <v>349</v>
      </c>
      <c r="D74" s="614">
        <v>2.5</v>
      </c>
      <c r="E74" s="656"/>
      <c r="F74" s="889" t="s">
        <v>350</v>
      </c>
      <c r="G74" s="890"/>
      <c r="H74" s="891"/>
      <c r="I74" s="682">
        <v>5</v>
      </c>
      <c r="J74" s="574" t="s">
        <v>351</v>
      </c>
      <c r="K74" s="639">
        <v>359</v>
      </c>
      <c r="L74" s="645"/>
      <c r="M74" s="615"/>
      <c r="N74" s="521"/>
      <c r="O74" s="521"/>
      <c r="P74" s="521"/>
      <c r="Q74" s="521"/>
      <c r="R74" s="521"/>
      <c r="S74" s="521"/>
      <c r="T74" s="521"/>
      <c r="U74" s="521"/>
      <c r="V74" s="521"/>
      <c r="W74" s="521"/>
      <c r="X74" s="521"/>
      <c r="Y74" s="521"/>
      <c r="Z74" s="521"/>
      <c r="AA74" s="521"/>
      <c r="AB74" s="521"/>
      <c r="AC74" s="521"/>
      <c r="AD74" s="521"/>
      <c r="AE74" s="521"/>
      <c r="AF74" s="521"/>
      <c r="AG74" s="521"/>
      <c r="AH74" s="521"/>
      <c r="AI74" s="522"/>
      <c r="AJ74" s="521"/>
      <c r="AK74" s="521"/>
      <c r="AL74" s="521"/>
      <c r="AM74" s="521"/>
      <c r="AN74" s="521"/>
      <c r="AO74" s="521"/>
      <c r="AP74" s="521"/>
      <c r="AQ74" s="521"/>
      <c r="AR74" s="521"/>
      <c r="AS74" s="521"/>
    </row>
    <row r="75" spans="2:45" s="662" customFormat="1" ht="20.149999999999999" customHeight="1">
      <c r="B75" s="744"/>
      <c r="C75" s="536" t="s">
        <v>352</v>
      </c>
      <c r="D75" s="637">
        <v>2.48</v>
      </c>
      <c r="E75" s="657"/>
      <c r="F75" s="892" t="s">
        <v>353</v>
      </c>
      <c r="G75" s="893"/>
      <c r="H75" s="894"/>
      <c r="I75" s="682">
        <v>10</v>
      </c>
      <c r="J75" s="716" t="s">
        <v>354</v>
      </c>
      <c r="K75" s="639">
        <v>1052</v>
      </c>
      <c r="L75" s="540"/>
      <c r="M75" s="615"/>
      <c r="N75" s="521"/>
      <c r="O75" s="521"/>
      <c r="P75" s="521"/>
      <c r="Q75" s="521"/>
      <c r="R75" s="521"/>
      <c r="S75" s="521"/>
      <c r="T75" s="521"/>
      <c r="U75" s="521"/>
      <c r="V75" s="521"/>
      <c r="W75" s="521"/>
      <c r="X75" s="521"/>
      <c r="Y75" s="521"/>
      <c r="Z75" s="521"/>
      <c r="AA75" s="521"/>
      <c r="AB75" s="521"/>
      <c r="AC75" s="521"/>
      <c r="AD75" s="521"/>
      <c r="AE75" s="521"/>
      <c r="AF75" s="521"/>
      <c r="AG75" s="521"/>
      <c r="AH75" s="521"/>
      <c r="AI75" s="522"/>
      <c r="AJ75" s="521" t="e">
        <v>#N/A</v>
      </c>
      <c r="AK75" s="521" t="e">
        <v>#N/A</v>
      </c>
      <c r="AL75" s="521"/>
      <c r="AM75" s="521" t="s">
        <v>355</v>
      </c>
      <c r="AN75" s="521"/>
      <c r="AO75" s="521"/>
      <c r="AP75" s="521"/>
      <c r="AQ75" s="521"/>
      <c r="AR75" s="521"/>
      <c r="AS75" s="521"/>
    </row>
    <row r="76" spans="2:45" s="662" customFormat="1" ht="20.149999999999999" customHeight="1">
      <c r="B76" s="744"/>
      <c r="C76" s="536" t="s">
        <v>356</v>
      </c>
      <c r="D76" s="637">
        <v>2.2000000000000002</v>
      </c>
      <c r="E76" s="657"/>
      <c r="F76" s="892" t="s">
        <v>357</v>
      </c>
      <c r="G76" s="894"/>
      <c r="H76" s="538">
        <v>0</v>
      </c>
      <c r="I76" s="682">
        <v>0</v>
      </c>
      <c r="J76" s="539" t="s">
        <v>358</v>
      </c>
      <c r="K76" s="583" t="s">
        <v>359</v>
      </c>
      <c r="L76" s="723"/>
      <c r="M76" s="615"/>
      <c r="N76" s="521"/>
      <c r="O76" s="521"/>
      <c r="P76" s="521"/>
      <c r="Q76" s="521"/>
      <c r="R76" s="521"/>
      <c r="S76" s="521"/>
      <c r="T76" s="521"/>
      <c r="U76" s="521"/>
      <c r="V76" s="521"/>
      <c r="W76" s="521"/>
      <c r="X76" s="521"/>
      <c r="Y76" s="521"/>
      <c r="Z76" s="521"/>
      <c r="AA76" s="521"/>
      <c r="AB76" s="521"/>
      <c r="AC76" s="521"/>
      <c r="AD76" s="521"/>
      <c r="AE76" s="521"/>
      <c r="AF76" s="521"/>
      <c r="AG76" s="521"/>
      <c r="AH76" s="521"/>
      <c r="AI76" s="522"/>
      <c r="AJ76" s="521"/>
      <c r="AK76" s="521"/>
      <c r="AL76" s="521"/>
      <c r="AM76" s="521"/>
      <c r="AN76" s="521"/>
      <c r="AO76" s="521"/>
      <c r="AP76" s="521"/>
      <c r="AQ76" s="521"/>
      <c r="AR76" s="521"/>
      <c r="AS76" s="521"/>
    </row>
    <row r="77" spans="2:45" s="662" customFormat="1" ht="20.149999999999999" customHeight="1">
      <c r="B77" s="744"/>
      <c r="C77" s="536" t="s">
        <v>360</v>
      </c>
      <c r="D77" s="637">
        <v>2.41</v>
      </c>
      <c r="E77" s="658"/>
      <c r="F77" s="892" t="s">
        <v>361</v>
      </c>
      <c r="G77" s="894"/>
      <c r="H77" s="538" t="s">
        <v>362</v>
      </c>
      <c r="I77" s="682">
        <f ca="1">101+RANDBETWEEN(-3,1)/10</f>
        <v>101</v>
      </c>
      <c r="J77" s="574" t="s">
        <v>363</v>
      </c>
      <c r="K77" s="562" t="s">
        <v>364</v>
      </c>
      <c r="L77" s="711">
        <f ca="1">101+RANDBETWEEN(-1,2)/10</f>
        <v>100.9</v>
      </c>
      <c r="M77" s="615"/>
      <c r="N77" s="521"/>
      <c r="O77" s="521"/>
      <c r="P77" s="521"/>
      <c r="Q77" s="521"/>
      <c r="R77" s="521"/>
      <c r="S77" s="521"/>
      <c r="T77" s="521"/>
      <c r="U77" s="521"/>
      <c r="V77" s="521"/>
      <c r="W77" s="521"/>
      <c r="X77" s="521"/>
      <c r="Y77" s="521"/>
      <c r="Z77" s="521"/>
      <c r="AA77" s="521"/>
      <c r="AB77" s="521"/>
      <c r="AC77" s="521"/>
      <c r="AD77" s="521"/>
      <c r="AE77" s="521"/>
      <c r="AF77" s="521"/>
      <c r="AG77" s="521"/>
      <c r="AH77" s="521"/>
      <c r="AI77" s="522"/>
      <c r="AJ77" s="521"/>
      <c r="AK77" s="521"/>
      <c r="AL77" s="521"/>
      <c r="AM77" s="521"/>
      <c r="AN77" s="521"/>
      <c r="AO77" s="521"/>
      <c r="AP77" s="521"/>
      <c r="AQ77" s="521"/>
      <c r="AR77" s="521"/>
      <c r="AS77" s="521"/>
    </row>
    <row r="78" spans="2:45" s="662" customFormat="1" ht="16" customHeight="1">
      <c r="B78" s="885"/>
      <c r="C78" s="949" t="s">
        <v>365</v>
      </c>
      <c r="D78" s="951" t="s">
        <v>366</v>
      </c>
      <c r="E78" s="957">
        <f>E66</f>
        <v>270</v>
      </c>
      <c r="F78" s="955">
        <f>G72</f>
        <v>0.82916666666666661</v>
      </c>
      <c r="G78" s="955">
        <f>IF(ISBLANK($F$72),"",F78+TIME(0,H78,0))</f>
        <v>0.84652777777777777</v>
      </c>
      <c r="H78" s="951">
        <v>25</v>
      </c>
      <c r="I78" s="947">
        <f>IF(ISBLANK($F$72),"",(G78-F78)*24*60)</f>
        <v>25.000000000000071</v>
      </c>
      <c r="J78" s="566" t="s">
        <v>347</v>
      </c>
      <c r="K78" s="479">
        <v>750</v>
      </c>
      <c r="L78" s="558"/>
      <c r="M78" s="593"/>
      <c r="N78" s="521"/>
      <c r="O78" s="521">
        <f>K78*45/60</f>
        <v>562.5</v>
      </c>
      <c r="P78" s="521"/>
      <c r="Q78" s="521"/>
      <c r="R78" s="521"/>
      <c r="S78" s="521"/>
      <c r="T78" s="616"/>
      <c r="U78" s="521"/>
      <c r="V78" s="521"/>
      <c r="W78" s="521"/>
      <c r="X78" s="521"/>
      <c r="Y78" s="521"/>
      <c r="Z78" s="521"/>
      <c r="AA78" s="521"/>
      <c r="AB78" s="521"/>
      <c r="AC78" s="521"/>
      <c r="AD78" s="521"/>
      <c r="AE78" s="521"/>
      <c r="AF78" s="521"/>
      <c r="AG78" s="521"/>
      <c r="AH78" s="521"/>
      <c r="AI78" s="522"/>
      <c r="AJ78" s="521"/>
      <c r="AK78" s="521"/>
      <c r="AL78" s="521"/>
      <c r="AM78" s="521"/>
      <c r="AN78" s="521"/>
      <c r="AO78" s="433"/>
      <c r="AP78" s="433"/>
      <c r="AQ78" s="433"/>
      <c r="AR78" s="896"/>
      <c r="AS78" s="896"/>
    </row>
    <row r="79" spans="2:45" s="662" customFormat="1" ht="16" customHeight="1">
      <c r="B79" s="886"/>
      <c r="C79" s="950"/>
      <c r="D79" s="952"/>
      <c r="E79" s="958"/>
      <c r="F79" s="956"/>
      <c r="G79" s="956"/>
      <c r="H79" s="952"/>
      <c r="I79" s="948"/>
      <c r="J79" s="566" t="s">
        <v>348</v>
      </c>
      <c r="K79" s="479">
        <v>450</v>
      </c>
      <c r="L79" s="558"/>
      <c r="M79" s="593"/>
      <c r="N79" s="521"/>
      <c r="O79" s="521"/>
      <c r="P79" s="521"/>
      <c r="Q79" s="521"/>
      <c r="R79" s="521"/>
      <c r="S79" s="521"/>
      <c r="T79" s="616"/>
      <c r="U79" s="521"/>
      <c r="V79" s="521"/>
      <c r="W79" s="521"/>
      <c r="X79" s="521"/>
      <c r="Y79" s="521"/>
      <c r="Z79" s="521"/>
      <c r="AA79" s="521"/>
      <c r="AB79" s="521"/>
      <c r="AC79" s="521"/>
      <c r="AD79" s="521"/>
      <c r="AE79" s="521"/>
      <c r="AF79" s="521"/>
      <c r="AG79" s="521"/>
      <c r="AH79" s="521"/>
      <c r="AI79" s="522"/>
      <c r="AJ79" s="521"/>
      <c r="AK79" s="521"/>
      <c r="AL79" s="521"/>
      <c r="AM79" s="521">
        <v>17</v>
      </c>
      <c r="AN79" s="521">
        <v>8</v>
      </c>
      <c r="AO79" s="521"/>
      <c r="AP79" s="617"/>
      <c r="AQ79" s="617"/>
      <c r="AR79" s="618"/>
      <c r="AS79" s="521"/>
    </row>
    <row r="80" spans="2:45" s="662" customFormat="1" ht="16" customHeight="1">
      <c r="B80" s="885"/>
      <c r="C80" s="949" t="s">
        <v>367</v>
      </c>
      <c r="D80" s="951" t="s">
        <v>366</v>
      </c>
      <c r="E80" s="953"/>
      <c r="F80" s="955">
        <f>G78</f>
        <v>0.84652777777777777</v>
      </c>
      <c r="G80" s="955">
        <f>IF(ISBLANK($F$72),"",F80+TIME(0,H80,0))</f>
        <v>0.86041666666666661</v>
      </c>
      <c r="H80" s="951">
        <v>20</v>
      </c>
      <c r="I80" s="947">
        <f>IF(ISBLANK($F$72),"",(G80-F80)*24*60)</f>
        <v>19.999999999999929</v>
      </c>
      <c r="J80" s="566" t="s">
        <v>347</v>
      </c>
      <c r="K80" s="479">
        <v>1700</v>
      </c>
      <c r="L80" s="558"/>
      <c r="M80" s="593"/>
      <c r="N80" s="521"/>
      <c r="O80" s="521">
        <f>K80*45/60</f>
        <v>1275</v>
      </c>
      <c r="P80" s="521"/>
      <c r="Q80" s="521"/>
      <c r="R80" s="521"/>
      <c r="S80" s="521"/>
      <c r="T80" s="616"/>
      <c r="U80" s="521"/>
      <c r="V80" s="521"/>
      <c r="W80" s="521"/>
      <c r="X80" s="521"/>
      <c r="Y80" s="521"/>
      <c r="Z80" s="521"/>
      <c r="AA80" s="521"/>
      <c r="AB80" s="521"/>
      <c r="AC80" s="521"/>
      <c r="AD80" s="521"/>
      <c r="AE80" s="521"/>
      <c r="AF80" s="521"/>
      <c r="AG80" s="521"/>
      <c r="AH80" s="521"/>
      <c r="AI80" s="522"/>
      <c r="AJ80" s="521"/>
      <c r="AK80" s="521"/>
      <c r="AL80" s="521"/>
      <c r="AM80" s="521">
        <v>4</v>
      </c>
      <c r="AN80" s="521">
        <v>23</v>
      </c>
      <c r="AO80" s="433"/>
      <c r="AP80" s="433"/>
      <c r="AQ80" s="433"/>
      <c r="AR80" s="896"/>
      <c r="AS80" s="896"/>
    </row>
    <row r="81" spans="2:45" s="662" customFormat="1" ht="16" customHeight="1">
      <c r="B81" s="886"/>
      <c r="C81" s="950"/>
      <c r="D81" s="952"/>
      <c r="E81" s="954"/>
      <c r="F81" s="956"/>
      <c r="G81" s="956"/>
      <c r="H81" s="952"/>
      <c r="I81" s="948"/>
      <c r="J81" s="566" t="s">
        <v>348</v>
      </c>
      <c r="K81" s="479">
        <v>1100</v>
      </c>
      <c r="L81" s="558"/>
      <c r="M81" s="593"/>
      <c r="N81" s="521"/>
      <c r="O81" s="521"/>
      <c r="P81" s="521"/>
      <c r="Q81" s="521"/>
      <c r="R81" s="521"/>
      <c r="S81" s="521"/>
      <c r="T81" s="616"/>
      <c r="U81" s="521"/>
      <c r="V81" s="521"/>
      <c r="W81" s="521"/>
      <c r="X81" s="521"/>
      <c r="Y81" s="521"/>
      <c r="Z81" s="521"/>
      <c r="AA81" s="521"/>
      <c r="AB81" s="521"/>
      <c r="AC81" s="521"/>
      <c r="AD81" s="521"/>
      <c r="AE81" s="521"/>
      <c r="AF81" s="521"/>
      <c r="AG81" s="521"/>
      <c r="AH81" s="521"/>
      <c r="AI81" s="522"/>
      <c r="AJ81" s="521"/>
      <c r="AK81" s="521"/>
      <c r="AL81" s="521"/>
      <c r="AM81" s="521"/>
      <c r="AN81" s="521">
        <v>17</v>
      </c>
      <c r="AO81" s="521">
        <v>161</v>
      </c>
      <c r="AP81" s="617"/>
      <c r="AQ81" s="617"/>
      <c r="AR81" s="618"/>
      <c r="AS81" s="521"/>
    </row>
    <row r="82" spans="2:45" s="662" customFormat="1" ht="18.649999999999999" customHeight="1">
      <c r="B82" s="846"/>
      <c r="C82" s="613" t="s">
        <v>368</v>
      </c>
      <c r="D82" s="850">
        <v>2.1</v>
      </c>
      <c r="E82" s="847"/>
      <c r="F82" s="848"/>
      <c r="G82" s="848"/>
      <c r="H82" s="849"/>
      <c r="I82" s="849"/>
      <c r="J82" s="883"/>
      <c r="K82" s="883"/>
      <c r="L82" s="611"/>
      <c r="M82" s="593"/>
      <c r="N82" s="521"/>
      <c r="O82" s="521"/>
      <c r="P82" s="521"/>
      <c r="Q82" s="521"/>
      <c r="R82" s="521"/>
      <c r="S82" s="521"/>
      <c r="T82" s="616"/>
      <c r="U82" s="521"/>
      <c r="V82" s="521"/>
      <c r="W82" s="521"/>
      <c r="X82" s="521"/>
      <c r="Y82" s="521"/>
      <c r="Z82" s="521"/>
      <c r="AA82" s="521"/>
      <c r="AB82" s="521"/>
      <c r="AC82" s="521"/>
      <c r="AD82" s="521"/>
      <c r="AE82" s="521"/>
      <c r="AF82" s="521"/>
      <c r="AG82" s="521"/>
      <c r="AH82" s="521"/>
      <c r="AI82" s="522"/>
      <c r="AJ82" s="521"/>
      <c r="AK82" s="521"/>
      <c r="AL82" s="521"/>
      <c r="AM82" s="521"/>
      <c r="AN82" s="521"/>
      <c r="AO82" s="521"/>
      <c r="AP82" s="617"/>
      <c r="AQ82" s="617"/>
      <c r="AR82" s="618"/>
      <c r="AS82" s="521"/>
    </row>
    <row r="83" spans="2:45" s="662" customFormat="1" ht="28" customHeight="1">
      <c r="B83" s="744"/>
      <c r="C83" s="536" t="s">
        <v>369</v>
      </c>
      <c r="D83" s="679">
        <v>152</v>
      </c>
      <c r="E83" s="537"/>
      <c r="F83" s="683" t="s">
        <v>370</v>
      </c>
      <c r="G83" s="684" t="s">
        <v>371</v>
      </c>
      <c r="H83" s="897" t="s">
        <v>372</v>
      </c>
      <c r="I83" s="898" t="s">
        <v>373</v>
      </c>
      <c r="J83" s="716" t="s">
        <v>374</v>
      </c>
      <c r="K83" s="840">
        <f>IF(K86="","",K86-K75-K74)</f>
        <v>1366</v>
      </c>
      <c r="L83" s="645"/>
      <c r="M83" s="531"/>
      <c r="N83" s="521"/>
      <c r="O83" s="521"/>
      <c r="P83" s="521"/>
      <c r="Q83" s="521"/>
      <c r="R83" s="521"/>
      <c r="S83" s="521"/>
      <c r="T83" s="619"/>
      <c r="U83" s="521"/>
      <c r="V83" s="521"/>
      <c r="W83" s="521"/>
      <c r="X83" s="521"/>
      <c r="Y83" s="521"/>
      <c r="Z83" s="521"/>
      <c r="AA83" s="521"/>
      <c r="AB83" s="521"/>
      <c r="AC83" s="521"/>
      <c r="AD83" s="521"/>
      <c r="AE83" s="521"/>
      <c r="AF83" s="521"/>
      <c r="AG83" s="521"/>
      <c r="AH83" s="521"/>
      <c r="AI83" s="522">
        <f>82.3*1.1</f>
        <v>90.53</v>
      </c>
      <c r="AJ83" s="521"/>
      <c r="AK83" s="521"/>
      <c r="AL83" s="521">
        <f>AI84-AI83</f>
        <v>6.0499999999999972</v>
      </c>
      <c r="AM83" s="521"/>
      <c r="AN83" s="521">
        <v>23</v>
      </c>
      <c r="AO83" s="521">
        <v>50</v>
      </c>
      <c r="AP83" s="617"/>
      <c r="AQ83" s="617"/>
      <c r="AR83" s="618"/>
      <c r="AS83" s="521"/>
    </row>
    <row r="84" spans="2:45" s="662" customFormat="1" ht="25.5" customHeight="1">
      <c r="B84" s="744"/>
      <c r="C84" s="536" t="s">
        <v>375</v>
      </c>
      <c r="D84" s="620" t="s">
        <v>376</v>
      </c>
      <c r="E84" s="646">
        <v>245</v>
      </c>
      <c r="F84" s="648">
        <f>G80</f>
        <v>0.86041666666666661</v>
      </c>
      <c r="G84" s="648"/>
      <c r="H84" s="448">
        <v>9</v>
      </c>
      <c r="I84" s="685">
        <f>IF(ISBLANK($F$72),"",(F88-F84)*24*60)</f>
        <v>9.9999999999999645</v>
      </c>
      <c r="J84" s="539" t="s">
        <v>377</v>
      </c>
      <c r="K84" s="557">
        <v>18</v>
      </c>
      <c r="L84" s="742"/>
      <c r="M84" s="531"/>
      <c r="N84" s="521"/>
      <c r="O84" s="521"/>
      <c r="P84" s="521"/>
      <c r="Q84" s="521"/>
      <c r="R84" s="616"/>
      <c r="S84" s="521"/>
      <c r="T84" s="532"/>
      <c r="U84" s="521"/>
      <c r="V84" s="521"/>
      <c r="W84" s="521"/>
      <c r="X84" s="521"/>
      <c r="Y84" s="521"/>
      <c r="Z84" s="521"/>
      <c r="AA84" s="521"/>
      <c r="AB84" s="521"/>
      <c r="AC84" s="521"/>
      <c r="AD84" s="521"/>
      <c r="AE84" s="521"/>
      <c r="AF84" s="521"/>
      <c r="AG84" s="521"/>
      <c r="AH84" s="521"/>
      <c r="AI84" s="522">
        <f>87.8*1.1</f>
        <v>96.58</v>
      </c>
      <c r="AJ84" s="521"/>
      <c r="AK84" s="521"/>
      <c r="AL84" s="521">
        <f>AI85-AI84</f>
        <v>35.42</v>
      </c>
      <c r="AM84" s="521"/>
      <c r="AN84" s="521">
        <f>161/23</f>
        <v>7</v>
      </c>
      <c r="AO84" s="521"/>
      <c r="AP84" s="617"/>
      <c r="AQ84" s="617"/>
      <c r="AR84" s="618"/>
      <c r="AS84" s="521"/>
    </row>
    <row r="85" spans="2:45" s="662" customFormat="1" ht="24" customHeight="1">
      <c r="B85" s="744"/>
      <c r="C85" s="536" t="s">
        <v>378</v>
      </c>
      <c r="D85" s="448">
        <v>5</v>
      </c>
      <c r="E85" s="651"/>
      <c r="F85" s="648"/>
      <c r="G85" s="648"/>
      <c r="H85" s="448">
        <v>1.1111111111111112</v>
      </c>
      <c r="I85" s="448"/>
      <c r="J85" s="566" t="s">
        <v>379</v>
      </c>
      <c r="K85" s="621" t="s">
        <v>380</v>
      </c>
      <c r="L85" s="743"/>
      <c r="M85" s="531"/>
      <c r="N85" s="521"/>
      <c r="O85" s="521"/>
      <c r="P85" s="521"/>
      <c r="Q85" s="521"/>
      <c r="R85" s="521"/>
      <c r="S85" s="521"/>
      <c r="T85" s="521"/>
      <c r="U85" s="521"/>
      <c r="V85" s="521"/>
      <c r="W85" s="521"/>
      <c r="X85" s="521"/>
      <c r="Y85" s="521"/>
      <c r="Z85" s="521"/>
      <c r="AA85" s="521"/>
      <c r="AB85" s="521"/>
      <c r="AC85" s="521"/>
      <c r="AD85" s="521"/>
      <c r="AE85" s="521"/>
      <c r="AF85" s="521"/>
      <c r="AG85" s="521"/>
      <c r="AH85" s="521"/>
      <c r="AI85" s="522">
        <f>120*1.1</f>
        <v>132</v>
      </c>
      <c r="AJ85" s="521"/>
      <c r="AK85" s="521"/>
      <c r="AL85" s="521">
        <f>AI86-AI85</f>
        <v>12.870000000000005</v>
      </c>
      <c r="AM85" s="521"/>
      <c r="AN85" s="521"/>
      <c r="AO85" s="521"/>
      <c r="AP85" s="617"/>
      <c r="AQ85" s="617"/>
      <c r="AR85" s="618"/>
      <c r="AS85" s="521"/>
    </row>
    <row r="86" spans="2:45" s="662" customFormat="1" ht="21.75" customHeight="1" thickBot="1">
      <c r="B86" s="755"/>
      <c r="C86" s="756" t="s">
        <v>381</v>
      </c>
      <c r="D86" s="882"/>
      <c r="E86" s="647"/>
      <c r="F86" s="647"/>
      <c r="G86" s="647"/>
      <c r="H86" s="882">
        <v>100.11111111111111</v>
      </c>
      <c r="I86" s="882"/>
      <c r="J86" s="757" t="s">
        <v>259</v>
      </c>
      <c r="K86" s="639">
        <v>2777</v>
      </c>
      <c r="L86" s="758"/>
      <c r="M86" s="531"/>
      <c r="N86" s="521"/>
      <c r="O86" s="521"/>
      <c r="P86" s="521"/>
      <c r="Q86" s="521"/>
      <c r="R86" s="521"/>
      <c r="S86" s="521"/>
      <c r="T86" s="521"/>
      <c r="U86" s="521"/>
      <c r="V86" s="521"/>
      <c r="W86" s="521"/>
      <c r="X86" s="521"/>
      <c r="Y86" s="521"/>
      <c r="Z86" s="521"/>
      <c r="AA86" s="521"/>
      <c r="AB86" s="521"/>
      <c r="AC86" s="521"/>
      <c r="AD86" s="521"/>
      <c r="AE86" s="521"/>
      <c r="AF86" s="521"/>
      <c r="AG86" s="521"/>
      <c r="AH86" s="521"/>
      <c r="AI86" s="522">
        <f>131.7*1.1</f>
        <v>144.87</v>
      </c>
      <c r="AJ86" s="521"/>
      <c r="AK86" s="521"/>
      <c r="AL86" s="521">
        <f>AI87-AI86</f>
        <v>-144.87</v>
      </c>
      <c r="AM86" s="521"/>
      <c r="AN86" s="521"/>
      <c r="AO86" s="523"/>
      <c r="AP86" s="521"/>
      <c r="AQ86" s="622"/>
      <c r="AR86" s="896"/>
      <c r="AS86" s="521"/>
    </row>
    <row r="87" spans="2:45" s="662" customFormat="1" ht="12" thickBot="1">
      <c r="B87" s="770"/>
      <c r="C87" s="941" t="s">
        <v>382</v>
      </c>
      <c r="D87" s="942"/>
      <c r="E87" s="942"/>
      <c r="F87" s="942"/>
      <c r="G87" s="942"/>
      <c r="H87" s="942"/>
      <c r="I87" s="942"/>
      <c r="J87" s="942"/>
      <c r="K87" s="942"/>
      <c r="L87" s="943"/>
      <c r="M87" s="582"/>
      <c r="N87" s="521"/>
      <c r="O87" s="521"/>
      <c r="P87" s="521"/>
      <c r="Q87" s="521"/>
      <c r="R87" s="521"/>
      <c r="S87" s="521"/>
      <c r="T87" s="521"/>
      <c r="U87" s="521"/>
      <c r="V87" s="521"/>
      <c r="W87" s="521"/>
      <c r="X87" s="521"/>
      <c r="Y87" s="521"/>
      <c r="Z87" s="521"/>
      <c r="AA87" s="521"/>
      <c r="AB87" s="521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  <c r="AP87" s="521"/>
      <c r="AQ87" s="521"/>
      <c r="AR87" s="521"/>
      <c r="AS87" s="521"/>
    </row>
    <row r="88" spans="2:45" s="662" customFormat="1" ht="23.25" customHeight="1">
      <c r="B88" s="745"/>
      <c r="C88" s="594" t="s">
        <v>383</v>
      </c>
      <c r="D88" s="882"/>
      <c r="E88" s="647"/>
      <c r="F88" s="888">
        <f>IF(ISBLANK(F72),"",F84+TIME(0,H84+H85,0))</f>
        <v>0.86736111111111103</v>
      </c>
      <c r="G88" s="888">
        <f>IF(ISBLANK($F$72),"",F88+TIME(0,H88,0))</f>
        <v>0.87430555555555545</v>
      </c>
      <c r="H88" s="544">
        <v>10</v>
      </c>
      <c r="I88" s="764">
        <f>IF(ISBLANK($F$72),"",(G88-F88)*24*60)</f>
        <v>9.9999999999999645</v>
      </c>
      <c r="J88" s="543"/>
      <c r="K88" s="765"/>
      <c r="L88" s="766"/>
      <c r="M88" s="531"/>
      <c r="N88" s="521"/>
      <c r="O88" s="521"/>
      <c r="P88" s="521"/>
      <c r="Q88" s="521"/>
      <c r="R88" s="521"/>
      <c r="S88" s="521"/>
      <c r="T88" s="521"/>
      <c r="U88" s="521"/>
      <c r="V88" s="521"/>
      <c r="W88" s="521"/>
      <c r="X88" s="521"/>
      <c r="Y88" s="521"/>
      <c r="Z88" s="521"/>
      <c r="AA88" s="521"/>
      <c r="AB88" s="521"/>
      <c r="AC88" s="521"/>
      <c r="AD88" s="521"/>
      <c r="AE88" s="521"/>
      <c r="AF88" s="521"/>
      <c r="AG88" s="521"/>
      <c r="AH88" s="521"/>
      <c r="AI88" s="522"/>
      <c r="AJ88" s="521"/>
      <c r="AK88" s="521"/>
      <c r="AL88" s="521"/>
      <c r="AM88" s="521"/>
      <c r="AN88" s="521"/>
      <c r="AO88" s="521"/>
      <c r="AP88" s="521"/>
      <c r="AQ88" s="521"/>
      <c r="AR88" s="521"/>
      <c r="AS88" s="521"/>
    </row>
    <row r="89" spans="2:45" s="662" customFormat="1" ht="19.5" customHeight="1">
      <c r="B89" s="744"/>
      <c r="C89" s="536" t="s">
        <v>384</v>
      </c>
      <c r="D89" s="448"/>
      <c r="E89" s="651"/>
      <c r="F89" s="648"/>
      <c r="G89" s="648"/>
      <c r="H89" s="448">
        <v>50</v>
      </c>
      <c r="I89" s="448"/>
      <c r="J89" s="539" t="s">
        <v>385</v>
      </c>
      <c r="K89" s="479">
        <v>269</v>
      </c>
      <c r="L89" s="540"/>
      <c r="M89" s="531"/>
      <c r="N89" s="521"/>
      <c r="O89" s="521"/>
      <c r="P89" s="521"/>
      <c r="Q89" s="521"/>
      <c r="R89" s="521"/>
      <c r="S89" s="521"/>
      <c r="T89" s="521"/>
      <c r="U89" s="521"/>
      <c r="V89" s="521"/>
      <c r="W89" s="521"/>
      <c r="X89" s="521"/>
      <c r="Y89" s="521"/>
      <c r="Z89" s="521"/>
      <c r="AA89" s="521"/>
      <c r="AB89" s="521"/>
      <c r="AC89" s="521"/>
      <c r="AD89" s="521"/>
      <c r="AE89" s="521"/>
      <c r="AF89" s="521"/>
      <c r="AG89" s="521"/>
      <c r="AH89" s="521"/>
      <c r="AI89" s="522"/>
      <c r="AJ89" s="521"/>
      <c r="AK89" s="521"/>
      <c r="AL89" s="521"/>
      <c r="AM89" s="521"/>
      <c r="AN89" s="521"/>
      <c r="AO89" s="521"/>
      <c r="AP89" s="521"/>
      <c r="AQ89" s="521"/>
      <c r="AR89" s="521"/>
      <c r="AS89" s="521"/>
    </row>
    <row r="90" spans="2:45" s="662" customFormat="1" ht="18.75" customHeight="1">
      <c r="B90" s="744"/>
      <c r="C90" s="539" t="s">
        <v>386</v>
      </c>
      <c r="D90" s="448"/>
      <c r="E90" s="651"/>
      <c r="F90" s="648"/>
      <c r="G90" s="648"/>
      <c r="H90" s="448">
        <v>15</v>
      </c>
      <c r="I90" s="448"/>
      <c r="J90" s="448"/>
      <c r="K90" s="448"/>
      <c r="L90" s="558"/>
      <c r="M90" s="531"/>
      <c r="N90" s="521"/>
      <c r="O90" s="521"/>
      <c r="P90" s="521"/>
      <c r="Q90" s="521"/>
      <c r="R90" s="521"/>
      <c r="S90" s="521"/>
      <c r="T90" s="521"/>
      <c r="U90" s="521"/>
      <c r="V90" s="521"/>
      <c r="W90" s="521"/>
      <c r="X90" s="521"/>
      <c r="Y90" s="521"/>
      <c r="Z90" s="521"/>
      <c r="AA90" s="521"/>
      <c r="AB90" s="521"/>
      <c r="AC90" s="521"/>
      <c r="AD90" s="521"/>
      <c r="AE90" s="521"/>
      <c r="AF90" s="521"/>
      <c r="AG90" s="521"/>
      <c r="AH90" s="521"/>
      <c r="AI90" s="522"/>
      <c r="AJ90" s="521"/>
      <c r="AK90" s="521"/>
      <c r="AL90" s="521"/>
      <c r="AM90" s="521"/>
      <c r="AN90" s="521"/>
      <c r="AO90" s="521"/>
      <c r="AP90" s="521"/>
      <c r="AQ90" s="521"/>
      <c r="AR90" s="521"/>
      <c r="AS90" s="521"/>
    </row>
    <row r="91" spans="2:45" s="662" customFormat="1" ht="17.25" customHeight="1">
      <c r="B91" s="744"/>
      <c r="C91" s="539" t="s">
        <v>387</v>
      </c>
      <c r="D91" s="448"/>
      <c r="E91" s="651"/>
      <c r="F91" s="648"/>
      <c r="G91" s="648"/>
      <c r="H91" s="448">
        <v>0</v>
      </c>
      <c r="I91" s="448"/>
      <c r="J91" s="623" t="s">
        <v>388</v>
      </c>
      <c r="K91" s="704">
        <v>18.28</v>
      </c>
      <c r="L91" s="558"/>
      <c r="M91" s="531"/>
      <c r="N91" s="521"/>
      <c r="O91" s="521"/>
      <c r="P91" s="521"/>
      <c r="Q91" s="521"/>
      <c r="R91" s="521"/>
      <c r="S91" s="521"/>
      <c r="T91" s="521"/>
      <c r="U91" s="521"/>
      <c r="V91" s="521"/>
      <c r="W91" s="521"/>
      <c r="X91" s="521"/>
      <c r="Y91" s="521"/>
      <c r="Z91" s="521"/>
      <c r="AA91" s="521"/>
      <c r="AB91" s="521"/>
      <c r="AC91" s="521"/>
      <c r="AD91" s="521"/>
      <c r="AE91" s="521"/>
      <c r="AF91" s="521"/>
      <c r="AG91" s="521"/>
      <c r="AH91" s="521"/>
      <c r="AI91" s="522"/>
      <c r="AJ91" s="521"/>
      <c r="AK91" s="521"/>
      <c r="AL91" s="521"/>
      <c r="AM91" s="521"/>
      <c r="AN91" s="521"/>
      <c r="AO91" s="521"/>
      <c r="AP91" s="521"/>
      <c r="AQ91" s="521"/>
      <c r="AR91" s="521"/>
      <c r="AS91" s="521"/>
    </row>
    <row r="92" spans="2:45" s="662" customFormat="1" ht="13.5" thickBot="1">
      <c r="B92" s="750"/>
      <c r="C92" s="577" t="s">
        <v>389</v>
      </c>
      <c r="D92" s="624"/>
      <c r="E92" s="659"/>
      <c r="F92" s="655"/>
      <c r="G92" s="655"/>
      <c r="H92" s="578">
        <f>SUM(H88:H91)</f>
        <v>75</v>
      </c>
      <c r="I92" s="578"/>
      <c r="J92" s="579"/>
      <c r="K92" s="448"/>
      <c r="L92" s="558"/>
      <c r="M92" s="531"/>
      <c r="N92" s="521"/>
      <c r="O92" s="521"/>
      <c r="P92" s="521"/>
      <c r="Q92" s="521"/>
      <c r="R92" s="521"/>
      <c r="S92" s="521"/>
      <c r="T92" s="521"/>
      <c r="U92" s="521"/>
      <c r="V92" s="521"/>
      <c r="W92" s="521"/>
      <c r="X92" s="521"/>
      <c r="Y92" s="521"/>
      <c r="Z92" s="521"/>
      <c r="AA92" s="521"/>
      <c r="AB92" s="521"/>
      <c r="AC92" s="521"/>
      <c r="AD92" s="521"/>
      <c r="AE92" s="521"/>
      <c r="AF92" s="521"/>
      <c r="AG92" s="521"/>
      <c r="AH92" s="521"/>
      <c r="AI92" s="522"/>
      <c r="AJ92" s="521"/>
      <c r="AK92" s="521"/>
      <c r="AL92" s="521"/>
      <c r="AM92" s="521"/>
      <c r="AN92" s="521"/>
      <c r="AO92" s="521"/>
      <c r="AP92" s="521"/>
      <c r="AQ92" s="521"/>
      <c r="AR92" s="521"/>
      <c r="AS92" s="521"/>
    </row>
    <row r="93" spans="2:45" s="662" customFormat="1" ht="12" hidden="1" thickBot="1">
      <c r="B93" s="525"/>
      <c r="C93" s="526" t="s">
        <v>390</v>
      </c>
      <c r="D93" s="527"/>
      <c r="E93" s="527"/>
      <c r="F93" s="527"/>
      <c r="G93" s="527"/>
      <c r="H93" s="527"/>
      <c r="I93" s="527"/>
      <c r="J93" s="528"/>
      <c r="K93" s="581"/>
      <c r="L93" s="529"/>
      <c r="M93" s="582"/>
      <c r="N93" s="521"/>
      <c r="O93" s="521"/>
      <c r="P93" s="521"/>
      <c r="Q93" s="521"/>
      <c r="R93" s="521"/>
      <c r="S93" s="521"/>
      <c r="T93" s="521"/>
      <c r="U93" s="521"/>
      <c r="V93" s="521"/>
      <c r="W93" s="521"/>
      <c r="X93" s="521"/>
      <c r="Y93" s="521"/>
      <c r="Z93" s="521"/>
      <c r="AA93" s="521"/>
      <c r="AB93" s="521"/>
      <c r="AC93" s="521"/>
      <c r="AD93" s="521"/>
      <c r="AE93" s="521"/>
      <c r="AF93" s="521"/>
      <c r="AG93" s="521"/>
      <c r="AH93" s="521"/>
      <c r="AI93" s="522"/>
      <c r="AJ93" s="521"/>
      <c r="AK93" s="521"/>
      <c r="AL93" s="521"/>
      <c r="AM93" s="521"/>
      <c r="AN93" s="521"/>
      <c r="AO93" s="521"/>
      <c r="AP93" s="521"/>
      <c r="AQ93" s="521"/>
      <c r="AR93" s="521"/>
      <c r="AS93" s="521"/>
    </row>
    <row r="94" spans="2:45" s="662" customFormat="1" ht="12" hidden="1" thickBot="1">
      <c r="B94" s="759"/>
      <c r="C94" s="760" t="s">
        <v>391</v>
      </c>
      <c r="D94" s="761"/>
      <c r="E94" s="761"/>
      <c r="F94" s="761"/>
      <c r="G94" s="761"/>
      <c r="H94" s="761"/>
      <c r="I94" s="761"/>
      <c r="J94" s="760"/>
      <c r="K94" s="762"/>
      <c r="L94" s="763"/>
      <c r="M94" s="582"/>
      <c r="N94" s="521"/>
      <c r="O94" s="521"/>
      <c r="P94" s="521"/>
      <c r="Q94" s="521"/>
      <c r="R94" s="521"/>
      <c r="S94" s="521"/>
      <c r="T94" s="521"/>
      <c r="U94" s="521"/>
      <c r="V94" s="521"/>
      <c r="W94" s="521"/>
      <c r="X94" s="521"/>
      <c r="Y94" s="521"/>
      <c r="Z94" s="521"/>
      <c r="AA94" s="521"/>
      <c r="AB94" s="521"/>
      <c r="AC94" s="521"/>
      <c r="AD94" s="521"/>
      <c r="AE94" s="521"/>
      <c r="AF94" s="521"/>
      <c r="AG94" s="521"/>
      <c r="AH94" s="521"/>
      <c r="AI94" s="522"/>
      <c r="AJ94" s="521"/>
      <c r="AK94" s="521"/>
      <c r="AL94" s="521"/>
      <c r="AM94" s="521"/>
      <c r="AN94" s="521"/>
      <c r="AO94" s="521"/>
      <c r="AP94" s="521"/>
      <c r="AQ94" s="521"/>
      <c r="AR94" s="521"/>
      <c r="AS94" s="521"/>
    </row>
    <row r="95" spans="2:45" s="662" customFormat="1" ht="12" thickBot="1">
      <c r="B95" s="770"/>
      <c r="C95" s="941" t="s">
        <v>392</v>
      </c>
      <c r="D95" s="942"/>
      <c r="E95" s="942"/>
      <c r="F95" s="942"/>
      <c r="G95" s="942"/>
      <c r="H95" s="942"/>
      <c r="I95" s="942"/>
      <c r="J95" s="942"/>
      <c r="K95" s="942"/>
      <c r="L95" s="943"/>
      <c r="M95" s="582"/>
      <c r="N95" s="521"/>
      <c r="O95" s="521"/>
      <c r="P95" s="521"/>
      <c r="Q95" s="521"/>
      <c r="R95" s="521"/>
      <c r="S95" s="521"/>
      <c r="T95" s="521"/>
      <c r="U95" s="521"/>
      <c r="V95" s="521"/>
      <c r="W95" s="521"/>
      <c r="X95" s="521"/>
      <c r="Y95" s="521"/>
      <c r="Z95" s="521"/>
      <c r="AA95" s="521"/>
      <c r="AB95" s="521"/>
      <c r="AC95" s="521"/>
      <c r="AD95" s="521"/>
      <c r="AE95" s="521"/>
      <c r="AF95" s="521"/>
      <c r="AG95" s="521"/>
      <c r="AH95" s="521"/>
      <c r="AI95" s="522"/>
      <c r="AJ95" s="521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2:45" s="662" customFormat="1" ht="21.75" customHeight="1">
      <c r="B96" s="767"/>
      <c r="C96" s="768" t="s">
        <v>393</v>
      </c>
      <c r="D96" s="882">
        <v>3</v>
      </c>
      <c r="E96" s="882"/>
      <c r="F96" s="944" t="s">
        <v>394</v>
      </c>
      <c r="G96" s="944"/>
      <c r="H96" s="944"/>
      <c r="I96" s="769"/>
      <c r="J96" s="543" t="s">
        <v>395</v>
      </c>
      <c r="K96" s="765" t="s">
        <v>396</v>
      </c>
      <c r="L96" s="743">
        <f>K91-0.19</f>
        <v>18.09</v>
      </c>
      <c r="M96" s="531"/>
      <c r="N96" s="521"/>
      <c r="O96" s="521"/>
      <c r="P96" s="521"/>
      <c r="Q96" s="521"/>
      <c r="R96" s="521"/>
      <c r="S96" s="521"/>
      <c r="T96" s="521"/>
      <c r="U96" s="521"/>
      <c r="V96" s="521"/>
      <c r="W96" s="521"/>
      <c r="X96" s="521"/>
      <c r="Y96" s="521"/>
      <c r="Z96" s="521"/>
      <c r="AA96" s="521"/>
      <c r="AB96" s="521"/>
      <c r="AC96" s="521"/>
      <c r="AD96" s="521"/>
      <c r="AE96" s="521"/>
      <c r="AF96" s="521"/>
      <c r="AG96" s="521"/>
      <c r="AH96" s="521"/>
      <c r="AI96" s="522"/>
      <c r="AJ96" s="521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2:48" s="662" customFormat="1" ht="19.5" customHeight="1">
      <c r="B97" s="744"/>
      <c r="C97" s="536" t="s">
        <v>397</v>
      </c>
      <c r="D97" s="448"/>
      <c r="E97" s="651"/>
      <c r="F97" s="648"/>
      <c r="G97" s="648"/>
      <c r="H97" s="448">
        <v>5</v>
      </c>
      <c r="I97" s="448"/>
      <c r="J97" s="539" t="s">
        <v>398</v>
      </c>
      <c r="K97" s="583" t="s">
        <v>399</v>
      </c>
      <c r="L97" s="722">
        <v>5.25</v>
      </c>
      <c r="M97" s="531"/>
      <c r="N97" s="521"/>
      <c r="O97" s="521"/>
      <c r="P97" s="521"/>
      <c r="Q97" s="521"/>
      <c r="R97" s="521"/>
      <c r="S97" s="521"/>
      <c r="T97" s="521" t="s">
        <v>400</v>
      </c>
      <c r="U97" s="521"/>
      <c r="V97" s="521"/>
      <c r="W97" s="521"/>
      <c r="X97" s="521"/>
      <c r="Y97" s="521"/>
      <c r="Z97" s="521"/>
      <c r="AA97" s="521"/>
      <c r="AB97" s="521"/>
      <c r="AC97" s="521"/>
      <c r="AD97" s="521"/>
      <c r="AE97" s="521"/>
      <c r="AF97" s="521"/>
      <c r="AG97" s="521"/>
      <c r="AH97" s="521"/>
      <c r="AI97" s="522"/>
      <c r="AJ97" s="521"/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2:48" s="662" customFormat="1" ht="21" customHeight="1">
      <c r="B98" s="744"/>
      <c r="C98" s="789" t="s">
        <v>401</v>
      </c>
      <c r="D98" s="479">
        <v>225</v>
      </c>
      <c r="E98" s="646">
        <v>229</v>
      </c>
      <c r="F98" s="648">
        <f>G88</f>
        <v>0.87430555555555545</v>
      </c>
      <c r="G98" s="648">
        <f>IF(ISBLANK($F$72),"",F98+TIME(0,H98,0))</f>
        <v>0.9097222222222221</v>
      </c>
      <c r="H98" s="448">
        <f>IF(E98="",50,IF((E98-D98)&lt;0,50-ROUND(ABS(E98-D98)/269*60+0.25,0),50+ROUND((E98-D98)/269*60+0.25,0)))</f>
        <v>51</v>
      </c>
      <c r="I98" s="685">
        <f>IF(ISBLANK($F$72),"",(G98-F98)*24*60)</f>
        <v>50.999999999999979</v>
      </c>
      <c r="J98" s="539" t="s">
        <v>402</v>
      </c>
      <c r="K98" s="625">
        <v>10.5</v>
      </c>
      <c r="L98" s="561">
        <v>10.4</v>
      </c>
      <c r="M98" s="531"/>
      <c r="N98" s="521"/>
      <c r="O98" s="521"/>
      <c r="P98" s="521"/>
      <c r="Q98" s="521"/>
      <c r="R98" s="521"/>
      <c r="S98" s="521"/>
      <c r="T98" s="521"/>
      <c r="U98" s="521"/>
      <c r="V98" s="521"/>
      <c r="W98" s="521"/>
      <c r="X98" s="521"/>
      <c r="Y98" s="521"/>
      <c r="Z98" s="521"/>
      <c r="AA98" s="521"/>
      <c r="AB98" s="521"/>
      <c r="AC98" s="521"/>
      <c r="AD98" s="521"/>
      <c r="AE98" s="521"/>
      <c r="AF98" s="521"/>
      <c r="AG98" s="521"/>
      <c r="AH98" s="521"/>
      <c r="AI98" s="522"/>
      <c r="AJ98" s="521"/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2:48" s="662" customFormat="1" ht="26.25" customHeight="1">
      <c r="B99" s="744"/>
      <c r="C99" s="536" t="s">
        <v>403</v>
      </c>
      <c r="D99" s="557" t="s">
        <v>404</v>
      </c>
      <c r="E99" s="945" t="s">
        <v>405</v>
      </c>
      <c r="F99" s="946"/>
      <c r="G99" s="646">
        <v>14</v>
      </c>
      <c r="H99" s="448"/>
      <c r="I99" s="448"/>
      <c r="J99" s="585" t="s">
        <v>406</v>
      </c>
      <c r="K99" s="625">
        <v>13</v>
      </c>
      <c r="L99" s="708"/>
      <c r="M99" s="531"/>
      <c r="N99" s="521"/>
      <c r="O99" s="521"/>
      <c r="P99" s="521"/>
      <c r="Q99" s="521"/>
      <c r="R99" s="521"/>
      <c r="S99" s="521"/>
      <c r="T99" s="521"/>
      <c r="U99" s="521"/>
      <c r="V99" s="521" t="s">
        <v>407</v>
      </c>
      <c r="W99" s="521" t="s">
        <v>408</v>
      </c>
      <c r="X99" s="521"/>
      <c r="Y99" s="521"/>
      <c r="Z99" s="521"/>
      <c r="AA99" s="521"/>
      <c r="AB99" s="521"/>
      <c r="AC99" s="521"/>
      <c r="AD99" s="521"/>
      <c r="AE99" s="521"/>
      <c r="AF99" s="521"/>
      <c r="AG99" s="521"/>
      <c r="AH99" s="521"/>
      <c r="AI99" s="522"/>
      <c r="AJ99" s="521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2:48" s="662" customFormat="1" ht="24.75" customHeight="1">
      <c r="B100" s="744"/>
      <c r="C100" s="536" t="s">
        <v>409</v>
      </c>
      <c r="D100" s="448">
        <v>5</v>
      </c>
      <c r="E100" s="717">
        <v>3.6</v>
      </c>
      <c r="F100" s="448"/>
      <c r="G100" s="448"/>
      <c r="H100" s="448"/>
      <c r="I100" s="448"/>
      <c r="J100" s="539" t="s">
        <v>410</v>
      </c>
      <c r="K100" s="583">
        <v>80</v>
      </c>
      <c r="L100" s="558"/>
      <c r="M100" s="531"/>
      <c r="N100" s="521"/>
      <c r="O100" s="521"/>
      <c r="P100" s="521"/>
      <c r="Q100" s="521"/>
      <c r="R100" s="521"/>
      <c r="S100" s="521"/>
      <c r="T100" s="521"/>
      <c r="U100" s="521"/>
      <c r="V100" s="521"/>
      <c r="W100" s="521"/>
      <c r="X100" s="521"/>
      <c r="Y100" s="521"/>
      <c r="Z100" s="521"/>
      <c r="AA100" s="521"/>
      <c r="AB100" s="521"/>
      <c r="AC100" s="521"/>
      <c r="AD100" s="521"/>
      <c r="AE100" s="521"/>
      <c r="AF100" s="521"/>
      <c r="AG100" s="521"/>
      <c r="AH100" s="521"/>
      <c r="AI100" s="522"/>
      <c r="AJ100" s="521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2:48" s="662" customFormat="1" ht="20.25" customHeight="1" thickBot="1">
      <c r="B101" s="749"/>
      <c r="C101" s="626" t="s">
        <v>411</v>
      </c>
      <c r="D101" s="596"/>
      <c r="E101" s="596"/>
      <c r="F101" s="596"/>
      <c r="G101" s="596"/>
      <c r="H101" s="596">
        <v>2</v>
      </c>
      <c r="I101" s="596"/>
      <c r="J101" s="597" t="s">
        <v>412</v>
      </c>
      <c r="K101" s="627" t="s">
        <v>413</v>
      </c>
      <c r="L101" s="628"/>
      <c r="M101" s="629"/>
      <c r="N101" s="521"/>
      <c r="O101" s="521"/>
      <c r="P101" s="521"/>
      <c r="Q101" s="521"/>
      <c r="R101" s="521"/>
      <c r="S101" s="521"/>
      <c r="T101" s="521" t="s">
        <v>414</v>
      </c>
      <c r="U101" s="521"/>
      <c r="V101" s="521"/>
      <c r="W101" s="521"/>
      <c r="X101" s="521"/>
      <c r="Y101" s="521"/>
      <c r="Z101" s="521"/>
      <c r="AA101" s="521"/>
      <c r="AB101" s="521"/>
      <c r="AC101" s="521"/>
      <c r="AD101" s="521"/>
      <c r="AE101" s="521"/>
      <c r="AF101" s="521"/>
      <c r="AG101" s="521"/>
      <c r="AH101" s="521"/>
      <c r="AI101" s="522"/>
      <c r="AJ101" s="521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2:48" s="662" customFormat="1" ht="16.5" customHeight="1" thickBot="1">
      <c r="B102" s="630" t="s">
        <v>415</v>
      </c>
      <c r="C102" s="631"/>
      <c r="D102" s="675">
        <v>6</v>
      </c>
      <c r="E102" s="676" t="s">
        <v>416</v>
      </c>
      <c r="F102" s="632"/>
      <c r="G102" s="632"/>
      <c r="H102" s="753">
        <f>SUM(H13:H31,H42:H49,H57,(D67/200)*60,2*5,H70:H73,H78:H81,H84:H85,H88:H89)/60</f>
        <v>6.161296296296296</v>
      </c>
      <c r="I102" s="754">
        <f>IF(OR(F13="",G98=""),"",IF(G98&gt;=F13,(G98-F13)*24,(G98+1-F13)*24))</f>
        <v>6.1499999999999968</v>
      </c>
      <c r="J102" s="631" t="s">
        <v>417</v>
      </c>
      <c r="K102" s="829"/>
      <c r="L102" s="830"/>
      <c r="M102" s="633"/>
      <c r="N102" s="521"/>
      <c r="O102" s="521"/>
      <c r="P102" s="521"/>
      <c r="Q102" s="521"/>
      <c r="R102" s="521"/>
      <c r="S102" s="521"/>
      <c r="T102" s="521"/>
      <c r="U102" s="521"/>
      <c r="V102" s="521"/>
      <c r="W102" s="521"/>
      <c r="X102" s="521"/>
      <c r="Y102" s="521"/>
      <c r="Z102" s="521"/>
      <c r="AA102" s="521"/>
      <c r="AB102" s="521"/>
      <c r="AC102" s="521"/>
      <c r="AD102" s="521"/>
      <c r="AE102" s="521"/>
      <c r="AF102" s="521"/>
      <c r="AG102" s="521"/>
      <c r="AH102" s="521"/>
      <c r="AI102" s="522"/>
      <c r="AJ102" s="521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2:48" s="664" customFormat="1" ht="20.149999999999999" customHeight="1">
      <c r="B103" s="817" t="s">
        <v>418</v>
      </c>
      <c r="C103" s="818" t="s">
        <v>419</v>
      </c>
      <c r="D103" s="819" t="s">
        <v>420</v>
      </c>
      <c r="E103" s="819"/>
      <c r="F103" s="820"/>
      <c r="G103" s="820"/>
      <c r="H103" s="820"/>
      <c r="I103" s="820"/>
      <c r="J103" s="677" t="s">
        <v>421</v>
      </c>
      <c r="K103" s="740">
        <f>D102</f>
        <v>6</v>
      </c>
      <c r="L103" s="739">
        <f>IF(OR(F13="",G98=""),"",IF(G98&gt;=F13,(G98-F13)*24,(G98+1-F13)*24))</f>
        <v>6.1499999999999968</v>
      </c>
      <c r="M103" s="634"/>
      <c r="N103" s="634"/>
      <c r="O103" s="634"/>
      <c r="P103" s="634"/>
      <c r="Q103" s="634"/>
      <c r="R103" s="634"/>
      <c r="S103" s="634"/>
      <c r="T103" s="634"/>
      <c r="U103" s="634"/>
      <c r="V103" s="634"/>
      <c r="W103" s="634"/>
      <c r="X103" s="634"/>
      <c r="Y103" s="634"/>
      <c r="Z103" s="634"/>
      <c r="AA103" s="634"/>
      <c r="AB103" s="634"/>
      <c r="AC103" s="634"/>
      <c r="AD103" s="634"/>
      <c r="AE103" s="634"/>
      <c r="AF103" s="634"/>
      <c r="AG103" s="634"/>
      <c r="AH103" s="634"/>
      <c r="AI103" s="634"/>
      <c r="AJ103" s="634"/>
      <c r="AK103" s="634"/>
      <c r="AL103" s="634"/>
      <c r="AM103" s="634"/>
      <c r="AN103" s="634"/>
      <c r="AO103" s="634"/>
      <c r="AP103" s="634"/>
      <c r="AQ103" s="634"/>
      <c r="AR103" s="634"/>
      <c r="AS103" s="634"/>
    </row>
    <row r="104" spans="2:48" s="664" customFormat="1" ht="20.149999999999999" customHeight="1">
      <c r="B104" s="821" t="s">
        <v>422</v>
      </c>
      <c r="C104" s="822"/>
      <c r="D104" s="820"/>
      <c r="E104" s="820"/>
      <c r="F104" s="820"/>
      <c r="G104" s="820"/>
      <c r="H104" s="823"/>
      <c r="I104" s="820"/>
      <c r="J104" s="677" t="s">
        <v>423</v>
      </c>
      <c r="K104" s="678">
        <v>8</v>
      </c>
      <c r="L104" s="739">
        <f>IF(OR(ISBLANK(E84),ISBLANK(E66)),"",(1-E84/E66)*100)</f>
        <v>9.259259259259256</v>
      </c>
      <c r="M104" s="635"/>
      <c r="N104" s="634"/>
      <c r="O104" s="634"/>
      <c r="P104" s="634"/>
      <c r="Q104" s="634"/>
      <c r="R104" s="634"/>
      <c r="S104" s="634"/>
      <c r="T104" s="634"/>
      <c r="U104" s="634"/>
      <c r="V104" s="634"/>
      <c r="W104" s="634"/>
      <c r="X104" s="634"/>
      <c r="Y104" s="634"/>
      <c r="Z104" s="634"/>
      <c r="AA104" s="634"/>
      <c r="AB104" s="634"/>
      <c r="AC104" s="634"/>
      <c r="AD104" s="634"/>
      <c r="AE104" s="634"/>
      <c r="AF104" s="634"/>
      <c r="AG104" s="634"/>
      <c r="AH104" s="634"/>
      <c r="AI104" s="634"/>
      <c r="AJ104" s="634"/>
      <c r="AK104" s="634"/>
      <c r="AL104" s="634"/>
      <c r="AM104" s="634"/>
      <c r="AN104" s="634"/>
      <c r="AO104" s="634"/>
      <c r="AP104" s="634"/>
      <c r="AQ104" s="634"/>
      <c r="AR104" s="634"/>
      <c r="AS104" s="634"/>
      <c r="AT104" s="900">
        <f>CR20</f>
        <v>0.11296296296296296</v>
      </c>
      <c r="AU104" s="662" t="s">
        <v>424</v>
      </c>
      <c r="AV104" s="662"/>
    </row>
    <row r="105" spans="2:48" s="664" customFormat="1" ht="20.149999999999999" customHeight="1">
      <c r="B105" s="804"/>
      <c r="C105" s="824"/>
      <c r="D105" s="825"/>
      <c r="E105" s="820"/>
      <c r="F105" s="820"/>
      <c r="G105" s="820"/>
      <c r="H105" s="826"/>
      <c r="I105" s="820"/>
      <c r="J105" s="677" t="s">
        <v>425</v>
      </c>
      <c r="K105" s="678">
        <v>230</v>
      </c>
      <c r="L105" s="739">
        <f>IF(OR(G98="",F58=""),"",IF(G98&gt;=F58,(G98-F58)*60*24,(G98+1-F58)*24*60))</f>
        <v>224.99999999999983</v>
      </c>
      <c r="M105" s="635"/>
      <c r="N105" s="634"/>
      <c r="O105" s="634"/>
      <c r="P105" s="634"/>
      <c r="Q105" s="634"/>
      <c r="R105" s="634"/>
      <c r="S105" s="634"/>
      <c r="T105" s="634"/>
      <c r="U105" s="634"/>
      <c r="V105" s="634"/>
      <c r="W105" s="634"/>
      <c r="X105" s="634"/>
      <c r="Y105" s="634"/>
      <c r="Z105" s="634"/>
      <c r="AA105" s="634"/>
      <c r="AB105" s="634"/>
      <c r="AC105" s="634"/>
      <c r="AD105" s="634"/>
      <c r="AE105" s="634"/>
      <c r="AF105" s="634"/>
      <c r="AG105" s="634"/>
      <c r="AH105" s="634"/>
      <c r="AI105" s="634"/>
      <c r="AJ105" s="634"/>
      <c r="AK105" s="634"/>
      <c r="AL105" s="634"/>
      <c r="AM105" s="634"/>
      <c r="AN105" s="634"/>
      <c r="AO105" s="634"/>
      <c r="AP105" s="634"/>
      <c r="AQ105" s="634"/>
      <c r="AR105" s="634"/>
      <c r="AS105" s="634"/>
      <c r="AT105" s="901">
        <f>IF(OR(G98="",F70=""),"",IF(G98&gt;=F70,(G98-F70)*60*24,(G98+1-F70)*24*60))</f>
        <v>182.99999999999966</v>
      </c>
      <c r="AU105" s="662" t="s">
        <v>426</v>
      </c>
      <c r="AV105" s="662"/>
    </row>
    <row r="106" spans="2:48" ht="20.149999999999999" customHeight="1">
      <c r="B106" s="804"/>
      <c r="C106" s="827"/>
      <c r="D106" s="827"/>
      <c r="E106" s="827"/>
      <c r="F106" s="828"/>
      <c r="G106" s="827"/>
      <c r="H106" s="827"/>
      <c r="I106" s="820"/>
      <c r="J106" s="677" t="s">
        <v>427</v>
      </c>
      <c r="K106" s="678">
        <v>300</v>
      </c>
      <c r="L106" s="739">
        <f>IF(OR(L105="",L104=""),"",ABS(L105-K105)*10+ABS(L104-K104)*100)</f>
        <v>175.92592592592729</v>
      </c>
      <c r="M106" s="636"/>
      <c r="N106" s="636"/>
      <c r="O106" s="636"/>
      <c r="P106" s="636"/>
      <c r="Q106" s="636"/>
      <c r="R106" s="636"/>
      <c r="S106" s="636"/>
      <c r="T106" s="636"/>
      <c r="U106" s="636"/>
      <c r="V106" s="636"/>
      <c r="W106" s="636"/>
      <c r="X106" s="636"/>
      <c r="Y106" s="636"/>
      <c r="Z106" s="636"/>
      <c r="AA106" s="636"/>
      <c r="AB106" s="636"/>
      <c r="AC106" s="636"/>
      <c r="AD106" s="636"/>
      <c r="AE106" s="636"/>
      <c r="AF106" s="636"/>
      <c r="AG106" s="636"/>
      <c r="AH106" s="636"/>
      <c r="AI106" s="519"/>
      <c r="AJ106" s="519"/>
      <c r="AK106" s="519"/>
      <c r="AL106" s="519"/>
      <c r="AM106" s="519"/>
      <c r="AN106" s="519"/>
      <c r="AO106" s="519"/>
      <c r="AP106" s="519"/>
      <c r="AQ106" s="519"/>
      <c r="AR106" s="519"/>
      <c r="AS106" s="519"/>
    </row>
    <row r="107" spans="2:48" ht="24.75" customHeight="1">
      <c r="M107" s="519"/>
      <c r="N107" s="519"/>
      <c r="O107" s="519"/>
      <c r="P107" s="519"/>
      <c r="Q107" s="519"/>
      <c r="R107" s="519"/>
      <c r="S107" s="519"/>
      <c r="T107" s="519"/>
      <c r="U107" s="519"/>
      <c r="V107" s="519"/>
      <c r="W107" s="519"/>
      <c r="X107" s="519"/>
      <c r="Y107" s="519"/>
      <c r="Z107" s="519"/>
      <c r="AA107" s="519"/>
      <c r="AB107" s="519"/>
      <c r="AC107" s="519"/>
      <c r="AD107" s="519"/>
      <c r="AE107" s="519"/>
      <c r="AF107" s="519"/>
      <c r="AG107" s="519"/>
      <c r="AH107" s="519"/>
      <c r="AI107" s="519"/>
      <c r="AJ107" s="519"/>
      <c r="AK107" s="519"/>
      <c r="AL107" s="519"/>
      <c r="AM107" s="519"/>
      <c r="AN107" s="519"/>
      <c r="AO107" s="519"/>
      <c r="AP107" s="519"/>
      <c r="AQ107" s="519"/>
      <c r="AR107" s="519"/>
      <c r="AS107" s="519"/>
    </row>
    <row r="108" spans="2:48" ht="24.75" customHeight="1">
      <c r="M108" s="519"/>
      <c r="N108" s="519"/>
      <c r="O108" s="519"/>
      <c r="P108" s="519"/>
      <c r="Q108" s="519"/>
      <c r="R108" s="519"/>
      <c r="S108" s="519"/>
      <c r="T108" s="519"/>
      <c r="U108" s="519"/>
      <c r="V108" s="519"/>
      <c r="W108" s="519"/>
      <c r="X108" s="519"/>
      <c r="Y108" s="519"/>
      <c r="Z108" s="519"/>
      <c r="AA108" s="519"/>
      <c r="AB108" s="519"/>
      <c r="AC108" s="519"/>
      <c r="AD108" s="519"/>
      <c r="AE108" s="519"/>
      <c r="AF108" s="519"/>
      <c r="AG108" s="519"/>
      <c r="AH108" s="519"/>
      <c r="AI108" s="519"/>
      <c r="AJ108" s="519"/>
      <c r="AK108" s="519"/>
      <c r="AL108" s="519"/>
      <c r="AM108" s="519"/>
      <c r="AN108" s="519"/>
      <c r="AO108" s="519"/>
      <c r="AP108" s="519"/>
      <c r="AQ108" s="519"/>
      <c r="AR108" s="519"/>
      <c r="AS108" s="519"/>
    </row>
    <row r="109" spans="2:48" ht="27.75" customHeight="1">
      <c r="M109" s="519"/>
      <c r="N109" s="519"/>
      <c r="O109" s="519"/>
      <c r="P109" s="519"/>
      <c r="Q109" s="519"/>
      <c r="R109" s="519"/>
      <c r="S109" s="519"/>
      <c r="T109" s="519"/>
      <c r="U109" s="519"/>
      <c r="V109" s="519"/>
      <c r="W109" s="519"/>
      <c r="X109" s="519"/>
      <c r="Y109" s="519"/>
      <c r="Z109" s="519"/>
      <c r="AA109" s="519"/>
      <c r="AB109" s="519"/>
      <c r="AC109" s="519"/>
      <c r="AD109" s="519"/>
      <c r="AE109" s="519"/>
      <c r="AF109" s="519"/>
      <c r="AG109" s="519"/>
      <c r="AH109" s="519"/>
      <c r="AI109" s="519"/>
      <c r="AJ109" s="519"/>
      <c r="AK109" s="519"/>
      <c r="AL109" s="519"/>
      <c r="AM109" s="519"/>
      <c r="AN109" s="519"/>
      <c r="AO109" s="519"/>
      <c r="AP109" s="519"/>
      <c r="AQ109" s="519"/>
      <c r="AR109" s="519"/>
      <c r="AS109" s="519"/>
    </row>
  </sheetData>
  <mergeCells count="142">
    <mergeCell ref="EI4:EI7"/>
    <mergeCell ref="EL4:EL7"/>
    <mergeCell ref="DG5:DG7"/>
    <mergeCell ref="DR5:DR7"/>
    <mergeCell ref="DZ5:DZ7"/>
    <mergeCell ref="EE5:EE7"/>
    <mergeCell ref="EK5:EK7"/>
    <mergeCell ref="EO5:EO7"/>
    <mergeCell ref="B1:M1"/>
    <mergeCell ref="BJ4:BJ7"/>
    <mergeCell ref="BU4:BU7"/>
    <mergeCell ref="CE4:CE7"/>
    <mergeCell ref="DH4:DH7"/>
    <mergeCell ref="DI4:DI7"/>
    <mergeCell ref="L5:L6"/>
    <mergeCell ref="M5:M6"/>
    <mergeCell ref="AU5:AU7"/>
    <mergeCell ref="AV5:AV7"/>
    <mergeCell ref="AX5:AX7"/>
    <mergeCell ref="AY5:AY7"/>
    <mergeCell ref="AZ5:AZ7"/>
    <mergeCell ref="BA5:BA7"/>
    <mergeCell ref="BB5:BB7"/>
    <mergeCell ref="BC5:BC7"/>
    <mergeCell ref="BD5:BD7"/>
    <mergeCell ref="BE5:BE7"/>
    <mergeCell ref="BF5:BF7"/>
    <mergeCell ref="BG5:BG7"/>
    <mergeCell ref="BH5:BH7"/>
    <mergeCell ref="B5:B6"/>
    <mergeCell ref="C5:C6"/>
    <mergeCell ref="D5:E5"/>
    <mergeCell ref="F5:I5"/>
    <mergeCell ref="J5:J6"/>
    <mergeCell ref="K5:K6"/>
    <mergeCell ref="AW5:AW7"/>
    <mergeCell ref="BL5:BL7"/>
    <mergeCell ref="BM5:BM7"/>
    <mergeCell ref="BN5:BN7"/>
    <mergeCell ref="BO5:BO7"/>
    <mergeCell ref="EF4:EF7"/>
    <mergeCell ref="DV5:DV7"/>
    <mergeCell ref="DW5:DW7"/>
    <mergeCell ref="DX5:DX7"/>
    <mergeCell ref="DJ4:DJ7"/>
    <mergeCell ref="DK4:DK7"/>
    <mergeCell ref="DL4:DL7"/>
    <mergeCell ref="DM4:DM7"/>
    <mergeCell ref="DN4:DN7"/>
    <mergeCell ref="DO4:DO7"/>
    <mergeCell ref="DS4:DS7"/>
    <mergeCell ref="DT4:DT7"/>
    <mergeCell ref="DP4:DP7"/>
    <mergeCell ref="DU4:DU7"/>
    <mergeCell ref="EA4:EA7"/>
    <mergeCell ref="EN5:EN7"/>
    <mergeCell ref="C7:L7"/>
    <mergeCell ref="DY5:DY7"/>
    <mergeCell ref="EB5:EB7"/>
    <mergeCell ref="EC5:EC7"/>
    <mergeCell ref="ED5:ED7"/>
    <mergeCell ref="DC5:DC7"/>
    <mergeCell ref="DD5:DD7"/>
    <mergeCell ref="DE5:DE7"/>
    <mergeCell ref="DF5:DF7"/>
    <mergeCell ref="DQ5:DQ7"/>
    <mergeCell ref="CW5:CW7"/>
    <mergeCell ref="CX5:CX7"/>
    <mergeCell ref="CY5:CY7"/>
    <mergeCell ref="CZ5:CZ7"/>
    <mergeCell ref="DA5:DA7"/>
    <mergeCell ref="DB5:DB7"/>
    <mergeCell ref="CC5:CC7"/>
    <mergeCell ref="CD5:CD7"/>
    <mergeCell ref="CF5:CF7"/>
    <mergeCell ref="EG4:EG7"/>
    <mergeCell ref="EH4:EH7"/>
    <mergeCell ref="BI5:BI7"/>
    <mergeCell ref="BK5:BK7"/>
    <mergeCell ref="F8:G8"/>
    <mergeCell ref="AI9:AL9"/>
    <mergeCell ref="AI10:AL10"/>
    <mergeCell ref="AV10:AV11"/>
    <mergeCell ref="AW10:AW11"/>
    <mergeCell ref="AX10:AX11"/>
    <mergeCell ref="EJ5:EJ7"/>
    <mergeCell ref="EM5:EM7"/>
    <mergeCell ref="CT5:CT7"/>
    <mergeCell ref="CU5:CU7"/>
    <mergeCell ref="CV5:CV7"/>
    <mergeCell ref="BW5:BW7"/>
    <mergeCell ref="BX5:BX7"/>
    <mergeCell ref="BY5:BY7"/>
    <mergeCell ref="BZ5:BZ7"/>
    <mergeCell ref="CA5:CA7"/>
    <mergeCell ref="CB5:CB7"/>
    <mergeCell ref="BP5:BP7"/>
    <mergeCell ref="BQ5:BQ7"/>
    <mergeCell ref="BR5:BR7"/>
    <mergeCell ref="BS5:BS7"/>
    <mergeCell ref="BT5:BT7"/>
    <mergeCell ref="BV5:BV7"/>
    <mergeCell ref="BE10:BE11"/>
    <mergeCell ref="BC10:BC11"/>
    <mergeCell ref="BD10:BD11"/>
    <mergeCell ref="C53:L53"/>
    <mergeCell ref="C65:L65"/>
    <mergeCell ref="C69:L69"/>
    <mergeCell ref="C72:C73"/>
    <mergeCell ref="D72:D73"/>
    <mergeCell ref="E72:E73"/>
    <mergeCell ref="F72:F73"/>
    <mergeCell ref="G72:G73"/>
    <mergeCell ref="H72:H73"/>
    <mergeCell ref="I72:I73"/>
    <mergeCell ref="C11:L11"/>
    <mergeCell ref="T12:U12"/>
    <mergeCell ref="AL19:AN19"/>
    <mergeCell ref="C34:L34"/>
    <mergeCell ref="T35:U35"/>
    <mergeCell ref="AY10:AY11"/>
    <mergeCell ref="AZ10:AZ11"/>
    <mergeCell ref="BA10:BA11"/>
    <mergeCell ref="BB10:BB11"/>
    <mergeCell ref="C87:L87"/>
    <mergeCell ref="C95:L95"/>
    <mergeCell ref="F96:H96"/>
    <mergeCell ref="E99:F99"/>
    <mergeCell ref="I78:I79"/>
    <mergeCell ref="C80:C81"/>
    <mergeCell ref="D80:D81"/>
    <mergeCell ref="E80:E81"/>
    <mergeCell ref="F80:F81"/>
    <mergeCell ref="G80:G81"/>
    <mergeCell ref="H80:H81"/>
    <mergeCell ref="I80:I81"/>
    <mergeCell ref="C78:C79"/>
    <mergeCell ref="D78:D79"/>
    <mergeCell ref="E78:E79"/>
    <mergeCell ref="F78:F79"/>
    <mergeCell ref="G78:G79"/>
    <mergeCell ref="H78:H79"/>
  </mergeCells>
  <conditionalFormatting sqref="I1:I6 I66:I68 I84:I86 I96:I1048576 I88:I94 I72 I54:I63 I12:I33 I35:I52 I78 I80">
    <cfRule type="cellIs" dxfId="207" priority="34" operator="lessThanOrEqual">
      <formula>0</formula>
    </cfRule>
  </conditionalFormatting>
  <conditionalFormatting sqref="I102">
    <cfRule type="cellIs" dxfId="206" priority="35" operator="lessThanOrEqual">
      <formula>0</formula>
    </cfRule>
    <cfRule type="cellIs" dxfId="205" priority="41" operator="between">
      <formula>$D$102-0.2</formula>
      <formula>$D$102+0.2</formula>
    </cfRule>
    <cfRule type="cellIs" dxfId="204" priority="42" operator="notBetween">
      <formula>$D$102-0.2</formula>
      <formula>$D$102+0.2</formula>
    </cfRule>
  </conditionalFormatting>
  <conditionalFormatting sqref="BU19">
    <cfRule type="cellIs" dxfId="203" priority="26" operator="between">
      <formula>16.25</formula>
      <formula>16.75</formula>
    </cfRule>
    <cfRule type="cellIs" dxfId="202" priority="27" operator="between">
      <formula>17.75</formula>
      <formula>18.25</formula>
    </cfRule>
  </conditionalFormatting>
  <conditionalFormatting sqref="CK19:CO19">
    <cfRule type="cellIs" dxfId="201" priority="25" operator="lessThan">
      <formula>230</formula>
    </cfRule>
  </conditionalFormatting>
  <conditionalFormatting sqref="CL19">
    <cfRule type="cellIs" dxfId="200" priority="24" operator="lessThan">
      <formula>270</formula>
    </cfRule>
  </conditionalFormatting>
  <conditionalFormatting sqref="CM19">
    <cfRule type="cellIs" dxfId="199" priority="23" operator="lessThan">
      <formula>2600</formula>
    </cfRule>
  </conditionalFormatting>
  <conditionalFormatting sqref="I83">
    <cfRule type="cellIs" dxfId="198" priority="22" operator="lessThanOrEqual">
      <formula>0</formula>
    </cfRule>
  </conditionalFormatting>
  <conditionalFormatting sqref="E10">
    <cfRule type="cellIs" dxfId="197" priority="21" operator="lessThanOrEqual">
      <formula>0</formula>
    </cfRule>
  </conditionalFormatting>
  <conditionalFormatting sqref="G10">
    <cfRule type="cellIs" dxfId="196" priority="20" operator="lessThanOrEqual">
      <formula>0</formula>
    </cfRule>
  </conditionalFormatting>
  <conditionalFormatting sqref="I9:I10">
    <cfRule type="cellIs" dxfId="195" priority="19" operator="lessThanOrEqual">
      <formula>0</formula>
    </cfRule>
  </conditionalFormatting>
  <conditionalFormatting sqref="E8">
    <cfRule type="cellIs" dxfId="194" priority="18" operator="lessThanOrEqual">
      <formula>0</formula>
    </cfRule>
  </conditionalFormatting>
  <conditionalFormatting sqref="L84">
    <cfRule type="cellIs" dxfId="193" priority="16" operator="notBetween">
      <formula>K84-0.25</formula>
      <formula>K84+0.25</formula>
    </cfRule>
    <cfRule type="cellIs" dxfId="192" priority="17" operator="between">
      <formula>K84-0.25</formula>
      <formula>K84+0.25</formula>
    </cfRule>
  </conditionalFormatting>
  <conditionalFormatting sqref="L85">
    <cfRule type="containsBlanks" dxfId="191" priority="13">
      <formula>LEN(TRIM(L85))=0</formula>
    </cfRule>
    <cfRule type="cellIs" dxfId="190" priority="14" operator="notBetween">
      <formula>VALUE(LEFT(K85,4))-0.2</formula>
      <formula>VALUE(LEFT(K85,4))+0.2</formula>
    </cfRule>
    <cfRule type="cellIs" dxfId="189" priority="15" operator="between">
      <formula>VALUE(LEFT(K85,4))-0.2</formula>
      <formula>VALUE(LEFT(K85,4))+0.2</formula>
    </cfRule>
  </conditionalFormatting>
  <conditionalFormatting sqref="L96">
    <cfRule type="cellIs" dxfId="188" priority="9" operator="notBetween">
      <formula>VALUE(LEFT(K96,5))</formula>
      <formula>VALUE(RIGHT(K96,5))</formula>
    </cfRule>
    <cfRule type="cellIs" dxfId="187" priority="10" operator="between">
      <formula>VALUE(LEFT(K96,5))</formula>
      <formula>VALUE(RIGHT(K96,5))</formula>
    </cfRule>
  </conditionalFormatting>
  <conditionalFormatting sqref="L96:L97">
    <cfRule type="containsBlanks" dxfId="186" priority="8">
      <formula>LEN(TRIM(L96))=0</formula>
    </cfRule>
  </conditionalFormatting>
  <conditionalFormatting sqref="L97">
    <cfRule type="cellIs" dxfId="185" priority="11" operator="between">
      <formula>VALUE(LEFT(K97,4))</formula>
      <formula>VALUE(RIGHT(K97,4))</formula>
    </cfRule>
    <cfRule type="cellIs" dxfId="184" priority="12" operator="notBetween">
      <formula>VALUE(LEFT(K97,4))</formula>
      <formula>VALUE(RIGHT(K97,4))</formula>
    </cfRule>
  </conditionalFormatting>
  <conditionalFormatting sqref="L103">
    <cfRule type="cellIs" dxfId="183" priority="2" operator="notBetween">
      <formula>$K$103-0.2</formula>
      <formula>$K$103+0.2</formula>
    </cfRule>
    <cfRule type="cellIs" dxfId="182" priority="3" operator="between">
      <formula>$K$103-0.2</formula>
      <formula>$K$103+0.2</formula>
    </cfRule>
  </conditionalFormatting>
  <conditionalFormatting sqref="L105">
    <cfRule type="cellIs" dxfId="181" priority="6" operator="lessThan">
      <formula>$K$105+20</formula>
    </cfRule>
    <cfRule type="cellIs" dxfId="180" priority="7" operator="greaterThanOrEqual">
      <formula>$K$105+20</formula>
    </cfRule>
  </conditionalFormatting>
  <conditionalFormatting sqref="L106">
    <cfRule type="cellIs" dxfId="179" priority="4" operator="lessThan">
      <formula>$K$106</formula>
    </cfRule>
    <cfRule type="cellIs" dxfId="178" priority="5" operator="greaterThanOrEqual">
      <formula>$K$106</formula>
    </cfRule>
  </conditionalFormatting>
  <conditionalFormatting sqref="I70:I71">
    <cfRule type="cellIs" dxfId="177" priority="1" operator="lessThanOrEqual">
      <formula>0</formula>
    </cfRule>
  </conditionalFormatting>
  <dataValidations count="2">
    <dataValidation type="list" allowBlank="1" showInputMessage="1" showErrorMessage="1" sqref="C3" xr:uid="{BA45674C-262B-43DA-ACF6-BA132C78B727}">
      <formula1>$AV$1:$AV$4</formula1>
    </dataValidation>
    <dataValidation type="list" allowBlank="1" showInputMessage="1" showErrorMessage="1" sqref="E8" xr:uid="{E55DEABD-AE14-466B-94F6-794F8FA75839}">
      <formula1>$AU$1:$AU$4</formula1>
    </dataValidation>
  </dataValidations>
  <printOptions horizontalCentered="1" verticalCentered="1"/>
  <pageMargins left="0.2" right="0" top="0" bottom="0" header="0" footer="0"/>
  <pageSetup paperSize="9" scale="81" orientation="portrait" r:id="rId1"/>
  <headerFooter alignWithMargins="0">
    <oddFooter>Page &amp;P</oddFooter>
  </headerFooter>
  <rowBreaks count="1" manualBreakCount="1">
    <brk id="5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0673" r:id="rId4" name="Check Box 1">
              <controlPr defaultSize="0" autoFill="0" autoLine="0" autoPict="0">
                <anchor moveWithCells="1">
                  <from>
                    <xdr:col>4</xdr:col>
                    <xdr:colOff>139700</xdr:colOff>
                    <xdr:row>37</xdr:row>
                    <xdr:rowOff>50800</xdr:rowOff>
                  </from>
                  <to>
                    <xdr:col>4</xdr:col>
                    <xdr:colOff>349250</xdr:colOff>
                    <xdr:row>37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4" r:id="rId5" name="Check Box 2">
              <controlPr defaultSize="0" autoFill="0" autoLine="0" autoPict="0">
                <anchor moveWithCells="1">
                  <from>
                    <xdr:col>4</xdr:col>
                    <xdr:colOff>127000</xdr:colOff>
                    <xdr:row>15</xdr:row>
                    <xdr:rowOff>38100</xdr:rowOff>
                  </from>
                  <to>
                    <xdr:col>4</xdr:col>
                    <xdr:colOff>342900</xdr:colOff>
                    <xdr:row>15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5" r:id="rId6" name="Check Box 3">
              <controlPr defaultSize="0" autoFill="0" autoLine="0" autoPict="0">
                <anchor moveWithCells="1">
                  <from>
                    <xdr:col>4</xdr:col>
                    <xdr:colOff>139700</xdr:colOff>
                    <xdr:row>73</xdr:row>
                    <xdr:rowOff>44450</xdr:rowOff>
                  </from>
                  <to>
                    <xdr:col>4</xdr:col>
                    <xdr:colOff>349250</xdr:colOff>
                    <xdr:row>73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6" r:id="rId7" name="Check Box 4">
              <controlPr defaultSize="0" autoFill="0" autoLine="0" autoPict="0">
                <anchor moveWithCells="1">
                  <from>
                    <xdr:col>4</xdr:col>
                    <xdr:colOff>139700</xdr:colOff>
                    <xdr:row>74</xdr:row>
                    <xdr:rowOff>44450</xdr:rowOff>
                  </from>
                  <to>
                    <xdr:col>4</xdr:col>
                    <xdr:colOff>349250</xdr:colOff>
                    <xdr:row>74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7" r:id="rId8" name="Check Box 5">
              <controlPr defaultSize="0" autoFill="0" autoLine="0" autoPict="0">
                <anchor moveWithCells="1">
                  <from>
                    <xdr:col>4</xdr:col>
                    <xdr:colOff>139700</xdr:colOff>
                    <xdr:row>75</xdr:row>
                    <xdr:rowOff>44450</xdr:rowOff>
                  </from>
                  <to>
                    <xdr:col>4</xdr:col>
                    <xdr:colOff>349250</xdr:colOff>
                    <xdr:row>75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8" r:id="rId9" name="Check Box 6">
              <controlPr defaultSize="0" autoFill="0" autoLine="0" autoPict="0">
                <anchor moveWithCells="1">
                  <from>
                    <xdr:col>4</xdr:col>
                    <xdr:colOff>139700</xdr:colOff>
                    <xdr:row>76</xdr:row>
                    <xdr:rowOff>44450</xdr:rowOff>
                  </from>
                  <to>
                    <xdr:col>4</xdr:col>
                    <xdr:colOff>349250</xdr:colOff>
                    <xdr:row>76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9" r:id="rId10" name="Check Box 7">
              <controlPr defaultSize="0" autoFill="0" autoLine="0" autoPict="0">
                <anchor moveWithCells="1">
                  <from>
                    <xdr:col>4</xdr:col>
                    <xdr:colOff>139700</xdr:colOff>
                    <xdr:row>82</xdr:row>
                    <xdr:rowOff>88900</xdr:rowOff>
                  </from>
                  <to>
                    <xdr:col>4</xdr:col>
                    <xdr:colOff>349250</xdr:colOff>
                    <xdr:row>82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80" r:id="rId11" name="Check Box 8">
              <controlPr defaultSize="0" autoFill="0" autoLine="0" autoPict="0">
                <anchor moveWithCells="1">
                  <from>
                    <xdr:col>10</xdr:col>
                    <xdr:colOff>241300</xdr:colOff>
                    <xdr:row>9</xdr:row>
                    <xdr:rowOff>69850</xdr:rowOff>
                  </from>
                  <to>
                    <xdr:col>10</xdr:col>
                    <xdr:colOff>457200</xdr:colOff>
                    <xdr:row>9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81" r:id="rId12" name="Check Box 9">
              <controlPr defaultSize="0" autoFill="0" autoLine="0" autoPict="0">
                <anchor moveWithCells="1">
                  <from>
                    <xdr:col>10</xdr:col>
                    <xdr:colOff>450850</xdr:colOff>
                    <xdr:row>57</xdr:row>
                    <xdr:rowOff>63500</xdr:rowOff>
                  </from>
                  <to>
                    <xdr:col>10</xdr:col>
                    <xdr:colOff>673100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82" r:id="rId13" name="Check Box 10">
              <controlPr defaultSize="0" autoFill="0" autoLine="0" autoPict="0">
                <anchor moveWithCells="1">
                  <from>
                    <xdr:col>11</xdr:col>
                    <xdr:colOff>254000</xdr:colOff>
                    <xdr:row>57</xdr:row>
                    <xdr:rowOff>63500</xdr:rowOff>
                  </from>
                  <to>
                    <xdr:col>11</xdr:col>
                    <xdr:colOff>469900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83" r:id="rId14" name="Check Box 11">
              <controlPr defaultSize="0" autoFill="0" autoLine="0" autoPict="0">
                <anchor moveWithCells="1">
                  <from>
                    <xdr:col>10</xdr:col>
                    <xdr:colOff>450850</xdr:colOff>
                    <xdr:row>58</xdr:row>
                    <xdr:rowOff>63500</xdr:rowOff>
                  </from>
                  <to>
                    <xdr:col>10</xdr:col>
                    <xdr:colOff>673100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84" r:id="rId15" name="Check Box 12">
              <controlPr defaultSize="0" autoFill="0" autoLine="0" autoPict="0">
                <anchor moveWithCells="1">
                  <from>
                    <xdr:col>11</xdr:col>
                    <xdr:colOff>254000</xdr:colOff>
                    <xdr:row>58</xdr:row>
                    <xdr:rowOff>63500</xdr:rowOff>
                  </from>
                  <to>
                    <xdr:col>11</xdr:col>
                    <xdr:colOff>469900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85" r:id="rId16" name="Check Box 13">
              <controlPr defaultSize="0" autoFill="0" autoLine="0" autoPict="0">
                <anchor moveWithCells="1">
                  <from>
                    <xdr:col>4</xdr:col>
                    <xdr:colOff>139700</xdr:colOff>
                    <xdr:row>81</xdr:row>
                    <xdr:rowOff>44450</xdr:rowOff>
                  </from>
                  <to>
                    <xdr:col>4</xdr:col>
                    <xdr:colOff>349250</xdr:colOff>
                    <xdr:row>81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88" r:id="rId17" name="Check Box 16">
              <controlPr defaultSize="0" autoFill="0" autoLine="0" autoPict="0">
                <anchor moveWithCells="1">
                  <from>
                    <xdr:col>10</xdr:col>
                    <xdr:colOff>450850</xdr:colOff>
                    <xdr:row>57</xdr:row>
                    <xdr:rowOff>63500</xdr:rowOff>
                  </from>
                  <to>
                    <xdr:col>10</xdr:col>
                    <xdr:colOff>673100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89" r:id="rId18" name="Check Box 17">
              <controlPr defaultSize="0" autoFill="0" autoLine="0" autoPict="0">
                <anchor moveWithCells="1">
                  <from>
                    <xdr:col>11</xdr:col>
                    <xdr:colOff>254000</xdr:colOff>
                    <xdr:row>57</xdr:row>
                    <xdr:rowOff>63500</xdr:rowOff>
                  </from>
                  <to>
                    <xdr:col>11</xdr:col>
                    <xdr:colOff>469900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90" r:id="rId19" name="Check Box 18">
              <controlPr defaultSize="0" autoFill="0" autoLine="0" autoPict="0">
                <anchor moveWithCells="1">
                  <from>
                    <xdr:col>10</xdr:col>
                    <xdr:colOff>450850</xdr:colOff>
                    <xdr:row>58</xdr:row>
                    <xdr:rowOff>63500</xdr:rowOff>
                  </from>
                  <to>
                    <xdr:col>10</xdr:col>
                    <xdr:colOff>673100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91" r:id="rId20" name="Check Box 19">
              <controlPr defaultSize="0" autoFill="0" autoLine="0" autoPict="0">
                <anchor moveWithCells="1">
                  <from>
                    <xdr:col>11</xdr:col>
                    <xdr:colOff>254000</xdr:colOff>
                    <xdr:row>58</xdr:row>
                    <xdr:rowOff>63500</xdr:rowOff>
                  </from>
                  <to>
                    <xdr:col>11</xdr:col>
                    <xdr:colOff>469900</xdr:colOff>
                    <xdr:row>58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indexed="10"/>
  </sheetPr>
  <dimension ref="A1:AD97"/>
  <sheetViews>
    <sheetView zoomScaleNormal="75" workbookViewId="0">
      <selection activeCell="J57" sqref="J57"/>
    </sheetView>
  </sheetViews>
  <sheetFormatPr defaultRowHeight="12.5"/>
  <cols>
    <col min="1" max="1" width="5.81640625" style="112" customWidth="1"/>
    <col min="2" max="2" width="18.453125" style="113" customWidth="1"/>
    <col min="3" max="3" width="5.54296875" style="224" customWidth="1"/>
    <col min="4" max="4" width="5.453125" style="224" customWidth="1"/>
    <col min="5" max="5" width="6" style="224" customWidth="1"/>
    <col min="6" max="6" width="4.54296875" style="224" customWidth="1"/>
    <col min="7" max="7" width="4.1796875" style="224" bestFit="1" customWidth="1"/>
    <col min="8" max="8" width="6" style="224" customWidth="1"/>
    <col min="9" max="9" width="13.453125" style="114" customWidth="1"/>
    <col min="10" max="10" width="9.453125" style="115" customWidth="1"/>
    <col min="11" max="11" width="5.453125" style="231" customWidth="1"/>
    <col min="12" max="12" width="7.453125" style="116" customWidth="1"/>
    <col min="13" max="18" width="8" style="116" customWidth="1"/>
    <col min="19" max="19" width="9.1796875" style="116" customWidth="1"/>
    <col min="20" max="20" width="11.1796875" style="116" customWidth="1"/>
    <col min="21" max="31" width="9.1796875" style="116" customWidth="1"/>
    <col min="32" max="256" width="9" style="116"/>
    <col min="257" max="257" width="4" style="116" bestFit="1" customWidth="1"/>
    <col min="258" max="258" width="18.453125" style="116" customWidth="1"/>
    <col min="259" max="259" width="5.54296875" style="116" customWidth="1"/>
    <col min="260" max="260" width="5.453125" style="116" customWidth="1"/>
    <col min="261" max="261" width="6" style="116" customWidth="1"/>
    <col min="262" max="262" width="4.54296875" style="116" customWidth="1"/>
    <col min="263" max="263" width="3.81640625" style="116" bestFit="1" customWidth="1"/>
    <col min="264" max="264" width="6" style="116" customWidth="1"/>
    <col min="265" max="265" width="12.1796875" style="116" customWidth="1"/>
    <col min="266" max="266" width="7.453125" style="116" customWidth="1"/>
    <col min="267" max="267" width="5.453125" style="116" customWidth="1"/>
    <col min="268" max="268" width="7.453125" style="116" customWidth="1"/>
    <col min="269" max="269" width="8" style="116" customWidth="1"/>
    <col min="270" max="274" width="0" style="116" hidden="1" customWidth="1"/>
    <col min="275" max="512" width="9" style="116"/>
    <col min="513" max="513" width="4" style="116" bestFit="1" customWidth="1"/>
    <col min="514" max="514" width="18.453125" style="116" customWidth="1"/>
    <col min="515" max="515" width="5.54296875" style="116" customWidth="1"/>
    <col min="516" max="516" width="5.453125" style="116" customWidth="1"/>
    <col min="517" max="517" width="6" style="116" customWidth="1"/>
    <col min="518" max="518" width="4.54296875" style="116" customWidth="1"/>
    <col min="519" max="519" width="3.81640625" style="116" bestFit="1" customWidth="1"/>
    <col min="520" max="520" width="6" style="116" customWidth="1"/>
    <col min="521" max="521" width="12.1796875" style="116" customWidth="1"/>
    <col min="522" max="522" width="7.453125" style="116" customWidth="1"/>
    <col min="523" max="523" width="5.453125" style="116" customWidth="1"/>
    <col min="524" max="524" width="7.453125" style="116" customWidth="1"/>
    <col min="525" max="525" width="8" style="116" customWidth="1"/>
    <col min="526" max="530" width="0" style="116" hidden="1" customWidth="1"/>
    <col min="531" max="768" width="9" style="116"/>
    <col min="769" max="769" width="4" style="116" bestFit="1" customWidth="1"/>
    <col min="770" max="770" width="18.453125" style="116" customWidth="1"/>
    <col min="771" max="771" width="5.54296875" style="116" customWidth="1"/>
    <col min="772" max="772" width="5.453125" style="116" customWidth="1"/>
    <col min="773" max="773" width="6" style="116" customWidth="1"/>
    <col min="774" max="774" width="4.54296875" style="116" customWidth="1"/>
    <col min="775" max="775" width="3.81640625" style="116" bestFit="1" customWidth="1"/>
    <col min="776" max="776" width="6" style="116" customWidth="1"/>
    <col min="777" max="777" width="12.1796875" style="116" customWidth="1"/>
    <col min="778" max="778" width="7.453125" style="116" customWidth="1"/>
    <col min="779" max="779" width="5.453125" style="116" customWidth="1"/>
    <col min="780" max="780" width="7.453125" style="116" customWidth="1"/>
    <col min="781" max="781" width="8" style="116" customWidth="1"/>
    <col min="782" max="786" width="0" style="116" hidden="1" customWidth="1"/>
    <col min="787" max="1024" width="9" style="116"/>
    <col min="1025" max="1025" width="4" style="116" bestFit="1" customWidth="1"/>
    <col min="1026" max="1026" width="18.453125" style="116" customWidth="1"/>
    <col min="1027" max="1027" width="5.54296875" style="116" customWidth="1"/>
    <col min="1028" max="1028" width="5.453125" style="116" customWidth="1"/>
    <col min="1029" max="1029" width="6" style="116" customWidth="1"/>
    <col min="1030" max="1030" width="4.54296875" style="116" customWidth="1"/>
    <col min="1031" max="1031" width="3.81640625" style="116" bestFit="1" customWidth="1"/>
    <col min="1032" max="1032" width="6" style="116" customWidth="1"/>
    <col min="1033" max="1033" width="12.1796875" style="116" customWidth="1"/>
    <col min="1034" max="1034" width="7.453125" style="116" customWidth="1"/>
    <col min="1035" max="1035" width="5.453125" style="116" customWidth="1"/>
    <col min="1036" max="1036" width="7.453125" style="116" customWidth="1"/>
    <col min="1037" max="1037" width="8" style="116" customWidth="1"/>
    <col min="1038" max="1042" width="0" style="116" hidden="1" customWidth="1"/>
    <col min="1043" max="1280" width="9" style="116"/>
    <col min="1281" max="1281" width="4" style="116" bestFit="1" customWidth="1"/>
    <col min="1282" max="1282" width="18.453125" style="116" customWidth="1"/>
    <col min="1283" max="1283" width="5.54296875" style="116" customWidth="1"/>
    <col min="1284" max="1284" width="5.453125" style="116" customWidth="1"/>
    <col min="1285" max="1285" width="6" style="116" customWidth="1"/>
    <col min="1286" max="1286" width="4.54296875" style="116" customWidth="1"/>
    <col min="1287" max="1287" width="3.81640625" style="116" bestFit="1" customWidth="1"/>
    <col min="1288" max="1288" width="6" style="116" customWidth="1"/>
    <col min="1289" max="1289" width="12.1796875" style="116" customWidth="1"/>
    <col min="1290" max="1290" width="7.453125" style="116" customWidth="1"/>
    <col min="1291" max="1291" width="5.453125" style="116" customWidth="1"/>
    <col min="1292" max="1292" width="7.453125" style="116" customWidth="1"/>
    <col min="1293" max="1293" width="8" style="116" customWidth="1"/>
    <col min="1294" max="1298" width="0" style="116" hidden="1" customWidth="1"/>
    <col min="1299" max="1536" width="9" style="116"/>
    <col min="1537" max="1537" width="4" style="116" bestFit="1" customWidth="1"/>
    <col min="1538" max="1538" width="18.453125" style="116" customWidth="1"/>
    <col min="1539" max="1539" width="5.54296875" style="116" customWidth="1"/>
    <col min="1540" max="1540" width="5.453125" style="116" customWidth="1"/>
    <col min="1541" max="1541" width="6" style="116" customWidth="1"/>
    <col min="1542" max="1542" width="4.54296875" style="116" customWidth="1"/>
    <col min="1543" max="1543" width="3.81640625" style="116" bestFit="1" customWidth="1"/>
    <col min="1544" max="1544" width="6" style="116" customWidth="1"/>
    <col min="1545" max="1545" width="12.1796875" style="116" customWidth="1"/>
    <col min="1546" max="1546" width="7.453125" style="116" customWidth="1"/>
    <col min="1547" max="1547" width="5.453125" style="116" customWidth="1"/>
    <col min="1548" max="1548" width="7.453125" style="116" customWidth="1"/>
    <col min="1549" max="1549" width="8" style="116" customWidth="1"/>
    <col min="1550" max="1554" width="0" style="116" hidden="1" customWidth="1"/>
    <col min="1555" max="1792" width="9" style="116"/>
    <col min="1793" max="1793" width="4" style="116" bestFit="1" customWidth="1"/>
    <col min="1794" max="1794" width="18.453125" style="116" customWidth="1"/>
    <col min="1795" max="1795" width="5.54296875" style="116" customWidth="1"/>
    <col min="1796" max="1796" width="5.453125" style="116" customWidth="1"/>
    <col min="1797" max="1797" width="6" style="116" customWidth="1"/>
    <col min="1798" max="1798" width="4.54296875" style="116" customWidth="1"/>
    <col min="1799" max="1799" width="3.81640625" style="116" bestFit="1" customWidth="1"/>
    <col min="1800" max="1800" width="6" style="116" customWidth="1"/>
    <col min="1801" max="1801" width="12.1796875" style="116" customWidth="1"/>
    <col min="1802" max="1802" width="7.453125" style="116" customWidth="1"/>
    <col min="1803" max="1803" width="5.453125" style="116" customWidth="1"/>
    <col min="1804" max="1804" width="7.453125" style="116" customWidth="1"/>
    <col min="1805" max="1805" width="8" style="116" customWidth="1"/>
    <col min="1806" max="1810" width="0" style="116" hidden="1" customWidth="1"/>
    <col min="1811" max="2048" width="9" style="116"/>
    <col min="2049" max="2049" width="4" style="116" bestFit="1" customWidth="1"/>
    <col min="2050" max="2050" width="18.453125" style="116" customWidth="1"/>
    <col min="2051" max="2051" width="5.54296875" style="116" customWidth="1"/>
    <col min="2052" max="2052" width="5.453125" style="116" customWidth="1"/>
    <col min="2053" max="2053" width="6" style="116" customWidth="1"/>
    <col min="2054" max="2054" width="4.54296875" style="116" customWidth="1"/>
    <col min="2055" max="2055" width="3.81640625" style="116" bestFit="1" customWidth="1"/>
    <col min="2056" max="2056" width="6" style="116" customWidth="1"/>
    <col min="2057" max="2057" width="12.1796875" style="116" customWidth="1"/>
    <col min="2058" max="2058" width="7.453125" style="116" customWidth="1"/>
    <col min="2059" max="2059" width="5.453125" style="116" customWidth="1"/>
    <col min="2060" max="2060" width="7.453125" style="116" customWidth="1"/>
    <col min="2061" max="2061" width="8" style="116" customWidth="1"/>
    <col min="2062" max="2066" width="0" style="116" hidden="1" customWidth="1"/>
    <col min="2067" max="2304" width="9" style="116"/>
    <col min="2305" max="2305" width="4" style="116" bestFit="1" customWidth="1"/>
    <col min="2306" max="2306" width="18.453125" style="116" customWidth="1"/>
    <col min="2307" max="2307" width="5.54296875" style="116" customWidth="1"/>
    <col min="2308" max="2308" width="5.453125" style="116" customWidth="1"/>
    <col min="2309" max="2309" width="6" style="116" customWidth="1"/>
    <col min="2310" max="2310" width="4.54296875" style="116" customWidth="1"/>
    <col min="2311" max="2311" width="3.81640625" style="116" bestFit="1" customWidth="1"/>
    <col min="2312" max="2312" width="6" style="116" customWidth="1"/>
    <col min="2313" max="2313" width="12.1796875" style="116" customWidth="1"/>
    <col min="2314" max="2314" width="7.453125" style="116" customWidth="1"/>
    <col min="2315" max="2315" width="5.453125" style="116" customWidth="1"/>
    <col min="2316" max="2316" width="7.453125" style="116" customWidth="1"/>
    <col min="2317" max="2317" width="8" style="116" customWidth="1"/>
    <col min="2318" max="2322" width="0" style="116" hidden="1" customWidth="1"/>
    <col min="2323" max="2560" width="9" style="116"/>
    <col min="2561" max="2561" width="4" style="116" bestFit="1" customWidth="1"/>
    <col min="2562" max="2562" width="18.453125" style="116" customWidth="1"/>
    <col min="2563" max="2563" width="5.54296875" style="116" customWidth="1"/>
    <col min="2564" max="2564" width="5.453125" style="116" customWidth="1"/>
    <col min="2565" max="2565" width="6" style="116" customWidth="1"/>
    <col min="2566" max="2566" width="4.54296875" style="116" customWidth="1"/>
    <col min="2567" max="2567" width="3.81640625" style="116" bestFit="1" customWidth="1"/>
    <col min="2568" max="2568" width="6" style="116" customWidth="1"/>
    <col min="2569" max="2569" width="12.1796875" style="116" customWidth="1"/>
    <col min="2570" max="2570" width="7.453125" style="116" customWidth="1"/>
    <col min="2571" max="2571" width="5.453125" style="116" customWidth="1"/>
    <col min="2572" max="2572" width="7.453125" style="116" customWidth="1"/>
    <col min="2573" max="2573" width="8" style="116" customWidth="1"/>
    <col min="2574" max="2578" width="0" style="116" hidden="1" customWidth="1"/>
    <col min="2579" max="2816" width="9" style="116"/>
    <col min="2817" max="2817" width="4" style="116" bestFit="1" customWidth="1"/>
    <col min="2818" max="2818" width="18.453125" style="116" customWidth="1"/>
    <col min="2819" max="2819" width="5.54296875" style="116" customWidth="1"/>
    <col min="2820" max="2820" width="5.453125" style="116" customWidth="1"/>
    <col min="2821" max="2821" width="6" style="116" customWidth="1"/>
    <col min="2822" max="2822" width="4.54296875" style="116" customWidth="1"/>
    <col min="2823" max="2823" width="3.81640625" style="116" bestFit="1" customWidth="1"/>
    <col min="2824" max="2824" width="6" style="116" customWidth="1"/>
    <col min="2825" max="2825" width="12.1796875" style="116" customWidth="1"/>
    <col min="2826" max="2826" width="7.453125" style="116" customWidth="1"/>
    <col min="2827" max="2827" width="5.453125" style="116" customWidth="1"/>
    <col min="2828" max="2828" width="7.453125" style="116" customWidth="1"/>
    <col min="2829" max="2829" width="8" style="116" customWidth="1"/>
    <col min="2830" max="2834" width="0" style="116" hidden="1" customWidth="1"/>
    <col min="2835" max="3072" width="9" style="116"/>
    <col min="3073" max="3073" width="4" style="116" bestFit="1" customWidth="1"/>
    <col min="3074" max="3074" width="18.453125" style="116" customWidth="1"/>
    <col min="3075" max="3075" width="5.54296875" style="116" customWidth="1"/>
    <col min="3076" max="3076" width="5.453125" style="116" customWidth="1"/>
    <col min="3077" max="3077" width="6" style="116" customWidth="1"/>
    <col min="3078" max="3078" width="4.54296875" style="116" customWidth="1"/>
    <col min="3079" max="3079" width="3.81640625" style="116" bestFit="1" customWidth="1"/>
    <col min="3080" max="3080" width="6" style="116" customWidth="1"/>
    <col min="3081" max="3081" width="12.1796875" style="116" customWidth="1"/>
    <col min="3082" max="3082" width="7.453125" style="116" customWidth="1"/>
    <col min="3083" max="3083" width="5.453125" style="116" customWidth="1"/>
    <col min="3084" max="3084" width="7.453125" style="116" customWidth="1"/>
    <col min="3085" max="3085" width="8" style="116" customWidth="1"/>
    <col min="3086" max="3090" width="0" style="116" hidden="1" customWidth="1"/>
    <col min="3091" max="3328" width="9" style="116"/>
    <col min="3329" max="3329" width="4" style="116" bestFit="1" customWidth="1"/>
    <col min="3330" max="3330" width="18.453125" style="116" customWidth="1"/>
    <col min="3331" max="3331" width="5.54296875" style="116" customWidth="1"/>
    <col min="3332" max="3332" width="5.453125" style="116" customWidth="1"/>
    <col min="3333" max="3333" width="6" style="116" customWidth="1"/>
    <col min="3334" max="3334" width="4.54296875" style="116" customWidth="1"/>
    <col min="3335" max="3335" width="3.81640625" style="116" bestFit="1" customWidth="1"/>
    <col min="3336" max="3336" width="6" style="116" customWidth="1"/>
    <col min="3337" max="3337" width="12.1796875" style="116" customWidth="1"/>
    <col min="3338" max="3338" width="7.453125" style="116" customWidth="1"/>
    <col min="3339" max="3339" width="5.453125" style="116" customWidth="1"/>
    <col min="3340" max="3340" width="7.453125" style="116" customWidth="1"/>
    <col min="3341" max="3341" width="8" style="116" customWidth="1"/>
    <col min="3342" max="3346" width="0" style="116" hidden="1" customWidth="1"/>
    <col min="3347" max="3584" width="9" style="116"/>
    <col min="3585" max="3585" width="4" style="116" bestFit="1" customWidth="1"/>
    <col min="3586" max="3586" width="18.453125" style="116" customWidth="1"/>
    <col min="3587" max="3587" width="5.54296875" style="116" customWidth="1"/>
    <col min="3588" max="3588" width="5.453125" style="116" customWidth="1"/>
    <col min="3589" max="3589" width="6" style="116" customWidth="1"/>
    <col min="3590" max="3590" width="4.54296875" style="116" customWidth="1"/>
    <col min="3591" max="3591" width="3.81640625" style="116" bestFit="1" customWidth="1"/>
    <col min="3592" max="3592" width="6" style="116" customWidth="1"/>
    <col min="3593" max="3593" width="12.1796875" style="116" customWidth="1"/>
    <col min="3594" max="3594" width="7.453125" style="116" customWidth="1"/>
    <col min="3595" max="3595" width="5.453125" style="116" customWidth="1"/>
    <col min="3596" max="3596" width="7.453125" style="116" customWidth="1"/>
    <col min="3597" max="3597" width="8" style="116" customWidth="1"/>
    <col min="3598" max="3602" width="0" style="116" hidden="1" customWidth="1"/>
    <col min="3603" max="3840" width="9" style="116"/>
    <col min="3841" max="3841" width="4" style="116" bestFit="1" customWidth="1"/>
    <col min="3842" max="3842" width="18.453125" style="116" customWidth="1"/>
    <col min="3843" max="3843" width="5.54296875" style="116" customWidth="1"/>
    <col min="3844" max="3844" width="5.453125" style="116" customWidth="1"/>
    <col min="3845" max="3845" width="6" style="116" customWidth="1"/>
    <col min="3846" max="3846" width="4.54296875" style="116" customWidth="1"/>
    <col min="3847" max="3847" width="3.81640625" style="116" bestFit="1" customWidth="1"/>
    <col min="3848" max="3848" width="6" style="116" customWidth="1"/>
    <col min="3849" max="3849" width="12.1796875" style="116" customWidth="1"/>
    <col min="3850" max="3850" width="7.453125" style="116" customWidth="1"/>
    <col min="3851" max="3851" width="5.453125" style="116" customWidth="1"/>
    <col min="3852" max="3852" width="7.453125" style="116" customWidth="1"/>
    <col min="3853" max="3853" width="8" style="116" customWidth="1"/>
    <col min="3854" max="3858" width="0" style="116" hidden="1" customWidth="1"/>
    <col min="3859" max="4096" width="9" style="116"/>
    <col min="4097" max="4097" width="4" style="116" bestFit="1" customWidth="1"/>
    <col min="4098" max="4098" width="18.453125" style="116" customWidth="1"/>
    <col min="4099" max="4099" width="5.54296875" style="116" customWidth="1"/>
    <col min="4100" max="4100" width="5.453125" style="116" customWidth="1"/>
    <col min="4101" max="4101" width="6" style="116" customWidth="1"/>
    <col min="4102" max="4102" width="4.54296875" style="116" customWidth="1"/>
    <col min="4103" max="4103" width="3.81640625" style="116" bestFit="1" customWidth="1"/>
    <col min="4104" max="4104" width="6" style="116" customWidth="1"/>
    <col min="4105" max="4105" width="12.1796875" style="116" customWidth="1"/>
    <col min="4106" max="4106" width="7.453125" style="116" customWidth="1"/>
    <col min="4107" max="4107" width="5.453125" style="116" customWidth="1"/>
    <col min="4108" max="4108" width="7.453125" style="116" customWidth="1"/>
    <col min="4109" max="4109" width="8" style="116" customWidth="1"/>
    <col min="4110" max="4114" width="0" style="116" hidden="1" customWidth="1"/>
    <col min="4115" max="4352" width="9" style="116"/>
    <col min="4353" max="4353" width="4" style="116" bestFit="1" customWidth="1"/>
    <col min="4354" max="4354" width="18.453125" style="116" customWidth="1"/>
    <col min="4355" max="4355" width="5.54296875" style="116" customWidth="1"/>
    <col min="4356" max="4356" width="5.453125" style="116" customWidth="1"/>
    <col min="4357" max="4357" width="6" style="116" customWidth="1"/>
    <col min="4358" max="4358" width="4.54296875" style="116" customWidth="1"/>
    <col min="4359" max="4359" width="3.81640625" style="116" bestFit="1" customWidth="1"/>
    <col min="4360" max="4360" width="6" style="116" customWidth="1"/>
    <col min="4361" max="4361" width="12.1796875" style="116" customWidth="1"/>
    <col min="4362" max="4362" width="7.453125" style="116" customWidth="1"/>
    <col min="4363" max="4363" width="5.453125" style="116" customWidth="1"/>
    <col min="4364" max="4364" width="7.453125" style="116" customWidth="1"/>
    <col min="4365" max="4365" width="8" style="116" customWidth="1"/>
    <col min="4366" max="4370" width="0" style="116" hidden="1" customWidth="1"/>
    <col min="4371" max="4608" width="9" style="116"/>
    <col min="4609" max="4609" width="4" style="116" bestFit="1" customWidth="1"/>
    <col min="4610" max="4610" width="18.453125" style="116" customWidth="1"/>
    <col min="4611" max="4611" width="5.54296875" style="116" customWidth="1"/>
    <col min="4612" max="4612" width="5.453125" style="116" customWidth="1"/>
    <col min="4613" max="4613" width="6" style="116" customWidth="1"/>
    <col min="4614" max="4614" width="4.54296875" style="116" customWidth="1"/>
    <col min="4615" max="4615" width="3.81640625" style="116" bestFit="1" customWidth="1"/>
    <col min="4616" max="4616" width="6" style="116" customWidth="1"/>
    <col min="4617" max="4617" width="12.1796875" style="116" customWidth="1"/>
    <col min="4618" max="4618" width="7.453125" style="116" customWidth="1"/>
    <col min="4619" max="4619" width="5.453125" style="116" customWidth="1"/>
    <col min="4620" max="4620" width="7.453125" style="116" customWidth="1"/>
    <col min="4621" max="4621" width="8" style="116" customWidth="1"/>
    <col min="4622" max="4626" width="0" style="116" hidden="1" customWidth="1"/>
    <col min="4627" max="4864" width="9" style="116"/>
    <col min="4865" max="4865" width="4" style="116" bestFit="1" customWidth="1"/>
    <col min="4866" max="4866" width="18.453125" style="116" customWidth="1"/>
    <col min="4867" max="4867" width="5.54296875" style="116" customWidth="1"/>
    <col min="4868" max="4868" width="5.453125" style="116" customWidth="1"/>
    <col min="4869" max="4869" width="6" style="116" customWidth="1"/>
    <col min="4870" max="4870" width="4.54296875" style="116" customWidth="1"/>
    <col min="4871" max="4871" width="3.81640625" style="116" bestFit="1" customWidth="1"/>
    <col min="4872" max="4872" width="6" style="116" customWidth="1"/>
    <col min="4873" max="4873" width="12.1796875" style="116" customWidth="1"/>
    <col min="4874" max="4874" width="7.453125" style="116" customWidth="1"/>
    <col min="4875" max="4875" width="5.453125" style="116" customWidth="1"/>
    <col min="4876" max="4876" width="7.453125" style="116" customWidth="1"/>
    <col min="4877" max="4877" width="8" style="116" customWidth="1"/>
    <col min="4878" max="4882" width="0" style="116" hidden="1" customWidth="1"/>
    <col min="4883" max="5120" width="9" style="116"/>
    <col min="5121" max="5121" width="4" style="116" bestFit="1" customWidth="1"/>
    <col min="5122" max="5122" width="18.453125" style="116" customWidth="1"/>
    <col min="5123" max="5123" width="5.54296875" style="116" customWidth="1"/>
    <col min="5124" max="5124" width="5.453125" style="116" customWidth="1"/>
    <col min="5125" max="5125" width="6" style="116" customWidth="1"/>
    <col min="5126" max="5126" width="4.54296875" style="116" customWidth="1"/>
    <col min="5127" max="5127" width="3.81640625" style="116" bestFit="1" customWidth="1"/>
    <col min="5128" max="5128" width="6" style="116" customWidth="1"/>
    <col min="5129" max="5129" width="12.1796875" style="116" customWidth="1"/>
    <col min="5130" max="5130" width="7.453125" style="116" customWidth="1"/>
    <col min="5131" max="5131" width="5.453125" style="116" customWidth="1"/>
    <col min="5132" max="5132" width="7.453125" style="116" customWidth="1"/>
    <col min="5133" max="5133" width="8" style="116" customWidth="1"/>
    <col min="5134" max="5138" width="0" style="116" hidden="1" customWidth="1"/>
    <col min="5139" max="5376" width="9" style="116"/>
    <col min="5377" max="5377" width="4" style="116" bestFit="1" customWidth="1"/>
    <col min="5378" max="5378" width="18.453125" style="116" customWidth="1"/>
    <col min="5379" max="5379" width="5.54296875" style="116" customWidth="1"/>
    <col min="5380" max="5380" width="5.453125" style="116" customWidth="1"/>
    <col min="5381" max="5381" width="6" style="116" customWidth="1"/>
    <col min="5382" max="5382" width="4.54296875" style="116" customWidth="1"/>
    <col min="5383" max="5383" width="3.81640625" style="116" bestFit="1" customWidth="1"/>
    <col min="5384" max="5384" width="6" style="116" customWidth="1"/>
    <col min="5385" max="5385" width="12.1796875" style="116" customWidth="1"/>
    <col min="5386" max="5386" width="7.453125" style="116" customWidth="1"/>
    <col min="5387" max="5387" width="5.453125" style="116" customWidth="1"/>
    <col min="5388" max="5388" width="7.453125" style="116" customWidth="1"/>
    <col min="5389" max="5389" width="8" style="116" customWidth="1"/>
    <col min="5390" max="5394" width="0" style="116" hidden="1" customWidth="1"/>
    <col min="5395" max="5632" width="9" style="116"/>
    <col min="5633" max="5633" width="4" style="116" bestFit="1" customWidth="1"/>
    <col min="5634" max="5634" width="18.453125" style="116" customWidth="1"/>
    <col min="5635" max="5635" width="5.54296875" style="116" customWidth="1"/>
    <col min="5636" max="5636" width="5.453125" style="116" customWidth="1"/>
    <col min="5637" max="5637" width="6" style="116" customWidth="1"/>
    <col min="5638" max="5638" width="4.54296875" style="116" customWidth="1"/>
    <col min="5639" max="5639" width="3.81640625" style="116" bestFit="1" customWidth="1"/>
    <col min="5640" max="5640" width="6" style="116" customWidth="1"/>
    <col min="5641" max="5641" width="12.1796875" style="116" customWidth="1"/>
    <col min="5642" max="5642" width="7.453125" style="116" customWidth="1"/>
    <col min="5643" max="5643" width="5.453125" style="116" customWidth="1"/>
    <col min="5644" max="5644" width="7.453125" style="116" customWidth="1"/>
    <col min="5645" max="5645" width="8" style="116" customWidth="1"/>
    <col min="5646" max="5650" width="0" style="116" hidden="1" customWidth="1"/>
    <col min="5651" max="5888" width="9" style="116"/>
    <col min="5889" max="5889" width="4" style="116" bestFit="1" customWidth="1"/>
    <col min="5890" max="5890" width="18.453125" style="116" customWidth="1"/>
    <col min="5891" max="5891" width="5.54296875" style="116" customWidth="1"/>
    <col min="5892" max="5892" width="5.453125" style="116" customWidth="1"/>
    <col min="5893" max="5893" width="6" style="116" customWidth="1"/>
    <col min="5894" max="5894" width="4.54296875" style="116" customWidth="1"/>
    <col min="5895" max="5895" width="3.81640625" style="116" bestFit="1" customWidth="1"/>
    <col min="5896" max="5896" width="6" style="116" customWidth="1"/>
    <col min="5897" max="5897" width="12.1796875" style="116" customWidth="1"/>
    <col min="5898" max="5898" width="7.453125" style="116" customWidth="1"/>
    <col min="5899" max="5899" width="5.453125" style="116" customWidth="1"/>
    <col min="5900" max="5900" width="7.453125" style="116" customWidth="1"/>
    <col min="5901" max="5901" width="8" style="116" customWidth="1"/>
    <col min="5902" max="5906" width="0" style="116" hidden="1" customWidth="1"/>
    <col min="5907" max="6144" width="9" style="116"/>
    <col min="6145" max="6145" width="4" style="116" bestFit="1" customWidth="1"/>
    <col min="6146" max="6146" width="18.453125" style="116" customWidth="1"/>
    <col min="6147" max="6147" width="5.54296875" style="116" customWidth="1"/>
    <col min="6148" max="6148" width="5.453125" style="116" customWidth="1"/>
    <col min="6149" max="6149" width="6" style="116" customWidth="1"/>
    <col min="6150" max="6150" width="4.54296875" style="116" customWidth="1"/>
    <col min="6151" max="6151" width="3.81640625" style="116" bestFit="1" customWidth="1"/>
    <col min="6152" max="6152" width="6" style="116" customWidth="1"/>
    <col min="6153" max="6153" width="12.1796875" style="116" customWidth="1"/>
    <col min="6154" max="6154" width="7.453125" style="116" customWidth="1"/>
    <col min="6155" max="6155" width="5.453125" style="116" customWidth="1"/>
    <col min="6156" max="6156" width="7.453125" style="116" customWidth="1"/>
    <col min="6157" max="6157" width="8" style="116" customWidth="1"/>
    <col min="6158" max="6162" width="0" style="116" hidden="1" customWidth="1"/>
    <col min="6163" max="6400" width="9" style="116"/>
    <col min="6401" max="6401" width="4" style="116" bestFit="1" customWidth="1"/>
    <col min="6402" max="6402" width="18.453125" style="116" customWidth="1"/>
    <col min="6403" max="6403" width="5.54296875" style="116" customWidth="1"/>
    <col min="6404" max="6404" width="5.453125" style="116" customWidth="1"/>
    <col min="6405" max="6405" width="6" style="116" customWidth="1"/>
    <col min="6406" max="6406" width="4.54296875" style="116" customWidth="1"/>
    <col min="6407" max="6407" width="3.81640625" style="116" bestFit="1" customWidth="1"/>
    <col min="6408" max="6408" width="6" style="116" customWidth="1"/>
    <col min="6409" max="6409" width="12.1796875" style="116" customWidth="1"/>
    <col min="6410" max="6410" width="7.453125" style="116" customWidth="1"/>
    <col min="6411" max="6411" width="5.453125" style="116" customWidth="1"/>
    <col min="6412" max="6412" width="7.453125" style="116" customWidth="1"/>
    <col min="6413" max="6413" width="8" style="116" customWidth="1"/>
    <col min="6414" max="6418" width="0" style="116" hidden="1" customWidth="1"/>
    <col min="6419" max="6656" width="9" style="116"/>
    <col min="6657" max="6657" width="4" style="116" bestFit="1" customWidth="1"/>
    <col min="6658" max="6658" width="18.453125" style="116" customWidth="1"/>
    <col min="6659" max="6659" width="5.54296875" style="116" customWidth="1"/>
    <col min="6660" max="6660" width="5.453125" style="116" customWidth="1"/>
    <col min="6661" max="6661" width="6" style="116" customWidth="1"/>
    <col min="6662" max="6662" width="4.54296875" style="116" customWidth="1"/>
    <col min="6663" max="6663" width="3.81640625" style="116" bestFit="1" customWidth="1"/>
    <col min="6664" max="6664" width="6" style="116" customWidth="1"/>
    <col min="6665" max="6665" width="12.1796875" style="116" customWidth="1"/>
    <col min="6666" max="6666" width="7.453125" style="116" customWidth="1"/>
    <col min="6667" max="6667" width="5.453125" style="116" customWidth="1"/>
    <col min="6668" max="6668" width="7.453125" style="116" customWidth="1"/>
    <col min="6669" max="6669" width="8" style="116" customWidth="1"/>
    <col min="6670" max="6674" width="0" style="116" hidden="1" customWidth="1"/>
    <col min="6675" max="6912" width="9" style="116"/>
    <col min="6913" max="6913" width="4" style="116" bestFit="1" customWidth="1"/>
    <col min="6914" max="6914" width="18.453125" style="116" customWidth="1"/>
    <col min="6915" max="6915" width="5.54296875" style="116" customWidth="1"/>
    <col min="6916" max="6916" width="5.453125" style="116" customWidth="1"/>
    <col min="6917" max="6917" width="6" style="116" customWidth="1"/>
    <col min="6918" max="6918" width="4.54296875" style="116" customWidth="1"/>
    <col min="6919" max="6919" width="3.81640625" style="116" bestFit="1" customWidth="1"/>
    <col min="6920" max="6920" width="6" style="116" customWidth="1"/>
    <col min="6921" max="6921" width="12.1796875" style="116" customWidth="1"/>
    <col min="6922" max="6922" width="7.453125" style="116" customWidth="1"/>
    <col min="6923" max="6923" width="5.453125" style="116" customWidth="1"/>
    <col min="6924" max="6924" width="7.453125" style="116" customWidth="1"/>
    <col min="6925" max="6925" width="8" style="116" customWidth="1"/>
    <col min="6926" max="6930" width="0" style="116" hidden="1" customWidth="1"/>
    <col min="6931" max="7168" width="9" style="116"/>
    <col min="7169" max="7169" width="4" style="116" bestFit="1" customWidth="1"/>
    <col min="7170" max="7170" width="18.453125" style="116" customWidth="1"/>
    <col min="7171" max="7171" width="5.54296875" style="116" customWidth="1"/>
    <col min="7172" max="7172" width="5.453125" style="116" customWidth="1"/>
    <col min="7173" max="7173" width="6" style="116" customWidth="1"/>
    <col min="7174" max="7174" width="4.54296875" style="116" customWidth="1"/>
    <col min="7175" max="7175" width="3.81640625" style="116" bestFit="1" customWidth="1"/>
    <col min="7176" max="7176" width="6" style="116" customWidth="1"/>
    <col min="7177" max="7177" width="12.1796875" style="116" customWidth="1"/>
    <col min="7178" max="7178" width="7.453125" style="116" customWidth="1"/>
    <col min="7179" max="7179" width="5.453125" style="116" customWidth="1"/>
    <col min="7180" max="7180" width="7.453125" style="116" customWidth="1"/>
    <col min="7181" max="7181" width="8" style="116" customWidth="1"/>
    <col min="7182" max="7186" width="0" style="116" hidden="1" customWidth="1"/>
    <col min="7187" max="7424" width="9" style="116"/>
    <col min="7425" max="7425" width="4" style="116" bestFit="1" customWidth="1"/>
    <col min="7426" max="7426" width="18.453125" style="116" customWidth="1"/>
    <col min="7427" max="7427" width="5.54296875" style="116" customWidth="1"/>
    <col min="7428" max="7428" width="5.453125" style="116" customWidth="1"/>
    <col min="7429" max="7429" width="6" style="116" customWidth="1"/>
    <col min="7430" max="7430" width="4.54296875" style="116" customWidth="1"/>
    <col min="7431" max="7431" width="3.81640625" style="116" bestFit="1" customWidth="1"/>
    <col min="7432" max="7432" width="6" style="116" customWidth="1"/>
    <col min="7433" max="7433" width="12.1796875" style="116" customWidth="1"/>
    <col min="7434" max="7434" width="7.453125" style="116" customWidth="1"/>
    <col min="7435" max="7435" width="5.453125" style="116" customWidth="1"/>
    <col min="7436" max="7436" width="7.453125" style="116" customWidth="1"/>
    <col min="7437" max="7437" width="8" style="116" customWidth="1"/>
    <col min="7438" max="7442" width="0" style="116" hidden="1" customWidth="1"/>
    <col min="7443" max="7680" width="9" style="116"/>
    <col min="7681" max="7681" width="4" style="116" bestFit="1" customWidth="1"/>
    <col min="7682" max="7682" width="18.453125" style="116" customWidth="1"/>
    <col min="7683" max="7683" width="5.54296875" style="116" customWidth="1"/>
    <col min="7684" max="7684" width="5.453125" style="116" customWidth="1"/>
    <col min="7685" max="7685" width="6" style="116" customWidth="1"/>
    <col min="7686" max="7686" width="4.54296875" style="116" customWidth="1"/>
    <col min="7687" max="7687" width="3.81640625" style="116" bestFit="1" customWidth="1"/>
    <col min="7688" max="7688" width="6" style="116" customWidth="1"/>
    <col min="7689" max="7689" width="12.1796875" style="116" customWidth="1"/>
    <col min="7690" max="7690" width="7.453125" style="116" customWidth="1"/>
    <col min="7691" max="7691" width="5.453125" style="116" customWidth="1"/>
    <col min="7692" max="7692" width="7.453125" style="116" customWidth="1"/>
    <col min="7693" max="7693" width="8" style="116" customWidth="1"/>
    <col min="7694" max="7698" width="0" style="116" hidden="1" customWidth="1"/>
    <col min="7699" max="7936" width="9" style="116"/>
    <col min="7937" max="7937" width="4" style="116" bestFit="1" customWidth="1"/>
    <col min="7938" max="7938" width="18.453125" style="116" customWidth="1"/>
    <col min="7939" max="7939" width="5.54296875" style="116" customWidth="1"/>
    <col min="7940" max="7940" width="5.453125" style="116" customWidth="1"/>
    <col min="7941" max="7941" width="6" style="116" customWidth="1"/>
    <col min="7942" max="7942" width="4.54296875" style="116" customWidth="1"/>
    <col min="7943" max="7943" width="3.81640625" style="116" bestFit="1" customWidth="1"/>
    <col min="7944" max="7944" width="6" style="116" customWidth="1"/>
    <col min="7945" max="7945" width="12.1796875" style="116" customWidth="1"/>
    <col min="7946" max="7946" width="7.453125" style="116" customWidth="1"/>
    <col min="7947" max="7947" width="5.453125" style="116" customWidth="1"/>
    <col min="7948" max="7948" width="7.453125" style="116" customWidth="1"/>
    <col min="7949" max="7949" width="8" style="116" customWidth="1"/>
    <col min="7950" max="7954" width="0" style="116" hidden="1" customWidth="1"/>
    <col min="7955" max="8192" width="9" style="116"/>
    <col min="8193" max="8193" width="4" style="116" bestFit="1" customWidth="1"/>
    <col min="8194" max="8194" width="18.453125" style="116" customWidth="1"/>
    <col min="8195" max="8195" width="5.54296875" style="116" customWidth="1"/>
    <col min="8196" max="8196" width="5.453125" style="116" customWidth="1"/>
    <col min="8197" max="8197" width="6" style="116" customWidth="1"/>
    <col min="8198" max="8198" width="4.54296875" style="116" customWidth="1"/>
    <col min="8199" max="8199" width="3.81640625" style="116" bestFit="1" customWidth="1"/>
    <col min="8200" max="8200" width="6" style="116" customWidth="1"/>
    <col min="8201" max="8201" width="12.1796875" style="116" customWidth="1"/>
    <col min="8202" max="8202" width="7.453125" style="116" customWidth="1"/>
    <col min="8203" max="8203" width="5.453125" style="116" customWidth="1"/>
    <col min="8204" max="8204" width="7.453125" style="116" customWidth="1"/>
    <col min="8205" max="8205" width="8" style="116" customWidth="1"/>
    <col min="8206" max="8210" width="0" style="116" hidden="1" customWidth="1"/>
    <col min="8211" max="8448" width="9" style="116"/>
    <col min="8449" max="8449" width="4" style="116" bestFit="1" customWidth="1"/>
    <col min="8450" max="8450" width="18.453125" style="116" customWidth="1"/>
    <col min="8451" max="8451" width="5.54296875" style="116" customWidth="1"/>
    <col min="8452" max="8452" width="5.453125" style="116" customWidth="1"/>
    <col min="8453" max="8453" width="6" style="116" customWidth="1"/>
    <col min="8454" max="8454" width="4.54296875" style="116" customWidth="1"/>
    <col min="8455" max="8455" width="3.81640625" style="116" bestFit="1" customWidth="1"/>
    <col min="8456" max="8456" width="6" style="116" customWidth="1"/>
    <col min="8457" max="8457" width="12.1796875" style="116" customWidth="1"/>
    <col min="8458" max="8458" width="7.453125" style="116" customWidth="1"/>
    <col min="8459" max="8459" width="5.453125" style="116" customWidth="1"/>
    <col min="8460" max="8460" width="7.453125" style="116" customWidth="1"/>
    <col min="8461" max="8461" width="8" style="116" customWidth="1"/>
    <col min="8462" max="8466" width="0" style="116" hidden="1" customWidth="1"/>
    <col min="8467" max="8704" width="9" style="116"/>
    <col min="8705" max="8705" width="4" style="116" bestFit="1" customWidth="1"/>
    <col min="8706" max="8706" width="18.453125" style="116" customWidth="1"/>
    <col min="8707" max="8707" width="5.54296875" style="116" customWidth="1"/>
    <col min="8708" max="8708" width="5.453125" style="116" customWidth="1"/>
    <col min="8709" max="8709" width="6" style="116" customWidth="1"/>
    <col min="8710" max="8710" width="4.54296875" style="116" customWidth="1"/>
    <col min="8711" max="8711" width="3.81640625" style="116" bestFit="1" customWidth="1"/>
    <col min="8712" max="8712" width="6" style="116" customWidth="1"/>
    <col min="8713" max="8713" width="12.1796875" style="116" customWidth="1"/>
    <col min="8714" max="8714" width="7.453125" style="116" customWidth="1"/>
    <col min="8715" max="8715" width="5.453125" style="116" customWidth="1"/>
    <col min="8716" max="8716" width="7.453125" style="116" customWidth="1"/>
    <col min="8717" max="8717" width="8" style="116" customWidth="1"/>
    <col min="8718" max="8722" width="0" style="116" hidden="1" customWidth="1"/>
    <col min="8723" max="8960" width="9" style="116"/>
    <col min="8961" max="8961" width="4" style="116" bestFit="1" customWidth="1"/>
    <col min="8962" max="8962" width="18.453125" style="116" customWidth="1"/>
    <col min="8963" max="8963" width="5.54296875" style="116" customWidth="1"/>
    <col min="8964" max="8964" width="5.453125" style="116" customWidth="1"/>
    <col min="8965" max="8965" width="6" style="116" customWidth="1"/>
    <col min="8966" max="8966" width="4.54296875" style="116" customWidth="1"/>
    <col min="8967" max="8967" width="3.81640625" style="116" bestFit="1" customWidth="1"/>
    <col min="8968" max="8968" width="6" style="116" customWidth="1"/>
    <col min="8969" max="8969" width="12.1796875" style="116" customWidth="1"/>
    <col min="8970" max="8970" width="7.453125" style="116" customWidth="1"/>
    <col min="8971" max="8971" width="5.453125" style="116" customWidth="1"/>
    <col min="8972" max="8972" width="7.453125" style="116" customWidth="1"/>
    <col min="8973" max="8973" width="8" style="116" customWidth="1"/>
    <col min="8974" max="8978" width="0" style="116" hidden="1" customWidth="1"/>
    <col min="8979" max="9216" width="9" style="116"/>
    <col min="9217" max="9217" width="4" style="116" bestFit="1" customWidth="1"/>
    <col min="9218" max="9218" width="18.453125" style="116" customWidth="1"/>
    <col min="9219" max="9219" width="5.54296875" style="116" customWidth="1"/>
    <col min="9220" max="9220" width="5.453125" style="116" customWidth="1"/>
    <col min="9221" max="9221" width="6" style="116" customWidth="1"/>
    <col min="9222" max="9222" width="4.54296875" style="116" customWidth="1"/>
    <col min="9223" max="9223" width="3.81640625" style="116" bestFit="1" customWidth="1"/>
    <col min="9224" max="9224" width="6" style="116" customWidth="1"/>
    <col min="9225" max="9225" width="12.1796875" style="116" customWidth="1"/>
    <col min="9226" max="9226" width="7.453125" style="116" customWidth="1"/>
    <col min="9227" max="9227" width="5.453125" style="116" customWidth="1"/>
    <col min="9228" max="9228" width="7.453125" style="116" customWidth="1"/>
    <col min="9229" max="9229" width="8" style="116" customWidth="1"/>
    <col min="9230" max="9234" width="0" style="116" hidden="1" customWidth="1"/>
    <col min="9235" max="9472" width="9" style="116"/>
    <col min="9473" max="9473" width="4" style="116" bestFit="1" customWidth="1"/>
    <col min="9474" max="9474" width="18.453125" style="116" customWidth="1"/>
    <col min="9475" max="9475" width="5.54296875" style="116" customWidth="1"/>
    <col min="9476" max="9476" width="5.453125" style="116" customWidth="1"/>
    <col min="9477" max="9477" width="6" style="116" customWidth="1"/>
    <col min="9478" max="9478" width="4.54296875" style="116" customWidth="1"/>
    <col min="9479" max="9479" width="3.81640625" style="116" bestFit="1" customWidth="1"/>
    <col min="9480" max="9480" width="6" style="116" customWidth="1"/>
    <col min="9481" max="9481" width="12.1796875" style="116" customWidth="1"/>
    <col min="9482" max="9482" width="7.453125" style="116" customWidth="1"/>
    <col min="9483" max="9483" width="5.453125" style="116" customWidth="1"/>
    <col min="9484" max="9484" width="7.453125" style="116" customWidth="1"/>
    <col min="9485" max="9485" width="8" style="116" customWidth="1"/>
    <col min="9486" max="9490" width="0" style="116" hidden="1" customWidth="1"/>
    <col min="9491" max="9728" width="9" style="116"/>
    <col min="9729" max="9729" width="4" style="116" bestFit="1" customWidth="1"/>
    <col min="9730" max="9730" width="18.453125" style="116" customWidth="1"/>
    <col min="9731" max="9731" width="5.54296875" style="116" customWidth="1"/>
    <col min="9732" max="9732" width="5.453125" style="116" customWidth="1"/>
    <col min="9733" max="9733" width="6" style="116" customWidth="1"/>
    <col min="9734" max="9734" width="4.54296875" style="116" customWidth="1"/>
    <col min="9735" max="9735" width="3.81640625" style="116" bestFit="1" customWidth="1"/>
    <col min="9736" max="9736" width="6" style="116" customWidth="1"/>
    <col min="9737" max="9737" width="12.1796875" style="116" customWidth="1"/>
    <col min="9738" max="9738" width="7.453125" style="116" customWidth="1"/>
    <col min="9739" max="9739" width="5.453125" style="116" customWidth="1"/>
    <col min="9740" max="9740" width="7.453125" style="116" customWidth="1"/>
    <col min="9741" max="9741" width="8" style="116" customWidth="1"/>
    <col min="9742" max="9746" width="0" style="116" hidden="1" customWidth="1"/>
    <col min="9747" max="9984" width="9" style="116"/>
    <col min="9985" max="9985" width="4" style="116" bestFit="1" customWidth="1"/>
    <col min="9986" max="9986" width="18.453125" style="116" customWidth="1"/>
    <col min="9987" max="9987" width="5.54296875" style="116" customWidth="1"/>
    <col min="9988" max="9988" width="5.453125" style="116" customWidth="1"/>
    <col min="9989" max="9989" width="6" style="116" customWidth="1"/>
    <col min="9990" max="9990" width="4.54296875" style="116" customWidth="1"/>
    <col min="9991" max="9991" width="3.81640625" style="116" bestFit="1" customWidth="1"/>
    <col min="9992" max="9992" width="6" style="116" customWidth="1"/>
    <col min="9993" max="9993" width="12.1796875" style="116" customWidth="1"/>
    <col min="9994" max="9994" width="7.453125" style="116" customWidth="1"/>
    <col min="9995" max="9995" width="5.453125" style="116" customWidth="1"/>
    <col min="9996" max="9996" width="7.453125" style="116" customWidth="1"/>
    <col min="9997" max="9997" width="8" style="116" customWidth="1"/>
    <col min="9998" max="10002" width="0" style="116" hidden="1" customWidth="1"/>
    <col min="10003" max="10240" width="9" style="116"/>
    <col min="10241" max="10241" width="4" style="116" bestFit="1" customWidth="1"/>
    <col min="10242" max="10242" width="18.453125" style="116" customWidth="1"/>
    <col min="10243" max="10243" width="5.54296875" style="116" customWidth="1"/>
    <col min="10244" max="10244" width="5.453125" style="116" customWidth="1"/>
    <col min="10245" max="10245" width="6" style="116" customWidth="1"/>
    <col min="10246" max="10246" width="4.54296875" style="116" customWidth="1"/>
    <col min="10247" max="10247" width="3.81640625" style="116" bestFit="1" customWidth="1"/>
    <col min="10248" max="10248" width="6" style="116" customWidth="1"/>
    <col min="10249" max="10249" width="12.1796875" style="116" customWidth="1"/>
    <col min="10250" max="10250" width="7.453125" style="116" customWidth="1"/>
    <col min="10251" max="10251" width="5.453125" style="116" customWidth="1"/>
    <col min="10252" max="10252" width="7.453125" style="116" customWidth="1"/>
    <col min="10253" max="10253" width="8" style="116" customWidth="1"/>
    <col min="10254" max="10258" width="0" style="116" hidden="1" customWidth="1"/>
    <col min="10259" max="10496" width="9" style="116"/>
    <col min="10497" max="10497" width="4" style="116" bestFit="1" customWidth="1"/>
    <col min="10498" max="10498" width="18.453125" style="116" customWidth="1"/>
    <col min="10499" max="10499" width="5.54296875" style="116" customWidth="1"/>
    <col min="10500" max="10500" width="5.453125" style="116" customWidth="1"/>
    <col min="10501" max="10501" width="6" style="116" customWidth="1"/>
    <col min="10502" max="10502" width="4.54296875" style="116" customWidth="1"/>
    <col min="10503" max="10503" width="3.81640625" style="116" bestFit="1" customWidth="1"/>
    <col min="10504" max="10504" width="6" style="116" customWidth="1"/>
    <col min="10505" max="10505" width="12.1796875" style="116" customWidth="1"/>
    <col min="10506" max="10506" width="7.453125" style="116" customWidth="1"/>
    <col min="10507" max="10507" width="5.453125" style="116" customWidth="1"/>
    <col min="10508" max="10508" width="7.453125" style="116" customWidth="1"/>
    <col min="10509" max="10509" width="8" style="116" customWidth="1"/>
    <col min="10510" max="10514" width="0" style="116" hidden="1" customWidth="1"/>
    <col min="10515" max="10752" width="9" style="116"/>
    <col min="10753" max="10753" width="4" style="116" bestFit="1" customWidth="1"/>
    <col min="10754" max="10754" width="18.453125" style="116" customWidth="1"/>
    <col min="10755" max="10755" width="5.54296875" style="116" customWidth="1"/>
    <col min="10756" max="10756" width="5.453125" style="116" customWidth="1"/>
    <col min="10757" max="10757" width="6" style="116" customWidth="1"/>
    <col min="10758" max="10758" width="4.54296875" style="116" customWidth="1"/>
    <col min="10759" max="10759" width="3.81640625" style="116" bestFit="1" customWidth="1"/>
    <col min="10760" max="10760" width="6" style="116" customWidth="1"/>
    <col min="10761" max="10761" width="12.1796875" style="116" customWidth="1"/>
    <col min="10762" max="10762" width="7.453125" style="116" customWidth="1"/>
    <col min="10763" max="10763" width="5.453125" style="116" customWidth="1"/>
    <col min="10764" max="10764" width="7.453125" style="116" customWidth="1"/>
    <col min="10765" max="10765" width="8" style="116" customWidth="1"/>
    <col min="10766" max="10770" width="0" style="116" hidden="1" customWidth="1"/>
    <col min="10771" max="11008" width="9" style="116"/>
    <col min="11009" max="11009" width="4" style="116" bestFit="1" customWidth="1"/>
    <col min="11010" max="11010" width="18.453125" style="116" customWidth="1"/>
    <col min="11011" max="11011" width="5.54296875" style="116" customWidth="1"/>
    <col min="11012" max="11012" width="5.453125" style="116" customWidth="1"/>
    <col min="11013" max="11013" width="6" style="116" customWidth="1"/>
    <col min="11014" max="11014" width="4.54296875" style="116" customWidth="1"/>
    <col min="11015" max="11015" width="3.81640625" style="116" bestFit="1" customWidth="1"/>
    <col min="11016" max="11016" width="6" style="116" customWidth="1"/>
    <col min="11017" max="11017" width="12.1796875" style="116" customWidth="1"/>
    <col min="11018" max="11018" width="7.453125" style="116" customWidth="1"/>
    <col min="11019" max="11019" width="5.453125" style="116" customWidth="1"/>
    <col min="11020" max="11020" width="7.453125" style="116" customWidth="1"/>
    <col min="11021" max="11021" width="8" style="116" customWidth="1"/>
    <col min="11022" max="11026" width="0" style="116" hidden="1" customWidth="1"/>
    <col min="11027" max="11264" width="9" style="116"/>
    <col min="11265" max="11265" width="4" style="116" bestFit="1" customWidth="1"/>
    <col min="11266" max="11266" width="18.453125" style="116" customWidth="1"/>
    <col min="11267" max="11267" width="5.54296875" style="116" customWidth="1"/>
    <col min="11268" max="11268" width="5.453125" style="116" customWidth="1"/>
    <col min="11269" max="11269" width="6" style="116" customWidth="1"/>
    <col min="11270" max="11270" width="4.54296875" style="116" customWidth="1"/>
    <col min="11271" max="11271" width="3.81640625" style="116" bestFit="1" customWidth="1"/>
    <col min="11272" max="11272" width="6" style="116" customWidth="1"/>
    <col min="11273" max="11273" width="12.1796875" style="116" customWidth="1"/>
    <col min="11274" max="11274" width="7.453125" style="116" customWidth="1"/>
    <col min="11275" max="11275" width="5.453125" style="116" customWidth="1"/>
    <col min="11276" max="11276" width="7.453125" style="116" customWidth="1"/>
    <col min="11277" max="11277" width="8" style="116" customWidth="1"/>
    <col min="11278" max="11282" width="0" style="116" hidden="1" customWidth="1"/>
    <col min="11283" max="11520" width="9" style="116"/>
    <col min="11521" max="11521" width="4" style="116" bestFit="1" customWidth="1"/>
    <col min="11522" max="11522" width="18.453125" style="116" customWidth="1"/>
    <col min="11523" max="11523" width="5.54296875" style="116" customWidth="1"/>
    <col min="11524" max="11524" width="5.453125" style="116" customWidth="1"/>
    <col min="11525" max="11525" width="6" style="116" customWidth="1"/>
    <col min="11526" max="11526" width="4.54296875" style="116" customWidth="1"/>
    <col min="11527" max="11527" width="3.81640625" style="116" bestFit="1" customWidth="1"/>
    <col min="11528" max="11528" width="6" style="116" customWidth="1"/>
    <col min="11529" max="11529" width="12.1796875" style="116" customWidth="1"/>
    <col min="11530" max="11530" width="7.453125" style="116" customWidth="1"/>
    <col min="11531" max="11531" width="5.453125" style="116" customWidth="1"/>
    <col min="11532" max="11532" width="7.453125" style="116" customWidth="1"/>
    <col min="11533" max="11533" width="8" style="116" customWidth="1"/>
    <col min="11534" max="11538" width="0" style="116" hidden="1" customWidth="1"/>
    <col min="11539" max="11776" width="9" style="116"/>
    <col min="11777" max="11777" width="4" style="116" bestFit="1" customWidth="1"/>
    <col min="11778" max="11778" width="18.453125" style="116" customWidth="1"/>
    <col min="11779" max="11779" width="5.54296875" style="116" customWidth="1"/>
    <col min="11780" max="11780" width="5.453125" style="116" customWidth="1"/>
    <col min="11781" max="11781" width="6" style="116" customWidth="1"/>
    <col min="11782" max="11782" width="4.54296875" style="116" customWidth="1"/>
    <col min="11783" max="11783" width="3.81640625" style="116" bestFit="1" customWidth="1"/>
    <col min="11784" max="11784" width="6" style="116" customWidth="1"/>
    <col min="11785" max="11785" width="12.1796875" style="116" customWidth="1"/>
    <col min="11786" max="11786" width="7.453125" style="116" customWidth="1"/>
    <col min="11787" max="11787" width="5.453125" style="116" customWidth="1"/>
    <col min="11788" max="11788" width="7.453125" style="116" customWidth="1"/>
    <col min="11789" max="11789" width="8" style="116" customWidth="1"/>
    <col min="11790" max="11794" width="0" style="116" hidden="1" customWidth="1"/>
    <col min="11795" max="12032" width="9" style="116"/>
    <col min="12033" max="12033" width="4" style="116" bestFit="1" customWidth="1"/>
    <col min="12034" max="12034" width="18.453125" style="116" customWidth="1"/>
    <col min="12035" max="12035" width="5.54296875" style="116" customWidth="1"/>
    <col min="12036" max="12036" width="5.453125" style="116" customWidth="1"/>
    <col min="12037" max="12037" width="6" style="116" customWidth="1"/>
    <col min="12038" max="12038" width="4.54296875" style="116" customWidth="1"/>
    <col min="12039" max="12039" width="3.81640625" style="116" bestFit="1" customWidth="1"/>
    <col min="12040" max="12040" width="6" style="116" customWidth="1"/>
    <col min="12041" max="12041" width="12.1796875" style="116" customWidth="1"/>
    <col min="12042" max="12042" width="7.453125" style="116" customWidth="1"/>
    <col min="12043" max="12043" width="5.453125" style="116" customWidth="1"/>
    <col min="12044" max="12044" width="7.453125" style="116" customWidth="1"/>
    <col min="12045" max="12045" width="8" style="116" customWidth="1"/>
    <col min="12046" max="12050" width="0" style="116" hidden="1" customWidth="1"/>
    <col min="12051" max="12288" width="9" style="116"/>
    <col min="12289" max="12289" width="4" style="116" bestFit="1" customWidth="1"/>
    <col min="12290" max="12290" width="18.453125" style="116" customWidth="1"/>
    <col min="12291" max="12291" width="5.54296875" style="116" customWidth="1"/>
    <col min="12292" max="12292" width="5.453125" style="116" customWidth="1"/>
    <col min="12293" max="12293" width="6" style="116" customWidth="1"/>
    <col min="12294" max="12294" width="4.54296875" style="116" customWidth="1"/>
    <col min="12295" max="12295" width="3.81640625" style="116" bestFit="1" customWidth="1"/>
    <col min="12296" max="12296" width="6" style="116" customWidth="1"/>
    <col min="12297" max="12297" width="12.1796875" style="116" customWidth="1"/>
    <col min="12298" max="12298" width="7.453125" style="116" customWidth="1"/>
    <col min="12299" max="12299" width="5.453125" style="116" customWidth="1"/>
    <col min="12300" max="12300" width="7.453125" style="116" customWidth="1"/>
    <col min="12301" max="12301" width="8" style="116" customWidth="1"/>
    <col min="12302" max="12306" width="0" style="116" hidden="1" customWidth="1"/>
    <col min="12307" max="12544" width="9" style="116"/>
    <col min="12545" max="12545" width="4" style="116" bestFit="1" customWidth="1"/>
    <col min="12546" max="12546" width="18.453125" style="116" customWidth="1"/>
    <col min="12547" max="12547" width="5.54296875" style="116" customWidth="1"/>
    <col min="12548" max="12548" width="5.453125" style="116" customWidth="1"/>
    <col min="12549" max="12549" width="6" style="116" customWidth="1"/>
    <col min="12550" max="12550" width="4.54296875" style="116" customWidth="1"/>
    <col min="12551" max="12551" width="3.81640625" style="116" bestFit="1" customWidth="1"/>
    <col min="12552" max="12552" width="6" style="116" customWidth="1"/>
    <col min="12553" max="12553" width="12.1796875" style="116" customWidth="1"/>
    <col min="12554" max="12554" width="7.453125" style="116" customWidth="1"/>
    <col min="12555" max="12555" width="5.453125" style="116" customWidth="1"/>
    <col min="12556" max="12556" width="7.453125" style="116" customWidth="1"/>
    <col min="12557" max="12557" width="8" style="116" customWidth="1"/>
    <col min="12558" max="12562" width="0" style="116" hidden="1" customWidth="1"/>
    <col min="12563" max="12800" width="9" style="116"/>
    <col min="12801" max="12801" width="4" style="116" bestFit="1" customWidth="1"/>
    <col min="12802" max="12802" width="18.453125" style="116" customWidth="1"/>
    <col min="12803" max="12803" width="5.54296875" style="116" customWidth="1"/>
    <col min="12804" max="12804" width="5.453125" style="116" customWidth="1"/>
    <col min="12805" max="12805" width="6" style="116" customWidth="1"/>
    <col min="12806" max="12806" width="4.54296875" style="116" customWidth="1"/>
    <col min="12807" max="12807" width="3.81640625" style="116" bestFit="1" customWidth="1"/>
    <col min="12808" max="12808" width="6" style="116" customWidth="1"/>
    <col min="12809" max="12809" width="12.1796875" style="116" customWidth="1"/>
    <col min="12810" max="12810" width="7.453125" style="116" customWidth="1"/>
    <col min="12811" max="12811" width="5.453125" style="116" customWidth="1"/>
    <col min="12812" max="12812" width="7.453125" style="116" customWidth="1"/>
    <col min="12813" max="12813" width="8" style="116" customWidth="1"/>
    <col min="12814" max="12818" width="0" style="116" hidden="1" customWidth="1"/>
    <col min="12819" max="13056" width="9" style="116"/>
    <col min="13057" max="13057" width="4" style="116" bestFit="1" customWidth="1"/>
    <col min="13058" max="13058" width="18.453125" style="116" customWidth="1"/>
    <col min="13059" max="13059" width="5.54296875" style="116" customWidth="1"/>
    <col min="13060" max="13060" width="5.453125" style="116" customWidth="1"/>
    <col min="13061" max="13061" width="6" style="116" customWidth="1"/>
    <col min="13062" max="13062" width="4.54296875" style="116" customWidth="1"/>
    <col min="13063" max="13063" width="3.81640625" style="116" bestFit="1" customWidth="1"/>
    <col min="13064" max="13064" width="6" style="116" customWidth="1"/>
    <col min="13065" max="13065" width="12.1796875" style="116" customWidth="1"/>
    <col min="13066" max="13066" width="7.453125" style="116" customWidth="1"/>
    <col min="13067" max="13067" width="5.453125" style="116" customWidth="1"/>
    <col min="13068" max="13068" width="7.453125" style="116" customWidth="1"/>
    <col min="13069" max="13069" width="8" style="116" customWidth="1"/>
    <col min="13070" max="13074" width="0" style="116" hidden="1" customWidth="1"/>
    <col min="13075" max="13312" width="9" style="116"/>
    <col min="13313" max="13313" width="4" style="116" bestFit="1" customWidth="1"/>
    <col min="13314" max="13314" width="18.453125" style="116" customWidth="1"/>
    <col min="13315" max="13315" width="5.54296875" style="116" customWidth="1"/>
    <col min="13316" max="13316" width="5.453125" style="116" customWidth="1"/>
    <col min="13317" max="13317" width="6" style="116" customWidth="1"/>
    <col min="13318" max="13318" width="4.54296875" style="116" customWidth="1"/>
    <col min="13319" max="13319" width="3.81640625" style="116" bestFit="1" customWidth="1"/>
    <col min="13320" max="13320" width="6" style="116" customWidth="1"/>
    <col min="13321" max="13321" width="12.1796875" style="116" customWidth="1"/>
    <col min="13322" max="13322" width="7.453125" style="116" customWidth="1"/>
    <col min="13323" max="13323" width="5.453125" style="116" customWidth="1"/>
    <col min="13324" max="13324" width="7.453125" style="116" customWidth="1"/>
    <col min="13325" max="13325" width="8" style="116" customWidth="1"/>
    <col min="13326" max="13330" width="0" style="116" hidden="1" customWidth="1"/>
    <col min="13331" max="13568" width="9" style="116"/>
    <col min="13569" max="13569" width="4" style="116" bestFit="1" customWidth="1"/>
    <col min="13570" max="13570" width="18.453125" style="116" customWidth="1"/>
    <col min="13571" max="13571" width="5.54296875" style="116" customWidth="1"/>
    <col min="13572" max="13572" width="5.453125" style="116" customWidth="1"/>
    <col min="13573" max="13573" width="6" style="116" customWidth="1"/>
    <col min="13574" max="13574" width="4.54296875" style="116" customWidth="1"/>
    <col min="13575" max="13575" width="3.81640625" style="116" bestFit="1" customWidth="1"/>
    <col min="13576" max="13576" width="6" style="116" customWidth="1"/>
    <col min="13577" max="13577" width="12.1796875" style="116" customWidth="1"/>
    <col min="13578" max="13578" width="7.453125" style="116" customWidth="1"/>
    <col min="13579" max="13579" width="5.453125" style="116" customWidth="1"/>
    <col min="13580" max="13580" width="7.453125" style="116" customWidth="1"/>
    <col min="13581" max="13581" width="8" style="116" customWidth="1"/>
    <col min="13582" max="13586" width="0" style="116" hidden="1" customWidth="1"/>
    <col min="13587" max="13824" width="9" style="116"/>
    <col min="13825" max="13825" width="4" style="116" bestFit="1" customWidth="1"/>
    <col min="13826" max="13826" width="18.453125" style="116" customWidth="1"/>
    <col min="13827" max="13827" width="5.54296875" style="116" customWidth="1"/>
    <col min="13828" max="13828" width="5.453125" style="116" customWidth="1"/>
    <col min="13829" max="13829" width="6" style="116" customWidth="1"/>
    <col min="13830" max="13830" width="4.54296875" style="116" customWidth="1"/>
    <col min="13831" max="13831" width="3.81640625" style="116" bestFit="1" customWidth="1"/>
    <col min="13832" max="13832" width="6" style="116" customWidth="1"/>
    <col min="13833" max="13833" width="12.1796875" style="116" customWidth="1"/>
    <col min="13834" max="13834" width="7.453125" style="116" customWidth="1"/>
    <col min="13835" max="13835" width="5.453125" style="116" customWidth="1"/>
    <col min="13836" max="13836" width="7.453125" style="116" customWidth="1"/>
    <col min="13837" max="13837" width="8" style="116" customWidth="1"/>
    <col min="13838" max="13842" width="0" style="116" hidden="1" customWidth="1"/>
    <col min="13843" max="14080" width="9" style="116"/>
    <col min="14081" max="14081" width="4" style="116" bestFit="1" customWidth="1"/>
    <col min="14082" max="14082" width="18.453125" style="116" customWidth="1"/>
    <col min="14083" max="14083" width="5.54296875" style="116" customWidth="1"/>
    <col min="14084" max="14084" width="5.453125" style="116" customWidth="1"/>
    <col min="14085" max="14085" width="6" style="116" customWidth="1"/>
    <col min="14086" max="14086" width="4.54296875" style="116" customWidth="1"/>
    <col min="14087" max="14087" width="3.81640625" style="116" bestFit="1" customWidth="1"/>
    <col min="14088" max="14088" width="6" style="116" customWidth="1"/>
    <col min="14089" max="14089" width="12.1796875" style="116" customWidth="1"/>
    <col min="14090" max="14090" width="7.453125" style="116" customWidth="1"/>
    <col min="14091" max="14091" width="5.453125" style="116" customWidth="1"/>
    <col min="14092" max="14092" width="7.453125" style="116" customWidth="1"/>
    <col min="14093" max="14093" width="8" style="116" customWidth="1"/>
    <col min="14094" max="14098" width="0" style="116" hidden="1" customWidth="1"/>
    <col min="14099" max="14336" width="9" style="116"/>
    <col min="14337" max="14337" width="4" style="116" bestFit="1" customWidth="1"/>
    <col min="14338" max="14338" width="18.453125" style="116" customWidth="1"/>
    <col min="14339" max="14339" width="5.54296875" style="116" customWidth="1"/>
    <col min="14340" max="14340" width="5.453125" style="116" customWidth="1"/>
    <col min="14341" max="14341" width="6" style="116" customWidth="1"/>
    <col min="14342" max="14342" width="4.54296875" style="116" customWidth="1"/>
    <col min="14343" max="14343" width="3.81640625" style="116" bestFit="1" customWidth="1"/>
    <col min="14344" max="14344" width="6" style="116" customWidth="1"/>
    <col min="14345" max="14345" width="12.1796875" style="116" customWidth="1"/>
    <col min="14346" max="14346" width="7.453125" style="116" customWidth="1"/>
    <col min="14347" max="14347" width="5.453125" style="116" customWidth="1"/>
    <col min="14348" max="14348" width="7.453125" style="116" customWidth="1"/>
    <col min="14349" max="14349" width="8" style="116" customWidth="1"/>
    <col min="14350" max="14354" width="0" style="116" hidden="1" customWidth="1"/>
    <col min="14355" max="14592" width="9" style="116"/>
    <col min="14593" max="14593" width="4" style="116" bestFit="1" customWidth="1"/>
    <col min="14594" max="14594" width="18.453125" style="116" customWidth="1"/>
    <col min="14595" max="14595" width="5.54296875" style="116" customWidth="1"/>
    <col min="14596" max="14596" width="5.453125" style="116" customWidth="1"/>
    <col min="14597" max="14597" width="6" style="116" customWidth="1"/>
    <col min="14598" max="14598" width="4.54296875" style="116" customWidth="1"/>
    <col min="14599" max="14599" width="3.81640625" style="116" bestFit="1" customWidth="1"/>
    <col min="14600" max="14600" width="6" style="116" customWidth="1"/>
    <col min="14601" max="14601" width="12.1796875" style="116" customWidth="1"/>
    <col min="14602" max="14602" width="7.453125" style="116" customWidth="1"/>
    <col min="14603" max="14603" width="5.453125" style="116" customWidth="1"/>
    <col min="14604" max="14604" width="7.453125" style="116" customWidth="1"/>
    <col min="14605" max="14605" width="8" style="116" customWidth="1"/>
    <col min="14606" max="14610" width="0" style="116" hidden="1" customWidth="1"/>
    <col min="14611" max="14848" width="9" style="116"/>
    <col min="14849" max="14849" width="4" style="116" bestFit="1" customWidth="1"/>
    <col min="14850" max="14850" width="18.453125" style="116" customWidth="1"/>
    <col min="14851" max="14851" width="5.54296875" style="116" customWidth="1"/>
    <col min="14852" max="14852" width="5.453125" style="116" customWidth="1"/>
    <col min="14853" max="14853" width="6" style="116" customWidth="1"/>
    <col min="14854" max="14854" width="4.54296875" style="116" customWidth="1"/>
    <col min="14855" max="14855" width="3.81640625" style="116" bestFit="1" customWidth="1"/>
    <col min="14856" max="14856" width="6" style="116" customWidth="1"/>
    <col min="14857" max="14857" width="12.1796875" style="116" customWidth="1"/>
    <col min="14858" max="14858" width="7.453125" style="116" customWidth="1"/>
    <col min="14859" max="14859" width="5.453125" style="116" customWidth="1"/>
    <col min="14860" max="14860" width="7.453125" style="116" customWidth="1"/>
    <col min="14861" max="14861" width="8" style="116" customWidth="1"/>
    <col min="14862" max="14866" width="0" style="116" hidden="1" customWidth="1"/>
    <col min="14867" max="15104" width="9" style="116"/>
    <col min="15105" max="15105" width="4" style="116" bestFit="1" customWidth="1"/>
    <col min="15106" max="15106" width="18.453125" style="116" customWidth="1"/>
    <col min="15107" max="15107" width="5.54296875" style="116" customWidth="1"/>
    <col min="15108" max="15108" width="5.453125" style="116" customWidth="1"/>
    <col min="15109" max="15109" width="6" style="116" customWidth="1"/>
    <col min="15110" max="15110" width="4.54296875" style="116" customWidth="1"/>
    <col min="15111" max="15111" width="3.81640625" style="116" bestFit="1" customWidth="1"/>
    <col min="15112" max="15112" width="6" style="116" customWidth="1"/>
    <col min="15113" max="15113" width="12.1796875" style="116" customWidth="1"/>
    <col min="15114" max="15114" width="7.453125" style="116" customWidth="1"/>
    <col min="15115" max="15115" width="5.453125" style="116" customWidth="1"/>
    <col min="15116" max="15116" width="7.453125" style="116" customWidth="1"/>
    <col min="15117" max="15117" width="8" style="116" customWidth="1"/>
    <col min="15118" max="15122" width="0" style="116" hidden="1" customWidth="1"/>
    <col min="15123" max="15360" width="9" style="116"/>
    <col min="15361" max="15361" width="4" style="116" bestFit="1" customWidth="1"/>
    <col min="15362" max="15362" width="18.453125" style="116" customWidth="1"/>
    <col min="15363" max="15363" width="5.54296875" style="116" customWidth="1"/>
    <col min="15364" max="15364" width="5.453125" style="116" customWidth="1"/>
    <col min="15365" max="15365" width="6" style="116" customWidth="1"/>
    <col min="15366" max="15366" width="4.54296875" style="116" customWidth="1"/>
    <col min="15367" max="15367" width="3.81640625" style="116" bestFit="1" customWidth="1"/>
    <col min="15368" max="15368" width="6" style="116" customWidth="1"/>
    <col min="15369" max="15369" width="12.1796875" style="116" customWidth="1"/>
    <col min="15370" max="15370" width="7.453125" style="116" customWidth="1"/>
    <col min="15371" max="15371" width="5.453125" style="116" customWidth="1"/>
    <col min="15372" max="15372" width="7.453125" style="116" customWidth="1"/>
    <col min="15373" max="15373" width="8" style="116" customWidth="1"/>
    <col min="15374" max="15378" width="0" style="116" hidden="1" customWidth="1"/>
    <col min="15379" max="15616" width="9" style="116"/>
    <col min="15617" max="15617" width="4" style="116" bestFit="1" customWidth="1"/>
    <col min="15618" max="15618" width="18.453125" style="116" customWidth="1"/>
    <col min="15619" max="15619" width="5.54296875" style="116" customWidth="1"/>
    <col min="15620" max="15620" width="5.453125" style="116" customWidth="1"/>
    <col min="15621" max="15621" width="6" style="116" customWidth="1"/>
    <col min="15622" max="15622" width="4.54296875" style="116" customWidth="1"/>
    <col min="15623" max="15623" width="3.81640625" style="116" bestFit="1" customWidth="1"/>
    <col min="15624" max="15624" width="6" style="116" customWidth="1"/>
    <col min="15625" max="15625" width="12.1796875" style="116" customWidth="1"/>
    <col min="15626" max="15626" width="7.453125" style="116" customWidth="1"/>
    <col min="15627" max="15627" width="5.453125" style="116" customWidth="1"/>
    <col min="15628" max="15628" width="7.453125" style="116" customWidth="1"/>
    <col min="15629" max="15629" width="8" style="116" customWidth="1"/>
    <col min="15630" max="15634" width="0" style="116" hidden="1" customWidth="1"/>
    <col min="15635" max="15872" width="9" style="116"/>
    <col min="15873" max="15873" width="4" style="116" bestFit="1" customWidth="1"/>
    <col min="15874" max="15874" width="18.453125" style="116" customWidth="1"/>
    <col min="15875" max="15875" width="5.54296875" style="116" customWidth="1"/>
    <col min="15876" max="15876" width="5.453125" style="116" customWidth="1"/>
    <col min="15877" max="15877" width="6" style="116" customWidth="1"/>
    <col min="15878" max="15878" width="4.54296875" style="116" customWidth="1"/>
    <col min="15879" max="15879" width="3.81640625" style="116" bestFit="1" customWidth="1"/>
    <col min="15880" max="15880" width="6" style="116" customWidth="1"/>
    <col min="15881" max="15881" width="12.1796875" style="116" customWidth="1"/>
    <col min="15882" max="15882" width="7.453125" style="116" customWidth="1"/>
    <col min="15883" max="15883" width="5.453125" style="116" customWidth="1"/>
    <col min="15884" max="15884" width="7.453125" style="116" customWidth="1"/>
    <col min="15885" max="15885" width="8" style="116" customWidth="1"/>
    <col min="15886" max="15890" width="0" style="116" hidden="1" customWidth="1"/>
    <col min="15891" max="16128" width="9" style="116"/>
    <col min="16129" max="16129" width="4" style="116" bestFit="1" customWidth="1"/>
    <col min="16130" max="16130" width="18.453125" style="116" customWidth="1"/>
    <col min="16131" max="16131" width="5.54296875" style="116" customWidth="1"/>
    <col min="16132" max="16132" width="5.453125" style="116" customWidth="1"/>
    <col min="16133" max="16133" width="6" style="116" customWidth="1"/>
    <col min="16134" max="16134" width="4.54296875" style="116" customWidth="1"/>
    <col min="16135" max="16135" width="3.81640625" style="116" bestFit="1" customWidth="1"/>
    <col min="16136" max="16136" width="6" style="116" customWidth="1"/>
    <col min="16137" max="16137" width="12.1796875" style="116" customWidth="1"/>
    <col min="16138" max="16138" width="7.453125" style="116" customWidth="1"/>
    <col min="16139" max="16139" width="5.453125" style="116" customWidth="1"/>
    <col min="16140" max="16140" width="7.453125" style="116" customWidth="1"/>
    <col min="16141" max="16141" width="8" style="116" customWidth="1"/>
    <col min="16142" max="16146" width="0" style="116" hidden="1" customWidth="1"/>
    <col min="16147" max="16384" width="9" style="116"/>
  </cols>
  <sheetData>
    <row r="1" spans="1:30" s="233" customFormat="1" ht="33.75" customHeight="1">
      <c r="A1" s="1003" t="s">
        <v>428</v>
      </c>
      <c r="B1" s="1003"/>
      <c r="C1" s="1003"/>
      <c r="D1" s="1003"/>
      <c r="E1" s="1003"/>
      <c r="F1" s="1003"/>
      <c r="G1" s="1003"/>
      <c r="H1" s="1003"/>
      <c r="I1" s="1003"/>
      <c r="J1" s="1003"/>
      <c r="K1" s="1003"/>
      <c r="L1" s="1003"/>
    </row>
    <row r="2" spans="1:30" s="233" customFormat="1" ht="14">
      <c r="C2" s="234" t="s">
        <v>429</v>
      </c>
      <c r="D2" s="235"/>
      <c r="J2" s="234" t="s">
        <v>430</v>
      </c>
      <c r="L2" s="236"/>
    </row>
    <row r="3" spans="1:30" s="233" customFormat="1" ht="14">
      <c r="A3" s="237" t="s">
        <v>431</v>
      </c>
      <c r="C3" s="234" t="s">
        <v>432</v>
      </c>
      <c r="D3" s="235"/>
      <c r="J3" s="237" t="s">
        <v>433</v>
      </c>
    </row>
    <row r="4" spans="1:30" ht="13.5" thickBot="1">
      <c r="C4" s="232"/>
      <c r="D4" s="232"/>
      <c r="E4" s="232"/>
      <c r="F4" s="232"/>
      <c r="G4" s="232"/>
      <c r="H4" s="232"/>
      <c r="K4" s="116"/>
      <c r="L4" s="117"/>
      <c r="S4" s="297" t="s">
        <v>39</v>
      </c>
    </row>
    <row r="5" spans="1:30" s="118" customFormat="1" ht="11.5">
      <c r="A5" s="1011" t="s">
        <v>60</v>
      </c>
      <c r="B5" s="1013" t="s">
        <v>61</v>
      </c>
      <c r="C5" s="1015" t="s">
        <v>62</v>
      </c>
      <c r="D5" s="1015"/>
      <c r="E5" s="1015" t="s">
        <v>63</v>
      </c>
      <c r="F5" s="1015"/>
      <c r="G5" s="1015"/>
      <c r="H5" s="1015"/>
      <c r="I5" s="1013" t="s">
        <v>64</v>
      </c>
      <c r="J5" s="1016" t="s">
        <v>65</v>
      </c>
      <c r="K5" s="1016" t="s">
        <v>66</v>
      </c>
      <c r="L5" s="1018" t="s">
        <v>67</v>
      </c>
    </row>
    <row r="6" spans="1:30" s="120" customFormat="1" ht="11.5">
      <c r="A6" s="1012"/>
      <c r="B6" s="1014"/>
      <c r="C6" s="119" t="s">
        <v>131</v>
      </c>
      <c r="D6" s="119" t="s">
        <v>66</v>
      </c>
      <c r="E6" s="119" t="s">
        <v>132</v>
      </c>
      <c r="F6" s="119" t="s">
        <v>133</v>
      </c>
      <c r="G6" s="119" t="s">
        <v>134</v>
      </c>
      <c r="H6" s="119" t="s">
        <v>66</v>
      </c>
      <c r="I6" s="1014"/>
      <c r="J6" s="1017"/>
      <c r="K6" s="1017"/>
      <c r="L6" s="1019"/>
      <c r="S6" s="120" t="s">
        <v>135</v>
      </c>
    </row>
    <row r="7" spans="1:30" s="118" customFormat="1" ht="11.5">
      <c r="A7" s="121"/>
      <c r="B7" s="122" t="s">
        <v>136</v>
      </c>
      <c r="C7" s="123"/>
      <c r="D7" s="123"/>
      <c r="E7" s="123"/>
      <c r="F7" s="123"/>
      <c r="G7" s="123"/>
      <c r="H7" s="123"/>
      <c r="I7" s="124"/>
      <c r="J7" s="125"/>
      <c r="K7" s="126"/>
      <c r="L7" s="127"/>
      <c r="U7" s="257" t="s">
        <v>137</v>
      </c>
      <c r="V7" s="257" t="s">
        <v>434</v>
      </c>
    </row>
    <row r="8" spans="1:30" s="118" customFormat="1" ht="22.5" customHeight="1">
      <c r="A8" s="128"/>
      <c r="B8" s="129" t="s">
        <v>156</v>
      </c>
      <c r="C8" s="130">
        <f>'Extract inputs'!H15</f>
        <v>3950.7823476081849</v>
      </c>
      <c r="D8" s="491"/>
      <c r="E8" s="491"/>
      <c r="F8" s="491"/>
      <c r="G8" s="491"/>
      <c r="H8" s="131" t="s">
        <v>435</v>
      </c>
      <c r="I8" s="129" t="s">
        <v>436</v>
      </c>
      <c r="J8" s="491">
        <f>(C8-J14)*3/100</f>
        <v>109.88818901133051</v>
      </c>
      <c r="K8" s="132"/>
      <c r="L8" s="133"/>
      <c r="N8" s="118">
        <f>J8*100+C8*0.667</f>
        <v>13623.990726987709</v>
      </c>
      <c r="O8" s="118" t="s">
        <v>146</v>
      </c>
      <c r="Q8" s="134">
        <f>C8/0.667</f>
        <v>5923.2119154545499</v>
      </c>
      <c r="S8" s="118">
        <f>J8*100</f>
        <v>10988.818901133051</v>
      </c>
      <c r="T8" s="118">
        <f>(C8-J14)*0.67</f>
        <v>2454.1695545863813</v>
      </c>
      <c r="U8" s="118">
        <f>S8+T8</f>
        <v>13442.988455719431</v>
      </c>
      <c r="V8" s="118">
        <v>44</v>
      </c>
      <c r="W8" s="118">
        <f>U8*V8</f>
        <v>591491.49205165496</v>
      </c>
      <c r="X8" s="118" t="s">
        <v>147</v>
      </c>
      <c r="Z8" s="118">
        <f>U8/100</f>
        <v>134.4298845571943</v>
      </c>
      <c r="AA8" s="118">
        <f>(235*0.67+800)</f>
        <v>957.45</v>
      </c>
      <c r="AB8" s="118">
        <f>AA8/100</f>
        <v>9.5745000000000005</v>
      </c>
      <c r="AC8" s="118">
        <f>Z8+AB8</f>
        <v>144.0043845571943</v>
      </c>
    </row>
    <row r="9" spans="1:30" s="118" customFormat="1" ht="22.5" customHeight="1">
      <c r="A9" s="135"/>
      <c r="B9" s="136" t="s">
        <v>162</v>
      </c>
      <c r="C9" s="137">
        <f>'Extract inputs'!H23</f>
        <v>1693.192434689222</v>
      </c>
      <c r="D9" s="138"/>
      <c r="E9" s="139"/>
      <c r="F9" s="139"/>
      <c r="G9" s="139"/>
      <c r="H9" s="140"/>
      <c r="I9" s="136" t="s">
        <v>437</v>
      </c>
      <c r="J9" s="138">
        <f>C9*3.5/100</f>
        <v>59.261735214122766</v>
      </c>
      <c r="K9" s="141"/>
      <c r="L9" s="133"/>
      <c r="N9" s="118">
        <f>J9*100+C9*0.85</f>
        <v>7365.3870908981153</v>
      </c>
      <c r="O9" s="118" t="s">
        <v>158</v>
      </c>
      <c r="Q9" s="118">
        <f>52+15</f>
        <v>67</v>
      </c>
      <c r="R9" s="118">
        <v>236</v>
      </c>
      <c r="S9" s="118">
        <f>(C13+C14)*100</f>
        <v>6962.4072914420803</v>
      </c>
      <c r="T9" s="118">
        <f>C9*0.7+J14*0.67</f>
        <v>1378.0893225935579</v>
      </c>
      <c r="U9" s="118">
        <f>S9+T9</f>
        <v>8340.4966140356373</v>
      </c>
      <c r="V9" s="118">
        <v>100</v>
      </c>
      <c r="W9" s="118">
        <f>U9*V9</f>
        <v>834049.66140356369</v>
      </c>
      <c r="X9" s="118" t="s">
        <v>159</v>
      </c>
      <c r="Z9" s="118">
        <f>U9/100</f>
        <v>83.404966140356379</v>
      </c>
    </row>
    <row r="10" spans="1:30" s="118" customFormat="1" ht="15.75" customHeight="1">
      <c r="A10" s="142"/>
      <c r="B10" s="1021"/>
      <c r="C10" s="1021"/>
      <c r="D10" s="1021"/>
      <c r="E10" s="1021"/>
      <c r="F10" s="1021"/>
      <c r="G10" s="1021"/>
      <c r="H10" s="1021"/>
      <c r="I10" s="1021"/>
      <c r="J10" s="1021"/>
      <c r="K10" s="1021"/>
      <c r="L10" s="1022"/>
      <c r="O10" s="143"/>
      <c r="U10" s="118">
        <f>SUM(U8:U9)</f>
        <v>21783.485069755068</v>
      </c>
      <c r="V10" s="256">
        <f>W10/U10</f>
        <v>65.441372162918441</v>
      </c>
      <c r="W10" s="118">
        <f>SUM(W8:W9)</f>
        <v>1425541.1534552188</v>
      </c>
      <c r="X10" s="118" t="s">
        <v>438</v>
      </c>
    </row>
    <row r="11" spans="1:30" s="118" customFormat="1" ht="15" customHeight="1">
      <c r="A11" s="121"/>
      <c r="B11" s="122" t="s">
        <v>175</v>
      </c>
      <c r="C11" s="123"/>
      <c r="D11" s="123"/>
      <c r="E11" s="123"/>
      <c r="F11" s="123"/>
      <c r="G11" s="123"/>
      <c r="H11" s="123"/>
      <c r="I11" s="144"/>
      <c r="J11" s="144"/>
      <c r="K11" s="144"/>
      <c r="L11" s="127"/>
      <c r="AC11" s="118">
        <f>226</f>
        <v>226</v>
      </c>
    </row>
    <row r="12" spans="1:30" s="118" customFormat="1" ht="36.75" customHeight="1">
      <c r="A12" s="209"/>
      <c r="B12" s="129" t="s">
        <v>439</v>
      </c>
      <c r="C12" s="491">
        <v>3</v>
      </c>
      <c r="D12" s="238"/>
      <c r="E12" s="491"/>
      <c r="F12" s="491"/>
      <c r="G12" s="491">
        <v>1</v>
      </c>
      <c r="H12" s="491"/>
      <c r="I12" s="242" t="s">
        <v>178</v>
      </c>
      <c r="J12" s="130">
        <f>C13/G13*60</f>
        <v>273.51570098825891</v>
      </c>
      <c r="K12" s="239"/>
      <c r="L12" s="240"/>
      <c r="S12" s="1020" t="s">
        <v>179</v>
      </c>
      <c r="T12" s="1020"/>
      <c r="U12" s="134">
        <f>C9/G13*1.2</f>
        <v>156.29468627900511</v>
      </c>
      <c r="W12" s="335" t="s">
        <v>180</v>
      </c>
      <c r="X12" s="336">
        <f>C9+J14+(J9+C14)*100</f>
        <v>8943.4424400284697</v>
      </c>
      <c r="AC12" s="118">
        <v>150</v>
      </c>
    </row>
    <row r="13" spans="1:30" s="118" customFormat="1" ht="28.5" customHeight="1">
      <c r="A13" s="252"/>
      <c r="B13" s="136" t="s">
        <v>440</v>
      </c>
      <c r="C13" s="138">
        <f>J9</f>
        <v>59.261735214122766</v>
      </c>
      <c r="D13" s="138"/>
      <c r="E13" s="138"/>
      <c r="F13" s="138"/>
      <c r="G13" s="138">
        <v>13</v>
      </c>
      <c r="H13" s="138"/>
      <c r="I13" s="199" t="s">
        <v>441</v>
      </c>
      <c r="J13" s="149">
        <v>60</v>
      </c>
      <c r="K13" s="199"/>
      <c r="L13" s="253"/>
      <c r="S13" s="300" t="s">
        <v>184</v>
      </c>
      <c r="U13" s="299">
        <f>(J9+C14)/(C9+J14)*100</f>
        <v>3.5145299145299145</v>
      </c>
      <c r="AC13" s="118">
        <f>AC11-AC12</f>
        <v>76</v>
      </c>
      <c r="AD13" s="118">
        <f>AC13/280*60</f>
        <v>16.285714285714285</v>
      </c>
    </row>
    <row r="14" spans="1:30" s="120" customFormat="1" ht="37.5" customHeight="1">
      <c r="A14" s="135"/>
      <c r="B14" s="136" t="s">
        <v>189</v>
      </c>
      <c r="C14" s="138">
        <f>3.6*J14/100</f>
        <v>10.36233770029804</v>
      </c>
      <c r="D14" s="138"/>
      <c r="E14" s="138"/>
      <c r="F14" s="138"/>
      <c r="G14" s="138">
        <v>2</v>
      </c>
      <c r="H14" s="138"/>
      <c r="I14" s="136" t="s">
        <v>442</v>
      </c>
      <c r="J14" s="137">
        <f>C9*0.17</f>
        <v>287.84271389716776</v>
      </c>
      <c r="K14" s="295" t="s">
        <v>443</v>
      </c>
      <c r="L14" s="146">
        <f>C14/G14*60</f>
        <v>310.8701310089412</v>
      </c>
      <c r="W14" s="120">
        <f>98+'Piping length'!J6</f>
        <v>109</v>
      </c>
      <c r="AC14" s="120">
        <f>150/240*60</f>
        <v>37.5</v>
      </c>
    </row>
    <row r="15" spans="1:30" s="150" customFormat="1" ht="24" customHeight="1">
      <c r="A15" s="147"/>
      <c r="B15" s="136" t="s">
        <v>444</v>
      </c>
      <c r="C15" s="145"/>
      <c r="D15" s="145"/>
      <c r="E15" s="145"/>
      <c r="F15" s="145"/>
      <c r="G15" s="145"/>
      <c r="H15" s="145"/>
      <c r="I15" s="244" t="s">
        <v>445</v>
      </c>
      <c r="J15" s="243">
        <f>'CaCl2 addition'!E25</f>
        <v>1.4</v>
      </c>
      <c r="K15" s="149"/>
      <c r="L15" s="133"/>
      <c r="U15" s="150">
        <f>U10/100</f>
        <v>217.83485069755068</v>
      </c>
      <c r="AC15" s="150">
        <f>AC14+AD13</f>
        <v>53.785714285714285</v>
      </c>
    </row>
    <row r="16" spans="1:30" s="150" customFormat="1" ht="24" hidden="1" customHeight="1">
      <c r="A16" s="152"/>
      <c r="B16" s="153" t="s">
        <v>194</v>
      </c>
      <c r="C16" s="154"/>
      <c r="D16" s="155"/>
      <c r="E16" s="155"/>
      <c r="F16" s="155"/>
      <c r="G16" s="155"/>
      <c r="H16" s="155"/>
      <c r="I16" s="156"/>
      <c r="J16" s="156"/>
      <c r="K16" s="157"/>
      <c r="L16" s="133"/>
      <c r="N16" s="118"/>
      <c r="O16" s="118"/>
    </row>
    <row r="17" spans="1:21" s="150" customFormat="1" ht="24" hidden="1" customHeight="1">
      <c r="A17" s="152"/>
      <c r="B17" s="153" t="s">
        <v>195</v>
      </c>
      <c r="C17" s="154"/>
      <c r="D17" s="155"/>
      <c r="E17" s="155"/>
      <c r="F17" s="155"/>
      <c r="G17" s="155"/>
      <c r="H17" s="155"/>
      <c r="I17" s="156"/>
      <c r="J17" s="156"/>
      <c r="K17" s="157"/>
      <c r="L17" s="133"/>
      <c r="N17" s="120"/>
      <c r="O17" s="120"/>
    </row>
    <row r="18" spans="1:21" s="150" customFormat="1" ht="27.75" customHeight="1">
      <c r="A18" s="147"/>
      <c r="B18" s="148" t="s">
        <v>196</v>
      </c>
      <c r="C18" s="245">
        <v>79.2</v>
      </c>
      <c r="D18" s="158"/>
      <c r="E18" s="158"/>
      <c r="F18" s="158"/>
      <c r="G18" s="158">
        <v>9</v>
      </c>
      <c r="H18" s="158"/>
      <c r="I18" s="151" t="s">
        <v>197</v>
      </c>
      <c r="J18" s="160">
        <f>'Heat calculation'!K4</f>
        <v>2376.9946684461047</v>
      </c>
      <c r="K18" s="340"/>
      <c r="L18" s="133"/>
      <c r="S18" s="150">
        <f>J18*G18/60</f>
        <v>356.54920026691565</v>
      </c>
      <c r="U18" s="150">
        <f>9/60</f>
        <v>0.15</v>
      </c>
    </row>
    <row r="19" spans="1:21" s="150" customFormat="1" ht="23.25" customHeight="1">
      <c r="A19" s="147"/>
      <c r="B19" s="159" t="s">
        <v>446</v>
      </c>
      <c r="C19" s="158"/>
      <c r="D19" s="158"/>
      <c r="E19" s="160"/>
      <c r="F19" s="158"/>
      <c r="G19" s="160">
        <v>7</v>
      </c>
      <c r="H19" s="158"/>
      <c r="I19" s="161" t="s">
        <v>447</v>
      </c>
      <c r="J19" s="360" t="s">
        <v>448</v>
      </c>
      <c r="K19" s="157"/>
      <c r="L19" s="133"/>
      <c r="U19" s="150">
        <f>U15/U18</f>
        <v>1452.2323379836712</v>
      </c>
    </row>
    <row r="20" spans="1:21" s="150" customFormat="1" ht="26.25" customHeight="1">
      <c r="A20" s="147"/>
      <c r="B20" s="148" t="s">
        <v>449</v>
      </c>
      <c r="C20" s="158"/>
      <c r="D20" s="158"/>
      <c r="E20" s="158"/>
      <c r="F20" s="158"/>
      <c r="G20" s="158">
        <v>10</v>
      </c>
      <c r="H20" s="158"/>
      <c r="I20" s="151" t="s">
        <v>197</v>
      </c>
      <c r="J20" s="160">
        <f>'Heat calculation'!K5</f>
        <v>2139.2952016014947</v>
      </c>
      <c r="K20" s="163"/>
      <c r="L20" s="164"/>
      <c r="N20" s="118"/>
      <c r="O20" s="118"/>
      <c r="S20" s="150">
        <f>J20*G20/60</f>
        <v>356.54920026691582</v>
      </c>
    </row>
    <row r="21" spans="1:21" s="150" customFormat="1" ht="21.75" customHeight="1">
      <c r="A21" s="147"/>
      <c r="B21" s="159" t="s">
        <v>450</v>
      </c>
      <c r="C21" s="158"/>
      <c r="D21" s="158"/>
      <c r="E21" s="160"/>
      <c r="F21" s="158"/>
      <c r="G21" s="160">
        <v>12</v>
      </c>
      <c r="H21" s="158"/>
      <c r="I21" s="151"/>
      <c r="J21" s="162"/>
      <c r="K21" s="165"/>
      <c r="L21" s="164"/>
      <c r="N21" s="120"/>
      <c r="O21" s="120"/>
    </row>
    <row r="22" spans="1:21" s="150" customFormat="1" ht="21.75" hidden="1" customHeight="1">
      <c r="A22" s="147"/>
      <c r="B22" s="148" t="s">
        <v>451</v>
      </c>
      <c r="C22" s="158"/>
      <c r="D22" s="158"/>
      <c r="E22" s="160"/>
      <c r="F22" s="158"/>
      <c r="G22" s="160"/>
      <c r="H22" s="158"/>
      <c r="I22" s="151" t="s">
        <v>452</v>
      </c>
      <c r="J22" s="162"/>
      <c r="K22" s="165"/>
      <c r="L22" s="164"/>
    </row>
    <row r="23" spans="1:21" s="150" customFormat="1" ht="15" hidden="1" customHeight="1">
      <c r="A23" s="147"/>
      <c r="B23" s="159" t="s">
        <v>453</v>
      </c>
      <c r="C23" s="158"/>
      <c r="D23" s="158"/>
      <c r="E23" s="160"/>
      <c r="F23" s="158"/>
      <c r="G23" s="160">
        <v>10</v>
      </c>
      <c r="H23" s="158"/>
      <c r="I23" s="155"/>
      <c r="J23" s="155"/>
      <c r="K23" s="155"/>
      <c r="L23" s="133"/>
    </row>
    <row r="24" spans="1:21" s="150" customFormat="1" ht="22.5" hidden="1" customHeight="1">
      <c r="A24" s="147"/>
      <c r="B24" s="166" t="s">
        <v>454</v>
      </c>
      <c r="C24" s="158"/>
      <c r="D24" s="158"/>
      <c r="E24" s="160"/>
      <c r="F24" s="158"/>
      <c r="G24" s="160"/>
      <c r="H24" s="158"/>
      <c r="I24" s="155"/>
      <c r="J24" s="155"/>
      <c r="K24" s="155"/>
      <c r="L24" s="133"/>
    </row>
    <row r="25" spans="1:21" s="150" customFormat="1" ht="14.25" hidden="1" customHeight="1">
      <c r="A25" s="147"/>
      <c r="B25" s="159" t="s">
        <v>254</v>
      </c>
      <c r="C25" s="158"/>
      <c r="D25" s="158"/>
      <c r="E25" s="160"/>
      <c r="F25" s="158"/>
      <c r="G25" s="160"/>
      <c r="H25" s="158"/>
      <c r="I25" s="155"/>
      <c r="J25" s="155"/>
      <c r="K25" s="155"/>
      <c r="L25" s="133"/>
    </row>
    <row r="26" spans="1:21" s="150" customFormat="1" ht="17.25" hidden="1" customHeight="1">
      <c r="A26" s="147"/>
      <c r="B26" s="148" t="s">
        <v>455</v>
      </c>
      <c r="C26" s="158"/>
      <c r="D26" s="158"/>
      <c r="E26" s="160"/>
      <c r="F26" s="158"/>
      <c r="G26" s="160"/>
      <c r="H26" s="158"/>
      <c r="I26" s="155"/>
      <c r="J26" s="155"/>
      <c r="K26" s="155"/>
      <c r="L26" s="133"/>
    </row>
    <row r="27" spans="1:21" s="150" customFormat="1" ht="15.75" hidden="1" customHeight="1">
      <c r="A27" s="147"/>
      <c r="B27" s="159" t="s">
        <v>456</v>
      </c>
      <c r="C27" s="158"/>
      <c r="D27" s="158"/>
      <c r="E27" s="160"/>
      <c r="F27" s="158"/>
      <c r="G27" s="160">
        <v>10</v>
      </c>
      <c r="H27" s="158"/>
      <c r="I27" s="155"/>
      <c r="J27" s="155"/>
      <c r="K27" s="155"/>
      <c r="L27" s="133"/>
    </row>
    <row r="28" spans="1:21" s="150" customFormat="1" ht="23.25" hidden="1" customHeight="1">
      <c r="A28" s="167"/>
      <c r="B28" s="148" t="s">
        <v>457</v>
      </c>
      <c r="C28" s="155"/>
      <c r="D28" s="158"/>
      <c r="E28" s="158"/>
      <c r="F28" s="158"/>
      <c r="G28" s="158">
        <v>6</v>
      </c>
      <c r="H28" s="158"/>
      <c r="I28" s="151" t="s">
        <v>452</v>
      </c>
      <c r="J28" s="162"/>
      <c r="K28" s="163"/>
      <c r="L28" s="164"/>
    </row>
    <row r="29" spans="1:21" s="150" customFormat="1" ht="24.75" customHeight="1">
      <c r="A29" s="147"/>
      <c r="B29" s="148" t="s">
        <v>258</v>
      </c>
      <c r="C29" s="155"/>
      <c r="D29" s="158"/>
      <c r="E29" s="160"/>
      <c r="F29" s="158"/>
      <c r="G29" s="160">
        <v>8</v>
      </c>
      <c r="H29" s="158"/>
      <c r="I29" s="155"/>
      <c r="J29" s="155"/>
      <c r="K29" s="155"/>
      <c r="L29" s="133"/>
    </row>
    <row r="30" spans="1:21" s="150" customFormat="1" ht="24.75" customHeight="1">
      <c r="A30" s="147"/>
      <c r="B30" s="148" t="s">
        <v>265</v>
      </c>
      <c r="C30" s="158">
        <v>4</v>
      </c>
      <c r="D30" s="158"/>
      <c r="E30" s="158"/>
      <c r="F30" s="158"/>
      <c r="G30" s="158">
        <v>1</v>
      </c>
      <c r="H30" s="158"/>
      <c r="I30" s="148"/>
      <c r="J30" s="148"/>
      <c r="K30" s="148"/>
      <c r="L30" s="254"/>
    </row>
    <row r="31" spans="1:21" s="150" customFormat="1" ht="24.75" customHeight="1">
      <c r="A31" s="147"/>
      <c r="B31" s="148" t="s">
        <v>266</v>
      </c>
      <c r="C31" s="158">
        <v>1</v>
      </c>
      <c r="D31" s="158"/>
      <c r="E31" s="158"/>
      <c r="F31" s="158"/>
      <c r="G31" s="158">
        <v>0</v>
      </c>
      <c r="H31" s="158"/>
      <c r="I31" s="148"/>
      <c r="J31" s="148"/>
      <c r="K31" s="148"/>
      <c r="L31" s="254"/>
    </row>
    <row r="32" spans="1:21" s="150" customFormat="1" ht="22.5" customHeight="1">
      <c r="A32" s="249"/>
      <c r="B32" s="168" t="s">
        <v>267</v>
      </c>
      <c r="C32" s="250"/>
      <c r="D32" s="250"/>
      <c r="E32" s="251"/>
      <c r="F32" s="251"/>
      <c r="G32" s="251">
        <f>SUM(G12:G31)</f>
        <v>89</v>
      </c>
      <c r="H32" s="251"/>
      <c r="I32" s="247"/>
      <c r="J32" s="247"/>
      <c r="K32" s="247"/>
      <c r="L32" s="248"/>
    </row>
    <row r="33" spans="1:24" s="118" customFormat="1" ht="15" customHeight="1">
      <c r="A33" s="121"/>
      <c r="B33" s="122" t="s">
        <v>268</v>
      </c>
      <c r="C33" s="123"/>
      <c r="D33" s="123"/>
      <c r="E33" s="123"/>
      <c r="F33" s="123"/>
      <c r="G33" s="123"/>
      <c r="H33" s="123"/>
      <c r="I33" s="144"/>
      <c r="J33" s="126"/>
      <c r="K33" s="126"/>
      <c r="L33" s="169"/>
    </row>
    <row r="34" spans="1:24" s="118" customFormat="1" ht="24.75" customHeight="1">
      <c r="A34" s="128"/>
      <c r="B34" s="129" t="s">
        <v>458</v>
      </c>
      <c r="C34" s="491">
        <v>3</v>
      </c>
      <c r="D34" s="491"/>
      <c r="E34" s="491"/>
      <c r="F34" s="491"/>
      <c r="G34" s="491"/>
      <c r="H34" s="491"/>
      <c r="I34" s="242" t="s">
        <v>178</v>
      </c>
      <c r="J34" s="130">
        <f>C35/G35*60</f>
        <v>470.94938147713077</v>
      </c>
      <c r="K34" s="132"/>
      <c r="L34" s="255"/>
      <c r="S34" s="1020" t="s">
        <v>270</v>
      </c>
      <c r="T34" s="1020"/>
      <c r="U34" s="118">
        <f>(C8-J14)/G35*1.2</f>
        <v>313.96625431808718</v>
      </c>
    </row>
    <row r="35" spans="1:24" s="120" customFormat="1" ht="24" customHeight="1">
      <c r="A35" s="135"/>
      <c r="B35" s="136" t="s">
        <v>274</v>
      </c>
      <c r="C35" s="259">
        <f>J8</f>
        <v>109.88818901133051</v>
      </c>
      <c r="D35" s="138"/>
      <c r="E35" s="138"/>
      <c r="F35" s="138"/>
      <c r="G35" s="138">
        <v>14</v>
      </c>
      <c r="H35" s="138"/>
      <c r="I35" s="244" t="s">
        <v>459</v>
      </c>
      <c r="J35" s="260">
        <v>44</v>
      </c>
      <c r="K35" s="149"/>
      <c r="L35" s="258"/>
      <c r="S35" s="300" t="s">
        <v>184</v>
      </c>
      <c r="U35" s="302">
        <f>(J8)/(C8-J14)*100</f>
        <v>3</v>
      </c>
    </row>
    <row r="36" spans="1:24" s="118" customFormat="1" ht="24" customHeight="1">
      <c r="A36" s="135"/>
      <c r="B36" s="166" t="s">
        <v>444</v>
      </c>
      <c r="C36" s="145"/>
      <c r="D36" s="145"/>
      <c r="E36" s="145"/>
      <c r="F36" s="145"/>
      <c r="G36" s="145"/>
      <c r="H36" s="145"/>
      <c r="I36" s="166" t="s">
        <v>460</v>
      </c>
      <c r="J36" s="243">
        <f>'CaCl2 addition'!E30</f>
        <v>2.2000000000000002</v>
      </c>
      <c r="K36" s="170"/>
      <c r="L36" s="171"/>
    </row>
    <row r="37" spans="1:24" s="118" customFormat="1" ht="23">
      <c r="A37" s="172"/>
      <c r="B37" s="136" t="s">
        <v>461</v>
      </c>
      <c r="C37" s="192"/>
      <c r="D37" s="138"/>
      <c r="E37" s="138"/>
      <c r="F37" s="138"/>
      <c r="G37" s="138"/>
      <c r="H37" s="138"/>
      <c r="I37" s="198"/>
      <c r="J37" s="243"/>
      <c r="K37" s="141"/>
      <c r="L37" s="258"/>
    </row>
    <row r="38" spans="1:24" s="118" customFormat="1" ht="24" customHeight="1">
      <c r="A38" s="172"/>
      <c r="B38" s="166" t="s">
        <v>462</v>
      </c>
      <c r="C38" s="192"/>
      <c r="D38" s="138"/>
      <c r="E38" s="138"/>
      <c r="F38" s="138"/>
      <c r="G38" s="303">
        <v>15</v>
      </c>
      <c r="H38" s="138"/>
      <c r="I38" s="161"/>
      <c r="J38" s="243"/>
      <c r="K38" s="141"/>
      <c r="L38" s="258"/>
    </row>
    <row r="39" spans="1:24" s="118" customFormat="1" ht="24" customHeight="1">
      <c r="A39" s="135"/>
      <c r="B39" s="136" t="s">
        <v>281</v>
      </c>
      <c r="C39" s="1009" t="s">
        <v>463</v>
      </c>
      <c r="D39" s="1010"/>
      <c r="E39" s="138"/>
      <c r="F39" s="138"/>
      <c r="G39" s="138">
        <f>G29</f>
        <v>8</v>
      </c>
      <c r="H39" s="138"/>
      <c r="I39" s="138"/>
      <c r="J39" s="138"/>
      <c r="K39" s="138"/>
      <c r="L39" s="258"/>
    </row>
    <row r="40" spans="1:24" s="118" customFormat="1" ht="24" customHeight="1">
      <c r="A40" s="135"/>
      <c r="B40" s="136" t="s">
        <v>464</v>
      </c>
      <c r="C40" s="138"/>
      <c r="D40" s="138"/>
      <c r="E40" s="138"/>
      <c r="F40" s="138"/>
      <c r="G40" s="138">
        <v>1</v>
      </c>
      <c r="H40" s="138"/>
      <c r="I40" s="138"/>
      <c r="J40" s="138"/>
      <c r="K40" s="138"/>
      <c r="L40" s="258"/>
      <c r="S40" s="300" t="s">
        <v>184</v>
      </c>
      <c r="U40" s="299">
        <f>(J8+J9+C14)/(C8+C9)*100</f>
        <v>3.1806000000000001</v>
      </c>
      <c r="W40" s="335" t="s">
        <v>284</v>
      </c>
      <c r="X40" s="336">
        <f>C8+C9+(J8+J9+C14+C30)*100</f>
        <v>23995.200974872536</v>
      </c>
    </row>
    <row r="41" spans="1:24" s="118" customFormat="1" ht="25.5" customHeight="1">
      <c r="A41" s="135"/>
      <c r="B41" s="161" t="s">
        <v>465</v>
      </c>
      <c r="C41" s="138"/>
      <c r="D41" s="145"/>
      <c r="E41" s="137"/>
      <c r="F41" s="138"/>
      <c r="G41" s="174">
        <v>25</v>
      </c>
      <c r="H41" s="138"/>
      <c r="I41" s="161" t="s">
        <v>466</v>
      </c>
      <c r="J41" s="360" t="s">
        <v>287</v>
      </c>
      <c r="K41" s="141"/>
      <c r="L41" s="258"/>
    </row>
    <row r="42" spans="1:24" s="118" customFormat="1" ht="25.5" customHeight="1">
      <c r="A42" s="172"/>
      <c r="B42" s="198" t="s">
        <v>467</v>
      </c>
      <c r="C42" s="145"/>
      <c r="D42" s="145"/>
      <c r="E42" s="145"/>
      <c r="F42" s="145"/>
      <c r="G42" s="145"/>
      <c r="H42" s="145"/>
      <c r="I42" s="161" t="s">
        <v>289</v>
      </c>
      <c r="J42" s="149" t="s">
        <v>290</v>
      </c>
      <c r="K42" s="141"/>
      <c r="L42" s="146"/>
    </row>
    <row r="43" spans="1:24" s="150" customFormat="1" ht="24" customHeight="1">
      <c r="A43" s="147"/>
      <c r="B43" s="148" t="s">
        <v>468</v>
      </c>
      <c r="C43" s="155"/>
      <c r="D43" s="155"/>
      <c r="E43" s="158"/>
      <c r="F43" s="158"/>
      <c r="G43" s="158">
        <v>8</v>
      </c>
      <c r="H43" s="158"/>
      <c r="I43" s="151" t="s">
        <v>197</v>
      </c>
      <c r="J43" s="160">
        <f>'Heat calculation'!K6</f>
        <v>2690.4918036609574</v>
      </c>
      <c r="K43" s="296"/>
      <c r="L43" s="173"/>
    </row>
    <row r="44" spans="1:24" s="150" customFormat="1" ht="24" customHeight="1">
      <c r="A44" s="147"/>
      <c r="B44" s="159" t="s">
        <v>469</v>
      </c>
      <c r="C44" s="158"/>
      <c r="D44" s="155"/>
      <c r="E44" s="160"/>
      <c r="F44" s="158"/>
      <c r="G44" s="174">
        <v>0</v>
      </c>
      <c r="H44" s="158"/>
      <c r="I44" s="159"/>
      <c r="J44" s="162"/>
      <c r="K44" s="165"/>
      <c r="L44" s="164"/>
    </row>
    <row r="45" spans="1:24" s="118" customFormat="1" ht="22.5" customHeight="1">
      <c r="A45" s="135"/>
      <c r="B45" s="136" t="s">
        <v>295</v>
      </c>
      <c r="C45" s="145"/>
      <c r="D45" s="145"/>
      <c r="E45" s="137"/>
      <c r="F45" s="138"/>
      <c r="G45" s="137">
        <v>9</v>
      </c>
      <c r="H45" s="138"/>
      <c r="I45" s="138"/>
      <c r="J45" s="138"/>
      <c r="K45" s="138"/>
      <c r="L45" s="258"/>
    </row>
    <row r="46" spans="1:24" s="118" customFormat="1" ht="20.25" customHeight="1">
      <c r="A46" s="261"/>
      <c r="B46" s="241" t="s">
        <v>297</v>
      </c>
      <c r="C46" s="238">
        <v>10</v>
      </c>
      <c r="D46" s="238"/>
      <c r="E46" s="238"/>
      <c r="F46" s="238"/>
      <c r="G46" s="238">
        <v>1</v>
      </c>
      <c r="H46" s="238"/>
      <c r="I46" s="241"/>
      <c r="J46" s="241"/>
      <c r="K46" s="241"/>
      <c r="L46" s="240"/>
    </row>
    <row r="47" spans="1:24" s="118" customFormat="1" ht="20.25" customHeight="1">
      <c r="A47" s="135"/>
      <c r="B47" s="136" t="s">
        <v>266</v>
      </c>
      <c r="C47" s="138">
        <v>1</v>
      </c>
      <c r="D47" s="138"/>
      <c r="E47" s="138"/>
      <c r="F47" s="138"/>
      <c r="G47" s="138"/>
      <c r="H47" s="138"/>
      <c r="I47" s="136"/>
      <c r="J47" s="136"/>
      <c r="K47" s="136"/>
      <c r="L47" s="253"/>
    </row>
    <row r="48" spans="1:24" s="118" customFormat="1" ht="22.5" customHeight="1" thickBot="1">
      <c r="A48" s="212"/>
      <c r="B48" s="262" t="s">
        <v>300</v>
      </c>
      <c r="C48" s="214"/>
      <c r="D48" s="214"/>
      <c r="E48" s="215"/>
      <c r="F48" s="215"/>
      <c r="G48" s="215">
        <f>SUM(G34:G47)</f>
        <v>81</v>
      </c>
      <c r="H48" s="215"/>
      <c r="I48" s="213"/>
      <c r="J48" s="213"/>
      <c r="K48" s="213"/>
      <c r="L48" s="263"/>
    </row>
    <row r="49" spans="1:23" s="182" customFormat="1" ht="12" thickBot="1">
      <c r="A49" s="177"/>
      <c r="B49" s="178"/>
      <c r="C49" s="179"/>
      <c r="D49" s="179"/>
      <c r="E49" s="179"/>
      <c r="F49" s="179"/>
      <c r="G49" s="179"/>
      <c r="H49" s="179"/>
      <c r="I49" s="177"/>
      <c r="J49" s="180"/>
      <c r="K49" s="180"/>
      <c r="L49" s="181"/>
    </row>
    <row r="50" spans="1:23" s="118" customFormat="1" ht="11.5">
      <c r="A50" s="183"/>
      <c r="B50" s="184" t="s">
        <v>301</v>
      </c>
      <c r="C50" s="185"/>
      <c r="D50" s="185"/>
      <c r="E50" s="185"/>
      <c r="F50" s="185"/>
      <c r="G50" s="185"/>
      <c r="H50" s="185"/>
      <c r="I50" s="186"/>
      <c r="J50" s="187"/>
      <c r="K50" s="187"/>
      <c r="L50" s="188"/>
    </row>
    <row r="51" spans="1:23" s="118" customFormat="1" ht="24" customHeight="1">
      <c r="A51" s="128"/>
      <c r="B51" s="129" t="s">
        <v>302</v>
      </c>
      <c r="C51" s="491">
        <v>16</v>
      </c>
      <c r="D51" s="189"/>
      <c r="E51" s="491"/>
      <c r="F51" s="491"/>
      <c r="G51" s="491">
        <v>2</v>
      </c>
      <c r="H51" s="491"/>
      <c r="I51" s="129" t="s">
        <v>303</v>
      </c>
      <c r="J51" s="132">
        <v>200</v>
      </c>
      <c r="K51" s="190" t="s">
        <v>470</v>
      </c>
      <c r="L51" s="191"/>
    </row>
    <row r="52" spans="1:23" s="118" customFormat="1" ht="24" customHeight="1">
      <c r="A52" s="135"/>
      <c r="B52" s="136" t="s">
        <v>304</v>
      </c>
      <c r="C52" s="145"/>
      <c r="D52" s="145"/>
      <c r="E52" s="138"/>
      <c r="F52" s="138"/>
      <c r="G52" s="138">
        <f>G45</f>
        <v>9</v>
      </c>
      <c r="H52" s="138"/>
      <c r="I52" s="161" t="s">
        <v>471</v>
      </c>
      <c r="J52" s="192">
        <v>20</v>
      </c>
      <c r="K52" s="141"/>
      <c r="L52" s="193" t="s">
        <v>472</v>
      </c>
    </row>
    <row r="53" spans="1:23" s="118" customFormat="1" ht="24" customHeight="1">
      <c r="A53" s="135"/>
      <c r="B53" s="136" t="s">
        <v>308</v>
      </c>
      <c r="C53" s="145"/>
      <c r="D53" s="145"/>
      <c r="E53" s="145"/>
      <c r="F53" s="145"/>
      <c r="G53" s="145"/>
      <c r="H53" s="145"/>
      <c r="I53" s="136" t="s">
        <v>473</v>
      </c>
      <c r="J53" s="138">
        <f>J54*1</f>
        <v>220</v>
      </c>
      <c r="K53" s="264"/>
      <c r="L53" s="265"/>
      <c r="V53" s="118">
        <v>2100</v>
      </c>
    </row>
    <row r="54" spans="1:23" s="118" customFormat="1" ht="23.25" customHeight="1">
      <c r="A54" s="135"/>
      <c r="B54" s="136" t="s">
        <v>474</v>
      </c>
      <c r="C54" s="145"/>
      <c r="D54" s="145"/>
      <c r="E54" s="138"/>
      <c r="F54" s="138"/>
      <c r="G54" s="138">
        <v>5</v>
      </c>
      <c r="H54" s="138"/>
      <c r="I54" s="136" t="s">
        <v>475</v>
      </c>
      <c r="J54" s="141">
        <v>220</v>
      </c>
      <c r="K54" s="141"/>
      <c r="L54" s="146"/>
      <c r="T54" s="134"/>
      <c r="V54" s="118">
        <v>1106</v>
      </c>
    </row>
    <row r="55" spans="1:23" s="118" customFormat="1" ht="24" customHeight="1">
      <c r="A55" s="135"/>
      <c r="B55" s="136" t="s">
        <v>313</v>
      </c>
      <c r="C55" s="137">
        <v>110</v>
      </c>
      <c r="D55" s="138"/>
      <c r="E55" s="138"/>
      <c r="F55" s="138"/>
      <c r="G55" s="138">
        <f>C55/J51*60</f>
        <v>33</v>
      </c>
      <c r="H55" s="138"/>
      <c r="I55" s="136" t="s">
        <v>314</v>
      </c>
      <c r="J55" s="1004" t="s">
        <v>476</v>
      </c>
      <c r="K55" s="1005"/>
      <c r="L55" s="1006"/>
      <c r="S55" s="134">
        <f>170-C55</f>
        <v>60</v>
      </c>
      <c r="T55" s="134">
        <f>J8+J9+C14+C30+C46+C51</f>
        <v>209.51226192575132</v>
      </c>
      <c r="V55" s="118">
        <f>V53-V54</f>
        <v>994</v>
      </c>
    </row>
    <row r="56" spans="1:23" s="118" customFormat="1" ht="24" customHeight="1">
      <c r="A56" s="135"/>
      <c r="B56" s="136" t="s">
        <v>317</v>
      </c>
      <c r="C56" s="137">
        <v>215</v>
      </c>
      <c r="D56" s="138"/>
      <c r="E56" s="138"/>
      <c r="F56" s="138"/>
      <c r="G56" s="138">
        <f>(C56-C55)/J54*60</f>
        <v>28.636363636363637</v>
      </c>
      <c r="H56" s="138"/>
      <c r="I56" s="136" t="s">
        <v>477</v>
      </c>
      <c r="J56" s="137">
        <f>C57-(J8+J9+C14+C30+C46+C51)+30</f>
        <v>73.487738074248682</v>
      </c>
      <c r="K56" s="1007"/>
      <c r="L56" s="1008"/>
      <c r="M56" s="134"/>
      <c r="S56" s="118">
        <f>S55/J54*60</f>
        <v>16.363636363636363</v>
      </c>
      <c r="T56" s="134">
        <f>T55+J56-C57</f>
        <v>30</v>
      </c>
      <c r="U56" s="134"/>
      <c r="V56" s="118">
        <f>V55/1000</f>
        <v>0.99399999999999999</v>
      </c>
      <c r="W56" s="118">
        <f>4400/1000</f>
        <v>4.4000000000000004</v>
      </c>
    </row>
    <row r="57" spans="1:23" s="118" customFormat="1" ht="24" customHeight="1">
      <c r="A57" s="135"/>
      <c r="B57" s="136" t="s">
        <v>478</v>
      </c>
      <c r="C57" s="137">
        <v>253</v>
      </c>
      <c r="D57" s="138"/>
      <c r="E57" s="138"/>
      <c r="F57" s="138"/>
      <c r="G57" s="138">
        <f>(C57-C56)/J54*60</f>
        <v>10.363636363636363</v>
      </c>
      <c r="H57" s="138"/>
      <c r="I57" s="136" t="s">
        <v>479</v>
      </c>
      <c r="J57" s="149">
        <v>76</v>
      </c>
      <c r="K57" s="494"/>
      <c r="L57" s="495"/>
      <c r="M57" s="134"/>
      <c r="S57" s="134">
        <f>S56+G55</f>
        <v>49.36363636363636</v>
      </c>
      <c r="T57" s="134"/>
      <c r="U57" s="134"/>
      <c r="V57" s="118">
        <f>PI()*(W56/2)^2*V56</f>
        <v>15.114076592714353</v>
      </c>
    </row>
    <row r="58" spans="1:23" s="118" customFormat="1" ht="24" customHeight="1">
      <c r="A58" s="135"/>
      <c r="B58" s="136" t="s">
        <v>321</v>
      </c>
      <c r="C58" s="137">
        <f>C57+70</f>
        <v>323</v>
      </c>
      <c r="D58" s="138"/>
      <c r="E58" s="138"/>
      <c r="F58" s="138"/>
      <c r="G58" s="138">
        <f>(C58-C57)/250*60</f>
        <v>16.8</v>
      </c>
      <c r="H58" s="138"/>
      <c r="I58" s="136" t="s">
        <v>480</v>
      </c>
      <c r="J58" s="149">
        <v>70</v>
      </c>
      <c r="K58" s="494"/>
      <c r="L58" s="495"/>
      <c r="S58" s="134">
        <f>C58-C57</f>
        <v>70</v>
      </c>
      <c r="T58" s="134"/>
    </row>
    <row r="59" spans="1:23" s="118" customFormat="1" ht="23">
      <c r="A59" s="135"/>
      <c r="B59" s="136" t="s">
        <v>323</v>
      </c>
      <c r="C59" s="145"/>
      <c r="D59" s="145"/>
      <c r="E59" s="138"/>
      <c r="F59" s="138"/>
      <c r="G59" s="138">
        <v>10</v>
      </c>
      <c r="H59" s="138"/>
      <c r="I59" s="136" t="s">
        <v>481</v>
      </c>
      <c r="J59" s="141" t="s">
        <v>482</v>
      </c>
      <c r="K59" s="141"/>
      <c r="L59" s="146"/>
    </row>
    <row r="60" spans="1:23" s="118" customFormat="1" ht="11.5">
      <c r="A60" s="135"/>
      <c r="B60" s="136" t="s">
        <v>325</v>
      </c>
      <c r="C60" s="145"/>
      <c r="D60" s="145"/>
      <c r="E60" s="138"/>
      <c r="F60" s="138"/>
      <c r="G60" s="138">
        <v>3</v>
      </c>
      <c r="H60" s="138"/>
      <c r="I60" s="136" t="s">
        <v>483</v>
      </c>
      <c r="J60" s="141" t="s">
        <v>484</v>
      </c>
      <c r="K60" s="141"/>
      <c r="L60" s="146"/>
    </row>
    <row r="61" spans="1:23" s="118" customFormat="1" ht="11.5">
      <c r="A61" s="194"/>
      <c r="B61" s="195" t="s">
        <v>328</v>
      </c>
      <c r="C61" s="196"/>
      <c r="D61" s="196"/>
      <c r="E61" s="176"/>
      <c r="F61" s="176"/>
      <c r="G61" s="176">
        <f>SUM(G51:G60)</f>
        <v>117.8</v>
      </c>
      <c r="H61" s="176"/>
      <c r="I61" s="175" t="s">
        <v>485</v>
      </c>
      <c r="J61" s="197" t="s">
        <v>486</v>
      </c>
      <c r="K61" s="197"/>
      <c r="L61" s="146"/>
    </row>
    <row r="62" spans="1:23" s="118" customFormat="1" ht="23">
      <c r="A62" s="121"/>
      <c r="B62" s="122" t="s">
        <v>331</v>
      </c>
      <c r="C62" s="123"/>
      <c r="D62" s="123"/>
      <c r="E62" s="123"/>
      <c r="F62" s="123"/>
      <c r="G62" s="123"/>
      <c r="H62" s="123"/>
      <c r="I62" s="124"/>
      <c r="J62" s="126"/>
      <c r="K62" s="126"/>
      <c r="L62" s="169"/>
    </row>
    <row r="63" spans="1:23" s="118" customFormat="1" ht="11.5">
      <c r="A63" s="135"/>
      <c r="B63" s="136" t="s">
        <v>332</v>
      </c>
      <c r="C63" s="137">
        <f>C57</f>
        <v>253</v>
      </c>
      <c r="D63" s="138"/>
      <c r="E63" s="138"/>
      <c r="F63" s="138"/>
      <c r="G63" s="138">
        <f>G56+G57</f>
        <v>39</v>
      </c>
      <c r="H63" s="138"/>
      <c r="I63" s="161"/>
      <c r="J63" s="149"/>
      <c r="K63" s="1007"/>
      <c r="L63" s="1008"/>
    </row>
    <row r="64" spans="1:23" s="118" customFormat="1" ht="23">
      <c r="A64" s="135"/>
      <c r="B64" s="136" t="s">
        <v>487</v>
      </c>
      <c r="C64" s="137">
        <v>170</v>
      </c>
      <c r="D64" s="138"/>
      <c r="E64" s="138"/>
      <c r="F64" s="138"/>
      <c r="G64" s="138">
        <f>C63/900*60</f>
        <v>16.866666666666667</v>
      </c>
      <c r="H64" s="138"/>
      <c r="I64" s="161" t="s">
        <v>488</v>
      </c>
      <c r="J64" s="149">
        <v>72</v>
      </c>
      <c r="K64" s="1007"/>
      <c r="L64" s="1008"/>
    </row>
    <row r="65" spans="1:19" s="118" customFormat="1" ht="23">
      <c r="A65" s="135"/>
      <c r="B65" s="136" t="s">
        <v>337</v>
      </c>
      <c r="C65" s="137">
        <v>3</v>
      </c>
      <c r="D65" s="138"/>
      <c r="E65" s="138"/>
      <c r="F65" s="138"/>
      <c r="G65" s="138">
        <v>2</v>
      </c>
      <c r="H65" s="138"/>
      <c r="I65" s="161" t="s">
        <v>489</v>
      </c>
      <c r="J65" s="149">
        <v>92</v>
      </c>
      <c r="K65" s="1007"/>
      <c r="L65" s="1008"/>
    </row>
    <row r="66" spans="1:19" s="118" customFormat="1" ht="11.5">
      <c r="A66" s="121"/>
      <c r="B66" s="122" t="s">
        <v>339</v>
      </c>
      <c r="C66" s="123"/>
      <c r="D66" s="123"/>
      <c r="E66" s="123"/>
      <c r="F66" s="123"/>
      <c r="G66" s="123"/>
      <c r="H66" s="123"/>
      <c r="I66" s="144"/>
      <c r="J66" s="126"/>
      <c r="K66" s="126"/>
      <c r="L66" s="169"/>
    </row>
    <row r="67" spans="1:19" s="118" customFormat="1" ht="24" customHeight="1">
      <c r="A67" s="128"/>
      <c r="B67" s="129" t="s">
        <v>340</v>
      </c>
      <c r="C67" s="130">
        <f>C57+G60</f>
        <v>256</v>
      </c>
      <c r="D67" s="491"/>
      <c r="E67" s="491"/>
      <c r="F67" s="491"/>
      <c r="G67" s="491">
        <f>G64</f>
        <v>16.866666666666667</v>
      </c>
      <c r="H67" s="491"/>
      <c r="I67" s="129"/>
      <c r="J67" s="132"/>
      <c r="K67" s="132"/>
      <c r="L67" s="146"/>
    </row>
    <row r="68" spans="1:19" s="118" customFormat="1" ht="24" customHeight="1">
      <c r="A68" s="135"/>
      <c r="B68" s="136" t="s">
        <v>343</v>
      </c>
      <c r="C68" s="145"/>
      <c r="D68" s="145"/>
      <c r="E68" s="138"/>
      <c r="F68" s="138"/>
      <c r="G68" s="138">
        <v>4</v>
      </c>
      <c r="H68" s="138"/>
      <c r="I68" s="136" t="s">
        <v>341</v>
      </c>
      <c r="J68" s="138">
        <f>'Heat calculation'!K7</f>
        <v>1850.9729473184623</v>
      </c>
      <c r="K68" s="341"/>
      <c r="L68" s="146"/>
    </row>
    <row r="69" spans="1:19" s="118" customFormat="1" ht="24" customHeight="1">
      <c r="A69" s="135"/>
      <c r="B69" s="136" t="s">
        <v>490</v>
      </c>
      <c r="C69" s="145"/>
      <c r="D69" s="145"/>
      <c r="E69" s="138"/>
      <c r="F69" s="138"/>
      <c r="G69" s="137">
        <v>30</v>
      </c>
      <c r="H69" s="138"/>
      <c r="I69" s="136" t="s">
        <v>341</v>
      </c>
      <c r="J69" s="138">
        <f>'Heat calculation'!K9+'Heat calculation'!K12</f>
        <v>2094.3996203132415</v>
      </c>
      <c r="K69" s="141"/>
      <c r="L69" s="146"/>
    </row>
    <row r="70" spans="1:19" s="118" customFormat="1" ht="24" customHeight="1">
      <c r="A70" s="342"/>
      <c r="B70" s="343" t="s">
        <v>491</v>
      </c>
      <c r="C70" s="344">
        <f>'CaCl2 addition'!E35</f>
        <v>2.5</v>
      </c>
      <c r="D70" s="345"/>
      <c r="E70" s="346"/>
      <c r="F70" s="139"/>
      <c r="G70" s="139"/>
      <c r="H70" s="140"/>
      <c r="I70" s="345" t="s">
        <v>492</v>
      </c>
      <c r="J70" s="347">
        <v>0.05</v>
      </c>
      <c r="K70" s="348"/>
      <c r="L70" s="349"/>
    </row>
    <row r="71" spans="1:19" s="118" customFormat="1" ht="23">
      <c r="A71" s="135"/>
      <c r="B71" s="136" t="s">
        <v>493</v>
      </c>
      <c r="C71" s="291" t="e">
        <f>'Hop calculation'!#REF!</f>
        <v>#REF!</v>
      </c>
      <c r="D71" s="161"/>
      <c r="E71" s="266"/>
      <c r="F71" s="138"/>
      <c r="G71" s="138"/>
      <c r="H71" s="145"/>
      <c r="I71" s="136" t="s">
        <v>494</v>
      </c>
      <c r="J71" s="141">
        <v>14.3</v>
      </c>
      <c r="K71" s="141"/>
      <c r="L71" s="193"/>
    </row>
    <row r="72" spans="1:19" s="118" customFormat="1" ht="34.5">
      <c r="A72" s="135"/>
      <c r="B72" s="136" t="s">
        <v>495</v>
      </c>
      <c r="C72" s="291">
        <f>'Hop calculation'!F18</f>
        <v>2.0660843462420702</v>
      </c>
      <c r="D72" s="268"/>
      <c r="E72" s="268"/>
      <c r="F72" s="267"/>
      <c r="G72" s="138"/>
      <c r="H72" s="145"/>
      <c r="I72" s="136" t="s">
        <v>496</v>
      </c>
      <c r="J72" s="141">
        <v>5.6</v>
      </c>
      <c r="K72" s="292"/>
      <c r="L72" s="293"/>
    </row>
    <row r="73" spans="1:19" s="118" customFormat="1" ht="34.5">
      <c r="A73" s="135"/>
      <c r="B73" s="136" t="s">
        <v>497</v>
      </c>
      <c r="C73" s="291">
        <f>'Hop calculation'!F19</f>
        <v>2.2660279926525932</v>
      </c>
      <c r="D73" s="246"/>
      <c r="E73" s="246"/>
      <c r="F73" s="267"/>
      <c r="G73" s="138"/>
      <c r="H73" s="145"/>
      <c r="I73" s="492"/>
      <c r="J73" s="492"/>
      <c r="K73" s="492"/>
      <c r="L73" s="294"/>
    </row>
    <row r="74" spans="1:19" s="118" customFormat="1" ht="22.5" customHeight="1">
      <c r="A74" s="135"/>
      <c r="B74" s="136" t="s">
        <v>498</v>
      </c>
      <c r="C74" s="138"/>
      <c r="D74" s="138"/>
      <c r="E74" s="137"/>
      <c r="F74" s="138"/>
      <c r="G74" s="137">
        <v>45</v>
      </c>
      <c r="H74" s="138"/>
      <c r="I74" s="136" t="s">
        <v>341</v>
      </c>
      <c r="J74" s="138">
        <f>'Heat calculation'!K15</f>
        <v>3187.8652112007589</v>
      </c>
      <c r="K74" s="141"/>
      <c r="L74" s="146"/>
      <c r="O74" s="118">
        <f>253/60</f>
        <v>4.2166666666666668</v>
      </c>
      <c r="S74" s="200"/>
    </row>
    <row r="75" spans="1:19" s="118" customFormat="1" ht="36" customHeight="1">
      <c r="A75" s="135"/>
      <c r="B75" s="136" t="s">
        <v>499</v>
      </c>
      <c r="C75" s="357">
        <f>650/520*220</f>
        <v>275</v>
      </c>
      <c r="D75" s="161"/>
      <c r="E75" s="161"/>
      <c r="F75" s="192"/>
      <c r="G75" s="138"/>
      <c r="H75" s="145"/>
      <c r="I75" s="161" t="s">
        <v>492</v>
      </c>
      <c r="J75" s="298">
        <v>0.09</v>
      </c>
      <c r="K75" s="199"/>
      <c r="L75" s="193"/>
      <c r="S75" s="353">
        <f>C75/305</f>
        <v>0.90163934426229508</v>
      </c>
    </row>
    <row r="76" spans="1:19" s="118" customFormat="1" ht="18" customHeight="1">
      <c r="A76" s="135"/>
      <c r="B76" s="136" t="s">
        <v>375</v>
      </c>
      <c r="C76" s="138">
        <v>222</v>
      </c>
      <c r="D76" s="145"/>
      <c r="E76" s="138"/>
      <c r="F76" s="138"/>
      <c r="G76" s="138">
        <v>14.500999999999999</v>
      </c>
      <c r="H76" s="138"/>
      <c r="I76" s="136" t="s">
        <v>500</v>
      </c>
      <c r="J76" s="201">
        <v>16</v>
      </c>
      <c r="K76" s="141"/>
      <c r="L76" s="202"/>
      <c r="Q76" s="200"/>
      <c r="S76" s="134"/>
    </row>
    <row r="77" spans="1:19" s="118" customFormat="1" ht="24" customHeight="1">
      <c r="A77" s="135"/>
      <c r="B77" s="136" t="s">
        <v>378</v>
      </c>
      <c r="C77" s="138">
        <v>3</v>
      </c>
      <c r="D77" s="145"/>
      <c r="E77" s="138"/>
      <c r="F77" s="138"/>
      <c r="G77" s="138">
        <v>1.1111111111111112</v>
      </c>
      <c r="H77" s="138"/>
      <c r="I77" s="161" t="s">
        <v>379</v>
      </c>
      <c r="J77" s="149">
        <v>5.45</v>
      </c>
      <c r="K77" s="141"/>
      <c r="L77" s="146"/>
    </row>
    <row r="78" spans="1:19" s="118" customFormat="1" ht="21.75" customHeight="1">
      <c r="A78" s="194"/>
      <c r="B78" s="493" t="s">
        <v>381</v>
      </c>
      <c r="C78" s="196"/>
      <c r="D78" s="196"/>
      <c r="E78" s="176"/>
      <c r="F78" s="176"/>
      <c r="G78" s="176">
        <f>SUM(G67:G77)</f>
        <v>111.47877777777779</v>
      </c>
      <c r="H78" s="176"/>
      <c r="I78" s="203"/>
      <c r="J78" s="145"/>
      <c r="K78" s="197"/>
      <c r="L78" s="146"/>
    </row>
    <row r="79" spans="1:19" s="118" customFormat="1" ht="11.5">
      <c r="A79" s="121"/>
      <c r="B79" s="122" t="s">
        <v>382</v>
      </c>
      <c r="C79" s="123"/>
      <c r="D79" s="123"/>
      <c r="E79" s="123"/>
      <c r="F79" s="123"/>
      <c r="G79" s="123"/>
      <c r="H79" s="123"/>
      <c r="I79" s="144"/>
      <c r="J79" s="126"/>
      <c r="K79" s="126"/>
      <c r="L79" s="169"/>
    </row>
    <row r="80" spans="1:19" s="118" customFormat="1" ht="23.25" customHeight="1">
      <c r="A80" s="128"/>
      <c r="B80" s="129" t="s">
        <v>383</v>
      </c>
      <c r="C80" s="491">
        <f>C76+C77</f>
        <v>225</v>
      </c>
      <c r="D80" s="189"/>
      <c r="E80" s="130"/>
      <c r="F80" s="491"/>
      <c r="G80" s="204">
        <v>10</v>
      </c>
      <c r="H80" s="491"/>
      <c r="I80" s="129" t="s">
        <v>501</v>
      </c>
      <c r="J80" s="205">
        <v>15</v>
      </c>
      <c r="K80" s="132"/>
      <c r="L80" s="146"/>
    </row>
    <row r="81" spans="1:22" s="118" customFormat="1" ht="19.5" customHeight="1">
      <c r="A81" s="135"/>
      <c r="B81" s="136" t="s">
        <v>384</v>
      </c>
      <c r="C81" s="145"/>
      <c r="D81" s="145"/>
      <c r="E81" s="138"/>
      <c r="F81" s="138"/>
      <c r="G81" s="138">
        <v>51</v>
      </c>
      <c r="H81" s="138"/>
      <c r="I81" s="136" t="s">
        <v>502</v>
      </c>
      <c r="J81" s="141" t="s">
        <v>503</v>
      </c>
      <c r="K81" s="145"/>
      <c r="L81" s="146"/>
    </row>
    <row r="82" spans="1:22" s="118" customFormat="1" ht="18.75" customHeight="1">
      <c r="A82" s="135"/>
      <c r="B82" s="136" t="s">
        <v>386</v>
      </c>
      <c r="C82" s="145"/>
      <c r="D82" s="145"/>
      <c r="E82" s="138"/>
      <c r="F82" s="138"/>
      <c r="G82" s="138">
        <v>7.5</v>
      </c>
      <c r="H82" s="138"/>
      <c r="I82" s="136" t="s">
        <v>504</v>
      </c>
      <c r="J82" s="141">
        <v>9.5</v>
      </c>
      <c r="K82" s="145"/>
      <c r="L82" s="146"/>
    </row>
    <row r="83" spans="1:22" s="118" customFormat="1" ht="17.25" customHeight="1">
      <c r="A83" s="135"/>
      <c r="B83" s="136" t="s">
        <v>387</v>
      </c>
      <c r="C83" s="145"/>
      <c r="D83" s="145"/>
      <c r="E83" s="138"/>
      <c r="F83" s="138"/>
      <c r="G83" s="138">
        <v>2.2222222222222223</v>
      </c>
      <c r="H83" s="138"/>
      <c r="I83" s="136" t="s">
        <v>505</v>
      </c>
      <c r="J83" s="141" t="s">
        <v>506</v>
      </c>
      <c r="K83" s="141"/>
      <c r="L83" s="146"/>
    </row>
    <row r="84" spans="1:22" s="118" customFormat="1" ht="11.5">
      <c r="A84" s="194"/>
      <c r="B84" s="493" t="s">
        <v>389</v>
      </c>
      <c r="C84" s="206"/>
      <c r="D84" s="206"/>
      <c r="E84" s="176"/>
      <c r="F84" s="176"/>
      <c r="G84" s="176">
        <f>SUM(G80:G83)</f>
        <v>70.722222222222229</v>
      </c>
      <c r="H84" s="176"/>
      <c r="I84" s="175" t="s">
        <v>507</v>
      </c>
      <c r="J84" s="207"/>
      <c r="K84" s="145"/>
      <c r="L84" s="146"/>
    </row>
    <row r="85" spans="1:22" s="118" customFormat="1" ht="23" hidden="1">
      <c r="A85" s="121"/>
      <c r="B85" s="122" t="s">
        <v>390</v>
      </c>
      <c r="C85" s="123"/>
      <c r="D85" s="123"/>
      <c r="E85" s="123"/>
      <c r="F85" s="123"/>
      <c r="G85" s="123"/>
      <c r="H85" s="123"/>
      <c r="I85" s="124"/>
      <c r="J85" s="126"/>
      <c r="K85" s="126"/>
      <c r="L85" s="169"/>
    </row>
    <row r="86" spans="1:22" s="118" customFormat="1" ht="23" hidden="1">
      <c r="A86" s="208"/>
      <c r="B86" s="124" t="s">
        <v>391</v>
      </c>
      <c r="C86" s="123"/>
      <c r="D86" s="123"/>
      <c r="E86" s="123"/>
      <c r="F86" s="123"/>
      <c r="G86" s="123"/>
      <c r="H86" s="123"/>
      <c r="I86" s="124"/>
      <c r="J86" s="126"/>
      <c r="K86" s="126"/>
      <c r="L86" s="169"/>
    </row>
    <row r="87" spans="1:22" s="118" customFormat="1" ht="11.5">
      <c r="A87" s="121"/>
      <c r="B87" s="122" t="s">
        <v>392</v>
      </c>
      <c r="C87" s="123"/>
      <c r="D87" s="123"/>
      <c r="E87" s="123"/>
      <c r="F87" s="123"/>
      <c r="G87" s="123"/>
      <c r="H87" s="123"/>
      <c r="I87" s="124"/>
      <c r="J87" s="126"/>
      <c r="K87" s="126"/>
      <c r="L87" s="169"/>
    </row>
    <row r="88" spans="1:22" s="118" customFormat="1" ht="21.75" customHeight="1">
      <c r="A88" s="209"/>
      <c r="B88" s="210" t="s">
        <v>508</v>
      </c>
      <c r="C88" s="491">
        <v>3</v>
      </c>
      <c r="D88" s="491"/>
      <c r="E88" s="999" t="s">
        <v>509</v>
      </c>
      <c r="F88" s="999"/>
      <c r="G88" s="999"/>
      <c r="H88" s="145"/>
      <c r="I88" s="129" t="s">
        <v>510</v>
      </c>
      <c r="J88" s="205" t="s">
        <v>511</v>
      </c>
      <c r="K88" s="132"/>
      <c r="L88" s="146"/>
    </row>
    <row r="89" spans="1:22" s="118" customFormat="1" ht="19.5" customHeight="1">
      <c r="A89" s="135"/>
      <c r="B89" s="136" t="s">
        <v>397</v>
      </c>
      <c r="C89" s="145"/>
      <c r="D89" s="145"/>
      <c r="E89" s="138"/>
      <c r="F89" s="138"/>
      <c r="G89" s="287">
        <v>5</v>
      </c>
      <c r="H89" s="138"/>
      <c r="I89" s="136" t="s">
        <v>398</v>
      </c>
      <c r="J89" s="141" t="s">
        <v>399</v>
      </c>
      <c r="K89" s="141"/>
      <c r="L89" s="146"/>
      <c r="S89" s="286" t="s">
        <v>400</v>
      </c>
    </row>
    <row r="90" spans="1:22" s="118" customFormat="1" ht="21" customHeight="1">
      <c r="A90" s="135"/>
      <c r="B90" s="161" t="s">
        <v>512</v>
      </c>
      <c r="C90" s="137">
        <v>220</v>
      </c>
      <c r="D90" s="137"/>
      <c r="E90" s="138"/>
      <c r="F90" s="138"/>
      <c r="G90" s="138">
        <v>51</v>
      </c>
      <c r="H90" s="138"/>
      <c r="I90" s="136" t="s">
        <v>513</v>
      </c>
      <c r="J90" s="211">
        <v>11</v>
      </c>
      <c r="K90" s="141"/>
      <c r="L90" s="146"/>
    </row>
    <row r="91" spans="1:22" s="118" customFormat="1" ht="26.25" customHeight="1">
      <c r="A91" s="135"/>
      <c r="B91" s="136" t="s">
        <v>514</v>
      </c>
      <c r="C91" s="201"/>
      <c r="D91" s="138"/>
      <c r="E91" s="1000" t="s">
        <v>515</v>
      </c>
      <c r="F91" s="1000"/>
      <c r="G91" s="1000"/>
      <c r="H91" s="145"/>
      <c r="I91" s="136" t="s">
        <v>385</v>
      </c>
      <c r="J91" s="138">
        <f>C90/G90*60</f>
        <v>258.8235294117647</v>
      </c>
      <c r="K91" s="141"/>
      <c r="L91" s="146"/>
      <c r="U91" s="118" t="s">
        <v>407</v>
      </c>
      <c r="V91" s="118" t="s">
        <v>408</v>
      </c>
    </row>
    <row r="92" spans="1:22" s="118" customFormat="1" ht="24.75" customHeight="1">
      <c r="A92" s="135"/>
      <c r="B92" s="136" t="s">
        <v>516</v>
      </c>
      <c r="C92" s="145"/>
      <c r="D92" s="145"/>
      <c r="E92" s="145"/>
      <c r="F92" s="145"/>
      <c r="G92" s="145"/>
      <c r="H92" s="145"/>
      <c r="I92" s="136" t="s">
        <v>410</v>
      </c>
      <c r="J92" s="141">
        <v>80</v>
      </c>
      <c r="K92" s="141"/>
      <c r="L92" s="146"/>
    </row>
    <row r="93" spans="1:22" s="118" customFormat="1" ht="24.75" customHeight="1" thickBot="1">
      <c r="A93" s="212"/>
      <c r="B93" s="213" t="s">
        <v>411</v>
      </c>
      <c r="C93" s="214"/>
      <c r="D93" s="214"/>
      <c r="E93" s="215"/>
      <c r="F93" s="215"/>
      <c r="G93" s="215">
        <v>5</v>
      </c>
      <c r="H93" s="215"/>
      <c r="I93" s="213" t="s">
        <v>517</v>
      </c>
      <c r="J93" s="216" t="s">
        <v>518</v>
      </c>
      <c r="K93" s="217"/>
      <c r="L93" s="146"/>
      <c r="S93" s="286" t="s">
        <v>414</v>
      </c>
    </row>
    <row r="94" spans="1:22" s="118" customFormat="1" ht="24" customHeight="1" thickBot="1">
      <c r="A94" s="218" t="s">
        <v>422</v>
      </c>
      <c r="B94" s="219"/>
      <c r="C94" s="220"/>
      <c r="D94" s="220"/>
      <c r="E94" s="220"/>
      <c r="F94" s="220"/>
      <c r="G94" s="220"/>
      <c r="H94" s="220"/>
      <c r="I94" s="1001" t="s">
        <v>519</v>
      </c>
      <c r="J94" s="1002"/>
      <c r="K94" s="1002"/>
      <c r="L94" s="221"/>
    </row>
    <row r="95" spans="1:22" s="222" customFormat="1" ht="24" customHeight="1">
      <c r="A95" s="288" t="s">
        <v>520</v>
      </c>
      <c r="B95" s="223"/>
      <c r="C95" s="224"/>
      <c r="D95" s="224"/>
      <c r="E95" s="224"/>
      <c r="F95" s="224"/>
      <c r="G95" s="224"/>
      <c r="H95" s="224"/>
      <c r="I95" s="225"/>
      <c r="J95" s="115"/>
      <c r="K95" s="115"/>
    </row>
    <row r="96" spans="1:22" s="222" customFormat="1" ht="24" customHeight="1">
      <c r="A96" s="289" t="s">
        <v>521</v>
      </c>
      <c r="B96" s="227"/>
      <c r="C96" s="228"/>
      <c r="D96" s="228"/>
      <c r="E96" s="228"/>
      <c r="F96" s="228"/>
      <c r="G96" s="228"/>
      <c r="H96" s="228"/>
      <c r="I96" s="229"/>
      <c r="J96" s="230"/>
      <c r="K96" s="230"/>
      <c r="L96" s="226"/>
    </row>
    <row r="97" spans="1:12" s="222" customFormat="1" ht="24" customHeight="1">
      <c r="A97" s="289" t="s">
        <v>522</v>
      </c>
      <c r="B97" s="227"/>
      <c r="C97" s="290">
        <f>SUM(G12:G20,G34:G47,G51:G57,G67:G77,G80:G83)/60</f>
        <v>6.5533499999999991</v>
      </c>
      <c r="D97" s="228"/>
      <c r="E97" s="228"/>
      <c r="F97" s="228"/>
      <c r="G97" s="228"/>
      <c r="H97" s="228"/>
      <c r="I97" s="229"/>
      <c r="J97" s="230"/>
      <c r="K97" s="230"/>
      <c r="L97" s="226"/>
    </row>
  </sheetData>
  <mergeCells count="21">
    <mergeCell ref="K5:K6"/>
    <mergeCell ref="L5:L6"/>
    <mergeCell ref="S12:T12"/>
    <mergeCell ref="S34:T34"/>
    <mergeCell ref="B10:L10"/>
    <mergeCell ref="E88:G88"/>
    <mergeCell ref="E91:G91"/>
    <mergeCell ref="I94:K94"/>
    <mergeCell ref="A1:L1"/>
    <mergeCell ref="J55:L55"/>
    <mergeCell ref="K56:L56"/>
    <mergeCell ref="C39:D39"/>
    <mergeCell ref="K63:L63"/>
    <mergeCell ref="K64:L64"/>
    <mergeCell ref="K65:L65"/>
    <mergeCell ref="A5:A6"/>
    <mergeCell ref="B5:B6"/>
    <mergeCell ref="C5:D5"/>
    <mergeCell ref="E5:H5"/>
    <mergeCell ref="I5:I6"/>
    <mergeCell ref="J5:J6"/>
  </mergeCells>
  <phoneticPr fontId="39" type="noConversion"/>
  <printOptions horizontalCentered="1" verticalCentered="1"/>
  <pageMargins left="0.39" right="0" top="0.17" bottom="0.17" header="0" footer="0"/>
  <pageSetup paperSize="9" scale="85" orientation="portrait" r:id="rId1"/>
  <headerFooter alignWithMargins="0">
    <oddFooter>Page &amp;P</oddFooter>
  </headerFooter>
  <rowBreaks count="1" manualBreakCount="1">
    <brk id="48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P33"/>
  <sheetViews>
    <sheetView topLeftCell="A34" workbookViewId="0">
      <selection activeCell="Q42" sqref="Q42"/>
    </sheetView>
  </sheetViews>
  <sheetFormatPr defaultRowHeight="14.5"/>
  <cols>
    <col min="1" max="1" width="15.453125" customWidth="1"/>
  </cols>
  <sheetData>
    <row r="1" spans="1:16" ht="18.5">
      <c r="A1" s="388" t="s">
        <v>523</v>
      </c>
    </row>
    <row r="3" spans="1:16" ht="15" thickBot="1">
      <c r="A3" s="387" t="s">
        <v>524</v>
      </c>
    </row>
    <row r="4" spans="1:16" ht="15" thickBot="1">
      <c r="A4" s="377" t="s">
        <v>525</v>
      </c>
      <c r="B4" s="378">
        <v>0</v>
      </c>
      <c r="C4" s="378">
        <v>13</v>
      </c>
      <c r="D4" s="378">
        <v>15</v>
      </c>
      <c r="E4" s="379" t="e">
        <f>D4+#REF!</f>
        <v>#REF!</v>
      </c>
      <c r="F4" s="379"/>
      <c r="G4" s="379"/>
      <c r="H4" s="379" t="e">
        <f>E4+#REF!</f>
        <v>#REF!</v>
      </c>
      <c r="I4" s="379" t="e">
        <f>C4+#REF!</f>
        <v>#REF!</v>
      </c>
      <c r="J4" s="379"/>
      <c r="K4" s="379" t="e">
        <f>H4+#REF!</f>
        <v>#REF!</v>
      </c>
      <c r="L4" s="379" t="e">
        <f>K4+#REF!</f>
        <v>#REF!</v>
      </c>
      <c r="M4" s="379" t="e">
        <f>L4+#REF!</f>
        <v>#REF!</v>
      </c>
      <c r="N4" s="379" t="e">
        <f>M4+#REF!</f>
        <v>#REF!</v>
      </c>
      <c r="O4" s="379" t="e">
        <f>N4+#REF!</f>
        <v>#REF!</v>
      </c>
      <c r="P4" s="380" t="e">
        <f>O4+#REF!</f>
        <v>#REF!</v>
      </c>
    </row>
    <row r="5" spans="1:16">
      <c r="A5" s="381" t="s">
        <v>526</v>
      </c>
      <c r="B5" s="382">
        <v>60</v>
      </c>
      <c r="C5" s="382">
        <v>60</v>
      </c>
      <c r="D5" s="382">
        <v>60</v>
      </c>
      <c r="E5" s="382">
        <v>80</v>
      </c>
      <c r="F5" s="382"/>
      <c r="G5" s="382"/>
      <c r="H5" s="382">
        <v>80</v>
      </c>
      <c r="I5" s="382" t="e">
        <f>(K5-H5)/(K4-H4)*(I4-H4)+H5</f>
        <v>#REF!</v>
      </c>
      <c r="J5" s="382"/>
      <c r="K5" s="382">
        <v>100</v>
      </c>
      <c r="L5" s="382">
        <v>100</v>
      </c>
      <c r="M5" s="382">
        <v>65.5</v>
      </c>
      <c r="N5" s="382"/>
      <c r="O5" s="382"/>
      <c r="P5" s="383"/>
    </row>
    <row r="6" spans="1:16" ht="15" thickBot="1">
      <c r="A6" s="384" t="s">
        <v>527</v>
      </c>
      <c r="B6" s="385"/>
      <c r="C6" s="385">
        <v>44</v>
      </c>
      <c r="D6" s="385">
        <v>44</v>
      </c>
      <c r="E6" s="385">
        <v>44</v>
      </c>
      <c r="F6" s="385"/>
      <c r="G6" s="385"/>
      <c r="H6" s="385">
        <v>44</v>
      </c>
      <c r="I6" s="385">
        <v>44</v>
      </c>
      <c r="J6" s="385"/>
      <c r="K6" s="385">
        <v>44</v>
      </c>
      <c r="L6" s="385">
        <v>44</v>
      </c>
      <c r="M6" s="385">
        <v>65.5</v>
      </c>
      <c r="N6" s="385">
        <v>65.5</v>
      </c>
      <c r="O6" s="385">
        <v>76</v>
      </c>
      <c r="P6" s="386">
        <v>76</v>
      </c>
    </row>
    <row r="30" spans="1:15" ht="15" thickBot="1">
      <c r="A30" s="387" t="s">
        <v>528</v>
      </c>
    </row>
    <row r="31" spans="1:15" ht="15" thickBot="1">
      <c r="A31" s="377" t="s">
        <v>525</v>
      </c>
      <c r="B31" s="378">
        <v>113</v>
      </c>
      <c r="C31" s="379" t="e">
        <f>B31+#REF!</f>
        <v>#REF!</v>
      </c>
      <c r="D31" s="379" t="e">
        <f>C31+#REF!</f>
        <v>#REF!</v>
      </c>
      <c r="E31" s="379" t="e">
        <f>D31+#REF!</f>
        <v>#REF!</v>
      </c>
      <c r="F31" s="379" t="e">
        <f>E31+17</f>
        <v>#REF!</v>
      </c>
      <c r="G31" s="379" t="e">
        <f>F31+17</f>
        <v>#REF!</v>
      </c>
      <c r="H31" s="379" t="e">
        <f>E31+#REF!</f>
        <v>#REF!</v>
      </c>
      <c r="I31" s="379" t="e">
        <f>H31+#REF!</f>
        <v>#REF!</v>
      </c>
      <c r="J31" s="379" t="e">
        <f>G31+30</f>
        <v>#REF!</v>
      </c>
      <c r="K31" s="379" t="e">
        <f>I31+#REF!</f>
        <v>#REF!</v>
      </c>
      <c r="L31" s="379" t="e">
        <f>J31+45</f>
        <v>#REF!</v>
      </c>
      <c r="M31" s="380" t="e">
        <f>L31+10</f>
        <v>#REF!</v>
      </c>
      <c r="O31" s="337"/>
    </row>
    <row r="32" spans="1:15">
      <c r="A32" s="381" t="s">
        <v>529</v>
      </c>
      <c r="B32" s="382">
        <v>75</v>
      </c>
      <c r="C32" s="382">
        <v>75</v>
      </c>
      <c r="D32" s="382">
        <v>75</v>
      </c>
      <c r="E32" s="382">
        <v>75</v>
      </c>
      <c r="F32" s="382">
        <v>75</v>
      </c>
      <c r="G32" s="382">
        <v>75</v>
      </c>
      <c r="H32" s="382">
        <v>75</v>
      </c>
      <c r="I32" s="382">
        <v>75</v>
      </c>
      <c r="J32" s="382">
        <v>75</v>
      </c>
      <c r="K32" s="382">
        <v>75</v>
      </c>
      <c r="L32" s="382"/>
      <c r="M32" s="383"/>
    </row>
    <row r="33" spans="1:13" ht="15" thickBot="1">
      <c r="A33" s="384" t="s">
        <v>530</v>
      </c>
      <c r="B33" s="385"/>
      <c r="C33" s="385"/>
      <c r="D33" s="385"/>
      <c r="E33" s="385"/>
      <c r="F33" s="385">
        <v>75</v>
      </c>
      <c r="G33" s="385">
        <v>98.1</v>
      </c>
      <c r="H33" s="385">
        <v>100</v>
      </c>
      <c r="I33" s="385">
        <v>100</v>
      </c>
      <c r="J33" s="385">
        <v>100</v>
      </c>
      <c r="K33" s="385">
        <v>100</v>
      </c>
      <c r="L33" s="385">
        <v>100</v>
      </c>
      <c r="M33" s="386">
        <v>100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"/>
  <sheetViews>
    <sheetView topLeftCell="A25" workbookViewId="0">
      <selection activeCell="Q9" sqref="Q9"/>
    </sheetView>
  </sheetViews>
  <sheetFormatPr defaultRowHeight="14.5"/>
  <sheetData/>
  <pageMargins left="0.95" right="0.7" top="0.25" bottom="0.25" header="0.3" footer="0.3"/>
  <pageSetup paperSize="9" scale="85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H10"/>
  <sheetViews>
    <sheetView workbookViewId="0">
      <selection activeCell="H16" sqref="H16"/>
    </sheetView>
  </sheetViews>
  <sheetFormatPr defaultRowHeight="14.5"/>
  <cols>
    <col min="1" max="1" width="16.453125" customWidth="1"/>
    <col min="2" max="2" width="22.453125" customWidth="1"/>
    <col min="3" max="3" width="11.54296875" customWidth="1"/>
    <col min="7" max="7" width="14.1796875" customWidth="1"/>
    <col min="8" max="8" width="13.81640625" customWidth="1"/>
  </cols>
  <sheetData>
    <row r="1" spans="1:8">
      <c r="A1" t="s">
        <v>531</v>
      </c>
      <c r="B1">
        <v>3.6</v>
      </c>
      <c r="C1">
        <v>592</v>
      </c>
      <c r="D1">
        <f>PI()*(B1/2)^2*(C1/100)*10</f>
        <v>602.58260369975108</v>
      </c>
    </row>
    <row r="2" spans="1:8">
      <c r="A2" t="s">
        <v>532</v>
      </c>
      <c r="B2">
        <v>3.2</v>
      </c>
      <c r="C2">
        <v>551</v>
      </c>
      <c r="D2">
        <f>PI()*(B2/2)^2*(C2/100)*10</f>
        <v>443.14049334476186</v>
      </c>
    </row>
    <row r="3" spans="1:8">
      <c r="A3" t="s">
        <v>533</v>
      </c>
      <c r="B3">
        <v>3.2</v>
      </c>
      <c r="C3">
        <v>464</v>
      </c>
      <c r="D3">
        <f>PI()*(B3/2)^2*(C3/100)*10</f>
        <v>373.17094176400997</v>
      </c>
    </row>
    <row r="6" spans="1:8">
      <c r="A6" s="375" t="s">
        <v>534</v>
      </c>
      <c r="B6" s="375" t="s">
        <v>535</v>
      </c>
      <c r="C6" t="s">
        <v>536</v>
      </c>
      <c r="G6" s="843" t="s">
        <v>537</v>
      </c>
      <c r="H6" s="844" t="s">
        <v>538</v>
      </c>
    </row>
    <row r="7" spans="1:8">
      <c r="A7" s="376">
        <v>870</v>
      </c>
      <c r="B7" s="376">
        <v>13000</v>
      </c>
      <c r="G7" s="843" t="s">
        <v>539</v>
      </c>
      <c r="H7" s="844">
        <v>0.5</v>
      </c>
    </row>
    <row r="8" spans="1:8">
      <c r="A8" s="376">
        <v>220</v>
      </c>
      <c r="B8" s="376">
        <f>A8*B7/A7</f>
        <v>3287.3563218390805</v>
      </c>
      <c r="C8">
        <f>1100+1542</f>
        <v>2642</v>
      </c>
      <c r="G8" s="843" t="s">
        <v>540</v>
      </c>
      <c r="H8" s="845">
        <v>44960</v>
      </c>
    </row>
    <row r="9" spans="1:8">
      <c r="G9" s="843" t="s">
        <v>541</v>
      </c>
      <c r="H9" s="845">
        <v>46025</v>
      </c>
    </row>
    <row r="10" spans="1:8">
      <c r="C10">
        <f>1800*49/60</f>
        <v>1470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theme="6" tint="-0.249977111117893"/>
  </sheetPr>
  <dimension ref="A1:L44"/>
  <sheetViews>
    <sheetView showGridLines="0" view="pageBreakPreview" zoomScaleNormal="100" zoomScaleSheetLayoutView="100" workbookViewId="0">
      <selection activeCell="D4" sqref="D4"/>
    </sheetView>
  </sheetViews>
  <sheetFormatPr defaultColWidth="11.453125" defaultRowHeight="12.5"/>
  <cols>
    <col min="1" max="1" width="24.54296875" style="6" customWidth="1"/>
    <col min="2" max="2" width="13" style="6" customWidth="1"/>
    <col min="3" max="3" width="12.453125" style="5" customWidth="1"/>
    <col min="4" max="4" width="17.453125" style="5" customWidth="1"/>
    <col min="5" max="5" width="12.453125" style="3" customWidth="1"/>
    <col min="6" max="6" width="13.453125" style="4" bestFit="1" customWidth="1"/>
    <col min="7" max="7" width="11.81640625" style="4" customWidth="1"/>
    <col min="8" max="8" width="12.453125" style="5" customWidth="1"/>
    <col min="9" max="16384" width="11.453125" style="5"/>
  </cols>
  <sheetData>
    <row r="1" spans="1:12" ht="17.25" customHeight="1">
      <c r="A1" s="1"/>
      <c r="B1" s="1"/>
      <c r="C1" s="2" t="s">
        <v>542</v>
      </c>
      <c r="D1" s="91" t="s">
        <v>543</v>
      </c>
      <c r="E1" s="5"/>
      <c r="F1" s="5"/>
      <c r="G1" s="5"/>
    </row>
    <row r="2" spans="1:12" ht="15.5">
      <c r="B2" s="1"/>
      <c r="C2" s="2" t="s">
        <v>544</v>
      </c>
      <c r="D2" s="7" t="s">
        <v>28</v>
      </c>
      <c r="E2" s="8"/>
      <c r="F2" s="5"/>
      <c r="G2" s="396">
        <v>282.9604394764537</v>
      </c>
      <c r="H2" s="5">
        <v>15</v>
      </c>
    </row>
    <row r="3" spans="1:12" ht="15.5">
      <c r="B3" s="1"/>
      <c r="C3" s="2" t="s">
        <v>545</v>
      </c>
      <c r="D3" s="9">
        <v>225</v>
      </c>
      <c r="E3" s="5"/>
      <c r="F3" s="5"/>
      <c r="G3" s="396">
        <v>303.04299255318773</v>
      </c>
      <c r="H3" s="5">
        <v>16</v>
      </c>
    </row>
    <row r="4" spans="1:12" ht="17.25" customHeight="1">
      <c r="B4" s="10"/>
      <c r="C4" s="2" t="s">
        <v>546</v>
      </c>
      <c r="D4" s="50">
        <v>18</v>
      </c>
      <c r="E4" s="51">
        <f>IF(E3=0,0,+E3*(1+(E3-0.4644)/238.4)-0.02)</f>
        <v>0</v>
      </c>
      <c r="F4" s="5"/>
      <c r="G4" s="396">
        <v>323.27489404699077</v>
      </c>
      <c r="H4" s="5">
        <v>17</v>
      </c>
    </row>
    <row r="5" spans="1:12" ht="17.25" customHeight="1">
      <c r="B5" s="12"/>
      <c r="C5" s="2" t="s">
        <v>547</v>
      </c>
      <c r="D5" s="51">
        <f>IF(D4=0,0,+D4*(1+(D4-0.4644)/238.4)-0.02)</f>
        <v>19.303996644295303</v>
      </c>
      <c r="E5" s="5"/>
      <c r="F5" s="5"/>
      <c r="G5" s="5"/>
    </row>
    <row r="6" spans="1:12" ht="17.25" customHeight="1">
      <c r="B6" s="12"/>
      <c r="C6" s="2" t="s">
        <v>548</v>
      </c>
      <c r="D6" s="52">
        <v>11</v>
      </c>
      <c r="E6" s="5"/>
      <c r="F6" s="5"/>
      <c r="G6" s="5"/>
    </row>
    <row r="7" spans="1:12" ht="17.25" customHeight="1">
      <c r="B7" s="12"/>
      <c r="C7" s="2" t="s">
        <v>549</v>
      </c>
      <c r="D7" s="51">
        <f>IF(D6=0,0,+D6*(1+(D6-0.4644)/238.4)-0.02)</f>
        <v>11.466122483221476</v>
      </c>
      <c r="E7" s="5"/>
      <c r="F7" s="5"/>
      <c r="G7" s="5"/>
    </row>
    <row r="8" spans="1:12" ht="15.5">
      <c r="B8" s="12"/>
      <c r="C8" s="2" t="s">
        <v>550</v>
      </c>
      <c r="D8" s="13">
        <f>D5/D7-1</f>
        <v>0.68356797797538693</v>
      </c>
      <c r="E8" s="5"/>
      <c r="F8" s="5"/>
      <c r="G8" s="396"/>
    </row>
    <row r="9" spans="1:12" ht="17.25" customHeight="1">
      <c r="B9" s="10"/>
      <c r="C9" s="2" t="s">
        <v>551</v>
      </c>
      <c r="D9" s="14">
        <f>D5*D3</f>
        <v>4343.3992449664429</v>
      </c>
      <c r="E9" s="11"/>
      <c r="G9" s="43"/>
    </row>
    <row r="10" spans="1:12" ht="15.5">
      <c r="A10" s="12"/>
      <c r="B10" s="1"/>
      <c r="C10" s="2" t="s">
        <v>552</v>
      </c>
      <c r="D10" s="15">
        <v>1.2999999999999999E-2</v>
      </c>
    </row>
    <row r="11" spans="1:12" ht="18" customHeight="1">
      <c r="A11" s="12"/>
      <c r="B11" s="53"/>
      <c r="C11" s="54" t="s">
        <v>553</v>
      </c>
      <c r="D11" s="55">
        <f>D9/(1-D10)</f>
        <v>4400.607137757288</v>
      </c>
    </row>
    <row r="12" spans="1:12" ht="15.5">
      <c r="A12" s="5"/>
      <c r="B12" s="5"/>
      <c r="C12" s="2" t="s">
        <v>554</v>
      </c>
      <c r="D12" s="16">
        <v>0.7</v>
      </c>
      <c r="F12" s="1023" t="s">
        <v>555</v>
      </c>
      <c r="G12" s="1023"/>
      <c r="H12" s="61" t="s">
        <v>556</v>
      </c>
    </row>
    <row r="13" spans="1:12" ht="15.5">
      <c r="A13" s="5"/>
      <c r="B13" s="5"/>
      <c r="C13" s="2" t="s">
        <v>557</v>
      </c>
      <c r="D13" s="56">
        <v>0.3</v>
      </c>
      <c r="F13" s="1024" t="s">
        <v>558</v>
      </c>
      <c r="G13" s="1025" t="s">
        <v>559</v>
      </c>
      <c r="H13" s="62" t="s">
        <v>560</v>
      </c>
    </row>
    <row r="14" spans="1:12" ht="20">
      <c r="B14" s="57" t="s">
        <v>561</v>
      </c>
      <c r="C14" s="58" t="s">
        <v>562</v>
      </c>
      <c r="D14" s="59">
        <f>B15*D11</f>
        <v>3046.0531900059104</v>
      </c>
      <c r="E14" s="60" t="s">
        <v>563</v>
      </c>
      <c r="F14" s="1024"/>
      <c r="G14" s="1026"/>
      <c r="H14" s="63">
        <v>50</v>
      </c>
      <c r="L14" s="18"/>
    </row>
    <row r="15" spans="1:12" ht="20">
      <c r="A15" s="19" t="s">
        <v>564</v>
      </c>
      <c r="B15" s="20">
        <f>E15*D12/(D12*E15+D13*E23)</f>
        <v>0.69218930357829933</v>
      </c>
      <c r="C15" s="22"/>
      <c r="D15" s="23">
        <f>D14</f>
        <v>3046.0531900059104</v>
      </c>
      <c r="E15" s="70">
        <v>0.77100000000000002</v>
      </c>
      <c r="F15" s="64">
        <f>IF(E15=0,0,D15/E15)</f>
        <v>3950.7823476081849</v>
      </c>
      <c r="G15" s="64">
        <f>F15/H14</f>
        <v>79.015646952163692</v>
      </c>
      <c r="H15" s="359">
        <f>F15</f>
        <v>3950.7823476081849</v>
      </c>
      <c r="L15" s="18"/>
    </row>
    <row r="16" spans="1:12" ht="20" hidden="1">
      <c r="A16" s="19"/>
      <c r="B16" s="21"/>
      <c r="C16" s="22"/>
      <c r="D16" s="23">
        <f>D$14*C16</f>
        <v>0</v>
      </c>
      <c r="E16" s="70">
        <f>81.4%*(100-4.35)%</f>
        <v>0.77859100000000003</v>
      </c>
      <c r="F16" s="64">
        <f>IF(E16=0,0,D16/E16)</f>
        <v>0</v>
      </c>
      <c r="G16" s="64">
        <f>F16/H14</f>
        <v>0</v>
      </c>
      <c r="H16" s="65"/>
      <c r="L16" s="18"/>
    </row>
    <row r="17" spans="1:12" ht="20" hidden="1">
      <c r="A17" s="19" t="s">
        <v>565</v>
      </c>
      <c r="B17" s="24">
        <v>4.0000000000000001E-3</v>
      </c>
      <c r="C17" s="25"/>
      <c r="D17" s="23">
        <f>D14*B17</f>
        <v>12.184212760023643</v>
      </c>
      <c r="E17" s="70">
        <f>81.4%*(100-4.35)%</f>
        <v>0.77859100000000003</v>
      </c>
      <c r="F17" s="64">
        <f>IF(E17=0,0,D17/E17)</f>
        <v>15.649054201787129</v>
      </c>
      <c r="G17" s="66"/>
      <c r="H17" s="67">
        <v>0</v>
      </c>
      <c r="L17" s="18"/>
    </row>
    <row r="18" spans="1:12" ht="20" hidden="1">
      <c r="A18" s="26"/>
      <c r="B18" s="26"/>
      <c r="C18" s="27"/>
      <c r="D18" s="28">
        <f>D$14*C18</f>
        <v>0</v>
      </c>
      <c r="E18" s="70">
        <f>81.4%*(100-4.35)%</f>
        <v>0.77859100000000003</v>
      </c>
      <c r="F18" s="68">
        <f>IF(E18=0,0,D18/E18)</f>
        <v>0</v>
      </c>
      <c r="G18" s="68"/>
      <c r="H18" s="69"/>
      <c r="L18" s="18"/>
    </row>
    <row r="19" spans="1:12" ht="20.25" customHeight="1">
      <c r="A19" s="71"/>
      <c r="B19" s="72">
        <f>SUM(B15:B18)</f>
        <v>0.69618930357829933</v>
      </c>
      <c r="C19" s="73"/>
      <c r="D19" s="74">
        <f>SUM(D15:D18)</f>
        <v>3058.2374027659339</v>
      </c>
      <c r="E19" s="70"/>
      <c r="F19" s="64">
        <f>SUM(F15:F18)</f>
        <v>3966.4314018099722</v>
      </c>
      <c r="G19" s="64"/>
      <c r="H19" s="65">
        <f>SUM(H15:H18)</f>
        <v>3950.7823476081849</v>
      </c>
    </row>
    <row r="20" spans="1:12">
      <c r="A20" s="29"/>
      <c r="B20" s="30" t="b">
        <f>B19=100%</f>
        <v>0</v>
      </c>
      <c r="C20" s="30"/>
      <c r="D20" s="31" t="b">
        <f>D19=D14</f>
        <v>0</v>
      </c>
      <c r="E20" s="32"/>
      <c r="F20" s="80"/>
      <c r="G20" s="81"/>
      <c r="H20" s="17">
        <f>H19-F19</f>
        <v>-15.649054201787294</v>
      </c>
    </row>
    <row r="21" spans="1:12">
      <c r="A21" s="29"/>
      <c r="B21" s="30"/>
      <c r="C21" s="30"/>
      <c r="D21" s="31"/>
      <c r="E21" s="32"/>
      <c r="F21" s="82"/>
      <c r="G21" s="83"/>
      <c r="H21" s="17"/>
    </row>
    <row r="22" spans="1:12" ht="21.75" customHeight="1">
      <c r="B22" s="33" t="s">
        <v>561</v>
      </c>
      <c r="C22" s="58" t="s">
        <v>566</v>
      </c>
      <c r="D22" s="59">
        <f>B23*D11</f>
        <v>1354.5539477513776</v>
      </c>
      <c r="E22" s="34" t="s">
        <v>567</v>
      </c>
      <c r="F22" s="84" t="s">
        <v>568</v>
      </c>
      <c r="G22" s="85"/>
      <c r="H22" s="62" t="s">
        <v>569</v>
      </c>
    </row>
    <row r="23" spans="1:12" ht="18" customHeight="1">
      <c r="A23" s="19" t="s">
        <v>570</v>
      </c>
      <c r="B23" s="16">
        <f>D13*E23/(D12*E15+D13*E23)</f>
        <v>0.30781069642170067</v>
      </c>
      <c r="C23" s="16"/>
      <c r="D23" s="23">
        <f>D22</f>
        <v>1354.5539477513776</v>
      </c>
      <c r="E23" s="70">
        <v>0.8</v>
      </c>
      <c r="F23" s="75">
        <f>IF(E23=0,0,D23/E23)</f>
        <v>1693.192434689222</v>
      </c>
      <c r="G23" s="64"/>
      <c r="H23" s="359">
        <f>F23</f>
        <v>1693.192434689222</v>
      </c>
    </row>
    <row r="24" spans="1:12" ht="18.75" customHeight="1">
      <c r="A24" s="71"/>
      <c r="B24" s="71"/>
      <c r="C24" s="77">
        <f>SUM(C23:C23)</f>
        <v>0</v>
      </c>
      <c r="D24" s="78">
        <f>SUM(D23:D23)</f>
        <v>1354.5539477513776</v>
      </c>
      <c r="E24" s="79"/>
      <c r="F24" s="76">
        <f>SUM(F23:F23)</f>
        <v>1693.192434689222</v>
      </c>
      <c r="G24" s="496"/>
      <c r="H24" s="65">
        <f>SUM(H23:H23)</f>
        <v>1693.192434689222</v>
      </c>
    </row>
    <row r="25" spans="1:12" ht="14.25" customHeight="1">
      <c r="A25" s="4"/>
      <c r="B25" s="4"/>
      <c r="C25" s="35" t="b">
        <f>C24=100%</f>
        <v>0</v>
      </c>
      <c r="D25" s="31" t="b">
        <f>D24=D22</f>
        <v>1</v>
      </c>
      <c r="E25" s="32"/>
      <c r="F25" s="36"/>
      <c r="G25" s="36"/>
      <c r="H25" s="17">
        <f>H24-F24</f>
        <v>0</v>
      </c>
    </row>
    <row r="26" spans="1:12" ht="19.5" customHeight="1">
      <c r="E26" s="2"/>
      <c r="F26" s="37"/>
      <c r="G26" s="37"/>
    </row>
    <row r="27" spans="1:12">
      <c r="E27" s="5"/>
    </row>
    <row r="28" spans="1:12" ht="15">
      <c r="A28" s="38"/>
      <c r="B28" s="38"/>
      <c r="C28" s="39"/>
      <c r="D28" s="40"/>
      <c r="E28" s="41"/>
    </row>
    <row r="29" spans="1:12">
      <c r="C29" s="12"/>
    </row>
    <row r="30" spans="1:12" ht="13">
      <c r="A30" s="38"/>
      <c r="B30" s="38"/>
      <c r="C30" s="39"/>
    </row>
    <row r="31" spans="1:12">
      <c r="C31" s="2"/>
    </row>
    <row r="32" spans="1:12" s="6" customFormat="1">
      <c r="D32" s="4"/>
      <c r="E32" s="3"/>
      <c r="F32" s="4"/>
      <c r="G32" s="4"/>
    </row>
    <row r="33" spans="1:7">
      <c r="D33" s="42"/>
      <c r="E33" s="43"/>
      <c r="F33" s="44"/>
      <c r="G33" s="44"/>
    </row>
    <row r="34" spans="1:7">
      <c r="D34" s="42"/>
      <c r="E34" s="43"/>
      <c r="F34" s="44"/>
      <c r="G34" s="44"/>
    </row>
    <row r="35" spans="1:7">
      <c r="D35" s="42"/>
      <c r="E35" s="43"/>
      <c r="F35" s="44"/>
      <c r="G35" s="44"/>
    </row>
    <row r="36" spans="1:7">
      <c r="D36" s="42"/>
      <c r="E36" s="43"/>
      <c r="F36" s="44"/>
      <c r="G36" s="44"/>
    </row>
    <row r="37" spans="1:7">
      <c r="A37" s="29"/>
      <c r="B37" s="29"/>
      <c r="C37" s="45"/>
      <c r="D37" s="46"/>
      <c r="E37" s="43"/>
    </row>
    <row r="38" spans="1:7" ht="7.5" customHeight="1">
      <c r="D38" s="4"/>
    </row>
    <row r="39" spans="1:7" ht="13">
      <c r="A39" s="38"/>
      <c r="B39" s="38"/>
      <c r="C39" s="39"/>
    </row>
    <row r="40" spans="1:7" ht="13">
      <c r="A40" s="38"/>
      <c r="B40" s="38"/>
      <c r="C40" s="39"/>
    </row>
    <row r="41" spans="1:7">
      <c r="D41" s="4"/>
    </row>
    <row r="42" spans="1:7" ht="13">
      <c r="D42" s="47"/>
      <c r="E42" s="43"/>
      <c r="F42" s="48"/>
      <c r="G42" s="48"/>
    </row>
    <row r="43" spans="1:7" ht="13">
      <c r="D43" s="47"/>
      <c r="E43" s="43"/>
      <c r="F43" s="48"/>
      <c r="G43" s="48"/>
    </row>
    <row r="44" spans="1:7">
      <c r="A44" s="29"/>
      <c r="B44" s="29"/>
      <c r="C44" s="45"/>
      <c r="D44" s="49"/>
      <c r="E44" s="43"/>
    </row>
  </sheetData>
  <mergeCells count="3">
    <mergeCell ref="F12:G12"/>
    <mergeCell ref="F13:F14"/>
    <mergeCell ref="G13:G14"/>
  </mergeCells>
  <phoneticPr fontId="39" type="noConversion"/>
  <pageMargins left="0.41" right="0.2" top="0.79" bottom="0.64" header="0.5" footer="0.5"/>
  <pageSetup paperSize="9" scale="97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G37"/>
  <sheetViews>
    <sheetView zoomScaleNormal="100" zoomScaleSheetLayoutView="100" workbookViewId="0">
      <selection activeCell="H29" sqref="H29"/>
    </sheetView>
  </sheetViews>
  <sheetFormatPr defaultColWidth="9.1796875" defaultRowHeight="12.5"/>
  <cols>
    <col min="1" max="1" width="37.54296875" style="86" customWidth="1"/>
    <col min="2" max="2" width="16.453125" style="86" customWidth="1"/>
    <col min="3" max="3" width="16" style="86" customWidth="1"/>
    <col min="4" max="4" width="11.1796875" style="86" customWidth="1"/>
    <col min="5" max="16384" width="9.1796875" style="86"/>
  </cols>
  <sheetData>
    <row r="1" spans="1:4" ht="15.5">
      <c r="A1" s="93" t="s">
        <v>571</v>
      </c>
    </row>
    <row r="3" spans="1:4" ht="13">
      <c r="A3" s="96" t="s">
        <v>572</v>
      </c>
    </row>
    <row r="4" spans="1:4" ht="13">
      <c r="A4" s="86" t="s">
        <v>573</v>
      </c>
      <c r="B4" s="94"/>
    </row>
    <row r="5" spans="1:4" ht="13">
      <c r="A5" s="87" t="s">
        <v>574</v>
      </c>
      <c r="B5" s="92">
        <v>50</v>
      </c>
    </row>
    <row r="6" spans="1:4" ht="13">
      <c r="A6" s="87" t="s">
        <v>575</v>
      </c>
      <c r="B6" s="92">
        <v>80</v>
      </c>
    </row>
    <row r="7" spans="1:4" ht="13">
      <c r="A7" s="86" t="s">
        <v>576</v>
      </c>
      <c r="B7" s="89">
        <v>16</v>
      </c>
      <c r="C7" s="87" t="s">
        <v>577</v>
      </c>
      <c r="D7" s="95">
        <f>40+12+16*3</f>
        <v>100</v>
      </c>
    </row>
    <row r="8" spans="1:4">
      <c r="A8" s="88" t="s">
        <v>578</v>
      </c>
    </row>
    <row r="9" spans="1:4">
      <c r="B9" s="87" t="s">
        <v>579</v>
      </c>
      <c r="C9" s="89">
        <f>B7/D7*40</f>
        <v>6.4</v>
      </c>
      <c r="D9" s="86" t="s">
        <v>580</v>
      </c>
    </row>
    <row r="10" spans="1:4">
      <c r="A10" s="86" t="s">
        <v>581</v>
      </c>
      <c r="C10" s="89"/>
    </row>
    <row r="11" spans="1:4">
      <c r="A11" s="87" t="s">
        <v>582</v>
      </c>
      <c r="B11" s="86">
        <f>B5-C9</f>
        <v>43.6</v>
      </c>
      <c r="C11" s="89" t="s">
        <v>580</v>
      </c>
    </row>
    <row r="12" spans="1:4">
      <c r="A12" s="87" t="s">
        <v>583</v>
      </c>
      <c r="B12" s="86">
        <f>B6-C9</f>
        <v>73.599999999999994</v>
      </c>
      <c r="C12" s="89" t="s">
        <v>580</v>
      </c>
    </row>
    <row r="14" spans="1:4" ht="13">
      <c r="A14" s="96" t="s">
        <v>584</v>
      </c>
    </row>
    <row r="15" spans="1:4" ht="13">
      <c r="A15" s="86" t="s">
        <v>585</v>
      </c>
      <c r="B15" s="97">
        <v>0.998</v>
      </c>
      <c r="C15" s="89" t="s">
        <v>586</v>
      </c>
      <c r="D15" s="95">
        <f>40+32+16*4+2*18</f>
        <v>172</v>
      </c>
    </row>
    <row r="16" spans="1:4" ht="13">
      <c r="A16" s="86" t="s">
        <v>587</v>
      </c>
      <c r="B16" s="98">
        <f>40/D15*99.8</f>
        <v>23.209302325581394</v>
      </c>
      <c r="C16" s="89"/>
      <c r="D16" s="94"/>
    </row>
    <row r="18" spans="1:5">
      <c r="A18" s="86" t="s">
        <v>588</v>
      </c>
    </row>
    <row r="19" spans="1:5">
      <c r="A19" s="87" t="s">
        <v>582</v>
      </c>
      <c r="B19" s="90">
        <f>B11*100/B16</f>
        <v>187.8557114228457</v>
      </c>
      <c r="C19" s="90" t="s">
        <v>589</v>
      </c>
    </row>
    <row r="20" spans="1:5">
      <c r="A20" s="87" t="s">
        <v>583</v>
      </c>
      <c r="B20" s="90">
        <f>B12*100/B16</f>
        <v>317.11422845691379</v>
      </c>
      <c r="C20" s="90" t="s">
        <v>589</v>
      </c>
    </row>
    <row r="21" spans="1:5">
      <c r="A21" s="87"/>
      <c r="B21" s="90"/>
      <c r="C21" s="90"/>
    </row>
    <row r="22" spans="1:5">
      <c r="A22" s="86" t="s">
        <v>590</v>
      </c>
      <c r="B22" s="90"/>
      <c r="C22" s="90"/>
    </row>
    <row r="23" spans="1:5">
      <c r="A23" s="87" t="s">
        <v>591</v>
      </c>
      <c r="B23" s="90">
        <v>58</v>
      </c>
      <c r="C23" s="90" t="s">
        <v>592</v>
      </c>
    </row>
    <row r="24" spans="1:5">
      <c r="A24" s="87" t="s">
        <v>593</v>
      </c>
      <c r="B24" s="90">
        <f>B23*B19*100/10^6</f>
        <v>1.089563126252505</v>
      </c>
      <c r="C24" s="90" t="s">
        <v>594</v>
      </c>
    </row>
    <row r="25" spans="1:5" ht="13">
      <c r="A25" s="87" t="s">
        <v>595</v>
      </c>
      <c r="B25" s="90">
        <f>B23*B20*100/10^6</f>
        <v>1.8392625250501002</v>
      </c>
      <c r="C25" s="90" t="s">
        <v>594</v>
      </c>
      <c r="D25" s="86" t="s">
        <v>596</v>
      </c>
      <c r="E25" s="110">
        <v>2</v>
      </c>
    </row>
    <row r="26" spans="1:5">
      <c r="A26" s="87"/>
      <c r="B26" s="90"/>
      <c r="C26" s="90"/>
    </row>
    <row r="27" spans="1:5">
      <c r="A27" s="86" t="s">
        <v>597</v>
      </c>
      <c r="B27" s="90"/>
      <c r="C27" s="90"/>
    </row>
    <row r="28" spans="1:5">
      <c r="A28" s="87" t="s">
        <v>598</v>
      </c>
      <c r="B28" s="90">
        <v>110</v>
      </c>
      <c r="C28" s="90" t="s">
        <v>592</v>
      </c>
    </row>
    <row r="29" spans="1:5">
      <c r="A29" s="87" t="s">
        <v>593</v>
      </c>
      <c r="B29" s="90">
        <f>B28*B19*100/10^6</f>
        <v>2.0664128256513026</v>
      </c>
      <c r="C29" s="90" t="s">
        <v>594</v>
      </c>
    </row>
    <row r="30" spans="1:5" ht="13">
      <c r="A30" s="87" t="s">
        <v>595</v>
      </c>
      <c r="B30" s="90">
        <f>B28*B20*100/10^6</f>
        <v>3.4882565130260517</v>
      </c>
      <c r="C30" s="90" t="s">
        <v>594</v>
      </c>
      <c r="D30" s="86" t="s">
        <v>596</v>
      </c>
      <c r="E30" s="110">
        <v>3.5</v>
      </c>
    </row>
    <row r="31" spans="1:5">
      <c r="A31" s="88"/>
    </row>
    <row r="32" spans="1:5">
      <c r="A32" s="86" t="s">
        <v>599</v>
      </c>
      <c r="B32" s="90"/>
      <c r="C32" s="90"/>
    </row>
    <row r="33" spans="1:7">
      <c r="A33" s="87" t="s">
        <v>600</v>
      </c>
      <c r="B33" s="90">
        <v>125</v>
      </c>
      <c r="C33" s="90" t="s">
        <v>592</v>
      </c>
    </row>
    <row r="34" spans="1:7">
      <c r="A34" s="87" t="s">
        <v>593</v>
      </c>
      <c r="B34" s="90">
        <f>B33*B19*100/10^6</f>
        <v>2.3481963927855709</v>
      </c>
      <c r="C34" s="90" t="s">
        <v>594</v>
      </c>
    </row>
    <row r="35" spans="1:7" ht="13">
      <c r="A35" s="87" t="s">
        <v>595</v>
      </c>
      <c r="B35" s="90">
        <f>B33*B20*100/10^6</f>
        <v>3.9639278557114226</v>
      </c>
      <c r="C35" s="90" t="s">
        <v>594</v>
      </c>
      <c r="D35" s="86" t="s">
        <v>596</v>
      </c>
      <c r="E35" s="110">
        <v>5</v>
      </c>
    </row>
    <row r="37" spans="1:7">
      <c r="D37" s="86" t="s">
        <v>601</v>
      </c>
      <c r="E37" s="86">
        <f>E25+E30+E35</f>
        <v>10.5</v>
      </c>
      <c r="G37" s="86">
        <f>E37/305</f>
        <v>3.4426229508196723E-2</v>
      </c>
    </row>
  </sheetData>
  <phoneticPr fontId="39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G37"/>
  <sheetViews>
    <sheetView topLeftCell="A12" zoomScaleNormal="100" zoomScaleSheetLayoutView="100" workbookViewId="0">
      <selection activeCell="A24" sqref="A24:A25"/>
    </sheetView>
  </sheetViews>
  <sheetFormatPr defaultColWidth="9.1796875" defaultRowHeight="12.5"/>
  <cols>
    <col min="1" max="1" width="37.54296875" style="86" customWidth="1"/>
    <col min="2" max="2" width="16.453125" style="86" customWidth="1"/>
    <col min="3" max="3" width="16" style="86" customWidth="1"/>
    <col min="4" max="4" width="11.1796875" style="86" customWidth="1"/>
    <col min="5" max="16384" width="9.1796875" style="86"/>
  </cols>
  <sheetData>
    <row r="1" spans="1:4" ht="15.5">
      <c r="A1" s="93" t="s">
        <v>571</v>
      </c>
    </row>
    <row r="3" spans="1:4" ht="13">
      <c r="A3" s="96" t="s">
        <v>572</v>
      </c>
    </row>
    <row r="4" spans="1:4" ht="13">
      <c r="A4" s="86" t="s">
        <v>573</v>
      </c>
      <c r="B4" s="94"/>
    </row>
    <row r="5" spans="1:4" ht="13">
      <c r="A5" s="87" t="s">
        <v>574</v>
      </c>
      <c r="B5" s="92">
        <v>50</v>
      </c>
    </row>
    <row r="6" spans="1:4" ht="13">
      <c r="A6" s="87" t="s">
        <v>575</v>
      </c>
      <c r="B6" s="92">
        <v>80</v>
      </c>
    </row>
    <row r="7" spans="1:4" ht="13">
      <c r="A7" s="86" t="s">
        <v>576</v>
      </c>
      <c r="B7" s="89">
        <v>25</v>
      </c>
      <c r="C7" s="87" t="s">
        <v>577</v>
      </c>
      <c r="D7" s="95">
        <f>40+12+16*3</f>
        <v>100</v>
      </c>
    </row>
    <row r="8" spans="1:4">
      <c r="A8" s="88" t="s">
        <v>578</v>
      </c>
    </row>
    <row r="9" spans="1:4">
      <c r="B9" s="87" t="s">
        <v>579</v>
      </c>
      <c r="C9" s="89">
        <f>B7/D7*40</f>
        <v>10</v>
      </c>
      <c r="D9" s="86" t="s">
        <v>580</v>
      </c>
    </row>
    <row r="10" spans="1:4">
      <c r="A10" s="86" t="s">
        <v>581</v>
      </c>
      <c r="C10" s="89"/>
    </row>
    <row r="11" spans="1:4">
      <c r="A11" s="87" t="s">
        <v>582</v>
      </c>
      <c r="B11" s="86">
        <f>B5-C9</f>
        <v>40</v>
      </c>
      <c r="C11" s="89" t="s">
        <v>580</v>
      </c>
    </row>
    <row r="12" spans="1:4">
      <c r="A12" s="87" t="s">
        <v>583</v>
      </c>
      <c r="B12" s="86">
        <f>B6-C9</f>
        <v>70</v>
      </c>
      <c r="C12" s="89" t="s">
        <v>580</v>
      </c>
    </row>
    <row r="14" spans="1:4" ht="13">
      <c r="A14" s="96" t="s">
        <v>602</v>
      </c>
    </row>
    <row r="15" spans="1:4" ht="13">
      <c r="A15" s="86" t="s">
        <v>603</v>
      </c>
      <c r="B15" s="97">
        <v>0.93</v>
      </c>
      <c r="C15" s="89" t="s">
        <v>604</v>
      </c>
      <c r="D15" s="95">
        <f>40+35.5*2</f>
        <v>111</v>
      </c>
    </row>
    <row r="16" spans="1:4" ht="13">
      <c r="A16" s="86" t="s">
        <v>605</v>
      </c>
      <c r="B16" s="98">
        <f>40/D15*93</f>
        <v>33.513513513513509</v>
      </c>
      <c r="C16" s="89"/>
      <c r="D16" s="94"/>
    </row>
    <row r="18" spans="1:7">
      <c r="A18" s="86" t="s">
        <v>606</v>
      </c>
    </row>
    <row r="19" spans="1:7">
      <c r="A19" s="87" t="s">
        <v>582</v>
      </c>
      <c r="B19" s="90">
        <f>B11*100/B16</f>
        <v>119.35483870967744</v>
      </c>
      <c r="C19" s="90" t="s">
        <v>589</v>
      </c>
    </row>
    <row r="20" spans="1:7">
      <c r="A20" s="87" t="s">
        <v>583</v>
      </c>
      <c r="B20" s="90">
        <f>B12*100/B16</f>
        <v>208.87096774193552</v>
      </c>
      <c r="C20" s="90" t="s">
        <v>589</v>
      </c>
    </row>
    <row r="21" spans="1:7">
      <c r="A21" s="87"/>
      <c r="B21" s="90"/>
      <c r="C21" s="90"/>
    </row>
    <row r="22" spans="1:7">
      <c r="A22" s="86" t="s">
        <v>607</v>
      </c>
      <c r="B22" s="90"/>
      <c r="C22" s="90"/>
    </row>
    <row r="23" spans="1:7">
      <c r="A23" s="87" t="s">
        <v>591</v>
      </c>
      <c r="B23" s="358">
        <f>'Budweiser brewcard'!J9+'Budweiser brewcard'!C14</f>
        <v>69.624072914420807</v>
      </c>
      <c r="C23" s="90" t="s">
        <v>592</v>
      </c>
    </row>
    <row r="24" spans="1:7">
      <c r="A24" s="87" t="s">
        <v>608</v>
      </c>
      <c r="B24" s="90">
        <f>B23*B19*100/10^6</f>
        <v>0.83099699930115156</v>
      </c>
      <c r="C24" s="90" t="s">
        <v>594</v>
      </c>
    </row>
    <row r="25" spans="1:7" ht="13">
      <c r="A25" s="87" t="s">
        <v>609</v>
      </c>
      <c r="B25" s="90">
        <f>B23*B20*100/10^6</f>
        <v>1.4542447487770154</v>
      </c>
      <c r="C25" s="90" t="s">
        <v>594</v>
      </c>
      <c r="D25" s="86" t="s">
        <v>596</v>
      </c>
      <c r="E25" s="110">
        <v>1.4</v>
      </c>
      <c r="G25" s="90"/>
    </row>
    <row r="26" spans="1:7">
      <c r="A26" s="87"/>
      <c r="B26" s="90"/>
      <c r="C26" s="90"/>
    </row>
    <row r="27" spans="1:7">
      <c r="A27" s="86" t="s">
        <v>610</v>
      </c>
      <c r="B27" s="90"/>
      <c r="C27" s="90"/>
    </row>
    <row r="28" spans="1:7">
      <c r="A28" s="87" t="s">
        <v>598</v>
      </c>
      <c r="B28" s="358">
        <f>'Budweiser brewcard'!J8</f>
        <v>109.88818901133051</v>
      </c>
      <c r="C28" s="90" t="s">
        <v>592</v>
      </c>
    </row>
    <row r="29" spans="1:7">
      <c r="A29" s="87" t="s">
        <v>608</v>
      </c>
      <c r="B29" s="90">
        <f>B28*B19*100/10^6</f>
        <v>1.3115687075545901</v>
      </c>
      <c r="C29" s="90" t="s">
        <v>594</v>
      </c>
    </row>
    <row r="30" spans="1:7" ht="13">
      <c r="A30" s="87" t="s">
        <v>609</v>
      </c>
      <c r="B30" s="90">
        <f>B28*B20*100/10^6</f>
        <v>2.2952452382205331</v>
      </c>
      <c r="C30" s="90" t="s">
        <v>594</v>
      </c>
      <c r="D30" s="86" t="s">
        <v>596</v>
      </c>
      <c r="E30" s="110">
        <v>2.2000000000000002</v>
      </c>
      <c r="G30" s="90"/>
    </row>
    <row r="31" spans="1:7">
      <c r="A31" s="88"/>
    </row>
    <row r="32" spans="1:7">
      <c r="A32" s="86" t="s">
        <v>611</v>
      </c>
      <c r="B32" s="90"/>
      <c r="C32" s="90"/>
    </row>
    <row r="33" spans="1:7">
      <c r="A33" s="87" t="s">
        <v>600</v>
      </c>
      <c r="B33" s="358">
        <f>'Budweiser brewcard'!J56+'Budweiser brewcard'!C51</f>
        <v>89.487738074248682</v>
      </c>
      <c r="C33" s="90" t="s">
        <v>592</v>
      </c>
    </row>
    <row r="34" spans="1:7">
      <c r="A34" s="87" t="s">
        <v>608</v>
      </c>
      <c r="B34" s="90">
        <f>B33*B19*100/10^6</f>
        <v>1.0680794544345811</v>
      </c>
      <c r="C34" s="90" t="s">
        <v>594</v>
      </c>
    </row>
    <row r="35" spans="1:7" ht="13">
      <c r="A35" s="87" t="s">
        <v>609</v>
      </c>
      <c r="B35" s="90">
        <f>B33*B20*100/10^6</f>
        <v>1.869139045260517</v>
      </c>
      <c r="C35" s="90" t="s">
        <v>594</v>
      </c>
      <c r="D35" s="86" t="s">
        <v>596</v>
      </c>
      <c r="E35" s="110">
        <v>2.5</v>
      </c>
      <c r="G35" s="90"/>
    </row>
    <row r="37" spans="1:7">
      <c r="D37" s="86" t="s">
        <v>601</v>
      </c>
      <c r="E37" s="86">
        <f>E25+E30+E35</f>
        <v>6.1</v>
      </c>
      <c r="G37" s="86">
        <f>E37/305</f>
        <v>0.02</v>
      </c>
    </row>
  </sheetData>
  <phoneticPr fontId="39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K39"/>
  <sheetViews>
    <sheetView topLeftCell="A16" workbookViewId="0">
      <selection activeCell="I19" sqref="I19"/>
    </sheetView>
  </sheetViews>
  <sheetFormatPr defaultColWidth="9.1796875" defaultRowHeight="12.5"/>
  <cols>
    <col min="1" max="1" width="37.54296875" style="86" customWidth="1"/>
    <col min="2" max="2" width="16.453125" style="86" customWidth="1"/>
    <col min="3" max="3" width="16" style="86" customWidth="1"/>
    <col min="4" max="4" width="11.81640625" style="86" customWidth="1"/>
    <col min="5" max="5" width="9.1796875" style="86"/>
    <col min="6" max="6" width="16.81640625" style="86" customWidth="1"/>
    <col min="7" max="7" width="1.453125" style="86" customWidth="1"/>
    <col min="8" max="8" width="37.54296875" style="86" customWidth="1"/>
    <col min="9" max="9" width="16.453125" style="86" customWidth="1"/>
    <col min="10" max="10" width="14.453125" style="86" customWidth="1"/>
    <col min="11" max="11" width="6.54296875" style="86" customWidth="1"/>
    <col min="12" max="16384" width="9.1796875" style="86"/>
  </cols>
  <sheetData>
    <row r="1" spans="1:10" ht="15.5">
      <c r="A1" s="398" t="s">
        <v>571</v>
      </c>
      <c r="B1" s="399"/>
      <c r="C1" s="399"/>
      <c r="D1" s="399"/>
      <c r="E1" s="400"/>
    </row>
    <row r="2" spans="1:10">
      <c r="A2" s="401"/>
      <c r="E2" s="402"/>
    </row>
    <row r="3" spans="1:10" ht="13">
      <c r="A3" s="403" t="s">
        <v>612</v>
      </c>
      <c r="E3" s="402"/>
    </row>
    <row r="4" spans="1:10" ht="13">
      <c r="A4" s="86" t="s">
        <v>573</v>
      </c>
      <c r="B4" s="94"/>
      <c r="E4" s="402"/>
    </row>
    <row r="5" spans="1:10" ht="13">
      <c r="A5" s="87" t="s">
        <v>574</v>
      </c>
      <c r="B5" s="92">
        <v>50</v>
      </c>
      <c r="E5" s="402"/>
    </row>
    <row r="6" spans="1:10" ht="13.5" thickBot="1">
      <c r="A6" s="87" t="s">
        <v>575</v>
      </c>
      <c r="B6" s="92">
        <v>80</v>
      </c>
      <c r="E6" s="402"/>
    </row>
    <row r="7" spans="1:10" ht="15.5">
      <c r="A7" s="86" t="s">
        <v>576</v>
      </c>
      <c r="B7" s="89">
        <v>25</v>
      </c>
      <c r="C7" s="87" t="s">
        <v>577</v>
      </c>
      <c r="D7" s="95">
        <f>40+12+16*3</f>
        <v>100</v>
      </c>
      <c r="E7" s="402"/>
      <c r="H7" s="398" t="s">
        <v>613</v>
      </c>
      <c r="I7" s="399"/>
      <c r="J7" s="400"/>
    </row>
    <row r="8" spans="1:10">
      <c r="A8" s="88" t="s">
        <v>578</v>
      </c>
      <c r="E8" s="402"/>
      <c r="H8" s="401"/>
      <c r="J8" s="402"/>
    </row>
    <row r="9" spans="1:10">
      <c r="B9" s="87" t="s">
        <v>579</v>
      </c>
      <c r="C9" s="89">
        <f>B7/D7*40</f>
        <v>10</v>
      </c>
      <c r="D9" s="86" t="s">
        <v>580</v>
      </c>
      <c r="E9" s="402"/>
      <c r="H9" s="401"/>
      <c r="J9" s="402"/>
    </row>
    <row r="10" spans="1:10">
      <c r="A10" s="86" t="s">
        <v>581</v>
      </c>
      <c r="C10" s="89"/>
      <c r="E10" s="402"/>
      <c r="H10" s="401" t="s">
        <v>614</v>
      </c>
      <c r="J10" s="402"/>
    </row>
    <row r="11" spans="1:10">
      <c r="A11" s="87" t="s">
        <v>582</v>
      </c>
      <c r="B11" s="86">
        <f>B5-C9</f>
        <v>40</v>
      </c>
      <c r="C11" s="89" t="s">
        <v>580</v>
      </c>
      <c r="E11" s="402"/>
      <c r="G11" s="402"/>
      <c r="J11" s="402"/>
    </row>
    <row r="12" spans="1:10">
      <c r="A12" s="87" t="s">
        <v>583</v>
      </c>
      <c r="B12" s="86">
        <f>B6-C9</f>
        <v>70</v>
      </c>
      <c r="C12" s="89" t="s">
        <v>580</v>
      </c>
      <c r="E12" s="402"/>
      <c r="G12" s="402"/>
      <c r="H12" s="420" t="s">
        <v>615</v>
      </c>
      <c r="I12" s="421">
        <v>49.8</v>
      </c>
      <c r="J12" s="402"/>
    </row>
    <row r="13" spans="1:10">
      <c r="A13" s="401"/>
      <c r="E13" s="402"/>
      <c r="G13" s="402"/>
      <c r="H13" s="420" t="s">
        <v>616</v>
      </c>
      <c r="I13" s="421">
        <v>49.7</v>
      </c>
      <c r="J13" s="402"/>
    </row>
    <row r="14" spans="1:10" ht="13">
      <c r="A14" s="403" t="s">
        <v>584</v>
      </c>
      <c r="E14" s="402"/>
      <c r="G14" s="402"/>
      <c r="H14" s="420" t="s">
        <v>617</v>
      </c>
      <c r="I14" s="421">
        <f>I13/I12</f>
        <v>0.99799196787148603</v>
      </c>
      <c r="J14" s="402"/>
    </row>
    <row r="15" spans="1:10" ht="13">
      <c r="A15" s="401" t="s">
        <v>585</v>
      </c>
      <c r="B15" s="97">
        <v>0.998</v>
      </c>
      <c r="C15" s="89" t="s">
        <v>586</v>
      </c>
      <c r="D15" s="95">
        <f>40+32+16*4+2*18</f>
        <v>172</v>
      </c>
      <c r="E15" s="402"/>
      <c r="G15" s="402"/>
      <c r="J15" s="402"/>
    </row>
    <row r="16" spans="1:10" ht="13">
      <c r="A16" s="86" t="s">
        <v>587</v>
      </c>
      <c r="B16" s="98">
        <f>40/D15*B15*100</f>
        <v>23.209302325581397</v>
      </c>
      <c r="C16" s="89" t="s">
        <v>618</v>
      </c>
      <c r="D16" s="405">
        <f>(32+16*4)/D15*B15*100</f>
        <v>55.70232558139535</v>
      </c>
      <c r="E16" s="402"/>
      <c r="H16" s="422" t="s">
        <v>260</v>
      </c>
      <c r="I16" s="423" t="e">
        <f>E25/D15*(40)*10^6/(B23*100)</f>
        <v>#REF!</v>
      </c>
      <c r="J16" s="402"/>
    </row>
    <row r="17" spans="1:11">
      <c r="E17" s="402"/>
      <c r="H17" s="422" t="s">
        <v>271</v>
      </c>
      <c r="I17" s="423" t="e">
        <f>E31/D15*(40)*10^6/(B29*100)</f>
        <v>#REF!</v>
      </c>
      <c r="J17" s="402"/>
    </row>
    <row r="18" spans="1:11">
      <c r="A18" s="401" t="s">
        <v>588</v>
      </c>
      <c r="E18" s="402"/>
      <c r="H18" s="422" t="s">
        <v>619</v>
      </c>
      <c r="I18" s="423" t="e">
        <f>E37/D15*(40)*10^6/(B35*100)</f>
        <v>#REF!</v>
      </c>
      <c r="J18" s="402"/>
    </row>
    <row r="19" spans="1:11" ht="13" thickBot="1">
      <c r="A19" s="87" t="s">
        <v>582</v>
      </c>
      <c r="B19" s="90">
        <f>B11*100/B16</f>
        <v>172.34468937875749</v>
      </c>
      <c r="C19" s="90" t="s">
        <v>589</v>
      </c>
      <c r="E19" s="402"/>
      <c r="H19" s="424" t="s">
        <v>620</v>
      </c>
      <c r="I19" s="425" t="e">
        <f>(I16*B23+I17*B29+I18*B35)/(B23+B29+B35)*I14</f>
        <v>#REF!</v>
      </c>
      <c r="J19" s="414"/>
    </row>
    <row r="20" spans="1:11" ht="13" thickBot="1">
      <c r="A20" s="87" t="s">
        <v>583</v>
      </c>
      <c r="B20" s="90">
        <f>B12*100/B16</f>
        <v>301.60320641282561</v>
      </c>
      <c r="C20" s="90" t="s">
        <v>589</v>
      </c>
      <c r="E20" s="402"/>
    </row>
    <row r="21" spans="1:11" ht="15.5">
      <c r="A21" s="404"/>
      <c r="B21" s="90"/>
      <c r="C21" s="90"/>
      <c r="E21" s="402"/>
      <c r="H21" s="398" t="s">
        <v>621</v>
      </c>
      <c r="I21" s="399"/>
      <c r="J21" s="399"/>
      <c r="K21" s="400"/>
    </row>
    <row r="22" spans="1:11">
      <c r="A22" s="401" t="s">
        <v>622</v>
      </c>
      <c r="B22" s="90"/>
      <c r="C22" s="90"/>
      <c r="E22" s="402"/>
      <c r="H22" s="401"/>
      <c r="K22" s="402"/>
    </row>
    <row r="23" spans="1:11" ht="13">
      <c r="A23" s="404" t="s">
        <v>623</v>
      </c>
      <c r="B23" s="358" t="e">
        <f>#REF!+#REF!</f>
        <v>#REF!</v>
      </c>
      <c r="C23" s="90" t="s">
        <v>592</v>
      </c>
      <c r="E23" s="402"/>
      <c r="H23" s="403" t="s">
        <v>572</v>
      </c>
      <c r="K23" s="402"/>
    </row>
    <row r="24" spans="1:11" ht="16">
      <c r="A24" s="404" t="s">
        <v>593</v>
      </c>
      <c r="B24" s="90" t="e">
        <f>B23*B19*100/10^6</f>
        <v>#REF!</v>
      </c>
      <c r="C24" s="90" t="s">
        <v>594</v>
      </c>
      <c r="E24" s="402"/>
      <c r="F24" s="416"/>
      <c r="G24" s="402"/>
      <c r="H24" s="86" t="s">
        <v>624</v>
      </c>
      <c r="I24" s="94"/>
      <c r="K24" s="402"/>
    </row>
    <row r="25" spans="1:11" ht="13">
      <c r="A25" s="404" t="s">
        <v>595</v>
      </c>
      <c r="B25" s="90" t="e">
        <f>B23*B20*100/10^6</f>
        <v>#REF!</v>
      </c>
      <c r="C25" s="90" t="s">
        <v>594</v>
      </c>
      <c r="D25" s="86" t="s">
        <v>596</v>
      </c>
      <c r="E25" s="406">
        <v>1.8</v>
      </c>
      <c r="F25" s="417"/>
      <c r="G25" s="402"/>
      <c r="H25" s="87" t="s">
        <v>574</v>
      </c>
      <c r="I25" s="92">
        <v>50</v>
      </c>
      <c r="K25" s="402"/>
    </row>
    <row r="26" spans="1:11" ht="13">
      <c r="A26" s="404"/>
      <c r="B26" s="90"/>
      <c r="C26" s="90"/>
      <c r="E26" s="406"/>
      <c r="F26" s="417"/>
      <c r="G26" s="402"/>
      <c r="H26" s="87" t="s">
        <v>575</v>
      </c>
      <c r="I26" s="92">
        <v>75</v>
      </c>
      <c r="K26" s="402"/>
    </row>
    <row r="27" spans="1:11" ht="13">
      <c r="A27" s="404"/>
      <c r="B27" s="90"/>
      <c r="C27" s="90"/>
      <c r="E27" s="406"/>
      <c r="F27" s="417"/>
      <c r="G27" s="402"/>
      <c r="H27" s="86" t="s">
        <v>576</v>
      </c>
      <c r="I27" s="89">
        <v>25</v>
      </c>
      <c r="J27" s="87" t="s">
        <v>577</v>
      </c>
      <c r="K27" s="411">
        <f>40+12+16*3</f>
        <v>100</v>
      </c>
    </row>
    <row r="28" spans="1:11" ht="16">
      <c r="A28" s="401" t="s">
        <v>625</v>
      </c>
      <c r="B28" s="90"/>
      <c r="C28" s="90"/>
      <c r="E28" s="402"/>
      <c r="F28" s="417"/>
      <c r="G28" s="402"/>
      <c r="H28" s="88" t="s">
        <v>626</v>
      </c>
      <c r="K28" s="402"/>
    </row>
    <row r="29" spans="1:11" ht="16">
      <c r="A29" s="404" t="s">
        <v>627</v>
      </c>
      <c r="B29" s="358" t="e">
        <f>#REF!</f>
        <v>#REF!</v>
      </c>
      <c r="C29" s="90" t="s">
        <v>592</v>
      </c>
      <c r="E29" s="402"/>
      <c r="F29" s="417"/>
      <c r="G29" s="402"/>
      <c r="I29" s="415" t="s">
        <v>628</v>
      </c>
      <c r="J29" s="89">
        <v>1</v>
      </c>
      <c r="K29" s="402" t="s">
        <v>580</v>
      </c>
    </row>
    <row r="30" spans="1:11" ht="16">
      <c r="A30" s="404" t="s">
        <v>593</v>
      </c>
      <c r="B30" s="90" t="e">
        <f>B29*B19*100/10^6</f>
        <v>#REF!</v>
      </c>
      <c r="C30" s="90" t="s">
        <v>594</v>
      </c>
      <c r="E30" s="402"/>
      <c r="F30" s="417"/>
      <c r="G30" s="402"/>
      <c r="H30" s="86" t="s">
        <v>629</v>
      </c>
      <c r="J30" s="89"/>
      <c r="K30" s="402"/>
    </row>
    <row r="31" spans="1:11" ht="13">
      <c r="A31" s="404" t="s">
        <v>595</v>
      </c>
      <c r="B31" s="90" t="e">
        <f>B29*B20*100/10^6</f>
        <v>#REF!</v>
      </c>
      <c r="C31" s="90" t="s">
        <v>594</v>
      </c>
      <c r="D31" s="86" t="s">
        <v>596</v>
      </c>
      <c r="E31" s="406">
        <v>3</v>
      </c>
      <c r="F31" s="417"/>
      <c r="G31" s="402"/>
      <c r="H31" s="87" t="s">
        <v>582</v>
      </c>
      <c r="I31" s="86">
        <f>I25-J29</f>
        <v>49</v>
      </c>
      <c r="J31" s="89" t="s">
        <v>580</v>
      </c>
      <c r="K31" s="402"/>
    </row>
    <row r="32" spans="1:11">
      <c r="A32" s="404"/>
      <c r="B32" s="90"/>
      <c r="C32" s="90"/>
      <c r="E32" s="402"/>
      <c r="F32" s="417"/>
      <c r="G32" s="402"/>
      <c r="H32" s="87" t="s">
        <v>583</v>
      </c>
      <c r="I32" s="86">
        <f>I26-J29</f>
        <v>74</v>
      </c>
      <c r="J32" s="89" t="s">
        <v>580</v>
      </c>
      <c r="K32" s="402"/>
    </row>
    <row r="33" spans="1:11">
      <c r="A33" s="407"/>
      <c r="E33" s="402"/>
      <c r="F33" s="417"/>
      <c r="G33" s="402"/>
      <c r="H33" s="87"/>
      <c r="J33" s="89"/>
      <c r="K33" s="402"/>
    </row>
    <row r="34" spans="1:11">
      <c r="A34" s="401" t="s">
        <v>599</v>
      </c>
      <c r="B34" s="90"/>
      <c r="C34" s="90"/>
      <c r="E34" s="402"/>
      <c r="F34" s="417"/>
      <c r="G34" s="402"/>
      <c r="K34" s="402"/>
    </row>
    <row r="35" spans="1:11">
      <c r="A35" s="404" t="s">
        <v>600</v>
      </c>
      <c r="B35" s="358" t="e">
        <f>#REF!-(#REF!+#REF!+#REF!)</f>
        <v>#REF!</v>
      </c>
      <c r="C35" s="90" t="s">
        <v>592</v>
      </c>
      <c r="E35" s="402"/>
      <c r="F35" s="417"/>
      <c r="G35" s="402"/>
      <c r="K35" s="402"/>
    </row>
    <row r="36" spans="1:11" ht="16">
      <c r="A36" s="404" t="s">
        <v>593</v>
      </c>
      <c r="B36" s="90" t="e">
        <f>B35*B19*100/10^6</f>
        <v>#REF!</v>
      </c>
      <c r="C36" s="90" t="s">
        <v>594</v>
      </c>
      <c r="E36" s="402"/>
      <c r="F36" s="417"/>
      <c r="G36" s="402"/>
      <c r="H36" s="86" t="s">
        <v>630</v>
      </c>
      <c r="K36" s="402"/>
    </row>
    <row r="37" spans="1:11" ht="13">
      <c r="A37" s="404" t="s">
        <v>595</v>
      </c>
      <c r="B37" s="90" t="e">
        <f>B35*B20*100/10^6</f>
        <v>#REF!</v>
      </c>
      <c r="C37" s="90" t="s">
        <v>594</v>
      </c>
      <c r="D37" s="86" t="s">
        <v>596</v>
      </c>
      <c r="E37" s="406">
        <v>3.5</v>
      </c>
      <c r="F37" s="417"/>
      <c r="H37" s="404" t="s">
        <v>631</v>
      </c>
      <c r="I37" s="90" t="e">
        <f>E25/D15*(32+16*4)*10^6/(B23*100)</f>
        <v>#REF!</v>
      </c>
      <c r="K37" s="402"/>
    </row>
    <row r="38" spans="1:11">
      <c r="A38" s="401"/>
      <c r="E38" s="402"/>
      <c r="F38" s="418"/>
      <c r="H38" s="404" t="s">
        <v>632</v>
      </c>
      <c r="I38" s="90" t="e">
        <f>E31/D15*(32+16*4)*10^6/(B29*100)</f>
        <v>#REF!</v>
      </c>
      <c r="K38" s="402"/>
    </row>
    <row r="39" spans="1:11" ht="13.5" thickBot="1">
      <c r="A39" s="408"/>
      <c r="B39" s="409"/>
      <c r="C39" s="409"/>
      <c r="D39" s="409" t="s">
        <v>601</v>
      </c>
      <c r="E39" s="410">
        <f>E25+E31+E37</f>
        <v>8.3000000000000007</v>
      </c>
      <c r="F39" s="418"/>
      <c r="G39" s="419"/>
      <c r="H39" s="412" t="s">
        <v>633</v>
      </c>
      <c r="I39" s="413" t="e">
        <f>E37/D15*(32+16*4)*10^6/(B35*100)</f>
        <v>#REF!</v>
      </c>
      <c r="J39" s="409"/>
      <c r="K39" s="41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19"/>
  <sheetViews>
    <sheetView workbookViewId="0">
      <selection activeCell="I5" sqref="I5"/>
    </sheetView>
  </sheetViews>
  <sheetFormatPr defaultRowHeight="14.5"/>
  <cols>
    <col min="1" max="1" width="25" customWidth="1"/>
    <col min="2" max="2" width="13.1796875" customWidth="1"/>
    <col min="7" max="7" width="12" bestFit="1" customWidth="1"/>
    <col min="8" max="8" width="13.1796875" customWidth="1"/>
    <col min="11" max="11" width="9.1796875" customWidth="1"/>
    <col min="13" max="13" width="13.54296875" customWidth="1"/>
    <col min="14" max="14" width="18.453125" customWidth="1"/>
  </cols>
  <sheetData>
    <row r="1" spans="1:14" ht="29.5" thickTop="1">
      <c r="A1" s="1037" t="s">
        <v>634</v>
      </c>
      <c r="B1" s="99" t="s">
        <v>635</v>
      </c>
      <c r="C1" s="1038" t="s">
        <v>636</v>
      </c>
      <c r="D1" s="1038"/>
      <c r="E1" s="1039"/>
      <c r="G1" s="119" t="s">
        <v>637</v>
      </c>
      <c r="H1" s="490" t="s">
        <v>638</v>
      </c>
      <c r="I1" s="1027" t="s">
        <v>639</v>
      </c>
      <c r="J1" s="1028"/>
      <c r="K1" s="305" t="s">
        <v>640</v>
      </c>
      <c r="L1" s="339" t="s">
        <v>641</v>
      </c>
      <c r="M1" s="339" t="s">
        <v>642</v>
      </c>
      <c r="N1" t="s">
        <v>643</v>
      </c>
    </row>
    <row r="2" spans="1:14" ht="16.5">
      <c r="A2" s="1037"/>
      <c r="B2" s="100" t="s">
        <v>644</v>
      </c>
      <c r="C2" s="101">
        <v>65.39</v>
      </c>
      <c r="D2" s="101">
        <v>1</v>
      </c>
      <c r="E2" s="102">
        <f>+D2*C2</f>
        <v>65.39</v>
      </c>
      <c r="G2" s="439"/>
      <c r="H2" s="438" t="s">
        <v>645</v>
      </c>
      <c r="I2" s="437">
        <v>95</v>
      </c>
      <c r="J2" s="437" t="s">
        <v>646</v>
      </c>
      <c r="K2">
        <f>226+7</f>
        <v>233</v>
      </c>
      <c r="L2">
        <f>$J$6*I2</f>
        <v>21.600368580270526</v>
      </c>
      <c r="M2" s="443">
        <f>L2/K2*10</f>
        <v>0.9270544455051728</v>
      </c>
      <c r="N2" s="444">
        <v>0.78884103383411808</v>
      </c>
    </row>
    <row r="3" spans="1:14" ht="16.5">
      <c r="A3" s="1037"/>
      <c r="B3" s="100" t="s">
        <v>647</v>
      </c>
      <c r="C3" s="101">
        <v>32.06</v>
      </c>
      <c r="D3" s="101">
        <v>1</v>
      </c>
      <c r="E3" s="102">
        <f>+D3*C3</f>
        <v>32.06</v>
      </c>
      <c r="G3" s="440"/>
      <c r="H3" s="438" t="s">
        <v>648</v>
      </c>
      <c r="I3" s="437">
        <v>100</v>
      </c>
      <c r="J3" s="437" t="s">
        <v>646</v>
      </c>
      <c r="K3">
        <f>226+7</f>
        <v>233</v>
      </c>
      <c r="L3">
        <f>$J$6*I3</f>
        <v>22.737230084495291</v>
      </c>
      <c r="M3" s="443">
        <f>L3/K3*10</f>
        <v>0.97584678474228714</v>
      </c>
      <c r="N3" s="444">
        <v>0.84143043608972601</v>
      </c>
    </row>
    <row r="4" spans="1:14" ht="16.5">
      <c r="A4" s="1037"/>
      <c r="B4" s="100" t="s">
        <v>649</v>
      </c>
      <c r="C4" s="101">
        <f>64/4</f>
        <v>16</v>
      </c>
      <c r="D4" s="101">
        <v>5</v>
      </c>
      <c r="E4" s="102">
        <f>+D4*C4</f>
        <v>80</v>
      </c>
      <c r="G4" s="439"/>
      <c r="H4" s="438" t="s">
        <v>650</v>
      </c>
      <c r="I4" s="437">
        <v>131.69999999999999</v>
      </c>
      <c r="J4" s="437" t="s">
        <v>646</v>
      </c>
      <c r="K4">
        <f>226+7</f>
        <v>233</v>
      </c>
      <c r="L4">
        <f>$J$6*I4</f>
        <v>29.944932021280295</v>
      </c>
      <c r="M4" s="443">
        <f>L4/K4*10</f>
        <v>1.2851902155055919</v>
      </c>
      <c r="N4" s="444">
        <v>1.0517880451121577</v>
      </c>
    </row>
    <row r="5" spans="1:14" ht="16.5">
      <c r="A5" s="1037"/>
      <c r="B5" s="100" t="s">
        <v>651</v>
      </c>
      <c r="C5" s="101">
        <v>1.01</v>
      </c>
      <c r="D5" s="101">
        <v>2</v>
      </c>
      <c r="E5" s="102">
        <f>+D5*C5</f>
        <v>2.02</v>
      </c>
    </row>
    <row r="6" spans="1:14" ht="16.5">
      <c r="A6" s="1037"/>
      <c r="B6" s="100"/>
      <c r="C6" s="101"/>
      <c r="D6" s="101"/>
      <c r="E6" s="102">
        <f>SUM(E2:E5)</f>
        <v>179.47</v>
      </c>
      <c r="H6" s="514" t="s">
        <v>652</v>
      </c>
      <c r="J6" s="443">
        <f>H7/(H7+H8+H9*4+H11*(H10*2+H9))</f>
        <v>0.22737230084495291</v>
      </c>
    </row>
    <row r="7" spans="1:14" ht="16.5">
      <c r="A7" s="1037"/>
      <c r="B7" s="1040" t="s">
        <v>653</v>
      </c>
      <c r="C7" s="1041"/>
      <c r="D7" s="1042"/>
      <c r="E7" s="103">
        <f>+E2/E6</f>
        <v>0.36435058784197916</v>
      </c>
      <c r="G7" s="441" t="s">
        <v>644</v>
      </c>
      <c r="H7">
        <v>65.39</v>
      </c>
    </row>
    <row r="8" spans="1:14" ht="17" thickBot="1">
      <c r="A8" s="1037"/>
      <c r="B8" s="1043" t="s">
        <v>654</v>
      </c>
      <c r="C8" s="1044"/>
      <c r="D8" s="1045"/>
      <c r="E8" s="104">
        <f>+E7</f>
        <v>0.36435058784197916</v>
      </c>
      <c r="G8" s="441" t="s">
        <v>647</v>
      </c>
      <c r="H8">
        <v>32.06</v>
      </c>
    </row>
    <row r="9" spans="1:14" ht="15.5" thickTop="1" thickBot="1">
      <c r="G9" s="441" t="s">
        <v>649</v>
      </c>
      <c r="H9">
        <v>16</v>
      </c>
    </row>
    <row r="10" spans="1:14" ht="17.5" thickTop="1">
      <c r="A10" s="497" t="s">
        <v>655</v>
      </c>
      <c r="B10" s="105">
        <v>225</v>
      </c>
      <c r="C10" s="1046" t="s">
        <v>656</v>
      </c>
      <c r="D10" s="1046"/>
      <c r="E10" s="1047"/>
      <c r="G10" s="441" t="s">
        <v>651</v>
      </c>
      <c r="H10">
        <v>1.01</v>
      </c>
    </row>
    <row r="11" spans="1:14" ht="17">
      <c r="A11" s="106" t="s">
        <v>657</v>
      </c>
      <c r="B11" s="355">
        <v>1000</v>
      </c>
      <c r="C11" s="1048" t="s">
        <v>658</v>
      </c>
      <c r="D11" s="1048"/>
      <c r="E11" s="1049"/>
      <c r="G11" s="441" t="s">
        <v>659</v>
      </c>
      <c r="H11">
        <v>7</v>
      </c>
    </row>
    <row r="12" spans="1:14" ht="17.5" thickBot="1">
      <c r="A12" s="498" t="s">
        <v>660</v>
      </c>
      <c r="B12" s="109">
        <f>(B11/1000*B10)/10/E7</f>
        <v>61.753708518122039</v>
      </c>
      <c r="C12" s="1029" t="s">
        <v>661</v>
      </c>
      <c r="D12" s="1029"/>
      <c r="E12" s="1030"/>
      <c r="K12" s="442"/>
    </row>
    <row r="13" spans="1:14" ht="36" customHeight="1" thickTop="1" thickBot="1">
      <c r="A13" s="354" t="s">
        <v>662</v>
      </c>
      <c r="B13" s="356">
        <f>B12/21.99*100</f>
        <v>280.8263234111962</v>
      </c>
      <c r="C13" s="1050" t="s">
        <v>663</v>
      </c>
      <c r="D13" s="1051"/>
      <c r="E13" s="1052"/>
    </row>
    <row r="14" spans="1:14" ht="17.5" thickTop="1">
      <c r="A14" s="1031" t="s">
        <v>664</v>
      </c>
      <c r="B14" s="107">
        <f>B12/B10</f>
        <v>0.27446092674720907</v>
      </c>
      <c r="C14" s="1033" t="s">
        <v>665</v>
      </c>
      <c r="D14" s="1033"/>
      <c r="E14" s="1034"/>
    </row>
    <row r="15" spans="1:14" ht="17.5" thickBot="1">
      <c r="A15" s="1032"/>
      <c r="B15" s="108">
        <f>(+B12*E7)/B10</f>
        <v>0.1</v>
      </c>
      <c r="C15" s="1035" t="s">
        <v>666</v>
      </c>
      <c r="D15" s="1035"/>
      <c r="E15" s="1036"/>
      <c r="J15" t="s">
        <v>667</v>
      </c>
      <c r="K15" t="s">
        <v>668</v>
      </c>
    </row>
    <row r="16" spans="1:14" ht="15" thickTop="1">
      <c r="I16" t="s">
        <v>669</v>
      </c>
      <c r="J16">
        <v>270</v>
      </c>
      <c r="K16">
        <v>40</v>
      </c>
    </row>
    <row r="17" spans="9:11">
      <c r="I17" t="s">
        <v>670</v>
      </c>
      <c r="J17">
        <v>800</v>
      </c>
      <c r="K17">
        <v>300</v>
      </c>
    </row>
    <row r="18" spans="9:11">
      <c r="I18" t="s">
        <v>671</v>
      </c>
      <c r="J18">
        <v>225</v>
      </c>
      <c r="K18">
        <v>92</v>
      </c>
    </row>
    <row r="19" spans="9:11">
      <c r="K19">
        <f>J18/J17*K17</f>
        <v>84.375</v>
      </c>
    </row>
  </sheetData>
  <mergeCells count="12">
    <mergeCell ref="I1:J1"/>
    <mergeCell ref="C12:E12"/>
    <mergeCell ref="A14:A15"/>
    <mergeCell ref="C14:E14"/>
    <mergeCell ref="C15:E15"/>
    <mergeCell ref="A1:A8"/>
    <mergeCell ref="C1:E1"/>
    <mergeCell ref="B7:D7"/>
    <mergeCell ref="B8:D8"/>
    <mergeCell ref="C10:E10"/>
    <mergeCell ref="C11:E11"/>
    <mergeCell ref="C13:E13"/>
  </mergeCells>
  <phoneticPr fontId="39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/>
  <dimension ref="A1:R38"/>
  <sheetViews>
    <sheetView zoomScaleNormal="100" workbookViewId="0">
      <selection activeCell="F17" sqref="F17:F19"/>
    </sheetView>
  </sheetViews>
  <sheetFormatPr defaultColWidth="9" defaultRowHeight="13"/>
  <cols>
    <col min="1" max="1" width="23.1796875" style="111" customWidth="1"/>
    <col min="2" max="3" width="9" style="111"/>
    <col min="4" max="4" width="16.54296875" style="111" customWidth="1"/>
    <col min="5" max="5" width="12.453125" style="111" customWidth="1"/>
    <col min="6" max="6" width="15.54296875" style="111" customWidth="1"/>
    <col min="7" max="7" width="7.81640625" style="111" customWidth="1"/>
    <col min="8" max="8" width="16" style="111" hidden="1" customWidth="1"/>
    <col min="9" max="9" width="11.81640625" style="111" hidden="1" customWidth="1"/>
    <col min="10" max="10" width="14" style="111" hidden="1" customWidth="1"/>
    <col min="11" max="11" width="26.453125" style="111" hidden="1" customWidth="1"/>
    <col min="12" max="12" width="17.54296875" style="111" hidden="1" customWidth="1"/>
    <col min="13" max="17" width="0" style="111" hidden="1" customWidth="1"/>
    <col min="18" max="16384" width="9" style="111"/>
  </cols>
  <sheetData>
    <row r="1" spans="1:17">
      <c r="A1" s="271" t="s">
        <v>672</v>
      </c>
      <c r="C1" s="272" t="s">
        <v>542</v>
      </c>
      <c r="D1" s="273" t="s">
        <v>543</v>
      </c>
    </row>
    <row r="2" spans="1:17">
      <c r="C2" s="272" t="s">
        <v>544</v>
      </c>
      <c r="D2" s="274" t="s">
        <v>28</v>
      </c>
      <c r="H2" s="427" t="s">
        <v>673</v>
      </c>
      <c r="I2" s="427" t="s">
        <v>674</v>
      </c>
      <c r="J2" s="427" t="s">
        <v>675</v>
      </c>
      <c r="K2" s="427" t="s">
        <v>676</v>
      </c>
      <c r="L2" s="427" t="s">
        <v>677</v>
      </c>
    </row>
    <row r="3" spans="1:17" ht="14.5">
      <c r="C3" s="272" t="s">
        <v>678</v>
      </c>
      <c r="D3" s="275">
        <v>225</v>
      </c>
      <c r="H3" s="426">
        <v>43355</v>
      </c>
      <c r="I3" s="364">
        <v>7</v>
      </c>
      <c r="J3" s="432">
        <v>0.92321514691140716</v>
      </c>
      <c r="K3" s="428">
        <v>13.45</v>
      </c>
      <c r="L3" s="432">
        <f>K3/(J3)*$D$3*100/10^6</f>
        <v>0.32779466521148859</v>
      </c>
      <c r="M3" s="1053" t="s">
        <v>679</v>
      </c>
      <c r="N3" s="1054"/>
      <c r="O3" s="1054"/>
      <c r="P3" s="1054"/>
      <c r="Q3" s="1054"/>
    </row>
    <row r="4" spans="1:17" ht="14.5">
      <c r="C4" s="269" t="s">
        <v>546</v>
      </c>
      <c r="D4" s="276">
        <v>18</v>
      </c>
      <c r="H4" s="426">
        <v>43356</v>
      </c>
      <c r="I4" s="364">
        <v>8</v>
      </c>
      <c r="J4" s="432">
        <v>0.92321514691140716</v>
      </c>
      <c r="K4" s="428">
        <v>13.88</v>
      </c>
      <c r="L4" s="432">
        <f t="shared" ref="L4:L16" si="0">K4/(J4)*$D$3*100/10^6</f>
        <v>0.33827434595802697</v>
      </c>
      <c r="M4" s="428">
        <v>7.26</v>
      </c>
      <c r="N4" s="428">
        <v>14.8</v>
      </c>
      <c r="O4" s="429">
        <v>4.95</v>
      </c>
      <c r="P4" s="429">
        <v>8.69</v>
      </c>
      <c r="Q4" s="432">
        <f>N4*O4/M4</f>
        <v>10.090909090909092</v>
      </c>
    </row>
    <row r="5" spans="1:17" ht="14.5">
      <c r="C5" s="269" t="s">
        <v>547</v>
      </c>
      <c r="D5" s="270">
        <f>IF(D4=0,0,+D4*(1+(D4-0.4644)/238.4)-0.02)</f>
        <v>19.303996644295303</v>
      </c>
      <c r="H5" s="426">
        <v>43356</v>
      </c>
      <c r="I5" s="364">
        <v>2</v>
      </c>
      <c r="J5" s="432">
        <v>0.92321514691140716</v>
      </c>
      <c r="K5" s="428">
        <v>13.68</v>
      </c>
      <c r="L5" s="432">
        <f t="shared" si="0"/>
        <v>0.33340007584335796</v>
      </c>
      <c r="M5" s="428">
        <v>7.27</v>
      </c>
      <c r="N5" s="428">
        <v>14.8</v>
      </c>
      <c r="O5" s="429">
        <v>4.87</v>
      </c>
      <c r="P5" s="429">
        <v>9.09</v>
      </c>
      <c r="Q5" s="432">
        <f>N5*O5/M5</f>
        <v>9.9141678129298505</v>
      </c>
    </row>
    <row r="6" spans="1:17" ht="14.5">
      <c r="C6" s="269" t="s">
        <v>548</v>
      </c>
      <c r="D6" s="277">
        <v>11</v>
      </c>
      <c r="H6" s="426">
        <v>43362</v>
      </c>
      <c r="I6" s="364">
        <v>4</v>
      </c>
      <c r="J6" s="432">
        <v>0.92321514691140716</v>
      </c>
      <c r="K6" s="428">
        <v>13.77</v>
      </c>
      <c r="L6" s="432">
        <f t="shared" si="0"/>
        <v>0.33559349739495903</v>
      </c>
    </row>
    <row r="7" spans="1:17" ht="14.5">
      <c r="C7" s="269" t="s">
        <v>549</v>
      </c>
      <c r="D7" s="270">
        <f>IF(D6=0,0,+D6*(1+(D6-0.4644)/238.4)-0.02)</f>
        <v>11.466122483221476</v>
      </c>
      <c r="H7" s="426">
        <v>43362</v>
      </c>
      <c r="I7" s="364">
        <v>3</v>
      </c>
      <c r="J7" s="432">
        <v>0.92321514691140716</v>
      </c>
      <c r="K7" s="428">
        <v>14.79</v>
      </c>
      <c r="L7" s="432">
        <f t="shared" si="0"/>
        <v>0.36045227497977073</v>
      </c>
    </row>
    <row r="8" spans="1:17" ht="14.5">
      <c r="C8" s="269" t="s">
        <v>680</v>
      </c>
      <c r="D8" s="278">
        <f>D5/D7-1</f>
        <v>0.68356797797538693</v>
      </c>
      <c r="H8" s="426">
        <v>43363</v>
      </c>
      <c r="I8" s="364">
        <v>10</v>
      </c>
      <c r="J8" s="432">
        <v>0.92321514691140716</v>
      </c>
      <c r="K8" s="428">
        <v>13.74</v>
      </c>
      <c r="L8" s="432">
        <f t="shared" si="0"/>
        <v>0.33486235687775862</v>
      </c>
    </row>
    <row r="9" spans="1:17" ht="14.5">
      <c r="C9" s="272" t="s">
        <v>681</v>
      </c>
      <c r="D9" s="397">
        <v>0.55200000000000005</v>
      </c>
      <c r="E9" s="301"/>
      <c r="H9" s="426">
        <v>43364</v>
      </c>
      <c r="I9" s="364">
        <v>11</v>
      </c>
      <c r="J9" s="432">
        <v>0.92321514691140716</v>
      </c>
      <c r="K9" s="428">
        <v>13</v>
      </c>
      <c r="L9" s="432">
        <f t="shared" si="0"/>
        <v>0.31682755745348345</v>
      </c>
    </row>
    <row r="10" spans="1:17" ht="14.5">
      <c r="C10" s="269" t="s">
        <v>682</v>
      </c>
      <c r="D10" s="276">
        <v>9.31</v>
      </c>
      <c r="E10" s="447"/>
      <c r="H10" s="426">
        <v>43365</v>
      </c>
      <c r="I10" s="364">
        <v>6</v>
      </c>
      <c r="J10" s="432">
        <v>0.92321514691140716</v>
      </c>
      <c r="K10" s="428">
        <v>14.55</v>
      </c>
      <c r="L10" s="432">
        <f t="shared" si="0"/>
        <v>0.35460315084216804</v>
      </c>
    </row>
    <row r="11" spans="1:17" ht="14.5">
      <c r="C11" s="269" t="s">
        <v>683</v>
      </c>
      <c r="D11" s="279">
        <f>(D10)*(1+D8)</f>
        <v>15.674017874950852</v>
      </c>
      <c r="F11" s="301"/>
      <c r="G11" s="301"/>
      <c r="H11" s="426">
        <v>43369</v>
      </c>
      <c r="I11" s="364">
        <v>13</v>
      </c>
      <c r="J11" s="432">
        <v>0.92321514691140716</v>
      </c>
      <c r="K11" s="428">
        <v>14.11</v>
      </c>
      <c r="L11" s="432">
        <f t="shared" si="0"/>
        <v>0.34387975658989622</v>
      </c>
    </row>
    <row r="12" spans="1:17" ht="14.5">
      <c r="C12" s="269" t="s">
        <v>684</v>
      </c>
      <c r="D12" s="280">
        <v>0.7</v>
      </c>
      <c r="H12" s="426">
        <v>43369</v>
      </c>
      <c r="I12" s="364">
        <v>17</v>
      </c>
      <c r="J12" s="432">
        <v>0.92321514691140716</v>
      </c>
      <c r="K12" s="428">
        <v>12.48</v>
      </c>
      <c r="L12" s="432">
        <f t="shared" si="0"/>
        <v>0.30415445515534412</v>
      </c>
    </row>
    <row r="13" spans="1:17" ht="14.5">
      <c r="C13" s="269" t="s">
        <v>685</v>
      </c>
      <c r="D13" s="270">
        <f>D14/D3*10000*D12</f>
        <v>19.876471942872456</v>
      </c>
      <c r="H13" s="426">
        <v>43371</v>
      </c>
      <c r="I13" s="364">
        <v>16</v>
      </c>
      <c r="J13" s="432">
        <v>0.92321514691140716</v>
      </c>
      <c r="K13" s="428">
        <v>12.54</v>
      </c>
      <c r="L13" s="432">
        <f t="shared" si="0"/>
        <v>0.30561673618974478</v>
      </c>
    </row>
    <row r="14" spans="1:17" ht="14.5">
      <c r="C14" s="269" t="s">
        <v>686</v>
      </c>
      <c r="D14" s="281">
        <f>D11/D9*D3*100/10^6</f>
        <v>0.63888659816375748</v>
      </c>
      <c r="H14" s="426">
        <v>43377</v>
      </c>
      <c r="I14" s="364">
        <v>14</v>
      </c>
      <c r="J14" s="432">
        <v>0.92321514691140716</v>
      </c>
      <c r="K14" s="428">
        <v>14.87</v>
      </c>
      <c r="L14" s="432">
        <f t="shared" si="0"/>
        <v>0.36240198302563831</v>
      </c>
    </row>
    <row r="15" spans="1:17" ht="5.25" customHeight="1">
      <c r="H15" s="426">
        <v>43377</v>
      </c>
      <c r="I15" s="364">
        <v>18</v>
      </c>
      <c r="J15" s="432">
        <v>0.92321514691140716</v>
      </c>
      <c r="K15" s="428">
        <v>13.45</v>
      </c>
      <c r="L15" s="432">
        <f t="shared" si="0"/>
        <v>0.32779466521148859</v>
      </c>
    </row>
    <row r="16" spans="1:17" s="283" customFormat="1" ht="36" customHeight="1">
      <c r="A16" s="1058" t="s">
        <v>687</v>
      </c>
      <c r="B16" s="1059"/>
      <c r="C16" s="1059"/>
      <c r="D16" s="500" t="s">
        <v>675</v>
      </c>
      <c r="E16" s="501" t="s">
        <v>688</v>
      </c>
      <c r="F16" s="502" t="s">
        <v>689</v>
      </c>
      <c r="G16" s="503" t="s">
        <v>690</v>
      </c>
      <c r="H16" s="511">
        <v>43378</v>
      </c>
      <c r="I16" s="364">
        <v>5</v>
      </c>
      <c r="J16" s="434">
        <v>0.99308007694794609</v>
      </c>
      <c r="K16" s="428">
        <v>16</v>
      </c>
      <c r="L16" s="432">
        <f t="shared" si="0"/>
        <v>0.36250853114121029</v>
      </c>
    </row>
    <row r="17" spans="1:18" s="283" customFormat="1" ht="14.5">
      <c r="A17" s="1055" t="s">
        <v>691</v>
      </c>
      <c r="B17" s="1056"/>
      <c r="C17" s="1056"/>
      <c r="D17" s="504">
        <v>0.14299999999999999</v>
      </c>
      <c r="E17" s="505">
        <v>0.35</v>
      </c>
      <c r="F17" s="430">
        <f>$D$14/($D$17*$E$17+$D$18*$E$18+$D$19*$E$19)*E17</f>
        <v>2.3326758747894338</v>
      </c>
      <c r="G17" s="506">
        <f>F17*D17</f>
        <v>0.33357265009488901</v>
      </c>
      <c r="H17" s="511"/>
      <c r="I17" s="364"/>
      <c r="J17" s="432"/>
      <c r="K17" s="428"/>
      <c r="L17" s="432"/>
    </row>
    <row r="18" spans="1:18" ht="14.5">
      <c r="A18" s="1060" t="s">
        <v>692</v>
      </c>
      <c r="B18" s="1061"/>
      <c r="C18" s="1061"/>
      <c r="D18" s="504">
        <v>7.0999999999999994E-2</v>
      </c>
      <c r="E18" s="505">
        <v>0.31</v>
      </c>
      <c r="F18" s="431">
        <f>$D$14/($D$17*$E$17+$D$18*$E$18+$D$19*$E$19)*E18</f>
        <v>2.0660843462420702</v>
      </c>
      <c r="G18" s="506">
        <f>F18*D18</f>
        <v>0.14669198858318697</v>
      </c>
      <c r="H18" s="511">
        <v>43650</v>
      </c>
      <c r="I18" s="364">
        <v>11</v>
      </c>
      <c r="J18" s="432">
        <v>0.85894978084069118</v>
      </c>
      <c r="K18" s="432">
        <v>14.6</v>
      </c>
      <c r="L18" s="432">
        <f t="shared" ref="L18:L29" si="1">K18/(J18)*$D$3*100/10^6</f>
        <v>0.3824437788184577</v>
      </c>
      <c r="R18" s="283"/>
    </row>
    <row r="19" spans="1:18" ht="14.5">
      <c r="A19" s="1062" t="s">
        <v>693</v>
      </c>
      <c r="B19" s="1063"/>
      <c r="C19" s="1063"/>
      <c r="D19" s="507">
        <v>7.0000000000000007E-2</v>
      </c>
      <c r="E19" s="508">
        <v>0.34</v>
      </c>
      <c r="F19" s="509">
        <f>$D$14/($D$17*$E$17+$D$18*$E$18+$D$19*$E$19)*E19</f>
        <v>2.2660279926525932</v>
      </c>
      <c r="G19" s="510">
        <f>F19*D19</f>
        <v>0.15862195948568153</v>
      </c>
      <c r="H19" s="511">
        <v>43656</v>
      </c>
      <c r="I19" s="364">
        <v>12</v>
      </c>
      <c r="J19" s="432">
        <v>0.85894978084069118</v>
      </c>
      <c r="K19" s="432">
        <v>14.98</v>
      </c>
      <c r="L19" s="432">
        <f t="shared" si="1"/>
        <v>0.39239779497948601</v>
      </c>
      <c r="R19" s="283"/>
    </row>
    <row r="20" spans="1:18" ht="14.5">
      <c r="E20" s="512" t="s">
        <v>694</v>
      </c>
      <c r="F20" s="513">
        <f>SUM(F17:F19)</f>
        <v>6.6647882136840968</v>
      </c>
      <c r="G20" s="513">
        <f>SUM(G17:G19)</f>
        <v>0.63888659816375748</v>
      </c>
      <c r="H20" s="426">
        <v>43656</v>
      </c>
      <c r="I20" s="364">
        <v>16</v>
      </c>
      <c r="J20" s="432">
        <v>0.85894978084069118</v>
      </c>
      <c r="K20" s="432">
        <v>12.2</v>
      </c>
      <c r="L20" s="432">
        <f t="shared" si="1"/>
        <v>0.3195763083277523</v>
      </c>
    </row>
    <row r="21" spans="1:18" ht="14.5">
      <c r="A21" s="1057"/>
      <c r="B21" s="1057"/>
      <c r="C21" s="1057"/>
      <c r="D21" s="436"/>
      <c r="E21" s="480"/>
      <c r="F21" s="301"/>
      <c r="H21" s="426">
        <v>43781</v>
      </c>
      <c r="I21" s="111">
        <v>16</v>
      </c>
      <c r="J21" s="432">
        <v>0.92098504279029658</v>
      </c>
      <c r="K21" s="432">
        <v>15</v>
      </c>
      <c r="L21" s="432">
        <f t="shared" si="1"/>
        <v>0.36645546270488888</v>
      </c>
    </row>
    <row r="22" spans="1:18" ht="14.5">
      <c r="A22" s="1057"/>
      <c r="B22" s="1057"/>
      <c r="C22" s="1057"/>
      <c r="D22" s="436"/>
      <c r="E22" s="480"/>
      <c r="F22" s="301"/>
      <c r="H22" s="426">
        <v>43782</v>
      </c>
      <c r="I22" s="111">
        <v>9</v>
      </c>
      <c r="J22" s="432">
        <v>0.92098504279029658</v>
      </c>
      <c r="K22" s="432">
        <v>13.74</v>
      </c>
      <c r="L22" s="432">
        <f t="shared" si="1"/>
        <v>0.33567320383767818</v>
      </c>
    </row>
    <row r="23" spans="1:18" ht="14.5">
      <c r="A23" s="1057"/>
      <c r="B23" s="1057"/>
      <c r="C23" s="1057"/>
      <c r="D23" s="436"/>
      <c r="E23" s="480"/>
      <c r="F23" s="301"/>
      <c r="H23" s="426">
        <v>43783</v>
      </c>
      <c r="I23" s="111">
        <v>17</v>
      </c>
      <c r="J23" s="432">
        <v>0.92098504279029658</v>
      </c>
      <c r="K23" s="432">
        <v>15.9</v>
      </c>
      <c r="L23" s="432">
        <f t="shared" si="1"/>
        <v>0.38844279046718216</v>
      </c>
    </row>
    <row r="24" spans="1:18" ht="14.5">
      <c r="D24" s="435"/>
      <c r="E24" s="435"/>
      <c r="F24" s="301"/>
      <c r="H24" s="426">
        <v>43784</v>
      </c>
      <c r="I24" s="111">
        <v>5</v>
      </c>
      <c r="J24" s="432">
        <v>0.92098504279029658</v>
      </c>
      <c r="K24" s="432">
        <v>16.25</v>
      </c>
      <c r="L24" s="432">
        <f t="shared" si="1"/>
        <v>0.3969934179302963</v>
      </c>
    </row>
    <row r="25" spans="1:18" ht="14.5">
      <c r="H25" s="426">
        <v>43785</v>
      </c>
      <c r="I25" s="111">
        <v>2</v>
      </c>
      <c r="J25" s="432">
        <v>0.92098504279029658</v>
      </c>
      <c r="K25" s="432">
        <v>16.2</v>
      </c>
      <c r="L25" s="432">
        <f t="shared" si="1"/>
        <v>0.39577189972127991</v>
      </c>
    </row>
    <row r="26" spans="1:18" ht="14.5" hidden="1">
      <c r="D26" s="111">
        <f>E26*F26</f>
        <v>52.631999999999998</v>
      </c>
      <c r="E26" s="111">
        <v>7.2</v>
      </c>
      <c r="F26" s="111">
        <v>7.31</v>
      </c>
      <c r="H26" s="426">
        <v>43786</v>
      </c>
      <c r="I26" s="111">
        <v>15</v>
      </c>
      <c r="J26" s="432">
        <v>0.92098504279029658</v>
      </c>
      <c r="K26" s="432">
        <v>14.76</v>
      </c>
      <c r="L26" s="432">
        <f t="shared" si="1"/>
        <v>0.36059217530161058</v>
      </c>
    </row>
    <row r="27" spans="1:18" ht="14.5" hidden="1">
      <c r="D27" s="111">
        <f>E27*F27</f>
        <v>51.054000000000002</v>
      </c>
      <c r="E27" s="111">
        <v>6.7</v>
      </c>
      <c r="F27" s="111">
        <v>7.62</v>
      </c>
      <c r="H27" s="426">
        <v>43789</v>
      </c>
      <c r="I27" s="111">
        <v>14</v>
      </c>
      <c r="J27" s="432">
        <v>0.92098504279029658</v>
      </c>
      <c r="K27" s="432">
        <v>16.399999999999999</v>
      </c>
      <c r="L27" s="432">
        <f t="shared" si="1"/>
        <v>0.4006579725573452</v>
      </c>
    </row>
    <row r="28" spans="1:18" ht="14.5" hidden="1">
      <c r="D28" s="111">
        <f>2.2*E26</f>
        <v>15.840000000000002</v>
      </c>
      <c r="H28" s="426">
        <v>43789</v>
      </c>
      <c r="I28" s="111">
        <v>10</v>
      </c>
      <c r="J28" s="432">
        <v>0.92098504279029658</v>
      </c>
      <c r="K28" s="432">
        <v>16.3</v>
      </c>
      <c r="L28" s="432">
        <f t="shared" si="1"/>
        <v>0.39821493613931264</v>
      </c>
    </row>
    <row r="29" spans="1:18" ht="14.5" hidden="1">
      <c r="D29" s="111">
        <f>52-D28</f>
        <v>36.159999999999997</v>
      </c>
      <c r="H29" s="426">
        <v>43790</v>
      </c>
      <c r="I29" s="111">
        <v>7</v>
      </c>
      <c r="J29" s="432">
        <v>0.92098504279029658</v>
      </c>
      <c r="K29" s="432">
        <v>15.28</v>
      </c>
      <c r="L29" s="432">
        <f t="shared" si="1"/>
        <v>0.37329596467538018</v>
      </c>
    </row>
    <row r="30" spans="1:18" ht="14" hidden="1">
      <c r="D30" s="111">
        <f>D29/6.7</f>
        <v>5.3970149253731341</v>
      </c>
      <c r="H30" s="445"/>
      <c r="I30" s="446"/>
      <c r="J30" s="432"/>
      <c r="K30" s="432"/>
      <c r="L30" s="432"/>
    </row>
    <row r="31" spans="1:18" ht="14.5" hidden="1">
      <c r="D31" s="111">
        <f>D30+2.2</f>
        <v>7.5970149253731343</v>
      </c>
      <c r="H31" s="426"/>
      <c r="I31" s="364"/>
      <c r="J31" s="432"/>
      <c r="K31" s="432"/>
      <c r="L31" s="432"/>
    </row>
    <row r="32" spans="1:18" ht="14.5" hidden="1">
      <c r="H32" s="426"/>
      <c r="I32" s="364"/>
      <c r="J32" s="432"/>
      <c r="K32" s="432"/>
      <c r="L32" s="432"/>
    </row>
    <row r="33" spans="1:18" hidden="1">
      <c r="B33" s="111" t="s">
        <v>695</v>
      </c>
      <c r="C33" s="111" t="s">
        <v>696</v>
      </c>
    </row>
    <row r="34" spans="1:18" hidden="1">
      <c r="A34" s="111">
        <f>F34*6</f>
        <v>0.25988280021977861</v>
      </c>
      <c r="B34" s="111">
        <f>A34*1000</f>
        <v>259.88280021977863</v>
      </c>
      <c r="C34" s="111" t="s">
        <v>697</v>
      </c>
      <c r="D34" s="111">
        <v>2.144033101813188</v>
      </c>
      <c r="E34" s="111">
        <v>2.1873469018498177</v>
      </c>
      <c r="F34" s="111">
        <f>E34-D34</f>
        <v>4.3313800036629768E-2</v>
      </c>
    </row>
    <row r="35" spans="1:18" hidden="1">
      <c r="A35" s="111">
        <f>F35*6</f>
        <v>0.95290360080586112</v>
      </c>
      <c r="B35" s="111">
        <f>A35*1000</f>
        <v>952.90360080586106</v>
      </c>
      <c r="C35" s="111" t="s">
        <v>698</v>
      </c>
      <c r="D35" s="111">
        <v>7.861454706648356</v>
      </c>
      <c r="E35" s="111">
        <v>8.0202719734493328</v>
      </c>
      <c r="F35" s="111">
        <f>E35-D35</f>
        <v>0.15881726680097685</v>
      </c>
      <c r="H35" s="282" t="s">
        <v>699</v>
      </c>
      <c r="I35" s="283" t="s">
        <v>700</v>
      </c>
      <c r="J35" s="283" t="s">
        <v>701</v>
      </c>
      <c r="K35" s="283"/>
      <c r="L35" s="283">
        <v>1</v>
      </c>
      <c r="M35" s="283">
        <v>2</v>
      </c>
      <c r="N35" s="283">
        <v>3</v>
      </c>
      <c r="O35" s="283">
        <v>4</v>
      </c>
      <c r="P35" s="283">
        <v>5</v>
      </c>
      <c r="Q35" s="283">
        <v>6</v>
      </c>
      <c r="R35" s="283"/>
    </row>
    <row r="36" spans="1:18" hidden="1">
      <c r="A36" s="111">
        <f>F36*6</f>
        <v>0.23100693352869373</v>
      </c>
      <c r="B36" s="111">
        <f>A36*1000</f>
        <v>231.00693352869374</v>
      </c>
      <c r="C36" s="111" t="s">
        <v>702</v>
      </c>
      <c r="D36" s="111">
        <v>1.9058072016117225</v>
      </c>
      <c r="E36" s="111">
        <v>1.9443083571998381</v>
      </c>
      <c r="F36" s="111">
        <f>E36-D36</f>
        <v>3.8501155588115621E-2</v>
      </c>
      <c r="H36" s="284" t="e">
        <f>#REF!/280</f>
        <v>#REF!</v>
      </c>
      <c r="I36" s="284" t="e">
        <f>#REF!*#REF!/305</f>
        <v>#REF!</v>
      </c>
      <c r="J36" s="285" t="e">
        <f>#REF!/$F$20</f>
        <v>#REF!</v>
      </c>
      <c r="L36" s="111">
        <v>1.8680708794267815</v>
      </c>
      <c r="M36" s="111">
        <v>1.8680708794267815</v>
      </c>
      <c r="N36" s="111">
        <v>2.169530817594278</v>
      </c>
      <c r="O36" s="111">
        <v>1.8680708794267815</v>
      </c>
      <c r="P36" s="111">
        <v>1.8680708794267815</v>
      </c>
      <c r="Q36" s="111" t="e">
        <f>R36-SUM(L29:P29)</f>
        <v>#REF!</v>
      </c>
      <c r="R36" s="111" t="e">
        <f>#REF!*6</f>
        <v>#REF!</v>
      </c>
    </row>
    <row r="37" spans="1:18" hidden="1">
      <c r="H37" s="284">
        <f>F18/280</f>
        <v>7.3788726651502507E-3</v>
      </c>
      <c r="I37" s="284">
        <f>F18*D18/305</f>
        <v>4.8095733961700646E-4</v>
      </c>
      <c r="J37" s="285">
        <f>F18/$F$20</f>
        <v>0.31</v>
      </c>
      <c r="L37" s="111">
        <v>6.8495932245648667</v>
      </c>
      <c r="M37" s="111">
        <v>6.8495932245648667</v>
      </c>
      <c r="N37" s="111">
        <v>7.9549463311790207</v>
      </c>
      <c r="O37" s="111">
        <v>6.8495932245648667</v>
      </c>
      <c r="P37" s="111">
        <v>6.8495932245648667</v>
      </c>
      <c r="Q37" s="111">
        <f>R37-SUM(L30:P30)</f>
        <v>12.396506077452422</v>
      </c>
      <c r="R37" s="111">
        <f>F18*6</f>
        <v>12.396506077452422</v>
      </c>
    </row>
    <row r="38" spans="1:18" hidden="1">
      <c r="H38" s="284">
        <f>F19/280</f>
        <v>8.0929571166164036E-3</v>
      </c>
      <c r="I38" s="284">
        <f>F19*D19/305</f>
        <v>5.200719983137099E-4</v>
      </c>
      <c r="J38" s="285">
        <f>F19/$F$20</f>
        <v>0.34</v>
      </c>
      <c r="L38" s="111">
        <v>1.6605074483793616</v>
      </c>
      <c r="M38" s="111">
        <v>1.6605074483793616</v>
      </c>
      <c r="N38" s="111">
        <v>1.9284718378615808</v>
      </c>
      <c r="O38" s="111">
        <v>1.6605074483793616</v>
      </c>
      <c r="P38" s="111">
        <v>1.6605074483793616</v>
      </c>
      <c r="Q38" s="111">
        <f>R38-SUM(L31:P31)</f>
        <v>13.596167955915559</v>
      </c>
      <c r="R38" s="111">
        <f>F19*6</f>
        <v>13.596167955915559</v>
      </c>
    </row>
  </sheetData>
  <mergeCells count="8">
    <mergeCell ref="M3:Q3"/>
    <mergeCell ref="A17:C17"/>
    <mergeCell ref="A21:C21"/>
    <mergeCell ref="A22:C22"/>
    <mergeCell ref="A23:C23"/>
    <mergeCell ref="A16:C16"/>
    <mergeCell ref="A18:C18"/>
    <mergeCell ref="A19:C19"/>
  </mergeCells>
  <phoneticPr fontId="39" type="noConversion"/>
  <conditionalFormatting sqref="H21:H29">
    <cfRule type="containsBlanks" dxfId="176" priority="1">
      <formula>LEN(TRIM(H21))=0</formula>
    </cfRule>
  </conditionalFormatting>
  <conditionalFormatting sqref="H3:I20">
    <cfRule type="containsBlanks" dxfId="175" priority="43">
      <formula>LEN(TRIM(H3))=0</formula>
    </cfRule>
  </conditionalFormatting>
  <conditionalFormatting sqref="H31:I32">
    <cfRule type="containsBlanks" dxfId="174" priority="4">
      <formula>LEN(TRIM(H31))=0</formula>
    </cfRule>
  </conditionalFormatting>
  <conditionalFormatting sqref="K3:K17">
    <cfRule type="expression" dxfId="173" priority="22" stopIfTrue="1">
      <formula>IF(XEV3="BECK",AND(OR(K3&gt;30.2,K3&lt;20.2),K3&gt;0))</formula>
    </cfRule>
    <cfRule type="expression" dxfId="172" priority="23" stopIfTrue="1">
      <formula>IF(XEV3="BECK",AND(K3&lt;22.2,K3&gt;=20.2))</formula>
    </cfRule>
    <cfRule type="expression" dxfId="171" priority="24" stopIfTrue="1">
      <formula>IF(XEV3="BECK",AND(K3&gt;28.2,K3&lt;=30.2))</formula>
    </cfRule>
    <cfRule type="containsBlanks" dxfId="170" priority="25">
      <formula>LEN(TRIM(K3))=0</formula>
    </cfRule>
  </conditionalFormatting>
  <conditionalFormatting sqref="M4:M5">
    <cfRule type="expression" dxfId="169" priority="6" stopIfTrue="1">
      <formula>IF(H4="Budweiser",AND(OR(M4&gt;7.53,M4&lt;6.27),M4&gt;0),IF(H4="BECK",AND(OR(M4&gt;5.54,M4&lt;5.14),M4&gt;0),IF(H4="BudMagnum",AND(OR(M4&gt;8.55,M4&lt;7.3),M4&gt;0))))</formula>
    </cfRule>
    <cfRule type="expression" dxfId="168" priority="7" stopIfTrue="1">
      <formula>IF(H4="Budweiser",AND(M4&gt;=6.27,M4&lt;6.65),IF(H4="BudMagnum",AND(M4&gt;=7.3,M4&lt;7.67)))</formula>
    </cfRule>
    <cfRule type="expression" dxfId="167" priority="8" stopIfTrue="1">
      <formula>IF(H4="Budweiser",AND(M4&gt;7.15,M4&lt;=7.53),IF(H4="BudMagnum",AND(M4&gt;8.17,M4&lt;=8.55)))</formula>
    </cfRule>
    <cfRule type="containsBlanks" dxfId="166" priority="9">
      <formula>LEN(TRIM(M4))=0</formula>
    </cfRule>
  </conditionalFormatting>
  <conditionalFormatting sqref="N4:N5">
    <cfRule type="expression" dxfId="165" priority="10" stopIfTrue="1">
      <formula>IF(XEY4="BECK",AND(OR(N4&gt;30.2,N4&lt;20.2),N4&gt;0))</formula>
    </cfRule>
    <cfRule type="expression" dxfId="164" priority="11" stopIfTrue="1">
      <formula>IF(XEY4="BECK",AND(N4&lt;22.2,N4&gt;=20.2))</formula>
    </cfRule>
    <cfRule type="expression" dxfId="163" priority="12" stopIfTrue="1">
      <formula>IF(XEY4="BECK",AND(N4&gt;28.2,N4&lt;=30.2))</formula>
    </cfRule>
    <cfRule type="containsBlanks" dxfId="162" priority="13">
      <formula>LEN(TRIM(N4))=0</formula>
    </cfRule>
  </conditionalFormatting>
  <conditionalFormatting sqref="O4:O5">
    <cfRule type="expression" dxfId="161" priority="18" stopIfTrue="1">
      <formula>IF(L4="Budweiser",AND(O4&gt;5.2,O4&lt;=5.5),IF(L4="Beck Ice",AND(O4&gt;4.7,O4&lt;=4.5),IF(L4="BECK",AND(O4&gt;5.2,O4&lt;=5.5),IF(L4="BudMagnum",AND(O4&gt;6.71,O4&lt;=7.01)))))</formula>
    </cfRule>
    <cfRule type="expression" dxfId="160" priority="20" stopIfTrue="1">
      <formula>IF(L4="Budweiser",AND(O4&gt;5.2,O4&lt;=5.5),IF(L4="Beck Ice",AND(O4&gt;7.01,O4&lt;=6.01),IF(L4="BECK",AND(O4&gt;5.2,O4&lt;=5.5),IF(L4="BudMagnum",AND(O4&gt;6.71,O4&lt;=7.01)))))</formula>
    </cfRule>
    <cfRule type="containsBlanks" dxfId="159" priority="21" stopIfTrue="1">
      <formula>LEN(TRIM(O4))=0</formula>
    </cfRule>
  </conditionalFormatting>
  <conditionalFormatting sqref="P4:P5">
    <cfRule type="expression" dxfId="158" priority="14">
      <formula>IF(F4="Budweiser",AND(P4&gt;=7,P4&lt;8),IF(F4="Beck Ice",AND(P4&gt;=13,P4&lt;14),IF(F4="BECK",AND(P4&gt;=19,P4&lt;20),IF(F4="BudMagnum",AND(P4&gt;=9,P4&lt;10)))))</formula>
    </cfRule>
    <cfRule type="expression" dxfId="157" priority="15">
      <formula>IF(F4="Budweiser",AND(P4&gt;12,P4&lt;=13),IF(F4="Beck Ice",AND(P4&gt;18,P4&lt;=19),IF(F4="BECK",AND(P4&gt;24,P4&lt;=25),IF(F4="Budmagnum",AND(P4&gt;12,P4&lt;=13)))))</formula>
    </cfRule>
    <cfRule type="expression" dxfId="156" priority="16">
      <formula>IF(F4="Budweiser",AND(OR(P4&gt;13,P4&lt;7),P4&gt;0),IF(F4="Beck Ice",AND(OR(P4&gt;19,P4&lt;13),P4&gt;0),IF(F4="BECK",AND(OR(P4&gt;25,P4&lt;19),P4&gt;0),IF(F4="BudMagnum",AND(OR(P4&gt;13,P4&lt;9),P4&gt;0)))))</formula>
    </cfRule>
    <cfRule type="containsBlanks" dxfId="155" priority="17" stopIfTrue="1">
      <formula>LEN(TRIM(P4))=0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A1:Q35"/>
  <sheetViews>
    <sheetView topLeftCell="A13" zoomScale="90" zoomScaleNormal="90" workbookViewId="0">
      <selection activeCell="J23" sqref="J23"/>
    </sheetView>
  </sheetViews>
  <sheetFormatPr defaultColWidth="9" defaultRowHeight="12.5"/>
  <cols>
    <col min="1" max="1" width="23.1796875" style="450" customWidth="1"/>
    <col min="2" max="3" width="9" style="450"/>
    <col min="4" max="5" width="16.54296875" style="450" customWidth="1"/>
    <col min="6" max="6" width="19" style="450" customWidth="1"/>
    <col min="7" max="7" width="4.54296875" style="450" customWidth="1"/>
    <col min="8" max="16384" width="9" style="450"/>
  </cols>
  <sheetData>
    <row r="1" spans="1:11" ht="13">
      <c r="A1" s="449" t="s">
        <v>672</v>
      </c>
      <c r="C1" s="451" t="s">
        <v>542</v>
      </c>
      <c r="D1" s="452" t="s">
        <v>543</v>
      </c>
      <c r="E1" s="450" t="s">
        <v>703</v>
      </c>
      <c r="F1" s="450" t="s">
        <v>704</v>
      </c>
    </row>
    <row r="2" spans="1:11" ht="13">
      <c r="C2" s="451" t="s">
        <v>544</v>
      </c>
      <c r="D2" s="453" t="s">
        <v>28</v>
      </c>
    </row>
    <row r="3" spans="1:11" ht="13">
      <c r="C3" s="451" t="s">
        <v>678</v>
      </c>
      <c r="D3" s="454">
        <v>225</v>
      </c>
    </row>
    <row r="4" spans="1:11" ht="13">
      <c r="C4" s="2" t="s">
        <v>546</v>
      </c>
      <c r="D4" s="455">
        <v>16</v>
      </c>
    </row>
    <row r="5" spans="1:11">
      <c r="C5" s="2" t="s">
        <v>547</v>
      </c>
      <c r="D5" s="51">
        <f>IF(D4=0,0,+D4*(1+(D4-0.4644)/238.4)-0.02)</f>
        <v>17.022657718120804</v>
      </c>
    </row>
    <row r="6" spans="1:11" ht="13">
      <c r="C6" s="2" t="s">
        <v>548</v>
      </c>
      <c r="D6" s="456">
        <v>11</v>
      </c>
      <c r="I6" s="450">
        <v>219</v>
      </c>
      <c r="J6" s="450">
        <v>27.3</v>
      </c>
    </row>
    <row r="7" spans="1:11">
      <c r="C7" s="2" t="s">
        <v>549</v>
      </c>
      <c r="D7" s="51">
        <f>IF(D6=0,0,+D6*(1+(D6-0.4644)/238.4)-0.02)</f>
        <v>11.466122483221476</v>
      </c>
      <c r="I7" s="450">
        <v>225</v>
      </c>
      <c r="J7" s="450">
        <f>(I6*J6)/I7</f>
        <v>26.571999999999999</v>
      </c>
      <c r="K7" s="450">
        <v>12.08</v>
      </c>
    </row>
    <row r="8" spans="1:11" ht="13">
      <c r="C8" s="2" t="s">
        <v>680</v>
      </c>
      <c r="D8" s="457">
        <f>D5/D7-1</f>
        <v>0.48460455947773773</v>
      </c>
      <c r="I8" s="450">
        <v>225</v>
      </c>
      <c r="J8" s="450">
        <v>22</v>
      </c>
      <c r="K8" s="450">
        <f>(J8*K7)/J7</f>
        <v>10.001505343971097</v>
      </c>
    </row>
    <row r="9" spans="1:11" ht="13">
      <c r="C9" s="451" t="s">
        <v>681</v>
      </c>
      <c r="D9" s="458">
        <v>0.36</v>
      </c>
      <c r="E9" s="459">
        <v>43815</v>
      </c>
      <c r="F9" s="450" t="s">
        <v>705</v>
      </c>
    </row>
    <row r="10" spans="1:11" ht="13">
      <c r="C10" s="2" t="s">
        <v>682</v>
      </c>
      <c r="D10" s="455">
        <v>9.5</v>
      </c>
      <c r="E10" s="459">
        <v>43915</v>
      </c>
      <c r="F10" s="450" t="s">
        <v>705</v>
      </c>
      <c r="I10" s="450">
        <v>27</v>
      </c>
      <c r="J10" s="450">
        <v>12.08</v>
      </c>
    </row>
    <row r="11" spans="1:11">
      <c r="C11" s="2" t="s">
        <v>683</v>
      </c>
      <c r="D11" s="460">
        <f>(D10)*(1+D8)</f>
        <v>14.103743315038509</v>
      </c>
      <c r="F11" s="461"/>
      <c r="G11" s="461"/>
      <c r="I11" s="450">
        <v>22</v>
      </c>
      <c r="J11" s="450">
        <f>(I11*J10)/I10</f>
        <v>9.8429629629629627</v>
      </c>
    </row>
    <row r="12" spans="1:11" ht="13">
      <c r="C12" s="2" t="s">
        <v>684</v>
      </c>
      <c r="D12" s="462">
        <v>0.5</v>
      </c>
    </row>
    <row r="13" spans="1:11">
      <c r="C13" s="2" t="s">
        <v>685</v>
      </c>
      <c r="D13" s="51">
        <f>D14/D3*10000*D12</f>
        <v>19.588532381997933</v>
      </c>
    </row>
    <row r="14" spans="1:11" ht="13">
      <c r="C14" s="2" t="s">
        <v>686</v>
      </c>
      <c r="D14" s="463">
        <f>D11/D9*D3*100/10^6</f>
        <v>0.88148395718990691</v>
      </c>
    </row>
    <row r="15" spans="1:11" ht="5.25" customHeight="1" thickBot="1"/>
    <row r="16" spans="1:11" s="467" customFormat="1" ht="36" customHeight="1" thickBot="1">
      <c r="A16" s="1066" t="s">
        <v>687</v>
      </c>
      <c r="B16" s="1067"/>
      <c r="C16" s="1067"/>
      <c r="D16" s="499" t="s">
        <v>675</v>
      </c>
      <c r="E16" s="464" t="s">
        <v>688</v>
      </c>
      <c r="F16" s="465" t="s">
        <v>689</v>
      </c>
      <c r="G16" s="466"/>
    </row>
    <row r="17" spans="1:17" s="467" customFormat="1">
      <c r="A17" s="1068" t="s">
        <v>691</v>
      </c>
      <c r="B17" s="1069"/>
      <c r="C17" s="1069"/>
      <c r="D17" s="468">
        <v>0.154</v>
      </c>
      <c r="E17" s="469">
        <v>0.18</v>
      </c>
      <c r="F17" s="470">
        <f>$D$14/($D$17*$E$17+$D$18*$E$18+$D$19*$E$19)*E17</f>
        <v>1.9656480710379489</v>
      </c>
      <c r="G17" s="461"/>
      <c r="N17" s="467">
        <f>N18/N19</f>
        <v>1.2615384615384615</v>
      </c>
    </row>
    <row r="18" spans="1:17">
      <c r="A18" s="1070" t="s">
        <v>692</v>
      </c>
      <c r="B18" s="1071"/>
      <c r="C18" s="1071"/>
      <c r="D18" s="468">
        <v>6.6000000000000003E-2</v>
      </c>
      <c r="E18" s="471">
        <v>0.66</v>
      </c>
      <c r="F18" s="472">
        <f>$D$14/($D$17*$E$17+$D$18*$E$18+$D$19*$E$19)*E18</f>
        <v>7.20737626047248</v>
      </c>
      <c r="G18" s="461"/>
      <c r="I18" s="450" t="s">
        <v>706</v>
      </c>
      <c r="K18" s="450" t="s">
        <v>707</v>
      </c>
      <c r="L18" s="450" t="s">
        <v>708</v>
      </c>
      <c r="N18" s="450">
        <v>82</v>
      </c>
      <c r="O18" s="450">
        <v>66</v>
      </c>
      <c r="P18" s="450">
        <v>16</v>
      </c>
    </row>
    <row r="19" spans="1:17" ht="13" thickBot="1">
      <c r="A19" s="1064" t="s">
        <v>693</v>
      </c>
      <c r="B19" s="1065"/>
      <c r="C19" s="1065"/>
      <c r="D19" s="473">
        <v>5.8999999999999997E-2</v>
      </c>
      <c r="E19" s="474">
        <v>0.16</v>
      </c>
      <c r="F19" s="475">
        <f>$D$14/($D$17*$E$17+$D$18*$E$18+$D$19*$E$19)*E19</f>
        <v>1.7472427298115103</v>
      </c>
      <c r="G19" s="461"/>
      <c r="I19" s="450">
        <v>4.125</v>
      </c>
      <c r="J19" s="450" t="s">
        <v>709</v>
      </c>
      <c r="K19" s="450">
        <v>82</v>
      </c>
      <c r="L19" s="450">
        <v>65</v>
      </c>
      <c r="N19" s="450">
        <v>65</v>
      </c>
      <c r="O19" s="450">
        <f>O18/N17</f>
        <v>52.31707317073171</v>
      </c>
      <c r="P19" s="450">
        <f>P18/N17</f>
        <v>12.682926829268293</v>
      </c>
      <c r="Q19" s="450">
        <f>SUM(O19:P19)</f>
        <v>65</v>
      </c>
    </row>
    <row r="20" spans="1:17" ht="13" thickBot="1">
      <c r="F20" s="461">
        <f>SUM(F17:F19)</f>
        <v>10.92026706132194</v>
      </c>
      <c r="G20" s="461"/>
      <c r="J20" s="450" t="s">
        <v>651</v>
      </c>
      <c r="K20" s="450">
        <f>100-K19</f>
        <v>18</v>
      </c>
      <c r="L20" s="450">
        <f>100-L19</f>
        <v>35</v>
      </c>
      <c r="Q20" s="450">
        <f>O19/P19</f>
        <v>4.125</v>
      </c>
    </row>
    <row r="21" spans="1:17" ht="26.5" thickBot="1">
      <c r="A21" s="1066" t="s">
        <v>687</v>
      </c>
      <c r="B21" s="1067"/>
      <c r="C21" s="1067"/>
      <c r="D21" s="499" t="s">
        <v>675</v>
      </c>
      <c r="E21" s="464" t="s">
        <v>688</v>
      </c>
      <c r="F21" s="465" t="s">
        <v>689</v>
      </c>
    </row>
    <row r="22" spans="1:17">
      <c r="A22" s="1068" t="s">
        <v>691</v>
      </c>
      <c r="B22" s="1069"/>
      <c r="C22" s="1069"/>
      <c r="D22" s="468">
        <v>0.154</v>
      </c>
      <c r="E22" s="469">
        <v>0.35</v>
      </c>
      <c r="F22" s="470">
        <f>$D$14/($D$17*$E$17+$D$18*$E$18+$D$19*$E$19)*E22</f>
        <v>3.8220934714626784</v>
      </c>
    </row>
    <row r="23" spans="1:17">
      <c r="A23" s="1070" t="s">
        <v>692</v>
      </c>
      <c r="B23" s="1071"/>
      <c r="C23" s="1071"/>
      <c r="D23" s="468">
        <v>6.6000000000000003E-2</v>
      </c>
      <c r="E23" s="471">
        <v>0.52400000000000002</v>
      </c>
      <c r="F23" s="472">
        <f>$D$14/($D$17*$E$17+$D$18*$E$18+$D$19*$E$19)*E23</f>
        <v>5.7222199401326961</v>
      </c>
    </row>
    <row r="24" spans="1:17" ht="13" thickBot="1">
      <c r="A24" s="1064" t="s">
        <v>693</v>
      </c>
      <c r="B24" s="1065"/>
      <c r="C24" s="1065"/>
      <c r="D24" s="473">
        <v>5.8999999999999997E-2</v>
      </c>
      <c r="E24" s="474">
        <v>0.1268</v>
      </c>
      <c r="F24" s="475">
        <f>$D$14/($D$17*$E$17+$D$18*$E$18+$D$19*$E$19)*E24</f>
        <v>1.3846898633756217</v>
      </c>
    </row>
    <row r="25" spans="1:17">
      <c r="F25" s="461">
        <f>SUM(F22:F24)</f>
        <v>10.929003274970997</v>
      </c>
    </row>
    <row r="26" spans="1:17" ht="13" thickBot="1"/>
    <row r="27" spans="1:17" ht="39.5" thickBot="1">
      <c r="A27" s="1066" t="s">
        <v>687</v>
      </c>
      <c r="B27" s="1067"/>
      <c r="C27" s="1067"/>
      <c r="D27" s="464" t="s">
        <v>710</v>
      </c>
      <c r="E27" s="465" t="s">
        <v>711</v>
      </c>
    </row>
    <row r="28" spans="1:17">
      <c r="A28" s="1068" t="s">
        <v>691</v>
      </c>
      <c r="B28" s="1069"/>
      <c r="C28" s="1069"/>
      <c r="D28" s="469">
        <v>0.18</v>
      </c>
      <c r="E28" s="476">
        <v>0.35</v>
      </c>
    </row>
    <row r="29" spans="1:17">
      <c r="A29" s="1070" t="s">
        <v>692</v>
      </c>
      <c r="B29" s="1071"/>
      <c r="C29" s="1071"/>
      <c r="D29" s="471">
        <v>0.66</v>
      </c>
      <c r="E29" s="477">
        <v>0.52400000000000002</v>
      </c>
    </row>
    <row r="30" spans="1:17" ht="13" thickBot="1">
      <c r="A30" s="1064" t="s">
        <v>693</v>
      </c>
      <c r="B30" s="1065"/>
      <c r="C30" s="1065"/>
      <c r="D30" s="474">
        <v>0.16</v>
      </c>
      <c r="E30" s="478">
        <v>0.1268</v>
      </c>
    </row>
    <row r="35" spans="8:8">
      <c r="H35" s="467"/>
    </row>
  </sheetData>
  <mergeCells count="12">
    <mergeCell ref="A30:C30"/>
    <mergeCell ref="A16:C16"/>
    <mergeCell ref="A17:C17"/>
    <mergeCell ref="A18:C18"/>
    <mergeCell ref="A19:C19"/>
    <mergeCell ref="A21:C21"/>
    <mergeCell ref="A22:C22"/>
    <mergeCell ref="A23:C23"/>
    <mergeCell ref="A24:C24"/>
    <mergeCell ref="A27:C27"/>
    <mergeCell ref="A28:C28"/>
    <mergeCell ref="A29:C29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/>
  <dimension ref="A1:L27"/>
  <sheetViews>
    <sheetView topLeftCell="A3" workbookViewId="0">
      <selection activeCell="H4" sqref="H4"/>
    </sheetView>
  </sheetViews>
  <sheetFormatPr defaultRowHeight="14.5"/>
  <cols>
    <col min="1" max="1" width="14.1796875" customWidth="1"/>
    <col min="2" max="2" width="26.453125" customWidth="1"/>
    <col min="3" max="3" width="11.453125" customWidth="1"/>
    <col min="4" max="4" width="13.1796875" customWidth="1"/>
    <col min="5" max="5" width="14.81640625" customWidth="1"/>
    <col min="6" max="6" width="14" customWidth="1"/>
    <col min="7" max="7" width="13.54296875" customWidth="1"/>
    <col min="8" max="8" width="19" customWidth="1"/>
    <col min="9" max="9" width="14.54296875" customWidth="1"/>
    <col min="10" max="10" width="19.81640625" customWidth="1"/>
    <col min="11" max="11" width="14.453125" customWidth="1"/>
    <col min="12" max="12" width="18.1796875" customWidth="1"/>
  </cols>
  <sheetData>
    <row r="1" spans="1:12" ht="18.5">
      <c r="A1" s="350" t="s">
        <v>712</v>
      </c>
      <c r="B1" s="351"/>
    </row>
    <row r="3" spans="1:12" s="304" customFormat="1" ht="29">
      <c r="A3" s="334" t="s">
        <v>713</v>
      </c>
      <c r="B3" s="334" t="s">
        <v>714</v>
      </c>
      <c r="C3" s="334" t="s">
        <v>715</v>
      </c>
      <c r="D3" s="334" t="s">
        <v>716</v>
      </c>
      <c r="E3" s="334" t="s">
        <v>717</v>
      </c>
      <c r="F3" s="334" t="s">
        <v>718</v>
      </c>
      <c r="G3" s="334" t="s">
        <v>719</v>
      </c>
      <c r="H3" s="334" t="s">
        <v>720</v>
      </c>
      <c r="I3" s="334" t="s">
        <v>721</v>
      </c>
      <c r="J3" s="334" t="s">
        <v>722</v>
      </c>
      <c r="K3" s="334" t="s">
        <v>197</v>
      </c>
    </row>
    <row r="4" spans="1:12">
      <c r="A4" t="s">
        <v>723</v>
      </c>
      <c r="B4" t="s">
        <v>724</v>
      </c>
      <c r="C4" s="337">
        <f>'Budweiser brewcard'!X12</f>
        <v>8943.4424400284697</v>
      </c>
      <c r="D4">
        <v>4.2</v>
      </c>
      <c r="E4">
        <v>60</v>
      </c>
      <c r="F4">
        <v>80</v>
      </c>
      <c r="G4">
        <f>9*60</f>
        <v>540</v>
      </c>
      <c r="H4" s="337">
        <f>C4*D4*(F4-E4)/G4</f>
        <v>1391.2021573377619</v>
      </c>
      <c r="I4">
        <v>4</v>
      </c>
      <c r="J4">
        <f>VLOOKUP((I4+1),'Steam Enthalpy'!$B$8:$I$66,6,1)</f>
        <v>2107</v>
      </c>
      <c r="K4" s="337">
        <f>H4/J4*3600</f>
        <v>2376.9946684461047</v>
      </c>
      <c r="L4" s="338"/>
    </row>
    <row r="5" spans="1:12">
      <c r="A5" t="s">
        <v>723</v>
      </c>
      <c r="B5" t="s">
        <v>725</v>
      </c>
      <c r="C5" s="337">
        <f>'Budweiser brewcard'!X12</f>
        <v>8943.4424400284697</v>
      </c>
      <c r="D5">
        <v>4.2</v>
      </c>
      <c r="E5">
        <v>60</v>
      </c>
      <c r="F5">
        <v>80</v>
      </c>
      <c r="G5">
        <f>10*60</f>
        <v>600</v>
      </c>
      <c r="H5" s="337">
        <f>C5*D5*(F5-E5)/G5</f>
        <v>1252.0819416039858</v>
      </c>
      <c r="I5">
        <v>4</v>
      </c>
      <c r="J5">
        <f>VLOOKUP((I5+1),'Steam Enthalpy'!$B$8:$I$66,6,1)</f>
        <v>2107</v>
      </c>
      <c r="K5" s="337">
        <f>H5/J5*3600</f>
        <v>2139.2952016014947</v>
      </c>
      <c r="L5" s="338"/>
    </row>
    <row r="6" spans="1:12">
      <c r="A6" t="s">
        <v>632</v>
      </c>
      <c r="B6" s="304" t="s">
        <v>726</v>
      </c>
      <c r="C6" s="337">
        <f>'Budweiser brewcard'!X40</f>
        <v>23995.200974872536</v>
      </c>
      <c r="D6">
        <v>4.2</v>
      </c>
      <c r="E6">
        <v>65.5</v>
      </c>
      <c r="F6">
        <v>73</v>
      </c>
      <c r="G6">
        <f>8*60</f>
        <v>480</v>
      </c>
      <c r="H6" s="337">
        <f>C6*D6*(F6-E6)/G6</f>
        <v>1574.6850639760103</v>
      </c>
      <c r="I6">
        <v>4</v>
      </c>
      <c r="J6">
        <f>VLOOKUP((I6+1),'Steam Enthalpy'!$B$8:$I$66,6,1)</f>
        <v>2107</v>
      </c>
      <c r="K6" s="337">
        <f>H6/J6*3600</f>
        <v>2690.4918036609574</v>
      </c>
    </row>
    <row r="7" spans="1:12">
      <c r="A7" t="s">
        <v>727</v>
      </c>
      <c r="B7" t="s">
        <v>728</v>
      </c>
      <c r="C7" s="338">
        <f>750*100/3600</f>
        <v>20.833333333333332</v>
      </c>
      <c r="D7">
        <v>4</v>
      </c>
      <c r="E7">
        <v>92</v>
      </c>
      <c r="F7">
        <v>105</v>
      </c>
      <c r="H7" s="337">
        <f>D7*(F7-E7)*C7</f>
        <v>1083.3333333333333</v>
      </c>
      <c r="I7">
        <v>4</v>
      </c>
      <c r="J7">
        <f>VLOOKUP((I7+1),'Steam Enthalpy'!$B$8:$I$66,6,1)</f>
        <v>2107</v>
      </c>
      <c r="K7" s="337">
        <f>H7/J7*3600</f>
        <v>1850.9729473184623</v>
      </c>
    </row>
    <row r="8" spans="1:12" s="339" customFormat="1" ht="29">
      <c r="C8" s="339" t="s">
        <v>715</v>
      </c>
      <c r="D8" s="305" t="s">
        <v>729</v>
      </c>
      <c r="E8" s="305" t="s">
        <v>730</v>
      </c>
      <c r="H8" s="334" t="s">
        <v>720</v>
      </c>
    </row>
    <row r="9" spans="1:12">
      <c r="A9" t="s">
        <v>530</v>
      </c>
      <c r="B9" t="s">
        <v>731</v>
      </c>
      <c r="C9">
        <f>5%*170*100</f>
        <v>850</v>
      </c>
      <c r="D9">
        <v>2257</v>
      </c>
      <c r="E9">
        <v>30</v>
      </c>
      <c r="H9" s="337">
        <f>C9*D9/(E9*60)</f>
        <v>1065.8055555555557</v>
      </c>
      <c r="I9">
        <v>4</v>
      </c>
      <c r="J9">
        <f>VLOOKUP((I9+1),'Steam Enthalpy'!$B$8:$I$66,6,1)</f>
        <v>2107</v>
      </c>
      <c r="K9" s="337">
        <f>H9/J9*3600</f>
        <v>1821.0251542477456</v>
      </c>
    </row>
    <row r="10" spans="1:12">
      <c r="H10" s="337"/>
      <c r="K10" s="337"/>
    </row>
    <row r="11" spans="1:12" ht="29">
      <c r="C11" s="334" t="s">
        <v>715</v>
      </c>
      <c r="D11" s="334" t="s">
        <v>716</v>
      </c>
      <c r="E11" s="334" t="s">
        <v>717</v>
      </c>
      <c r="F11" s="334" t="s">
        <v>718</v>
      </c>
      <c r="H11" s="334" t="s">
        <v>720</v>
      </c>
      <c r="I11" s="334" t="s">
        <v>721</v>
      </c>
      <c r="J11" s="334" t="s">
        <v>722</v>
      </c>
      <c r="K11" s="334" t="s">
        <v>197</v>
      </c>
    </row>
    <row r="12" spans="1:12">
      <c r="A12" t="s">
        <v>530</v>
      </c>
      <c r="B12" t="s">
        <v>732</v>
      </c>
      <c r="C12" s="338">
        <f>180*100/3600</f>
        <v>5</v>
      </c>
      <c r="D12">
        <v>4</v>
      </c>
      <c r="E12">
        <v>92</v>
      </c>
      <c r="F12">
        <v>100</v>
      </c>
      <c r="H12" s="337">
        <f>D12*(F12-E12)*C12</f>
        <v>160</v>
      </c>
      <c r="I12">
        <v>4</v>
      </c>
      <c r="J12">
        <f>VLOOKUP((I12+1),'Steam Enthalpy'!$B$8:$I$66,6,1)</f>
        <v>2107</v>
      </c>
      <c r="K12" s="337">
        <f>H12/J12*3600</f>
        <v>273.37446606549594</v>
      </c>
    </row>
    <row r="13" spans="1:12">
      <c r="C13" s="338"/>
      <c r="H13" s="337"/>
      <c r="K13" s="337"/>
    </row>
    <row r="14" spans="1:12" ht="29">
      <c r="A14" s="339"/>
      <c r="B14" s="339"/>
      <c r="C14" s="339" t="s">
        <v>715</v>
      </c>
      <c r="D14" s="305" t="s">
        <v>729</v>
      </c>
      <c r="E14" s="305" t="s">
        <v>730</v>
      </c>
      <c r="F14" s="339"/>
      <c r="G14" s="339"/>
      <c r="H14" s="334" t="s">
        <v>720</v>
      </c>
      <c r="I14" s="334" t="s">
        <v>721</v>
      </c>
      <c r="J14" s="334" t="s">
        <v>722</v>
      </c>
      <c r="K14" s="334" t="s">
        <v>197</v>
      </c>
    </row>
    <row r="15" spans="1:12">
      <c r="A15" t="s">
        <v>530</v>
      </c>
      <c r="B15" t="s">
        <v>733</v>
      </c>
      <c r="C15">
        <f>9%*248*100</f>
        <v>2232</v>
      </c>
      <c r="D15">
        <v>2257</v>
      </c>
      <c r="E15">
        <v>45</v>
      </c>
      <c r="H15" s="337">
        <f>C15*D15/(E15*60)</f>
        <v>1865.7866666666666</v>
      </c>
      <c r="I15">
        <v>4</v>
      </c>
      <c r="J15">
        <f>VLOOKUP((I15+1),'Steam Enthalpy'!$B$8:$I$66,6,1)</f>
        <v>2107</v>
      </c>
      <c r="K15" s="337">
        <f>H15/J15*3600</f>
        <v>3187.8652112007589</v>
      </c>
    </row>
    <row r="17" spans="1:12">
      <c r="F17" s="338"/>
      <c r="K17">
        <v>185</v>
      </c>
      <c r="L17" t="s">
        <v>734</v>
      </c>
    </row>
    <row r="18" spans="1:12" ht="15">
      <c r="A18" s="352" t="s">
        <v>735</v>
      </c>
    </row>
    <row r="19" spans="1:12" ht="15">
      <c r="A19" s="352" t="s">
        <v>736</v>
      </c>
      <c r="G19">
        <v>30</v>
      </c>
      <c r="I19">
        <f>2700/75*60</f>
        <v>2160</v>
      </c>
      <c r="J19">
        <f>I19*0.55</f>
        <v>1188</v>
      </c>
      <c r="K19" s="394">
        <v>0.43</v>
      </c>
      <c r="L19">
        <v>890</v>
      </c>
    </row>
    <row r="20" spans="1:12">
      <c r="G20">
        <v>75</v>
      </c>
      <c r="I20">
        <f>I19/2</f>
        <v>1080</v>
      </c>
      <c r="J20">
        <f>I19*0.45</f>
        <v>972</v>
      </c>
      <c r="K20">
        <v>48</v>
      </c>
      <c r="L20">
        <v>863</v>
      </c>
    </row>
    <row r="21" spans="1:12">
      <c r="L21">
        <f>5/452</f>
        <v>1.1061946902654867E-2</v>
      </c>
    </row>
    <row r="22" spans="1:12">
      <c r="G22">
        <v>257</v>
      </c>
      <c r="L22">
        <f>L21*60</f>
        <v>0.66371681415929207</v>
      </c>
    </row>
    <row r="23" spans="1:12">
      <c r="G23">
        <v>235</v>
      </c>
      <c r="K23">
        <v>16</v>
      </c>
      <c r="L23">
        <v>185</v>
      </c>
    </row>
    <row r="24" spans="1:12">
      <c r="E24">
        <f>72</f>
        <v>72</v>
      </c>
      <c r="G24">
        <f>G22-G23</f>
        <v>22</v>
      </c>
    </row>
    <row r="25" spans="1:12">
      <c r="E25">
        <v>190</v>
      </c>
      <c r="G25">
        <v>67</v>
      </c>
      <c r="J25" s="395">
        <v>0.58958333333333335</v>
      </c>
    </row>
    <row r="26" spans="1:12">
      <c r="E26">
        <f>E24/E25*60</f>
        <v>22.736842105263158</v>
      </c>
      <c r="G26">
        <f>G24+G25</f>
        <v>89</v>
      </c>
      <c r="J26" s="395">
        <v>0.59375</v>
      </c>
    </row>
    <row r="27" spans="1:12">
      <c r="G27">
        <f>G26/30*60</f>
        <v>178</v>
      </c>
      <c r="J27" s="395">
        <v>0.60347222222222219</v>
      </c>
      <c r="L27">
        <f>180/20*60</f>
        <v>540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/>
  <dimension ref="A1:L22"/>
  <sheetViews>
    <sheetView topLeftCell="D1" workbookViewId="0">
      <selection activeCell="K23" sqref="K23"/>
    </sheetView>
  </sheetViews>
  <sheetFormatPr defaultRowHeight="14.5"/>
  <cols>
    <col min="1" max="1" width="14.1796875" customWidth="1"/>
    <col min="2" max="2" width="26.453125" customWidth="1"/>
    <col min="3" max="3" width="11.453125" customWidth="1"/>
    <col min="4" max="4" width="13.1796875" customWidth="1"/>
    <col min="5" max="5" width="14.81640625" customWidth="1"/>
    <col min="6" max="6" width="14" customWidth="1"/>
    <col min="7" max="7" width="13.54296875" customWidth="1"/>
    <col min="8" max="8" width="19" customWidth="1"/>
    <col min="9" max="9" width="14.54296875" customWidth="1"/>
    <col min="10" max="10" width="19.81640625" customWidth="1"/>
    <col min="11" max="11" width="14.453125" customWidth="1"/>
    <col min="12" max="12" width="18.1796875" customWidth="1"/>
  </cols>
  <sheetData>
    <row r="1" spans="1:12" ht="18.5">
      <c r="A1" s="350" t="s">
        <v>712</v>
      </c>
      <c r="B1" s="351"/>
    </row>
    <row r="3" spans="1:12" s="304" customFormat="1" ht="29">
      <c r="A3" s="334" t="s">
        <v>713</v>
      </c>
      <c r="B3" s="334" t="s">
        <v>714</v>
      </c>
      <c r="C3" s="334" t="s">
        <v>715</v>
      </c>
      <c r="D3" s="334" t="s">
        <v>716</v>
      </c>
      <c r="E3" s="334" t="s">
        <v>717</v>
      </c>
      <c r="F3" s="334" t="s">
        <v>718</v>
      </c>
      <c r="G3" s="334" t="s">
        <v>719</v>
      </c>
      <c r="H3" s="334" t="s">
        <v>720</v>
      </c>
      <c r="I3" s="334" t="s">
        <v>721</v>
      </c>
      <c r="J3" s="334" t="s">
        <v>722</v>
      </c>
      <c r="K3" s="334" t="s">
        <v>197</v>
      </c>
    </row>
    <row r="4" spans="1:12">
      <c r="A4" t="s">
        <v>723</v>
      </c>
      <c r="B4" t="s">
        <v>724</v>
      </c>
      <c r="C4" s="337">
        <f>'Budweiser brewcard'!X12</f>
        <v>8943.4424400284697</v>
      </c>
      <c r="D4">
        <v>4.2</v>
      </c>
      <c r="E4">
        <v>60</v>
      </c>
      <c r="F4">
        <v>80</v>
      </c>
      <c r="G4">
        <f>9*60</f>
        <v>540</v>
      </c>
      <c r="H4" s="337">
        <f>C4*D4*(F4-E4)/G4</f>
        <v>1391.2021573377619</v>
      </c>
      <c r="I4">
        <v>4</v>
      </c>
      <c r="J4">
        <f>VLOOKUP((I4+1),'Steam Enthalpy'!$B$8:$I$66,6,1)</f>
        <v>2107</v>
      </c>
      <c r="K4" s="337">
        <f>H4/J4*3600</f>
        <v>2376.9946684461047</v>
      </c>
      <c r="L4" s="338"/>
    </row>
    <row r="5" spans="1:12">
      <c r="A5" t="s">
        <v>723</v>
      </c>
      <c r="B5" t="s">
        <v>725</v>
      </c>
      <c r="C5" s="337">
        <f>'Budweiser brewcard'!X12</f>
        <v>8943.4424400284697</v>
      </c>
      <c r="D5">
        <v>4.2</v>
      </c>
      <c r="E5">
        <v>60</v>
      </c>
      <c r="F5">
        <v>80</v>
      </c>
      <c r="G5">
        <f>10*60</f>
        <v>600</v>
      </c>
      <c r="H5" s="337">
        <f>C5*D5*(F5-E5)/G5</f>
        <v>1252.0819416039858</v>
      </c>
      <c r="I5">
        <v>4</v>
      </c>
      <c r="J5">
        <f>VLOOKUP((I5+1),'Steam Enthalpy'!$B$8:$I$66,6,1)</f>
        <v>2107</v>
      </c>
      <c r="K5" s="337">
        <f>H5/J5*3600</f>
        <v>2139.2952016014947</v>
      </c>
      <c r="L5" s="338"/>
    </row>
    <row r="6" spans="1:12">
      <c r="A6" t="s">
        <v>632</v>
      </c>
      <c r="B6" s="304" t="s">
        <v>726</v>
      </c>
      <c r="C6" s="337">
        <f>'Budweiser brewcard'!X40</f>
        <v>23995.200974872536</v>
      </c>
      <c r="D6">
        <v>4.2</v>
      </c>
      <c r="E6">
        <v>65.5</v>
      </c>
      <c r="F6">
        <v>73</v>
      </c>
      <c r="G6">
        <f>8*60</f>
        <v>480</v>
      </c>
      <c r="H6" s="337">
        <f>C6*D6*(F6-E6)/G6</f>
        <v>1574.6850639760103</v>
      </c>
      <c r="I6">
        <v>4</v>
      </c>
      <c r="J6">
        <f>VLOOKUP((I6+1),'Steam Enthalpy'!$B$8:$I$66,6,1)</f>
        <v>2107</v>
      </c>
      <c r="K6" s="337">
        <f>H6/J6*3600</f>
        <v>2690.4918036609574</v>
      </c>
    </row>
    <row r="7" spans="1:12">
      <c r="A7" t="s">
        <v>632</v>
      </c>
      <c r="B7" s="304" t="s">
        <v>726</v>
      </c>
      <c r="C7" s="337">
        <v>17000</v>
      </c>
      <c r="D7">
        <v>4.2</v>
      </c>
      <c r="E7">
        <v>65.5</v>
      </c>
      <c r="F7">
        <v>73</v>
      </c>
      <c r="G7">
        <f>8*60</f>
        <v>480</v>
      </c>
      <c r="H7" s="337">
        <f>C7*D7*(F7-E7)/G7</f>
        <v>1115.625</v>
      </c>
      <c r="I7">
        <v>4</v>
      </c>
      <c r="J7">
        <f>VLOOKUP((I7+1),'Steam Enthalpy'!$B$8:$I$66,6,1)</f>
        <v>2107</v>
      </c>
      <c r="K7" s="337">
        <f>H7/J7*3600</f>
        <v>1906.1461794019931</v>
      </c>
    </row>
    <row r="8" spans="1:12">
      <c r="A8" t="s">
        <v>727</v>
      </c>
      <c r="B8" t="s">
        <v>728</v>
      </c>
      <c r="C8" s="338">
        <f>800*100/3600</f>
        <v>22.222222222222221</v>
      </c>
      <c r="D8">
        <v>4</v>
      </c>
      <c r="E8">
        <v>72</v>
      </c>
      <c r="F8">
        <v>105</v>
      </c>
      <c r="H8" s="337">
        <f>D8*(F8-E8)*C8</f>
        <v>2933.333333333333</v>
      </c>
      <c r="I8">
        <v>4</v>
      </c>
      <c r="J8">
        <f>VLOOKUP((I8+1),'Steam Enthalpy'!$B$8:$I$66,6,1)</f>
        <v>2107</v>
      </c>
      <c r="K8" s="337">
        <f>H8/J8*3600</f>
        <v>5011.8652112007585</v>
      </c>
    </row>
    <row r="9" spans="1:12" s="339" customFormat="1" ht="29">
      <c r="C9" s="339" t="s">
        <v>715</v>
      </c>
      <c r="D9" s="305" t="s">
        <v>729</v>
      </c>
      <c r="E9" s="305" t="s">
        <v>730</v>
      </c>
      <c r="H9" s="334" t="s">
        <v>720</v>
      </c>
    </row>
    <row r="10" spans="1:12">
      <c r="A10" t="s">
        <v>530</v>
      </c>
      <c r="B10" t="s">
        <v>731</v>
      </c>
      <c r="C10">
        <f>5%*170*100</f>
        <v>850</v>
      </c>
      <c r="D10">
        <v>2257</v>
      </c>
      <c r="E10">
        <v>30</v>
      </c>
      <c r="H10" s="337">
        <f>C10*D10/(E10*60)</f>
        <v>1065.8055555555557</v>
      </c>
      <c r="I10">
        <v>4</v>
      </c>
      <c r="J10">
        <f>VLOOKUP((I10+1),'Steam Enthalpy'!$B$8:$I$66,6,1)</f>
        <v>2107</v>
      </c>
      <c r="K10" s="337">
        <f>H10/J10*3600</f>
        <v>1821.0251542477456</v>
      </c>
    </row>
    <row r="11" spans="1:12">
      <c r="H11" s="337"/>
      <c r="K11" s="337"/>
    </row>
    <row r="12" spans="1:12" ht="29">
      <c r="C12" s="334" t="s">
        <v>715</v>
      </c>
      <c r="D12" s="334" t="s">
        <v>716</v>
      </c>
      <c r="E12" s="334" t="s">
        <v>717</v>
      </c>
      <c r="F12" s="334" t="s">
        <v>718</v>
      </c>
      <c r="H12" s="334" t="s">
        <v>720</v>
      </c>
      <c r="I12" s="334" t="s">
        <v>721</v>
      </c>
      <c r="J12" s="334" t="s">
        <v>722</v>
      </c>
      <c r="K12" s="334" t="s">
        <v>197</v>
      </c>
    </row>
    <row r="13" spans="1:12">
      <c r="A13" t="s">
        <v>530</v>
      </c>
      <c r="B13" t="s">
        <v>732</v>
      </c>
      <c r="C13" s="338">
        <f>180*100/3600</f>
        <v>5</v>
      </c>
      <c r="D13">
        <v>4</v>
      </c>
      <c r="E13">
        <v>72</v>
      </c>
      <c r="F13">
        <v>100</v>
      </c>
      <c r="H13" s="337">
        <f>D13*(F13-E13)*C13</f>
        <v>560</v>
      </c>
      <c r="I13">
        <v>4</v>
      </c>
      <c r="J13">
        <f>VLOOKUP((I13+1),'Steam Enthalpy'!$B$8:$I$66,6,1)</f>
        <v>2107</v>
      </c>
      <c r="K13" s="337">
        <f>H13/J13*3600</f>
        <v>956.81063122923592</v>
      </c>
    </row>
    <row r="14" spans="1:12">
      <c r="C14" s="338"/>
      <c r="H14" s="337"/>
      <c r="K14" s="337"/>
    </row>
    <row r="15" spans="1:12" ht="29">
      <c r="A15" s="339"/>
      <c r="B15" s="339"/>
      <c r="C15" s="339" t="s">
        <v>715</v>
      </c>
      <c r="D15" s="305" t="s">
        <v>729</v>
      </c>
      <c r="E15" s="305" t="s">
        <v>730</v>
      </c>
      <c r="F15" s="339"/>
      <c r="G15" s="339"/>
      <c r="H15" s="334" t="s">
        <v>720</v>
      </c>
      <c r="I15" s="334" t="s">
        <v>721</v>
      </c>
      <c r="J15" s="334" t="s">
        <v>722</v>
      </c>
      <c r="K15" s="334" t="s">
        <v>197</v>
      </c>
    </row>
    <row r="16" spans="1:12">
      <c r="A16" t="s">
        <v>530</v>
      </c>
      <c r="B16" t="s">
        <v>733</v>
      </c>
      <c r="C16">
        <f>9%*248*100</f>
        <v>2232</v>
      </c>
      <c r="D16">
        <v>2257</v>
      </c>
      <c r="E16">
        <v>45</v>
      </c>
      <c r="H16" s="337">
        <f>C16*D16/(E16*60)</f>
        <v>1865.7866666666666</v>
      </c>
      <c r="I16">
        <v>4</v>
      </c>
      <c r="J16">
        <f>VLOOKUP((I16+1),'Steam Enthalpy'!$B$8:$I$66,6,1)</f>
        <v>2107</v>
      </c>
      <c r="K16" s="337">
        <f>H16/J16*3600</f>
        <v>3187.8652112007589</v>
      </c>
    </row>
    <row r="18" spans="1:11">
      <c r="F18" s="338">
        <v>63</v>
      </c>
      <c r="G18">
        <v>72</v>
      </c>
      <c r="H18">
        <f>F18*G18</f>
        <v>4536</v>
      </c>
    </row>
    <row r="19" spans="1:11" ht="15">
      <c r="A19" s="352" t="s">
        <v>735</v>
      </c>
      <c r="F19" s="338">
        <f>170-F18</f>
        <v>107</v>
      </c>
      <c r="G19">
        <v>105</v>
      </c>
      <c r="H19">
        <f>G19*F19</f>
        <v>11235</v>
      </c>
    </row>
    <row r="20" spans="1:11" ht="15">
      <c r="A20" s="352" t="s">
        <v>736</v>
      </c>
      <c r="H20">
        <f>SUM(H18:H19)</f>
        <v>15771</v>
      </c>
      <c r="K20">
        <f>55%</f>
        <v>0.55000000000000004</v>
      </c>
    </row>
    <row r="21" spans="1:11">
      <c r="H21">
        <f>H20/170</f>
        <v>92.770588235294113</v>
      </c>
      <c r="K21">
        <f>K20*2094</f>
        <v>1151.7</v>
      </c>
    </row>
    <row r="22" spans="1:11">
      <c r="K22">
        <f>2094-1157</f>
        <v>937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2"/>
  <dimension ref="A1:I67"/>
  <sheetViews>
    <sheetView topLeftCell="A26" workbookViewId="0">
      <selection activeCell="D1" sqref="D1:D1048576"/>
    </sheetView>
  </sheetViews>
  <sheetFormatPr defaultRowHeight="14.5"/>
  <cols>
    <col min="1" max="2" width="12" customWidth="1"/>
  </cols>
  <sheetData>
    <row r="1" spans="1:9" ht="29.5" thickTop="1">
      <c r="A1" s="313" t="s">
        <v>737</v>
      </c>
      <c r="B1" s="329" t="s">
        <v>738</v>
      </c>
      <c r="C1" s="314" t="s">
        <v>739</v>
      </c>
      <c r="D1" s="314" t="s">
        <v>740</v>
      </c>
      <c r="E1" s="314" t="s">
        <v>741</v>
      </c>
      <c r="F1" s="1072" t="s">
        <v>742</v>
      </c>
      <c r="G1" s="1073"/>
      <c r="H1" s="1074"/>
      <c r="I1" s="315" t="s">
        <v>740</v>
      </c>
    </row>
    <row r="2" spans="1:9">
      <c r="A2" s="316" t="s">
        <v>743</v>
      </c>
      <c r="B2" s="330"/>
      <c r="C2" s="306" t="s">
        <v>744</v>
      </c>
      <c r="D2" s="306" t="s">
        <v>745</v>
      </c>
      <c r="E2" s="309" t="s">
        <v>746</v>
      </c>
      <c r="F2" s="1075"/>
      <c r="G2" s="1076"/>
      <c r="H2" s="1077"/>
      <c r="I2" s="317" t="s">
        <v>747</v>
      </c>
    </row>
    <row r="3" spans="1:9" ht="28">
      <c r="A3" s="316" t="s">
        <v>748</v>
      </c>
      <c r="B3" s="330"/>
      <c r="C3" s="307"/>
      <c r="D3" s="306" t="s">
        <v>749</v>
      </c>
      <c r="E3" s="307" t="s">
        <v>750</v>
      </c>
      <c r="F3" s="1075"/>
      <c r="G3" s="1076"/>
      <c r="H3" s="1077"/>
      <c r="I3" s="317" t="s">
        <v>751</v>
      </c>
    </row>
    <row r="4" spans="1:9" ht="15" thickBot="1">
      <c r="A4" s="318"/>
      <c r="B4" s="331"/>
      <c r="C4" s="307"/>
      <c r="D4" s="307"/>
      <c r="E4" s="307"/>
      <c r="F4" s="1078"/>
      <c r="G4" s="1079"/>
      <c r="H4" s="1080"/>
      <c r="I4" s="317" t="s">
        <v>752</v>
      </c>
    </row>
    <row r="5" spans="1:9" ht="28">
      <c r="A5" s="318"/>
      <c r="B5" s="331"/>
      <c r="C5" s="307"/>
      <c r="D5" s="307"/>
      <c r="E5" s="307"/>
      <c r="F5" s="310" t="s">
        <v>753</v>
      </c>
      <c r="G5" s="310" t="s">
        <v>754</v>
      </c>
      <c r="H5" s="310" t="s">
        <v>755</v>
      </c>
      <c r="I5" s="319" t="s">
        <v>756</v>
      </c>
    </row>
    <row r="6" spans="1:9" ht="16">
      <c r="A6" s="318"/>
      <c r="B6" s="331"/>
      <c r="C6" s="307"/>
      <c r="D6" s="307"/>
      <c r="E6" s="307"/>
      <c r="F6" s="309" t="s">
        <v>757</v>
      </c>
      <c r="G6" s="309" t="s">
        <v>758</v>
      </c>
      <c r="H6" s="309" t="s">
        <v>759</v>
      </c>
      <c r="I6" s="319"/>
    </row>
    <row r="7" spans="1:9" ht="15" thickBot="1">
      <c r="A7" s="320"/>
      <c r="B7" s="332"/>
      <c r="C7" s="308"/>
      <c r="D7" s="308"/>
      <c r="E7" s="308"/>
      <c r="F7" s="308" t="s">
        <v>760</v>
      </c>
      <c r="G7" s="308" t="s">
        <v>760</v>
      </c>
      <c r="H7" s="308" t="s">
        <v>760</v>
      </c>
      <c r="I7" s="321"/>
    </row>
    <row r="8" spans="1:9" ht="15" thickBot="1">
      <c r="A8" s="322">
        <v>0.8</v>
      </c>
      <c r="B8" s="333">
        <f>A8/100</f>
        <v>8.0000000000000002E-3</v>
      </c>
      <c r="C8" s="311">
        <v>3.8</v>
      </c>
      <c r="D8" s="311">
        <v>160</v>
      </c>
      <c r="E8" s="311">
        <v>6.2599999999999999E-3</v>
      </c>
      <c r="F8" s="311">
        <v>15.8</v>
      </c>
      <c r="G8" s="311">
        <v>2493</v>
      </c>
      <c r="H8" s="311">
        <v>2509</v>
      </c>
      <c r="I8" s="323">
        <v>9.0579999999999998</v>
      </c>
    </row>
    <row r="9" spans="1:9" ht="15" thickBot="1">
      <c r="A9" s="322">
        <v>2</v>
      </c>
      <c r="B9" s="333">
        <f t="shared" ref="B9:B66" si="0">A9/100</f>
        <v>0.02</v>
      </c>
      <c r="C9" s="311">
        <v>17.5</v>
      </c>
      <c r="D9" s="311">
        <v>67</v>
      </c>
      <c r="E9" s="311">
        <v>1.49E-2</v>
      </c>
      <c r="F9" s="311">
        <v>73.5</v>
      </c>
      <c r="G9" s="311">
        <v>2460</v>
      </c>
      <c r="H9" s="311">
        <v>2534</v>
      </c>
      <c r="I9" s="323">
        <v>8.7249999999999996</v>
      </c>
    </row>
    <row r="10" spans="1:9" ht="15" thickBot="1">
      <c r="A10" s="322">
        <v>5</v>
      </c>
      <c r="B10" s="333">
        <f t="shared" si="0"/>
        <v>0.05</v>
      </c>
      <c r="C10" s="311">
        <v>32.9</v>
      </c>
      <c r="D10" s="311">
        <v>28.2</v>
      </c>
      <c r="E10" s="311">
        <v>3.5400000000000001E-2</v>
      </c>
      <c r="F10" s="311">
        <v>137.80000000000001</v>
      </c>
      <c r="G10" s="311">
        <v>2424</v>
      </c>
      <c r="H10" s="311">
        <v>2562</v>
      </c>
      <c r="I10" s="323">
        <v>8.3960000000000008</v>
      </c>
    </row>
    <row r="11" spans="1:9" ht="15" thickBot="1">
      <c r="A11" s="322">
        <v>10</v>
      </c>
      <c r="B11" s="333">
        <f t="shared" si="0"/>
        <v>0.1</v>
      </c>
      <c r="C11" s="311">
        <v>45.8</v>
      </c>
      <c r="D11" s="311">
        <v>14.7</v>
      </c>
      <c r="E11" s="311">
        <v>6.8199999999999997E-2</v>
      </c>
      <c r="F11" s="311">
        <v>191.8</v>
      </c>
      <c r="G11" s="311">
        <v>2393</v>
      </c>
      <c r="H11" s="311">
        <v>2585</v>
      </c>
      <c r="I11" s="323">
        <v>8.1509999999999998</v>
      </c>
    </row>
    <row r="12" spans="1:9" ht="15" thickBot="1">
      <c r="A12" s="322">
        <v>20</v>
      </c>
      <c r="B12" s="333">
        <f t="shared" si="0"/>
        <v>0.2</v>
      </c>
      <c r="C12" s="311">
        <v>60.1</v>
      </c>
      <c r="D12" s="311">
        <v>7.65</v>
      </c>
      <c r="E12" s="311">
        <v>0.13100000000000001</v>
      </c>
      <c r="F12" s="311">
        <v>251.5</v>
      </c>
      <c r="G12" s="311">
        <v>2358</v>
      </c>
      <c r="H12" s="311">
        <v>2610</v>
      </c>
      <c r="I12" s="323">
        <v>7.9089999999999998</v>
      </c>
    </row>
    <row r="13" spans="1:9" ht="15" thickBot="1">
      <c r="A13" s="322">
        <v>28</v>
      </c>
      <c r="B13" s="333">
        <f t="shared" si="0"/>
        <v>0.28000000000000003</v>
      </c>
      <c r="C13" s="311">
        <v>67.5</v>
      </c>
      <c r="D13" s="311">
        <v>5.58</v>
      </c>
      <c r="E13" s="311">
        <v>0.17899999999999999</v>
      </c>
      <c r="F13" s="311">
        <v>282.7</v>
      </c>
      <c r="G13" s="311">
        <v>2340</v>
      </c>
      <c r="H13" s="311">
        <v>2623</v>
      </c>
      <c r="I13" s="323">
        <v>7.7930000000000001</v>
      </c>
    </row>
    <row r="14" spans="1:9" ht="15" thickBot="1">
      <c r="A14" s="322">
        <v>35</v>
      </c>
      <c r="B14" s="333">
        <f t="shared" si="0"/>
        <v>0.35</v>
      </c>
      <c r="C14" s="311">
        <v>72.7</v>
      </c>
      <c r="D14" s="311">
        <v>4.53</v>
      </c>
      <c r="E14" s="311">
        <v>0.221</v>
      </c>
      <c r="F14" s="311">
        <v>304.3</v>
      </c>
      <c r="G14" s="311">
        <v>2327</v>
      </c>
      <c r="H14" s="311">
        <v>2632</v>
      </c>
      <c r="I14" s="323">
        <v>7.7169999999999996</v>
      </c>
    </row>
    <row r="15" spans="1:9" ht="15" thickBot="1">
      <c r="A15" s="322">
        <v>45</v>
      </c>
      <c r="B15" s="333">
        <f t="shared" si="0"/>
        <v>0.45</v>
      </c>
      <c r="C15" s="311">
        <v>78.7</v>
      </c>
      <c r="D15" s="311">
        <v>3.58</v>
      </c>
      <c r="E15" s="311">
        <v>0.27900000000000003</v>
      </c>
      <c r="F15" s="311">
        <v>329.6</v>
      </c>
      <c r="G15" s="311">
        <v>2312</v>
      </c>
      <c r="H15" s="311">
        <v>2642</v>
      </c>
      <c r="I15" s="323">
        <v>7.6310000000000002</v>
      </c>
    </row>
    <row r="16" spans="1:9" ht="15" thickBot="1">
      <c r="A16" s="322">
        <v>55</v>
      </c>
      <c r="B16" s="333">
        <f t="shared" si="0"/>
        <v>0.55000000000000004</v>
      </c>
      <c r="C16" s="311">
        <v>83.7</v>
      </c>
      <c r="D16" s="311">
        <v>2.96</v>
      </c>
      <c r="E16" s="311">
        <v>0.33800000000000002</v>
      </c>
      <c r="F16" s="311">
        <v>350.6</v>
      </c>
      <c r="G16" s="311">
        <v>2299</v>
      </c>
      <c r="H16" s="311">
        <v>2650</v>
      </c>
      <c r="I16" s="323">
        <v>7.5620000000000003</v>
      </c>
    </row>
    <row r="17" spans="1:9" ht="15" thickBot="1">
      <c r="A17" s="322">
        <v>65</v>
      </c>
      <c r="B17" s="333">
        <f t="shared" si="0"/>
        <v>0.65</v>
      </c>
      <c r="C17" s="311">
        <v>88</v>
      </c>
      <c r="D17" s="311">
        <v>2.5299999999999998</v>
      </c>
      <c r="E17" s="311">
        <v>0.39500000000000002</v>
      </c>
      <c r="F17" s="311">
        <v>368.6</v>
      </c>
      <c r="G17" s="311">
        <v>2288</v>
      </c>
      <c r="H17" s="311">
        <v>2657</v>
      </c>
      <c r="I17" s="323">
        <v>7.5060000000000002</v>
      </c>
    </row>
    <row r="18" spans="1:9" ht="15" thickBot="1">
      <c r="A18" s="322">
        <v>75</v>
      </c>
      <c r="B18" s="333">
        <f t="shared" si="0"/>
        <v>0.75</v>
      </c>
      <c r="C18" s="311">
        <v>91.8</v>
      </c>
      <c r="D18" s="311">
        <v>2.2200000000000002</v>
      </c>
      <c r="E18" s="311">
        <v>0.45</v>
      </c>
      <c r="F18" s="311">
        <v>384.5</v>
      </c>
      <c r="G18" s="311">
        <v>2279</v>
      </c>
      <c r="H18" s="311">
        <v>2663</v>
      </c>
      <c r="I18" s="323">
        <v>7.4569999999999999</v>
      </c>
    </row>
    <row r="19" spans="1:9" ht="15" thickBot="1">
      <c r="A19" s="322">
        <v>85</v>
      </c>
      <c r="B19" s="333">
        <f t="shared" si="0"/>
        <v>0.85</v>
      </c>
      <c r="C19" s="311">
        <v>95.2</v>
      </c>
      <c r="D19" s="311">
        <v>1.97</v>
      </c>
      <c r="E19" s="311">
        <v>0.50700000000000001</v>
      </c>
      <c r="F19" s="311">
        <v>398.6</v>
      </c>
      <c r="G19" s="311">
        <v>2270</v>
      </c>
      <c r="H19" s="311">
        <v>2668</v>
      </c>
      <c r="I19" s="323">
        <v>7.415</v>
      </c>
    </row>
    <row r="20" spans="1:9" ht="15" thickBot="1">
      <c r="A20" s="322">
        <v>95</v>
      </c>
      <c r="B20" s="333">
        <f t="shared" si="0"/>
        <v>0.95</v>
      </c>
      <c r="C20" s="311">
        <v>98.2</v>
      </c>
      <c r="D20" s="311">
        <v>1.78</v>
      </c>
      <c r="E20" s="311">
        <v>0.56299999999999994</v>
      </c>
      <c r="F20" s="311">
        <v>411.5</v>
      </c>
      <c r="G20" s="311">
        <v>2262</v>
      </c>
      <c r="H20" s="311">
        <v>2673</v>
      </c>
      <c r="I20" s="323">
        <v>7.3769999999999998</v>
      </c>
    </row>
    <row r="21" spans="1:9" ht="15" thickBot="1">
      <c r="A21" s="322">
        <v>100</v>
      </c>
      <c r="B21" s="333">
        <f t="shared" si="0"/>
        <v>1</v>
      </c>
      <c r="C21" s="311">
        <v>99.6</v>
      </c>
      <c r="D21" s="311">
        <v>1.69</v>
      </c>
      <c r="E21" s="311">
        <v>0.59</v>
      </c>
      <c r="F21" s="311">
        <v>417.5</v>
      </c>
      <c r="G21" s="311">
        <v>2258</v>
      </c>
      <c r="H21" s="311">
        <v>2675</v>
      </c>
      <c r="I21" s="323">
        <v>7.36</v>
      </c>
    </row>
    <row r="22" spans="1:9" ht="15" thickBot="1">
      <c r="A22" s="324">
        <v>101.33</v>
      </c>
      <c r="B22" s="333">
        <f t="shared" si="0"/>
        <v>1.0133000000000001</v>
      </c>
      <c r="C22" s="312">
        <v>100</v>
      </c>
      <c r="D22" s="312">
        <v>1.67</v>
      </c>
      <c r="E22" s="312">
        <v>0.59799999999999998</v>
      </c>
      <c r="F22" s="312">
        <v>419.1</v>
      </c>
      <c r="G22" s="312">
        <v>2257</v>
      </c>
      <c r="H22" s="312">
        <v>2676</v>
      </c>
      <c r="I22" s="325">
        <v>7.3550000000000004</v>
      </c>
    </row>
    <row r="23" spans="1:9" ht="15" thickBot="1">
      <c r="A23" s="322">
        <v>110</v>
      </c>
      <c r="B23" s="333">
        <f t="shared" si="0"/>
        <v>1.1000000000000001</v>
      </c>
      <c r="C23" s="311">
        <v>102.3</v>
      </c>
      <c r="D23" s="311">
        <v>1.55</v>
      </c>
      <c r="E23" s="311">
        <v>0.64600000000000002</v>
      </c>
      <c r="F23" s="311">
        <v>428.8</v>
      </c>
      <c r="G23" s="311">
        <v>2251</v>
      </c>
      <c r="H23" s="311">
        <v>2680</v>
      </c>
      <c r="I23" s="323">
        <v>7.3280000000000003</v>
      </c>
    </row>
    <row r="24" spans="1:9" ht="15" thickBot="1">
      <c r="A24" s="322">
        <v>130</v>
      </c>
      <c r="B24" s="333">
        <f t="shared" si="0"/>
        <v>1.3</v>
      </c>
      <c r="C24" s="311">
        <v>107.1</v>
      </c>
      <c r="D24" s="311">
        <v>1.33</v>
      </c>
      <c r="E24" s="311">
        <v>0.755</v>
      </c>
      <c r="F24" s="311">
        <v>449.2</v>
      </c>
      <c r="G24" s="311">
        <v>2238</v>
      </c>
      <c r="H24" s="311">
        <v>2687</v>
      </c>
      <c r="I24" s="323">
        <v>7.2709999999999999</v>
      </c>
    </row>
    <row r="25" spans="1:9" ht="15" thickBot="1">
      <c r="A25" s="322">
        <v>150</v>
      </c>
      <c r="B25" s="333">
        <f t="shared" si="0"/>
        <v>1.5</v>
      </c>
      <c r="C25" s="311">
        <v>111.4</v>
      </c>
      <c r="D25" s="311">
        <v>1.1599999999999999</v>
      </c>
      <c r="E25" s="311">
        <v>0.86299999999999999</v>
      </c>
      <c r="F25" s="311">
        <v>467.1</v>
      </c>
      <c r="G25" s="311">
        <v>2226</v>
      </c>
      <c r="H25" s="311">
        <v>2698</v>
      </c>
      <c r="I25" s="323">
        <v>7.2229999999999999</v>
      </c>
    </row>
    <row r="26" spans="1:9" ht="15" thickBot="1">
      <c r="A26" s="322">
        <v>170</v>
      </c>
      <c r="B26" s="333">
        <f t="shared" si="0"/>
        <v>1.7</v>
      </c>
      <c r="C26" s="311">
        <v>115.2</v>
      </c>
      <c r="D26" s="311">
        <v>1.03</v>
      </c>
      <c r="E26" s="311">
        <v>0.97</v>
      </c>
      <c r="F26" s="311">
        <v>483.2</v>
      </c>
      <c r="G26" s="311">
        <v>2216</v>
      </c>
      <c r="H26" s="311">
        <v>2699</v>
      </c>
      <c r="I26" s="323">
        <v>7.181</v>
      </c>
    </row>
    <row r="27" spans="1:9" ht="15" thickBot="1">
      <c r="A27" s="322">
        <v>190</v>
      </c>
      <c r="B27" s="333">
        <f t="shared" si="0"/>
        <v>1.9</v>
      </c>
      <c r="C27" s="311">
        <v>118.6</v>
      </c>
      <c r="D27" s="311">
        <v>0.92900000000000005</v>
      </c>
      <c r="E27" s="311">
        <v>1.08</v>
      </c>
      <c r="F27" s="311">
        <v>497.8</v>
      </c>
      <c r="G27" s="311">
        <v>2206</v>
      </c>
      <c r="H27" s="311">
        <v>2704</v>
      </c>
      <c r="I27" s="323">
        <v>7.1440000000000001</v>
      </c>
    </row>
    <row r="28" spans="1:9" ht="15" thickBot="1">
      <c r="A28" s="322">
        <v>220</v>
      </c>
      <c r="B28" s="333">
        <f t="shared" si="0"/>
        <v>2.2000000000000002</v>
      </c>
      <c r="C28" s="311">
        <v>123.3</v>
      </c>
      <c r="D28" s="311">
        <v>0.81</v>
      </c>
      <c r="E28" s="311">
        <v>1.23</v>
      </c>
      <c r="F28" s="311">
        <v>517.6</v>
      </c>
      <c r="G28" s="311">
        <v>2193</v>
      </c>
      <c r="H28" s="311">
        <v>2711</v>
      </c>
      <c r="I28" s="323">
        <v>7.0949999999999998</v>
      </c>
    </row>
    <row r="29" spans="1:9" ht="15" thickBot="1">
      <c r="A29" s="322">
        <v>260</v>
      </c>
      <c r="B29" s="333">
        <f t="shared" si="0"/>
        <v>2.6</v>
      </c>
      <c r="C29" s="311">
        <v>128.69999999999999</v>
      </c>
      <c r="D29" s="311">
        <v>0.69299999999999995</v>
      </c>
      <c r="E29" s="311">
        <v>1.44</v>
      </c>
      <c r="F29" s="311">
        <v>540.9</v>
      </c>
      <c r="G29" s="311">
        <v>2177</v>
      </c>
      <c r="H29" s="311">
        <v>2718</v>
      </c>
      <c r="I29" s="323">
        <v>7.0389999999999997</v>
      </c>
    </row>
    <row r="30" spans="1:9" ht="15" thickBot="1">
      <c r="A30" s="322">
        <v>280</v>
      </c>
      <c r="B30" s="333">
        <f t="shared" si="0"/>
        <v>2.8</v>
      </c>
      <c r="C30" s="311">
        <v>131.19999999999999</v>
      </c>
      <c r="D30" s="311">
        <v>0.64600000000000002</v>
      </c>
      <c r="E30" s="311">
        <v>1.55</v>
      </c>
      <c r="F30" s="311">
        <v>551.4</v>
      </c>
      <c r="G30" s="311">
        <v>2170</v>
      </c>
      <c r="H30" s="311">
        <v>2722</v>
      </c>
      <c r="I30" s="323">
        <v>7.0140000000000002</v>
      </c>
    </row>
    <row r="31" spans="1:9" ht="15" thickBot="1">
      <c r="A31" s="322">
        <v>320</v>
      </c>
      <c r="B31" s="333">
        <f t="shared" si="0"/>
        <v>3.2</v>
      </c>
      <c r="C31" s="311">
        <v>135.80000000000001</v>
      </c>
      <c r="D31" s="311">
        <v>0.56999999999999995</v>
      </c>
      <c r="E31" s="311">
        <v>1.75</v>
      </c>
      <c r="F31" s="311">
        <v>570.9</v>
      </c>
      <c r="G31" s="311">
        <v>2157</v>
      </c>
      <c r="H31" s="311">
        <v>2728</v>
      </c>
      <c r="I31" s="323">
        <v>6.9690000000000003</v>
      </c>
    </row>
    <row r="32" spans="1:9" ht="15" thickBot="1">
      <c r="A32" s="322">
        <v>360</v>
      </c>
      <c r="B32" s="333">
        <f t="shared" si="0"/>
        <v>3.6</v>
      </c>
      <c r="C32" s="311">
        <v>139.9</v>
      </c>
      <c r="D32" s="311">
        <v>0.51</v>
      </c>
      <c r="E32" s="311">
        <v>1.96</v>
      </c>
      <c r="F32" s="311">
        <v>588.5</v>
      </c>
      <c r="G32" s="311">
        <v>2144</v>
      </c>
      <c r="H32" s="311">
        <v>2733</v>
      </c>
      <c r="I32" s="323">
        <v>6.93</v>
      </c>
    </row>
    <row r="33" spans="1:9" ht="15" thickBot="1">
      <c r="A33" s="322">
        <v>400</v>
      </c>
      <c r="B33" s="333">
        <f t="shared" si="0"/>
        <v>4</v>
      </c>
      <c r="C33" s="311">
        <v>143.1</v>
      </c>
      <c r="D33" s="311">
        <v>0.46200000000000002</v>
      </c>
      <c r="E33" s="311">
        <v>2.16</v>
      </c>
      <c r="F33" s="311">
        <v>604.70000000000005</v>
      </c>
      <c r="G33" s="311">
        <v>2133</v>
      </c>
      <c r="H33" s="311">
        <v>2738</v>
      </c>
      <c r="I33" s="323">
        <v>6.8940000000000001</v>
      </c>
    </row>
    <row r="34" spans="1:9" ht="15" thickBot="1">
      <c r="A34" s="322">
        <v>440</v>
      </c>
      <c r="B34" s="333">
        <f t="shared" si="0"/>
        <v>4.4000000000000004</v>
      </c>
      <c r="C34" s="311">
        <v>147.1</v>
      </c>
      <c r="D34" s="311">
        <v>0.42299999999999999</v>
      </c>
      <c r="E34" s="311">
        <v>2.36</v>
      </c>
      <c r="F34" s="311">
        <v>619.6</v>
      </c>
      <c r="G34" s="311">
        <v>2122</v>
      </c>
      <c r="H34" s="311">
        <v>2742</v>
      </c>
      <c r="I34" s="323">
        <v>6.8620000000000001</v>
      </c>
    </row>
    <row r="35" spans="1:9" ht="15" thickBot="1">
      <c r="A35" s="322">
        <v>480</v>
      </c>
      <c r="B35" s="333">
        <f t="shared" si="0"/>
        <v>4.8</v>
      </c>
      <c r="C35" s="311">
        <v>150.30000000000001</v>
      </c>
      <c r="D35" s="311">
        <v>0.38900000000000001</v>
      </c>
      <c r="E35" s="311">
        <v>2.57</v>
      </c>
      <c r="F35" s="311">
        <v>633.5</v>
      </c>
      <c r="G35" s="311">
        <v>2112</v>
      </c>
      <c r="H35" s="311">
        <v>2746</v>
      </c>
      <c r="I35" s="323">
        <v>6.8330000000000002</v>
      </c>
    </row>
    <row r="36" spans="1:9" ht="15" thickBot="1">
      <c r="A36" s="322">
        <v>500</v>
      </c>
      <c r="B36" s="333">
        <f t="shared" si="0"/>
        <v>5</v>
      </c>
      <c r="C36" s="311">
        <v>151.80000000000001</v>
      </c>
      <c r="D36" s="311">
        <v>0.375</v>
      </c>
      <c r="E36" s="311">
        <v>2.67</v>
      </c>
      <c r="F36" s="311">
        <v>640.1</v>
      </c>
      <c r="G36" s="311">
        <v>2107</v>
      </c>
      <c r="H36" s="311">
        <v>2748</v>
      </c>
      <c r="I36" s="323">
        <v>6.819</v>
      </c>
    </row>
    <row r="37" spans="1:9" ht="15" thickBot="1">
      <c r="A37" s="322">
        <v>550</v>
      </c>
      <c r="B37" s="333">
        <f t="shared" si="0"/>
        <v>5.5</v>
      </c>
      <c r="C37" s="311">
        <v>155.5</v>
      </c>
      <c r="D37" s="311">
        <v>0.34200000000000003</v>
      </c>
      <c r="E37" s="311">
        <v>2.92</v>
      </c>
      <c r="F37" s="311">
        <v>655.8</v>
      </c>
      <c r="G37" s="311">
        <v>2096</v>
      </c>
      <c r="H37" s="311">
        <v>2752</v>
      </c>
      <c r="I37" s="323">
        <v>6.7869999999999999</v>
      </c>
    </row>
    <row r="38" spans="1:9" ht="15" thickBot="1">
      <c r="A38" s="322">
        <v>600</v>
      </c>
      <c r="B38" s="333">
        <f t="shared" si="0"/>
        <v>6</v>
      </c>
      <c r="C38" s="311">
        <v>158.80000000000001</v>
      </c>
      <c r="D38" s="311">
        <v>0.315</v>
      </c>
      <c r="E38" s="311">
        <v>3.1749999999999998</v>
      </c>
      <c r="F38" s="311">
        <v>670.4</v>
      </c>
      <c r="G38" s="311">
        <v>2085</v>
      </c>
      <c r="H38" s="311">
        <v>2756</v>
      </c>
      <c r="I38" s="323">
        <v>6.758</v>
      </c>
    </row>
    <row r="39" spans="1:9" ht="15" thickBot="1">
      <c r="A39" s="322">
        <v>650</v>
      </c>
      <c r="B39" s="333">
        <f t="shared" si="0"/>
        <v>6.5</v>
      </c>
      <c r="C39" s="311">
        <v>162</v>
      </c>
      <c r="D39" s="311">
        <v>0.29199999999999998</v>
      </c>
      <c r="E39" s="311">
        <v>3.4249999999999998</v>
      </c>
      <c r="F39" s="311">
        <v>684.1</v>
      </c>
      <c r="G39" s="311">
        <v>2075</v>
      </c>
      <c r="H39" s="311">
        <v>2759</v>
      </c>
      <c r="I39" s="323">
        <v>6.73</v>
      </c>
    </row>
    <row r="40" spans="1:9" ht="15" thickBot="1">
      <c r="A40" s="322">
        <v>700</v>
      </c>
      <c r="B40" s="333">
        <f t="shared" si="0"/>
        <v>7</v>
      </c>
      <c r="C40" s="311">
        <v>165</v>
      </c>
      <c r="D40" s="311">
        <v>0.27300000000000002</v>
      </c>
      <c r="E40" s="311">
        <v>3.66</v>
      </c>
      <c r="F40" s="311">
        <v>697.1</v>
      </c>
      <c r="G40" s="311">
        <v>2065</v>
      </c>
      <c r="H40" s="311">
        <v>2762</v>
      </c>
      <c r="I40" s="323">
        <v>6.7050000000000001</v>
      </c>
    </row>
    <row r="41" spans="1:9" ht="15" thickBot="1">
      <c r="A41" s="322">
        <v>750</v>
      </c>
      <c r="B41" s="333">
        <f t="shared" si="0"/>
        <v>7.5</v>
      </c>
      <c r="C41" s="311">
        <v>167.8</v>
      </c>
      <c r="D41" s="311">
        <v>0.255</v>
      </c>
      <c r="E41" s="311">
        <v>3.915</v>
      </c>
      <c r="F41" s="311">
        <v>709.3</v>
      </c>
      <c r="G41" s="311">
        <v>2056</v>
      </c>
      <c r="H41" s="311">
        <v>2765</v>
      </c>
      <c r="I41" s="323">
        <v>6.6820000000000004</v>
      </c>
    </row>
    <row r="42" spans="1:9" ht="15" thickBot="1">
      <c r="A42" s="322">
        <v>800</v>
      </c>
      <c r="B42" s="333">
        <f t="shared" si="0"/>
        <v>8</v>
      </c>
      <c r="C42" s="311">
        <v>170.4</v>
      </c>
      <c r="D42" s="311">
        <v>0.24</v>
      </c>
      <c r="E42" s="311">
        <v>4.16</v>
      </c>
      <c r="F42" s="311">
        <v>720.9</v>
      </c>
      <c r="G42" s="311">
        <v>2047</v>
      </c>
      <c r="H42" s="311">
        <v>2768</v>
      </c>
      <c r="I42" s="323">
        <v>6.66</v>
      </c>
    </row>
    <row r="43" spans="1:9" ht="15" thickBot="1">
      <c r="A43" s="322">
        <v>850</v>
      </c>
      <c r="B43" s="333">
        <f t="shared" si="0"/>
        <v>8.5</v>
      </c>
      <c r="C43" s="311">
        <v>172.9</v>
      </c>
      <c r="D43" s="311">
        <v>0.22900000000000001</v>
      </c>
      <c r="E43" s="311">
        <v>4.41</v>
      </c>
      <c r="F43" s="311">
        <v>732</v>
      </c>
      <c r="G43" s="311">
        <v>2038</v>
      </c>
      <c r="H43" s="311">
        <v>2770</v>
      </c>
      <c r="I43" s="323">
        <v>6.6390000000000002</v>
      </c>
    </row>
    <row r="44" spans="1:9" ht="15" thickBot="1">
      <c r="A44" s="322">
        <v>900</v>
      </c>
      <c r="B44" s="333">
        <f t="shared" si="0"/>
        <v>9</v>
      </c>
      <c r="C44" s="311">
        <v>175.4</v>
      </c>
      <c r="D44" s="311">
        <v>0.215</v>
      </c>
      <c r="E44" s="311">
        <v>4.6500000000000004</v>
      </c>
      <c r="F44" s="311">
        <v>742.6</v>
      </c>
      <c r="G44" s="311">
        <v>2030</v>
      </c>
      <c r="H44" s="311">
        <v>2772</v>
      </c>
      <c r="I44" s="323">
        <v>6.6189999999999998</v>
      </c>
    </row>
    <row r="45" spans="1:9" ht="15" thickBot="1">
      <c r="A45" s="322">
        <v>950</v>
      </c>
      <c r="B45" s="333">
        <f t="shared" si="0"/>
        <v>9.5</v>
      </c>
      <c r="C45" s="311">
        <v>177.7</v>
      </c>
      <c r="D45" s="311">
        <v>0.20399999999999999</v>
      </c>
      <c r="E45" s="311">
        <v>4.9000000000000004</v>
      </c>
      <c r="F45" s="311">
        <v>752.8</v>
      </c>
      <c r="G45" s="311">
        <v>2021</v>
      </c>
      <c r="H45" s="311">
        <v>2774</v>
      </c>
      <c r="I45" s="323">
        <v>6.601</v>
      </c>
    </row>
    <row r="46" spans="1:9" ht="15" thickBot="1">
      <c r="A46" s="322">
        <v>1000</v>
      </c>
      <c r="B46" s="333">
        <f t="shared" si="0"/>
        <v>10</v>
      </c>
      <c r="C46" s="311">
        <v>179.9</v>
      </c>
      <c r="D46" s="311">
        <v>0.19400000000000001</v>
      </c>
      <c r="E46" s="311">
        <v>5.15</v>
      </c>
      <c r="F46" s="311">
        <v>762.6</v>
      </c>
      <c r="G46" s="311">
        <v>2014</v>
      </c>
      <c r="H46" s="311">
        <v>2776</v>
      </c>
      <c r="I46" s="323">
        <v>6.5830000000000002</v>
      </c>
    </row>
    <row r="47" spans="1:9" ht="15" thickBot="1">
      <c r="A47" s="322">
        <v>1050</v>
      </c>
      <c r="B47" s="333">
        <f t="shared" si="0"/>
        <v>10.5</v>
      </c>
      <c r="C47" s="311">
        <v>182</v>
      </c>
      <c r="D47" s="311">
        <v>0.186</v>
      </c>
      <c r="E47" s="311">
        <v>5.39</v>
      </c>
      <c r="F47" s="311">
        <v>772</v>
      </c>
      <c r="G47" s="311">
        <v>2006</v>
      </c>
      <c r="H47" s="311">
        <v>2778</v>
      </c>
      <c r="I47" s="323">
        <v>6.5659999999999998</v>
      </c>
    </row>
    <row r="48" spans="1:9" ht="15" thickBot="1">
      <c r="A48" s="322">
        <v>1150</v>
      </c>
      <c r="B48" s="333">
        <f t="shared" si="0"/>
        <v>11.5</v>
      </c>
      <c r="C48" s="311">
        <v>186</v>
      </c>
      <c r="D48" s="311">
        <v>0.17</v>
      </c>
      <c r="E48" s="311">
        <v>5.89</v>
      </c>
      <c r="F48" s="311">
        <v>790</v>
      </c>
      <c r="G48" s="311">
        <v>1991</v>
      </c>
      <c r="H48" s="311">
        <v>2781</v>
      </c>
      <c r="I48" s="323">
        <v>6.5339999999999998</v>
      </c>
    </row>
    <row r="49" spans="1:9" ht="15" thickBot="1">
      <c r="A49" s="322">
        <v>1250</v>
      </c>
      <c r="B49" s="333">
        <f t="shared" si="0"/>
        <v>12.5</v>
      </c>
      <c r="C49" s="311">
        <v>189.8</v>
      </c>
      <c r="D49" s="311">
        <v>0.157</v>
      </c>
      <c r="E49" s="311">
        <v>6.38</v>
      </c>
      <c r="F49" s="311">
        <v>807</v>
      </c>
      <c r="G49" s="311">
        <v>1977</v>
      </c>
      <c r="H49" s="311">
        <v>2784</v>
      </c>
      <c r="I49" s="323">
        <v>6.5049999999999999</v>
      </c>
    </row>
    <row r="50" spans="1:9" ht="15" thickBot="1">
      <c r="A50" s="322">
        <v>1300</v>
      </c>
      <c r="B50" s="333">
        <f t="shared" si="0"/>
        <v>13</v>
      </c>
      <c r="C50" s="311">
        <v>191.6</v>
      </c>
      <c r="D50" s="311">
        <v>0.151</v>
      </c>
      <c r="E50" s="311">
        <v>6.62</v>
      </c>
      <c r="F50" s="311">
        <v>815</v>
      </c>
      <c r="G50" s="311">
        <v>1971</v>
      </c>
      <c r="H50" s="311">
        <v>2785</v>
      </c>
      <c r="I50" s="323">
        <v>6.4909999999999997</v>
      </c>
    </row>
    <row r="51" spans="1:9" ht="15" thickBot="1">
      <c r="A51" s="322">
        <v>1500</v>
      </c>
      <c r="B51" s="333">
        <f t="shared" si="0"/>
        <v>15</v>
      </c>
      <c r="C51" s="311">
        <v>198.3</v>
      </c>
      <c r="D51" s="311">
        <v>0.13200000000000001</v>
      </c>
      <c r="E51" s="311">
        <v>7.59</v>
      </c>
      <c r="F51" s="311">
        <v>845</v>
      </c>
      <c r="G51" s="311">
        <v>1945</v>
      </c>
      <c r="H51" s="311">
        <v>2790</v>
      </c>
      <c r="I51" s="323">
        <v>6.4409999999999998</v>
      </c>
    </row>
    <row r="52" spans="1:9" ht="15" thickBot="1">
      <c r="A52" s="322">
        <v>1600</v>
      </c>
      <c r="B52" s="333">
        <f t="shared" si="0"/>
        <v>16</v>
      </c>
      <c r="C52" s="311">
        <v>201.4</v>
      </c>
      <c r="D52" s="311">
        <v>0.124</v>
      </c>
      <c r="E52" s="311">
        <v>8.0299999999999994</v>
      </c>
      <c r="F52" s="311">
        <v>859</v>
      </c>
      <c r="G52" s="311">
        <v>1933</v>
      </c>
      <c r="H52" s="311">
        <v>2792</v>
      </c>
      <c r="I52" s="323">
        <v>6.4180000000000001</v>
      </c>
    </row>
    <row r="53" spans="1:9" ht="15" thickBot="1">
      <c r="A53" s="322">
        <v>1800</v>
      </c>
      <c r="B53" s="333">
        <f t="shared" si="0"/>
        <v>18</v>
      </c>
      <c r="C53" s="311">
        <v>207.1</v>
      </c>
      <c r="D53" s="311">
        <v>0.11</v>
      </c>
      <c r="E53" s="311">
        <v>9.07</v>
      </c>
      <c r="F53" s="311">
        <v>885</v>
      </c>
      <c r="G53" s="311">
        <v>1910</v>
      </c>
      <c r="H53" s="311">
        <v>2795</v>
      </c>
      <c r="I53" s="323">
        <v>6.375</v>
      </c>
    </row>
    <row r="54" spans="1:9" ht="15" thickBot="1">
      <c r="A54" s="322">
        <v>2000</v>
      </c>
      <c r="B54" s="333">
        <f t="shared" si="0"/>
        <v>20</v>
      </c>
      <c r="C54" s="311">
        <v>212.4</v>
      </c>
      <c r="D54" s="311">
        <v>9.9500000000000005E-2</v>
      </c>
      <c r="E54" s="311">
        <v>10.01</v>
      </c>
      <c r="F54" s="311">
        <v>909</v>
      </c>
      <c r="G54" s="311">
        <v>1889</v>
      </c>
      <c r="H54" s="311">
        <v>2797</v>
      </c>
      <c r="I54" s="323">
        <v>6.3369999999999997</v>
      </c>
    </row>
    <row r="55" spans="1:9" ht="15" thickBot="1">
      <c r="A55" s="322">
        <v>2100</v>
      </c>
      <c r="B55" s="333">
        <f t="shared" si="0"/>
        <v>21</v>
      </c>
      <c r="C55" s="311">
        <v>214.9</v>
      </c>
      <c r="D55" s="311">
        <v>9.4500000000000001E-2</v>
      </c>
      <c r="E55" s="311">
        <v>10.54</v>
      </c>
      <c r="F55" s="311">
        <v>920</v>
      </c>
      <c r="G55" s="311">
        <v>1878</v>
      </c>
      <c r="H55" s="311">
        <v>2798</v>
      </c>
      <c r="I55" s="323">
        <v>6.319</v>
      </c>
    </row>
    <row r="56" spans="1:9" ht="15" thickBot="1">
      <c r="A56" s="322">
        <v>2300</v>
      </c>
      <c r="B56" s="333">
        <f t="shared" si="0"/>
        <v>23</v>
      </c>
      <c r="C56" s="311">
        <v>219.6</v>
      </c>
      <c r="D56" s="311">
        <v>8.6800000000000002E-2</v>
      </c>
      <c r="E56" s="311">
        <v>11.52</v>
      </c>
      <c r="F56" s="311">
        <v>942</v>
      </c>
      <c r="G56" s="311">
        <v>1858</v>
      </c>
      <c r="H56" s="311">
        <v>2800</v>
      </c>
      <c r="I56" s="323">
        <v>6.2850000000000001</v>
      </c>
    </row>
    <row r="57" spans="1:9" ht="15" thickBot="1">
      <c r="A57" s="322">
        <v>2400</v>
      </c>
      <c r="B57" s="333">
        <f t="shared" si="0"/>
        <v>24</v>
      </c>
      <c r="C57" s="311">
        <v>221.8</v>
      </c>
      <c r="D57" s="311">
        <v>8.3199999999999996E-2</v>
      </c>
      <c r="E57" s="311">
        <v>12.02</v>
      </c>
      <c r="F57" s="311">
        <v>952</v>
      </c>
      <c r="G57" s="311">
        <v>1849</v>
      </c>
      <c r="H57" s="311">
        <v>2800</v>
      </c>
      <c r="I57" s="323">
        <v>6.2690000000000001</v>
      </c>
    </row>
    <row r="58" spans="1:9" ht="15" thickBot="1">
      <c r="A58" s="322">
        <v>2600</v>
      </c>
      <c r="B58" s="333">
        <f t="shared" si="0"/>
        <v>26</v>
      </c>
      <c r="C58" s="311">
        <v>226</v>
      </c>
      <c r="D58" s="311">
        <v>7.6899999999999996E-2</v>
      </c>
      <c r="E58" s="311">
        <v>13.01</v>
      </c>
      <c r="F58" s="311">
        <v>972</v>
      </c>
      <c r="G58" s="311">
        <v>1830</v>
      </c>
      <c r="H58" s="311">
        <v>2801</v>
      </c>
      <c r="I58" s="323">
        <v>6.2389999999999999</v>
      </c>
    </row>
    <row r="59" spans="1:9" ht="15" thickBot="1">
      <c r="A59" s="322">
        <v>2700</v>
      </c>
      <c r="B59" s="333">
        <f t="shared" si="0"/>
        <v>27</v>
      </c>
      <c r="C59" s="311">
        <v>228.1</v>
      </c>
      <c r="D59" s="311">
        <v>7.3999999999999996E-2</v>
      </c>
      <c r="E59" s="311">
        <v>13.52</v>
      </c>
      <c r="F59" s="311">
        <v>981</v>
      </c>
      <c r="G59" s="311">
        <v>1821</v>
      </c>
      <c r="H59" s="311">
        <v>2802</v>
      </c>
      <c r="I59" s="323">
        <v>6.2240000000000002</v>
      </c>
    </row>
    <row r="60" spans="1:9" ht="15" thickBot="1">
      <c r="A60" s="322">
        <v>2900</v>
      </c>
      <c r="B60" s="333">
        <f t="shared" si="0"/>
        <v>29</v>
      </c>
      <c r="C60" s="311">
        <v>232</v>
      </c>
      <c r="D60" s="311">
        <v>6.8900000000000003E-2</v>
      </c>
      <c r="E60" s="311">
        <v>14.52</v>
      </c>
      <c r="F60" s="311">
        <v>1000</v>
      </c>
      <c r="G60" s="311">
        <v>1803</v>
      </c>
      <c r="H60" s="311">
        <v>2802</v>
      </c>
      <c r="I60" s="323">
        <v>6.1970000000000001</v>
      </c>
    </row>
    <row r="61" spans="1:9" ht="15" thickBot="1">
      <c r="A61" s="322">
        <v>3000</v>
      </c>
      <c r="B61" s="333">
        <f t="shared" si="0"/>
        <v>30</v>
      </c>
      <c r="C61" s="311">
        <v>233.8</v>
      </c>
      <c r="D61" s="311">
        <v>6.6600000000000006E-2</v>
      </c>
      <c r="E61" s="311">
        <v>15</v>
      </c>
      <c r="F61" s="311">
        <v>1008</v>
      </c>
      <c r="G61" s="311">
        <v>1794</v>
      </c>
      <c r="H61" s="311">
        <v>2802</v>
      </c>
      <c r="I61" s="323">
        <v>6.1840000000000002</v>
      </c>
    </row>
    <row r="62" spans="1:9" ht="15" thickBot="1">
      <c r="A62" s="322">
        <v>3200</v>
      </c>
      <c r="B62" s="333">
        <f t="shared" si="0"/>
        <v>32</v>
      </c>
      <c r="C62" s="311">
        <v>237.4</v>
      </c>
      <c r="D62" s="311">
        <v>6.2399999999999997E-2</v>
      </c>
      <c r="E62" s="311">
        <v>16.02</v>
      </c>
      <c r="F62" s="311">
        <v>1025</v>
      </c>
      <c r="G62" s="311">
        <v>1779</v>
      </c>
      <c r="H62" s="311">
        <v>2802</v>
      </c>
      <c r="I62" s="323">
        <v>6.1580000000000004</v>
      </c>
    </row>
    <row r="63" spans="1:9" ht="15" thickBot="1">
      <c r="A63" s="322">
        <v>3400</v>
      </c>
      <c r="B63" s="333">
        <f t="shared" si="0"/>
        <v>34</v>
      </c>
      <c r="C63" s="311">
        <v>240.9</v>
      </c>
      <c r="D63" s="311">
        <v>5.8700000000000002E-2</v>
      </c>
      <c r="E63" s="311">
        <v>17.04</v>
      </c>
      <c r="F63" s="311">
        <v>1042</v>
      </c>
      <c r="G63" s="311">
        <v>1760</v>
      </c>
      <c r="H63" s="311">
        <v>2802</v>
      </c>
      <c r="I63" s="323">
        <v>6.1340000000000003</v>
      </c>
    </row>
    <row r="64" spans="1:9" ht="15" thickBot="1">
      <c r="A64" s="322">
        <v>3600</v>
      </c>
      <c r="B64" s="333">
        <f t="shared" si="0"/>
        <v>36</v>
      </c>
      <c r="C64" s="311">
        <v>244.2</v>
      </c>
      <c r="D64" s="311">
        <v>5.5399999999999998E-2</v>
      </c>
      <c r="E64" s="311">
        <v>18.059999999999999</v>
      </c>
      <c r="F64" s="311">
        <v>1058</v>
      </c>
      <c r="G64" s="311">
        <v>1744</v>
      </c>
      <c r="H64" s="311">
        <v>2802</v>
      </c>
      <c r="I64" s="323">
        <v>6.1120000000000001</v>
      </c>
    </row>
    <row r="65" spans="1:9" ht="15" thickBot="1">
      <c r="A65" s="322">
        <v>3800</v>
      </c>
      <c r="B65" s="333">
        <f t="shared" si="0"/>
        <v>38</v>
      </c>
      <c r="C65" s="311">
        <v>247.3</v>
      </c>
      <c r="D65" s="311">
        <v>5.2400000000000002E-2</v>
      </c>
      <c r="E65" s="311">
        <v>19.079999999999998</v>
      </c>
      <c r="F65" s="311">
        <v>1073</v>
      </c>
      <c r="G65" s="311">
        <v>1728</v>
      </c>
      <c r="H65" s="311">
        <v>2801</v>
      </c>
      <c r="I65" s="323">
        <v>6.09</v>
      </c>
    </row>
    <row r="66" spans="1:9" ht="15" thickBot="1">
      <c r="A66" s="326">
        <v>4000</v>
      </c>
      <c r="B66" s="333">
        <f t="shared" si="0"/>
        <v>40</v>
      </c>
      <c r="C66" s="327">
        <v>250.3</v>
      </c>
      <c r="D66" s="327">
        <v>4.9700000000000001E-2</v>
      </c>
      <c r="E66" s="327">
        <v>20.09</v>
      </c>
      <c r="F66" s="327">
        <v>1087</v>
      </c>
      <c r="G66" s="327">
        <v>1713</v>
      </c>
      <c r="H66" s="327">
        <v>2800</v>
      </c>
      <c r="I66" s="328">
        <v>6.069</v>
      </c>
    </row>
    <row r="67" spans="1:9" ht="15" thickTop="1"/>
  </sheetData>
  <mergeCells count="1">
    <mergeCell ref="F1:H4"/>
  </mergeCells>
  <hyperlinks>
    <hyperlink ref="A1" r:id="rId1" display="http://www.engineeringtoolbox.com/pressure-d_587.html" xr:uid="{00000000-0004-0000-0F00-000000000000}"/>
    <hyperlink ref="A2" r:id="rId2" display="http://www.engineeringtoolbox.com/pressure-d_587.html" xr:uid="{00000000-0004-0000-0F00-000001000000}"/>
    <hyperlink ref="A3" r:id="rId3" display="http://www.engineeringtoolbox.com/pressure-d_587.html" xr:uid="{00000000-0004-0000-0F00-000002000000}"/>
    <hyperlink ref="C1" r:id="rId4" display="http://www.engineeringtoolbox.com/temperature-d_291.html" xr:uid="{00000000-0004-0000-0F00-000003000000}"/>
    <hyperlink ref="C2" r:id="rId5" display="http://www.engineeringtoolbox.com/temperature-d_291.html" xr:uid="{00000000-0004-0000-0F00-000004000000}"/>
    <hyperlink ref="D1" r:id="rId6" display="http://www.engineeringtoolbox.com/density-specific-weight-gravity-d_290.html" xr:uid="{00000000-0004-0000-0F00-000005000000}"/>
    <hyperlink ref="D2" r:id="rId7" display="http://www.engineeringtoolbox.com/density-specific-weight-gravity-d_290.html" xr:uid="{00000000-0004-0000-0F00-000006000000}"/>
    <hyperlink ref="D3" r:id="rId8" display="http://www.engineeringtoolbox.com/density-specific-weight-gravity-d_290.html" xr:uid="{00000000-0004-0000-0F00-000007000000}"/>
    <hyperlink ref="E1" r:id="rId9" display="http://www.engineeringtoolbox.com/density-specific-weight-gravity-d_290.html" xr:uid="{00000000-0004-0000-0F00-000008000000}"/>
  </hyperlinks>
  <pageMargins left="0.7" right="0.7" top="0.75" bottom="0.75" header="0.3" footer="0.3"/>
  <pageSetup paperSize="9" orientation="portrait" r:id="rId1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/>
  <dimension ref="A1:J30"/>
  <sheetViews>
    <sheetView workbookViewId="0">
      <selection activeCell="H7" sqref="H7"/>
    </sheetView>
  </sheetViews>
  <sheetFormatPr defaultRowHeight="14.5"/>
  <cols>
    <col min="2" max="2" width="33.54296875" customWidth="1"/>
    <col min="3" max="3" width="15.54296875" customWidth="1"/>
    <col min="4" max="5" width="16.453125" customWidth="1"/>
    <col min="6" max="6" width="15" customWidth="1"/>
    <col min="7" max="7" width="19.1796875" customWidth="1"/>
    <col min="8" max="8" width="19.81640625" customWidth="1"/>
  </cols>
  <sheetData>
    <row r="1" spans="1:10" ht="26">
      <c r="A1" s="1081" t="s">
        <v>761</v>
      </c>
      <c r="B1" s="1081"/>
      <c r="C1" s="1081"/>
      <c r="D1" s="1081"/>
      <c r="E1" s="1081"/>
      <c r="F1" s="1081"/>
      <c r="G1" s="1081"/>
      <c r="H1" s="1081"/>
      <c r="I1" s="361"/>
    </row>
    <row r="2" spans="1:10" ht="15" thickBot="1"/>
    <row r="3" spans="1:10" s="373" customFormat="1">
      <c r="A3" s="370" t="s">
        <v>762</v>
      </c>
      <c r="B3" s="371" t="s">
        <v>763</v>
      </c>
      <c r="C3" s="371" t="s">
        <v>764</v>
      </c>
      <c r="D3" s="371" t="s">
        <v>765</v>
      </c>
      <c r="E3" s="371" t="s">
        <v>766</v>
      </c>
      <c r="F3" s="371" t="s">
        <v>767</v>
      </c>
      <c r="G3" s="371" t="s">
        <v>768</v>
      </c>
      <c r="H3" s="372" t="s">
        <v>769</v>
      </c>
    </row>
    <row r="4" spans="1:10">
      <c r="A4" s="362">
        <v>1</v>
      </c>
      <c r="B4" s="363" t="s">
        <v>770</v>
      </c>
      <c r="C4" s="364"/>
      <c r="D4" s="364"/>
      <c r="E4" s="364"/>
      <c r="F4" s="364"/>
      <c r="G4" s="364"/>
      <c r="H4" s="365"/>
    </row>
    <row r="5" spans="1:10">
      <c r="A5" s="362">
        <v>2</v>
      </c>
      <c r="B5" s="364" t="s">
        <v>771</v>
      </c>
      <c r="C5" s="364">
        <v>100</v>
      </c>
      <c r="D5" s="364">
        <f>(530+600+300+300+600+900+220+300+650+210+680)*10</f>
        <v>52900</v>
      </c>
      <c r="E5" s="364">
        <v>0</v>
      </c>
      <c r="F5" s="364">
        <v>0</v>
      </c>
      <c r="G5" s="364">
        <f>(3.14*(C5/2)*(C5/2)*D5)+(3.14*(E5/2)*(E5/2)*F5)</f>
        <v>415265000</v>
      </c>
      <c r="H5" s="374">
        <f>G5/100000000</f>
        <v>4.1526500000000004</v>
      </c>
    </row>
    <row r="6" spans="1:10">
      <c r="A6" s="362">
        <v>3</v>
      </c>
      <c r="B6" s="364" t="s">
        <v>772</v>
      </c>
      <c r="C6" s="364">
        <v>150</v>
      </c>
      <c r="D6" s="364">
        <f>(530+600+300+300+600+900+220+300+650+210+1300)*10</f>
        <v>59100</v>
      </c>
      <c r="E6" s="364"/>
      <c r="F6" s="364"/>
      <c r="G6" s="364">
        <f t="shared" ref="G6:G29" si="0">(3.14*(C6/2)*(C6/2)*D6)+(3.14*(E6/2)*(E6/2)*F6)</f>
        <v>1043853750</v>
      </c>
      <c r="H6" s="374">
        <f t="shared" ref="H6:H29" si="1">G6/100000000</f>
        <v>10.438537500000001</v>
      </c>
      <c r="J6">
        <v>11</v>
      </c>
    </row>
    <row r="7" spans="1:10">
      <c r="A7" s="362">
        <v>4</v>
      </c>
      <c r="B7" s="364" t="s">
        <v>773</v>
      </c>
      <c r="C7" s="364">
        <v>150</v>
      </c>
      <c r="D7" s="364">
        <f>460*10</f>
        <v>4600</v>
      </c>
      <c r="E7" s="364">
        <v>200</v>
      </c>
      <c r="F7" s="364">
        <f>530*10</f>
        <v>5300</v>
      </c>
      <c r="G7" s="364">
        <f t="shared" si="0"/>
        <v>247667500</v>
      </c>
      <c r="H7" s="374">
        <f t="shared" si="1"/>
        <v>2.4766750000000002</v>
      </c>
    </row>
    <row r="8" spans="1:10">
      <c r="A8" s="362"/>
      <c r="B8" s="363" t="s">
        <v>529</v>
      </c>
      <c r="C8" s="364"/>
      <c r="D8" s="364"/>
      <c r="E8" s="364"/>
      <c r="F8" s="364"/>
      <c r="G8" s="364"/>
      <c r="H8" s="374"/>
    </row>
    <row r="9" spans="1:10">
      <c r="A9" s="362">
        <v>5</v>
      </c>
      <c r="B9" s="364" t="s">
        <v>774</v>
      </c>
      <c r="C9" s="364">
        <v>200</v>
      </c>
      <c r="D9" s="364">
        <f>530*10</f>
        <v>5300</v>
      </c>
      <c r="E9" s="364">
        <v>150</v>
      </c>
      <c r="F9" s="364">
        <f>(230+300+300+800)*10</f>
        <v>16300</v>
      </c>
      <c r="G9" s="364">
        <f t="shared" si="0"/>
        <v>454318750</v>
      </c>
      <c r="H9" s="374">
        <f t="shared" si="1"/>
        <v>4.5431875000000002</v>
      </c>
    </row>
    <row r="10" spans="1:10">
      <c r="A10" s="362">
        <v>6</v>
      </c>
      <c r="B10" s="364" t="s">
        <v>775</v>
      </c>
      <c r="C10" s="364">
        <v>80</v>
      </c>
      <c r="D10" s="364">
        <f>540*10</f>
        <v>5400</v>
      </c>
      <c r="E10" s="364">
        <v>65</v>
      </c>
      <c r="F10" s="364">
        <f>(400+150+120)*10</f>
        <v>6700</v>
      </c>
      <c r="G10" s="364">
        <f>(3.14*(C10/2)*(C10/2)*D10)+(3.14*(E10/2)*(E10/2)*F10)</f>
        <v>49350987.5</v>
      </c>
      <c r="H10" s="374">
        <f t="shared" si="1"/>
        <v>0.49350987499999999</v>
      </c>
    </row>
    <row r="11" spans="1:10">
      <c r="A11" s="362">
        <v>7</v>
      </c>
      <c r="B11" s="364" t="s">
        <v>776</v>
      </c>
      <c r="C11" s="364">
        <v>65</v>
      </c>
      <c r="D11" s="364">
        <f>(420+300+280+100+150+200)*10</f>
        <v>14500</v>
      </c>
      <c r="E11" s="364"/>
      <c r="F11" s="364"/>
      <c r="G11" s="364">
        <f t="shared" si="0"/>
        <v>48091062.5</v>
      </c>
      <c r="H11" s="374">
        <f t="shared" si="1"/>
        <v>0.48091062499999998</v>
      </c>
    </row>
    <row r="12" spans="1:10">
      <c r="A12" s="362"/>
      <c r="B12" s="363" t="s">
        <v>777</v>
      </c>
      <c r="C12" s="364"/>
      <c r="D12" s="364"/>
      <c r="E12" s="364"/>
      <c r="F12" s="364"/>
      <c r="G12" s="364"/>
      <c r="H12" s="374"/>
    </row>
    <row r="13" spans="1:10">
      <c r="A13" s="362">
        <v>7</v>
      </c>
      <c r="B13" s="364" t="s">
        <v>778</v>
      </c>
      <c r="C13" s="364">
        <v>65</v>
      </c>
      <c r="D13" s="364">
        <f>(300+420+600)*10</f>
        <v>13200</v>
      </c>
      <c r="E13" s="364"/>
      <c r="F13" s="364"/>
      <c r="G13" s="364">
        <f t="shared" si="0"/>
        <v>43779450</v>
      </c>
      <c r="H13" s="374">
        <f t="shared" si="1"/>
        <v>0.43779449999999998</v>
      </c>
    </row>
    <row r="14" spans="1:10">
      <c r="A14" s="362">
        <v>8</v>
      </c>
      <c r="B14" s="364" t="s">
        <v>779</v>
      </c>
      <c r="C14" s="364">
        <v>65</v>
      </c>
      <c r="D14" s="364">
        <f>(220+300*4+210+300+170)*10</f>
        <v>21000</v>
      </c>
      <c r="E14" s="364"/>
      <c r="F14" s="364"/>
      <c r="G14" s="364">
        <f t="shared" si="0"/>
        <v>69649125</v>
      </c>
      <c r="H14" s="374">
        <f t="shared" si="1"/>
        <v>0.69649125000000001</v>
      </c>
    </row>
    <row r="15" spans="1:10">
      <c r="A15" s="362">
        <v>9</v>
      </c>
      <c r="B15" s="364" t="s">
        <v>780</v>
      </c>
      <c r="C15" s="364">
        <v>65</v>
      </c>
      <c r="D15" s="364">
        <f>(300*4+300+190+130+600+500+900+230+600+1200+400+1600)*10</f>
        <v>78500</v>
      </c>
      <c r="E15" s="364"/>
      <c r="F15" s="364"/>
      <c r="G15" s="364">
        <f t="shared" si="0"/>
        <v>260355062.5</v>
      </c>
      <c r="H15" s="374">
        <f t="shared" si="1"/>
        <v>2.603550625</v>
      </c>
    </row>
    <row r="16" spans="1:10">
      <c r="A16" s="362"/>
      <c r="B16" s="363" t="s">
        <v>781</v>
      </c>
      <c r="C16" s="364"/>
      <c r="D16" s="364"/>
      <c r="E16" s="364"/>
      <c r="F16" s="364"/>
      <c r="G16" s="364"/>
      <c r="H16" s="374">
        <f t="shared" si="1"/>
        <v>0</v>
      </c>
    </row>
    <row r="17" spans="1:8">
      <c r="A17" s="362">
        <v>10</v>
      </c>
      <c r="B17" s="364" t="s">
        <v>782</v>
      </c>
      <c r="C17" s="364">
        <v>150</v>
      </c>
      <c r="D17" s="364">
        <f>380*10</f>
        <v>3800</v>
      </c>
      <c r="E17" s="364">
        <v>125</v>
      </c>
      <c r="F17" s="364">
        <f>270*10</f>
        <v>2700</v>
      </c>
      <c r="G17" s="364">
        <f t="shared" si="0"/>
        <v>100234687.5</v>
      </c>
      <c r="H17" s="374">
        <f t="shared" si="1"/>
        <v>1.002346875</v>
      </c>
    </row>
    <row r="18" spans="1:8">
      <c r="A18" s="362"/>
      <c r="B18" s="363" t="s">
        <v>530</v>
      </c>
      <c r="C18" s="364"/>
      <c r="D18" s="364"/>
      <c r="E18" s="364"/>
      <c r="F18" s="364"/>
      <c r="G18" s="364"/>
      <c r="H18" s="374">
        <f t="shared" si="1"/>
        <v>0</v>
      </c>
    </row>
    <row r="19" spans="1:8">
      <c r="A19" s="362">
        <v>11</v>
      </c>
      <c r="B19" s="364" t="s">
        <v>783</v>
      </c>
      <c r="C19" s="364">
        <v>125</v>
      </c>
      <c r="D19" s="364">
        <f>900*10</f>
        <v>9000</v>
      </c>
      <c r="E19" s="364"/>
      <c r="F19" s="364"/>
      <c r="G19" s="364">
        <f t="shared" si="0"/>
        <v>110390625</v>
      </c>
      <c r="H19" s="374">
        <f t="shared" si="1"/>
        <v>1.1039062500000001</v>
      </c>
    </row>
    <row r="20" spans="1:8">
      <c r="A20" s="362">
        <v>12</v>
      </c>
      <c r="B20" s="364" t="s">
        <v>784</v>
      </c>
      <c r="C20" s="364">
        <v>200</v>
      </c>
      <c r="D20" s="364">
        <f>260*10</f>
        <v>2600</v>
      </c>
      <c r="E20" s="364">
        <v>150</v>
      </c>
      <c r="F20" s="364">
        <f>(320+200+300)*10</f>
        <v>8200</v>
      </c>
      <c r="G20" s="364">
        <f t="shared" si="0"/>
        <v>226472500</v>
      </c>
      <c r="H20" s="374">
        <f t="shared" si="1"/>
        <v>2.2647249999999999</v>
      </c>
    </row>
    <row r="21" spans="1:8">
      <c r="A21" s="362">
        <v>13</v>
      </c>
      <c r="B21" s="364" t="s">
        <v>785</v>
      </c>
      <c r="C21" s="364">
        <v>65</v>
      </c>
      <c r="D21" s="364">
        <f>100*10</f>
        <v>1000</v>
      </c>
      <c r="E21" s="364"/>
      <c r="F21" s="364"/>
      <c r="G21" s="364">
        <f>(3.14*(C21/2)*(C21/2)*C21)+(3.14*(D21/2)*(D21/2)*F21)</f>
        <v>215580.625</v>
      </c>
      <c r="H21" s="374">
        <f t="shared" si="1"/>
        <v>2.15580625E-3</v>
      </c>
    </row>
    <row r="22" spans="1:8">
      <c r="A22" s="362">
        <v>14</v>
      </c>
      <c r="B22" s="364" t="s">
        <v>786</v>
      </c>
      <c r="C22" s="364">
        <v>65</v>
      </c>
      <c r="D22" s="364">
        <f>100*10</f>
        <v>1000</v>
      </c>
      <c r="E22" s="364"/>
      <c r="F22" s="364"/>
      <c r="G22" s="364">
        <f>(3.14*(C22/2)*(C22/2)*C22)+(3.14*(D22/2)*(D22/2)*F22)</f>
        <v>215580.625</v>
      </c>
      <c r="H22" s="374">
        <f t="shared" si="1"/>
        <v>2.15580625E-3</v>
      </c>
    </row>
    <row r="23" spans="1:8">
      <c r="A23" s="362"/>
      <c r="B23" s="363" t="s">
        <v>787</v>
      </c>
      <c r="C23" s="364"/>
      <c r="D23" s="364"/>
      <c r="E23" s="364"/>
      <c r="F23" s="364"/>
      <c r="G23" s="364"/>
      <c r="H23" s="374"/>
    </row>
    <row r="24" spans="1:8">
      <c r="A24" s="362">
        <v>16</v>
      </c>
      <c r="B24" s="364" t="s">
        <v>788</v>
      </c>
      <c r="C24" s="364">
        <v>200</v>
      </c>
      <c r="D24" s="364">
        <f>260*10</f>
        <v>2600</v>
      </c>
      <c r="E24" s="364">
        <v>150</v>
      </c>
      <c r="F24" s="364">
        <f>850*10</f>
        <v>8500</v>
      </c>
      <c r="G24" s="364">
        <f t="shared" si="0"/>
        <v>231771250</v>
      </c>
      <c r="H24" s="374">
        <f t="shared" si="1"/>
        <v>2.3177124999999998</v>
      </c>
    </row>
    <row r="25" spans="1:8">
      <c r="A25" s="362">
        <v>17</v>
      </c>
      <c r="B25" s="366" t="s">
        <v>789</v>
      </c>
      <c r="C25" s="364">
        <v>80</v>
      </c>
      <c r="D25" s="364">
        <f>(520+200+530)*10</f>
        <v>12500</v>
      </c>
      <c r="E25" s="364">
        <v>100</v>
      </c>
      <c r="F25" s="364">
        <f>250*10</f>
        <v>2500</v>
      </c>
      <c r="G25" s="364">
        <f t="shared" si="0"/>
        <v>82425000</v>
      </c>
      <c r="H25" s="374">
        <f t="shared" si="1"/>
        <v>0.82425000000000004</v>
      </c>
    </row>
    <row r="26" spans="1:8">
      <c r="A26" s="362">
        <v>18</v>
      </c>
      <c r="B26" s="364" t="s">
        <v>790</v>
      </c>
      <c r="C26" s="364">
        <v>65</v>
      </c>
      <c r="D26" s="364">
        <f>400*10</f>
        <v>4000</v>
      </c>
      <c r="E26" s="364"/>
      <c r="F26" s="364"/>
      <c r="G26" s="364">
        <f t="shared" si="0"/>
        <v>13266500</v>
      </c>
      <c r="H26" s="374">
        <f t="shared" si="1"/>
        <v>0.13266500000000001</v>
      </c>
    </row>
    <row r="27" spans="1:8">
      <c r="A27" s="362">
        <v>19</v>
      </c>
      <c r="B27" s="366" t="s">
        <v>791</v>
      </c>
      <c r="C27" s="364">
        <v>50</v>
      </c>
      <c r="D27" s="364">
        <f>2600*10</f>
        <v>26000</v>
      </c>
      <c r="E27" s="364"/>
      <c r="F27" s="364"/>
      <c r="G27" s="364">
        <f t="shared" si="0"/>
        <v>51025000</v>
      </c>
      <c r="H27" s="374">
        <f t="shared" si="1"/>
        <v>0.51024999999999998</v>
      </c>
    </row>
    <row r="28" spans="1:8">
      <c r="A28" s="362"/>
      <c r="B28" s="363" t="s">
        <v>792</v>
      </c>
      <c r="C28" s="364"/>
      <c r="D28" s="364"/>
      <c r="E28" s="364"/>
      <c r="F28" s="364"/>
      <c r="G28" s="364"/>
      <c r="H28" s="374"/>
    </row>
    <row r="29" spans="1:8">
      <c r="A29" s="362">
        <v>20</v>
      </c>
      <c r="B29" s="364" t="s">
        <v>793</v>
      </c>
      <c r="C29" s="364">
        <v>80</v>
      </c>
      <c r="D29" s="364">
        <f>7500*10</f>
        <v>75000</v>
      </c>
      <c r="E29" s="364"/>
      <c r="F29" s="364"/>
      <c r="G29" s="364">
        <f t="shared" si="0"/>
        <v>376800000</v>
      </c>
      <c r="H29" s="374">
        <f t="shared" si="1"/>
        <v>3.7679999999999998</v>
      </c>
    </row>
    <row r="30" spans="1:8" ht="15" thickBot="1">
      <c r="A30" s="367"/>
      <c r="B30" s="368"/>
      <c r="C30" s="368"/>
      <c r="D30" s="368"/>
      <c r="E30" s="368"/>
      <c r="F30" s="368"/>
      <c r="G30" s="368"/>
      <c r="H30" s="369"/>
    </row>
  </sheetData>
  <mergeCells count="1">
    <mergeCell ref="A1:H1"/>
  </mergeCells>
  <pageMargins left="0.7" right="0.7" top="0.5" bottom="0" header="0" footer="0"/>
  <pageSetup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4"/>
  <dimension ref="A1:C1352"/>
  <sheetViews>
    <sheetView topLeftCell="A752" workbookViewId="0">
      <selection activeCell="E49" sqref="E49"/>
    </sheetView>
  </sheetViews>
  <sheetFormatPr defaultColWidth="9.1796875" defaultRowHeight="12.5"/>
  <cols>
    <col min="1" max="2" width="9.1796875" style="393"/>
    <col min="3" max="16384" width="9.1796875" style="86"/>
  </cols>
  <sheetData>
    <row r="1" spans="1:3">
      <c r="A1" s="389" t="s">
        <v>794</v>
      </c>
      <c r="B1" s="389" t="s">
        <v>795</v>
      </c>
      <c r="C1" s="389" t="s">
        <v>794</v>
      </c>
    </row>
    <row r="2" spans="1:3">
      <c r="A2" s="390">
        <v>7.5</v>
      </c>
      <c r="B2" s="390">
        <f t="shared" ref="B2:B65" si="0">IF(A2=0,0,+A2*(1+(A2-0.4644)/238.4)-0.02)</f>
        <v>7.701338087248323</v>
      </c>
      <c r="C2" s="390">
        <v>7.5</v>
      </c>
    </row>
    <row r="3" spans="1:3">
      <c r="A3" s="390">
        <f t="shared" ref="A3:C18" si="1">A2+0.01</f>
        <v>7.51</v>
      </c>
      <c r="B3" s="390">
        <f t="shared" si="0"/>
        <v>7.7119482214765096</v>
      </c>
      <c r="C3" s="390">
        <f t="shared" si="1"/>
        <v>7.51</v>
      </c>
    </row>
    <row r="4" spans="1:3">
      <c r="A4" s="390">
        <f t="shared" si="1"/>
        <v>7.52</v>
      </c>
      <c r="B4" s="390">
        <f t="shared" si="0"/>
        <v>7.7225591946308727</v>
      </c>
      <c r="C4" s="390">
        <f t="shared" si="1"/>
        <v>7.52</v>
      </c>
    </row>
    <row r="5" spans="1:3">
      <c r="A5" s="390">
        <f t="shared" si="1"/>
        <v>7.5299999999999994</v>
      </c>
      <c r="B5" s="390">
        <f t="shared" si="0"/>
        <v>7.7331710067114097</v>
      </c>
      <c r="C5" s="390">
        <f t="shared" si="1"/>
        <v>7.5299999999999994</v>
      </c>
    </row>
    <row r="6" spans="1:3">
      <c r="A6" s="390">
        <f t="shared" si="1"/>
        <v>7.5399999999999991</v>
      </c>
      <c r="B6" s="390">
        <f t="shared" si="0"/>
        <v>7.7437836577181196</v>
      </c>
      <c r="C6" s="390">
        <f t="shared" si="1"/>
        <v>7.5399999999999991</v>
      </c>
    </row>
    <row r="7" spans="1:3">
      <c r="A7" s="390">
        <f t="shared" si="1"/>
        <v>7.5499999999999989</v>
      </c>
      <c r="B7" s="390">
        <f t="shared" si="0"/>
        <v>7.7543971476510061</v>
      </c>
      <c r="C7" s="390">
        <f t="shared" si="1"/>
        <v>7.5499999999999989</v>
      </c>
    </row>
    <row r="8" spans="1:3">
      <c r="A8" s="390">
        <f t="shared" si="1"/>
        <v>7.5599999999999987</v>
      </c>
      <c r="B8" s="390">
        <f t="shared" si="0"/>
        <v>7.7650114765100664</v>
      </c>
      <c r="C8" s="390">
        <f t="shared" si="1"/>
        <v>7.5599999999999987</v>
      </c>
    </row>
    <row r="9" spans="1:3">
      <c r="A9" s="390">
        <f t="shared" si="1"/>
        <v>7.5699999999999985</v>
      </c>
      <c r="B9" s="390">
        <f t="shared" si="0"/>
        <v>7.7756266442953015</v>
      </c>
      <c r="C9" s="390">
        <f t="shared" si="1"/>
        <v>7.5699999999999985</v>
      </c>
    </row>
    <row r="10" spans="1:3">
      <c r="A10" s="390">
        <f t="shared" si="1"/>
        <v>7.5799999999999983</v>
      </c>
      <c r="B10" s="390">
        <f t="shared" si="0"/>
        <v>7.7862426510067095</v>
      </c>
      <c r="C10" s="390">
        <f t="shared" si="1"/>
        <v>7.5799999999999983</v>
      </c>
    </row>
    <row r="11" spans="1:3">
      <c r="A11" s="390">
        <f t="shared" si="1"/>
        <v>7.5899999999999981</v>
      </c>
      <c r="B11" s="390">
        <f t="shared" si="0"/>
        <v>7.7968594966442932</v>
      </c>
      <c r="C11" s="390">
        <f t="shared" si="1"/>
        <v>7.5899999999999981</v>
      </c>
    </row>
    <row r="12" spans="1:3">
      <c r="A12" s="390">
        <f t="shared" si="1"/>
        <v>7.5999999999999979</v>
      </c>
      <c r="B12" s="390">
        <f t="shared" si="0"/>
        <v>7.8074771812080526</v>
      </c>
      <c r="C12" s="390">
        <f t="shared" si="1"/>
        <v>7.5999999999999979</v>
      </c>
    </row>
    <row r="13" spans="1:3">
      <c r="A13" s="390">
        <f t="shared" si="1"/>
        <v>7.6099999999999977</v>
      </c>
      <c r="B13" s="390">
        <f t="shared" si="0"/>
        <v>7.818095704697984</v>
      </c>
      <c r="C13" s="390">
        <f t="shared" si="1"/>
        <v>7.6099999999999977</v>
      </c>
    </row>
    <row r="14" spans="1:3">
      <c r="A14" s="390">
        <f t="shared" si="1"/>
        <v>7.6199999999999974</v>
      </c>
      <c r="B14" s="390">
        <f t="shared" si="0"/>
        <v>7.828715067114091</v>
      </c>
      <c r="C14" s="390">
        <f t="shared" si="1"/>
        <v>7.6199999999999974</v>
      </c>
    </row>
    <row r="15" spans="1:3">
      <c r="A15" s="390">
        <f t="shared" si="1"/>
        <v>7.6299999999999972</v>
      </c>
      <c r="B15" s="390">
        <f t="shared" si="0"/>
        <v>7.8393352684563737</v>
      </c>
      <c r="C15" s="390">
        <f t="shared" si="1"/>
        <v>7.6299999999999972</v>
      </c>
    </row>
    <row r="16" spans="1:3">
      <c r="A16" s="390">
        <f t="shared" si="1"/>
        <v>7.639999999999997</v>
      </c>
      <c r="B16" s="390">
        <f t="shared" si="0"/>
        <v>7.8499563087248303</v>
      </c>
      <c r="C16" s="390">
        <f t="shared" si="1"/>
        <v>7.639999999999997</v>
      </c>
    </row>
    <row r="17" spans="1:3">
      <c r="A17" s="390">
        <f t="shared" si="1"/>
        <v>7.6499999999999968</v>
      </c>
      <c r="B17" s="390">
        <f t="shared" si="0"/>
        <v>7.8605781879194598</v>
      </c>
      <c r="C17" s="390">
        <f t="shared" si="1"/>
        <v>7.6499999999999968</v>
      </c>
    </row>
    <row r="18" spans="1:3">
      <c r="A18" s="390">
        <f t="shared" si="1"/>
        <v>7.6599999999999966</v>
      </c>
      <c r="B18" s="390">
        <f t="shared" si="0"/>
        <v>7.871200906040265</v>
      </c>
      <c r="C18" s="390">
        <f t="shared" si="1"/>
        <v>7.6599999999999966</v>
      </c>
    </row>
    <row r="19" spans="1:3">
      <c r="A19" s="390">
        <f t="shared" ref="A19:C34" si="2">A18+0.01</f>
        <v>7.6699999999999964</v>
      </c>
      <c r="B19" s="390">
        <f t="shared" si="0"/>
        <v>7.8818244630872449</v>
      </c>
      <c r="C19" s="390">
        <f t="shared" si="2"/>
        <v>7.6699999999999964</v>
      </c>
    </row>
    <row r="20" spans="1:3">
      <c r="A20" s="390">
        <f t="shared" si="2"/>
        <v>7.6799999999999962</v>
      </c>
      <c r="B20" s="390">
        <f t="shared" si="0"/>
        <v>7.8924488590603996</v>
      </c>
      <c r="C20" s="390">
        <f t="shared" si="2"/>
        <v>7.6799999999999962</v>
      </c>
    </row>
    <row r="21" spans="1:3">
      <c r="A21" s="390">
        <f t="shared" si="2"/>
        <v>7.6899999999999959</v>
      </c>
      <c r="B21" s="390">
        <f t="shared" si="0"/>
        <v>7.9030740939597273</v>
      </c>
      <c r="C21" s="390">
        <f t="shared" si="2"/>
        <v>7.6899999999999959</v>
      </c>
    </row>
    <row r="22" spans="1:3">
      <c r="A22" s="390">
        <f t="shared" si="2"/>
        <v>7.6999999999999957</v>
      </c>
      <c r="B22" s="390">
        <f t="shared" si="0"/>
        <v>7.9137001677852306</v>
      </c>
      <c r="C22" s="390">
        <f t="shared" si="2"/>
        <v>7.6999999999999957</v>
      </c>
    </row>
    <row r="23" spans="1:3">
      <c r="A23" s="390">
        <f t="shared" si="2"/>
        <v>7.7099999999999955</v>
      </c>
      <c r="B23" s="390">
        <f t="shared" si="0"/>
        <v>7.9243270805369086</v>
      </c>
      <c r="C23" s="390">
        <f t="shared" si="2"/>
        <v>7.7099999999999955</v>
      </c>
    </row>
    <row r="24" spans="1:3">
      <c r="A24" s="390">
        <f t="shared" si="2"/>
        <v>7.7199999999999953</v>
      </c>
      <c r="B24" s="390">
        <f t="shared" si="0"/>
        <v>7.9349548322147596</v>
      </c>
      <c r="C24" s="390">
        <f t="shared" si="2"/>
        <v>7.7199999999999953</v>
      </c>
    </row>
    <row r="25" spans="1:3">
      <c r="A25" s="390">
        <f t="shared" si="2"/>
        <v>7.7299999999999951</v>
      </c>
      <c r="B25" s="390">
        <f t="shared" si="0"/>
        <v>7.9455834228187872</v>
      </c>
      <c r="C25" s="390">
        <f t="shared" si="2"/>
        <v>7.7299999999999951</v>
      </c>
    </row>
    <row r="26" spans="1:3">
      <c r="A26" s="390">
        <f t="shared" si="2"/>
        <v>7.7399999999999949</v>
      </c>
      <c r="B26" s="390">
        <f t="shared" si="0"/>
        <v>7.9562128523489886</v>
      </c>
      <c r="C26" s="390">
        <f t="shared" si="2"/>
        <v>7.7399999999999949</v>
      </c>
    </row>
    <row r="27" spans="1:3">
      <c r="A27" s="390">
        <f t="shared" si="2"/>
        <v>7.7499999999999947</v>
      </c>
      <c r="B27" s="390">
        <f t="shared" si="0"/>
        <v>7.9668431208053647</v>
      </c>
      <c r="C27" s="390">
        <f t="shared" si="2"/>
        <v>7.7499999999999947</v>
      </c>
    </row>
    <row r="28" spans="1:3">
      <c r="A28" s="390">
        <f t="shared" si="2"/>
        <v>7.7599999999999945</v>
      </c>
      <c r="B28" s="390">
        <f t="shared" si="0"/>
        <v>7.9774742281879139</v>
      </c>
      <c r="C28" s="390">
        <f t="shared" si="2"/>
        <v>7.7599999999999945</v>
      </c>
    </row>
    <row r="29" spans="1:3">
      <c r="A29" s="390">
        <f t="shared" si="2"/>
        <v>7.7699999999999942</v>
      </c>
      <c r="B29" s="390">
        <f t="shared" si="0"/>
        <v>7.9881061744966395</v>
      </c>
      <c r="C29" s="390">
        <f t="shared" si="2"/>
        <v>7.7699999999999942</v>
      </c>
    </row>
    <row r="30" spans="1:3">
      <c r="A30" s="390">
        <f t="shared" si="2"/>
        <v>7.779999999999994</v>
      </c>
      <c r="B30" s="390">
        <f t="shared" si="0"/>
        <v>7.9987389597315381</v>
      </c>
      <c r="C30" s="390">
        <f t="shared" si="2"/>
        <v>7.779999999999994</v>
      </c>
    </row>
    <row r="31" spans="1:3">
      <c r="A31" s="390">
        <f t="shared" si="2"/>
        <v>7.7899999999999938</v>
      </c>
      <c r="B31" s="390">
        <f t="shared" si="0"/>
        <v>8.0093725838926098</v>
      </c>
      <c r="C31" s="390">
        <f t="shared" si="2"/>
        <v>7.7899999999999938</v>
      </c>
    </row>
    <row r="32" spans="1:3">
      <c r="A32" s="390">
        <f t="shared" si="2"/>
        <v>7.7999999999999936</v>
      </c>
      <c r="B32" s="390">
        <f t="shared" si="0"/>
        <v>8.0200070469798597</v>
      </c>
      <c r="C32" s="390">
        <f t="shared" si="2"/>
        <v>7.7999999999999936</v>
      </c>
    </row>
    <row r="33" spans="1:3">
      <c r="A33" s="390">
        <f t="shared" si="2"/>
        <v>7.8099999999999934</v>
      </c>
      <c r="B33" s="390">
        <f t="shared" si="0"/>
        <v>8.0306423489932826</v>
      </c>
      <c r="C33" s="390">
        <f t="shared" si="2"/>
        <v>7.8099999999999934</v>
      </c>
    </row>
    <row r="34" spans="1:3">
      <c r="A34" s="390">
        <f t="shared" si="2"/>
        <v>7.8199999999999932</v>
      </c>
      <c r="B34" s="390">
        <f t="shared" si="0"/>
        <v>8.0412784899328802</v>
      </c>
      <c r="C34" s="390">
        <f t="shared" si="2"/>
        <v>7.8199999999999932</v>
      </c>
    </row>
    <row r="35" spans="1:3">
      <c r="A35" s="390">
        <f t="shared" ref="A35:C50" si="3">A34+0.01</f>
        <v>7.829999999999993</v>
      </c>
      <c r="B35" s="390">
        <f t="shared" si="0"/>
        <v>8.0519154697986508</v>
      </c>
      <c r="C35" s="390">
        <f t="shared" si="3"/>
        <v>7.829999999999993</v>
      </c>
    </row>
    <row r="36" spans="1:3">
      <c r="A36" s="390">
        <f t="shared" si="3"/>
        <v>7.8399999999999928</v>
      </c>
      <c r="B36" s="390">
        <f t="shared" si="0"/>
        <v>8.0625532885905962</v>
      </c>
      <c r="C36" s="390">
        <f t="shared" si="3"/>
        <v>7.8399999999999928</v>
      </c>
    </row>
    <row r="37" spans="1:3">
      <c r="A37" s="390">
        <f t="shared" si="3"/>
        <v>7.8499999999999925</v>
      </c>
      <c r="B37" s="390">
        <f t="shared" si="0"/>
        <v>8.0731919463087181</v>
      </c>
      <c r="C37" s="390">
        <f t="shared" si="3"/>
        <v>7.8499999999999925</v>
      </c>
    </row>
    <row r="38" spans="1:3">
      <c r="A38" s="390">
        <f t="shared" si="3"/>
        <v>7.8599999999999923</v>
      </c>
      <c r="B38" s="390">
        <f t="shared" si="0"/>
        <v>8.0838314429530111</v>
      </c>
      <c r="C38" s="390">
        <f t="shared" si="3"/>
        <v>7.8599999999999923</v>
      </c>
    </row>
    <row r="39" spans="1:3">
      <c r="A39" s="390">
        <f t="shared" si="3"/>
        <v>7.8699999999999921</v>
      </c>
      <c r="B39" s="390">
        <f t="shared" si="0"/>
        <v>8.0944717785234825</v>
      </c>
      <c r="C39" s="390">
        <f t="shared" si="3"/>
        <v>7.8699999999999921</v>
      </c>
    </row>
    <row r="40" spans="1:3">
      <c r="A40" s="390">
        <f t="shared" si="3"/>
        <v>7.8799999999999919</v>
      </c>
      <c r="B40" s="390">
        <f t="shared" si="0"/>
        <v>8.1051129530201269</v>
      </c>
      <c r="C40" s="390">
        <f t="shared" si="3"/>
        <v>7.8799999999999919</v>
      </c>
    </row>
    <row r="41" spans="1:3">
      <c r="A41" s="390">
        <f t="shared" si="3"/>
        <v>7.8899999999999917</v>
      </c>
      <c r="B41" s="390">
        <f t="shared" si="0"/>
        <v>8.115754966442946</v>
      </c>
      <c r="C41" s="390">
        <f t="shared" si="3"/>
        <v>7.8899999999999917</v>
      </c>
    </row>
    <row r="42" spans="1:3">
      <c r="A42" s="390">
        <f t="shared" si="3"/>
        <v>7.8999999999999915</v>
      </c>
      <c r="B42" s="390">
        <f t="shared" si="0"/>
        <v>8.1263978187919363</v>
      </c>
      <c r="C42" s="390">
        <f t="shared" si="3"/>
        <v>7.8999999999999915</v>
      </c>
    </row>
    <row r="43" spans="1:3">
      <c r="A43" s="390">
        <f t="shared" si="3"/>
        <v>7.9099999999999913</v>
      </c>
      <c r="B43" s="390">
        <f t="shared" si="0"/>
        <v>8.137041510067105</v>
      </c>
      <c r="C43" s="390">
        <f t="shared" si="3"/>
        <v>7.9099999999999913</v>
      </c>
    </row>
    <row r="44" spans="1:3">
      <c r="A44" s="390">
        <f t="shared" si="3"/>
        <v>7.919999999999991</v>
      </c>
      <c r="B44" s="390">
        <f t="shared" si="0"/>
        <v>8.1476860402684483</v>
      </c>
      <c r="C44" s="390">
        <f t="shared" si="3"/>
        <v>7.919999999999991</v>
      </c>
    </row>
    <row r="45" spans="1:3">
      <c r="A45" s="390">
        <f t="shared" si="3"/>
        <v>7.9299999999999908</v>
      </c>
      <c r="B45" s="390">
        <f t="shared" si="0"/>
        <v>8.1583314093959629</v>
      </c>
      <c r="C45" s="390">
        <f t="shared" si="3"/>
        <v>7.9299999999999908</v>
      </c>
    </row>
    <row r="46" spans="1:3">
      <c r="A46" s="390">
        <f t="shared" si="3"/>
        <v>7.9399999999999906</v>
      </c>
      <c r="B46" s="390">
        <f t="shared" si="0"/>
        <v>8.168977617449654</v>
      </c>
      <c r="C46" s="390">
        <f t="shared" si="3"/>
        <v>7.9399999999999906</v>
      </c>
    </row>
    <row r="47" spans="1:3">
      <c r="A47" s="390">
        <f t="shared" si="3"/>
        <v>7.9499999999999904</v>
      </c>
      <c r="B47" s="390">
        <f t="shared" si="0"/>
        <v>8.1796246644295199</v>
      </c>
      <c r="C47" s="390">
        <f t="shared" si="3"/>
        <v>7.9499999999999904</v>
      </c>
    </row>
    <row r="48" spans="1:3">
      <c r="A48" s="390">
        <f t="shared" si="3"/>
        <v>7.9599999999999902</v>
      </c>
      <c r="B48" s="390">
        <f t="shared" si="0"/>
        <v>8.1902725503355605</v>
      </c>
      <c r="C48" s="390">
        <f t="shared" si="3"/>
        <v>7.9599999999999902</v>
      </c>
    </row>
    <row r="49" spans="1:3">
      <c r="A49" s="390">
        <f t="shared" si="3"/>
        <v>7.96999999999999</v>
      </c>
      <c r="B49" s="390">
        <f t="shared" si="0"/>
        <v>8.200921275167774</v>
      </c>
      <c r="C49" s="390">
        <f t="shared" si="3"/>
        <v>7.96999999999999</v>
      </c>
    </row>
    <row r="50" spans="1:3">
      <c r="A50" s="390">
        <f t="shared" si="3"/>
        <v>7.9799999999999898</v>
      </c>
      <c r="B50" s="390">
        <f t="shared" si="0"/>
        <v>8.2115708389261641</v>
      </c>
      <c r="C50" s="390">
        <f t="shared" si="3"/>
        <v>7.9799999999999898</v>
      </c>
    </row>
    <row r="51" spans="1:3">
      <c r="A51" s="390">
        <f>A50+0.01</f>
        <v>7.9899999999999896</v>
      </c>
      <c r="B51" s="390">
        <f t="shared" si="0"/>
        <v>8.2222212416107272</v>
      </c>
      <c r="C51" s="390">
        <f>C50+0.01</f>
        <v>7.9899999999999896</v>
      </c>
    </row>
    <row r="52" spans="1:3">
      <c r="A52" s="390">
        <v>8</v>
      </c>
      <c r="B52" s="390">
        <f t="shared" si="0"/>
        <v>8.2328724832214775</v>
      </c>
      <c r="C52" s="390">
        <v>8</v>
      </c>
    </row>
    <row r="53" spans="1:3">
      <c r="A53" s="390">
        <f t="shared" ref="A53:C68" si="4">A52+0.01</f>
        <v>8.01</v>
      </c>
      <c r="B53" s="390">
        <f t="shared" si="0"/>
        <v>8.2435245637583883</v>
      </c>
      <c r="C53" s="390">
        <f t="shared" si="4"/>
        <v>8.01</v>
      </c>
    </row>
    <row r="54" spans="1:3">
      <c r="A54" s="390">
        <f t="shared" si="4"/>
        <v>8.02</v>
      </c>
      <c r="B54" s="390">
        <f t="shared" si="0"/>
        <v>8.2541774832214756</v>
      </c>
      <c r="C54" s="390">
        <f t="shared" si="4"/>
        <v>8.02</v>
      </c>
    </row>
    <row r="55" spans="1:3">
      <c r="A55" s="390">
        <f t="shared" si="4"/>
        <v>8.0299999999999994</v>
      </c>
      <c r="B55" s="390">
        <f t="shared" si="0"/>
        <v>8.2648312416107377</v>
      </c>
      <c r="C55" s="390">
        <f t="shared" si="4"/>
        <v>8.0299999999999994</v>
      </c>
    </row>
    <row r="56" spans="1:3">
      <c r="A56" s="390">
        <f t="shared" si="4"/>
        <v>8.0399999999999991</v>
      </c>
      <c r="B56" s="390">
        <f t="shared" si="0"/>
        <v>8.2754858389261745</v>
      </c>
      <c r="C56" s="390">
        <f t="shared" si="4"/>
        <v>8.0399999999999991</v>
      </c>
    </row>
    <row r="57" spans="1:3">
      <c r="A57" s="390">
        <f t="shared" si="4"/>
        <v>8.0499999999999989</v>
      </c>
      <c r="B57" s="390">
        <f t="shared" si="0"/>
        <v>8.2861412751677843</v>
      </c>
      <c r="C57" s="390">
        <f t="shared" si="4"/>
        <v>8.0499999999999989</v>
      </c>
    </row>
    <row r="58" spans="1:3">
      <c r="A58" s="390">
        <f t="shared" si="4"/>
        <v>8.0599999999999987</v>
      </c>
      <c r="B58" s="390">
        <f t="shared" si="0"/>
        <v>8.2967975503355689</v>
      </c>
      <c r="C58" s="390">
        <f t="shared" si="4"/>
        <v>8.0599999999999987</v>
      </c>
    </row>
    <row r="59" spans="1:3">
      <c r="A59" s="390">
        <f t="shared" si="4"/>
        <v>8.0699999999999985</v>
      </c>
      <c r="B59" s="390">
        <f t="shared" si="0"/>
        <v>8.30745466442953</v>
      </c>
      <c r="C59" s="390">
        <f t="shared" si="4"/>
        <v>8.0699999999999985</v>
      </c>
    </row>
    <row r="60" spans="1:3">
      <c r="A60" s="390">
        <f t="shared" si="4"/>
        <v>8.0799999999999983</v>
      </c>
      <c r="B60" s="390">
        <f t="shared" si="0"/>
        <v>8.3181126174496622</v>
      </c>
      <c r="C60" s="390">
        <f t="shared" si="4"/>
        <v>8.0799999999999983</v>
      </c>
    </row>
    <row r="61" spans="1:3">
      <c r="A61" s="390">
        <f t="shared" si="4"/>
        <v>8.0899999999999981</v>
      </c>
      <c r="B61" s="390">
        <f t="shared" si="0"/>
        <v>8.328771409395971</v>
      </c>
      <c r="C61" s="390">
        <f t="shared" si="4"/>
        <v>8.0899999999999981</v>
      </c>
    </row>
    <row r="62" spans="1:3">
      <c r="A62" s="390">
        <f t="shared" si="4"/>
        <v>8.0999999999999979</v>
      </c>
      <c r="B62" s="390">
        <f t="shared" si="0"/>
        <v>8.3394310402684546</v>
      </c>
      <c r="C62" s="390">
        <f t="shared" si="4"/>
        <v>8.0999999999999979</v>
      </c>
    </row>
    <row r="63" spans="1:3">
      <c r="A63" s="390">
        <f t="shared" si="4"/>
        <v>8.1099999999999977</v>
      </c>
      <c r="B63" s="390">
        <f t="shared" si="0"/>
        <v>8.3500915100671129</v>
      </c>
      <c r="C63" s="390">
        <f t="shared" si="4"/>
        <v>8.1099999999999977</v>
      </c>
    </row>
    <row r="64" spans="1:3">
      <c r="A64" s="390">
        <f t="shared" si="4"/>
        <v>8.1199999999999974</v>
      </c>
      <c r="B64" s="390">
        <f t="shared" si="0"/>
        <v>8.3607528187919442</v>
      </c>
      <c r="C64" s="390">
        <f t="shared" si="4"/>
        <v>8.1199999999999974</v>
      </c>
    </row>
    <row r="65" spans="1:3">
      <c r="A65" s="390">
        <f t="shared" si="4"/>
        <v>8.1299999999999972</v>
      </c>
      <c r="B65" s="390">
        <f t="shared" si="0"/>
        <v>8.3714149664429502</v>
      </c>
      <c r="C65" s="390">
        <f t="shared" si="4"/>
        <v>8.1299999999999972</v>
      </c>
    </row>
    <row r="66" spans="1:3">
      <c r="A66" s="390">
        <f t="shared" si="4"/>
        <v>8.139999999999997</v>
      </c>
      <c r="B66" s="390">
        <f t="shared" ref="B66:B129" si="5">IF(A66=0,0,+A66*(1+(A66-0.4644)/238.4)-0.02)</f>
        <v>8.382077953020131</v>
      </c>
      <c r="C66" s="390">
        <f t="shared" si="4"/>
        <v>8.139999999999997</v>
      </c>
    </row>
    <row r="67" spans="1:3">
      <c r="A67" s="390">
        <f t="shared" si="4"/>
        <v>8.1499999999999968</v>
      </c>
      <c r="B67" s="390">
        <f t="shared" si="5"/>
        <v>8.3927417785234866</v>
      </c>
      <c r="C67" s="390">
        <f t="shared" si="4"/>
        <v>8.1499999999999968</v>
      </c>
    </row>
    <row r="68" spans="1:3">
      <c r="A68" s="390">
        <f t="shared" si="4"/>
        <v>8.1599999999999966</v>
      </c>
      <c r="B68" s="390">
        <f t="shared" si="5"/>
        <v>8.4034064429530169</v>
      </c>
      <c r="C68" s="390">
        <f t="shared" si="4"/>
        <v>8.1599999999999966</v>
      </c>
    </row>
    <row r="69" spans="1:3">
      <c r="A69" s="390">
        <f t="shared" ref="A69:C84" si="6">A68+0.01</f>
        <v>8.1699999999999964</v>
      </c>
      <c r="B69" s="390">
        <f t="shared" si="5"/>
        <v>8.4140719463087219</v>
      </c>
      <c r="C69" s="390">
        <f t="shared" si="6"/>
        <v>8.1699999999999964</v>
      </c>
    </row>
    <row r="70" spans="1:3">
      <c r="A70" s="390">
        <f t="shared" si="6"/>
        <v>8.1799999999999962</v>
      </c>
      <c r="B70" s="390">
        <f t="shared" si="5"/>
        <v>8.4247382885906017</v>
      </c>
      <c r="C70" s="390">
        <f t="shared" si="6"/>
        <v>8.1799999999999962</v>
      </c>
    </row>
    <row r="71" spans="1:3">
      <c r="A71" s="390">
        <f t="shared" si="6"/>
        <v>8.1899999999999959</v>
      </c>
      <c r="B71" s="390">
        <f t="shared" si="5"/>
        <v>8.4354054697986527</v>
      </c>
      <c r="C71" s="390">
        <f t="shared" si="6"/>
        <v>8.1899999999999959</v>
      </c>
    </row>
    <row r="72" spans="1:3">
      <c r="A72" s="390">
        <f t="shared" si="6"/>
        <v>8.1999999999999957</v>
      </c>
      <c r="B72" s="390">
        <f t="shared" si="5"/>
        <v>8.446073489932882</v>
      </c>
      <c r="C72" s="390">
        <f t="shared" si="6"/>
        <v>8.1999999999999957</v>
      </c>
    </row>
    <row r="73" spans="1:3">
      <c r="A73" s="390">
        <f t="shared" si="6"/>
        <v>8.2099999999999955</v>
      </c>
      <c r="B73" s="390">
        <f t="shared" si="5"/>
        <v>8.4567423489932843</v>
      </c>
      <c r="C73" s="390">
        <f t="shared" si="6"/>
        <v>8.2099999999999955</v>
      </c>
    </row>
    <row r="74" spans="1:3">
      <c r="A74" s="390">
        <f t="shared" si="6"/>
        <v>8.2199999999999953</v>
      </c>
      <c r="B74" s="390">
        <f t="shared" si="5"/>
        <v>8.4674120469798613</v>
      </c>
      <c r="C74" s="390">
        <f t="shared" si="6"/>
        <v>8.2199999999999953</v>
      </c>
    </row>
    <row r="75" spans="1:3">
      <c r="A75" s="390">
        <f t="shared" si="6"/>
        <v>8.2299999999999951</v>
      </c>
      <c r="B75" s="390">
        <f t="shared" si="5"/>
        <v>8.478082583892613</v>
      </c>
      <c r="C75" s="390">
        <f t="shared" si="6"/>
        <v>8.2299999999999951</v>
      </c>
    </row>
    <row r="76" spans="1:3">
      <c r="A76" s="390">
        <f t="shared" si="6"/>
        <v>8.2399999999999949</v>
      </c>
      <c r="B76" s="390">
        <f t="shared" si="5"/>
        <v>8.4887539597315396</v>
      </c>
      <c r="C76" s="390">
        <f t="shared" si="6"/>
        <v>8.2399999999999949</v>
      </c>
    </row>
    <row r="77" spans="1:3">
      <c r="A77" s="390">
        <f t="shared" si="6"/>
        <v>8.2499999999999947</v>
      </c>
      <c r="B77" s="390">
        <f t="shared" si="5"/>
        <v>8.4994261744966391</v>
      </c>
      <c r="C77" s="390">
        <f t="shared" si="6"/>
        <v>8.2499999999999947</v>
      </c>
    </row>
    <row r="78" spans="1:3">
      <c r="A78" s="390">
        <f t="shared" si="6"/>
        <v>8.2599999999999945</v>
      </c>
      <c r="B78" s="390">
        <f t="shared" si="5"/>
        <v>8.5100992281879133</v>
      </c>
      <c r="C78" s="390">
        <f t="shared" si="6"/>
        <v>8.2599999999999945</v>
      </c>
    </row>
    <row r="79" spans="1:3">
      <c r="A79" s="390">
        <f t="shared" si="6"/>
        <v>8.2699999999999942</v>
      </c>
      <c r="B79" s="390">
        <f t="shared" si="5"/>
        <v>8.5207731208053641</v>
      </c>
      <c r="C79" s="390">
        <f t="shared" si="6"/>
        <v>8.2699999999999942</v>
      </c>
    </row>
    <row r="80" spans="1:3">
      <c r="A80" s="390">
        <f t="shared" si="6"/>
        <v>8.279999999999994</v>
      </c>
      <c r="B80" s="390">
        <f t="shared" si="5"/>
        <v>8.5314478523489878</v>
      </c>
      <c r="C80" s="390">
        <f t="shared" si="6"/>
        <v>8.279999999999994</v>
      </c>
    </row>
    <row r="81" spans="1:3">
      <c r="A81" s="390">
        <f t="shared" si="6"/>
        <v>8.2899999999999938</v>
      </c>
      <c r="B81" s="390">
        <f t="shared" si="5"/>
        <v>8.5421234228187863</v>
      </c>
      <c r="C81" s="390">
        <f t="shared" si="6"/>
        <v>8.2899999999999938</v>
      </c>
    </row>
    <row r="82" spans="1:3">
      <c r="A82" s="390">
        <f t="shared" si="6"/>
        <v>8.2999999999999936</v>
      </c>
      <c r="B82" s="390">
        <f t="shared" si="5"/>
        <v>8.5527998322147578</v>
      </c>
      <c r="C82" s="390">
        <f t="shared" si="6"/>
        <v>8.2999999999999936</v>
      </c>
    </row>
    <row r="83" spans="1:3">
      <c r="A83" s="390">
        <f t="shared" si="6"/>
        <v>8.3099999999999934</v>
      </c>
      <c r="B83" s="390">
        <f t="shared" si="5"/>
        <v>8.5634770805369058</v>
      </c>
      <c r="C83" s="390">
        <f t="shared" si="6"/>
        <v>8.3099999999999934</v>
      </c>
    </row>
    <row r="84" spans="1:3">
      <c r="A84" s="390">
        <f t="shared" si="6"/>
        <v>8.3199999999999932</v>
      </c>
      <c r="B84" s="390">
        <f t="shared" si="5"/>
        <v>8.5741551677852286</v>
      </c>
      <c r="C84" s="390">
        <f t="shared" si="6"/>
        <v>8.3199999999999932</v>
      </c>
    </row>
    <row r="85" spans="1:3">
      <c r="A85" s="390">
        <f t="shared" ref="A85:C100" si="7">A84+0.01</f>
        <v>8.329999999999993</v>
      </c>
      <c r="B85" s="390">
        <f t="shared" si="5"/>
        <v>8.5848340939597243</v>
      </c>
      <c r="C85" s="390">
        <f t="shared" si="7"/>
        <v>8.329999999999993</v>
      </c>
    </row>
    <row r="86" spans="1:3">
      <c r="A86" s="390">
        <f t="shared" si="7"/>
        <v>8.3399999999999928</v>
      </c>
      <c r="B86" s="390">
        <f t="shared" si="5"/>
        <v>8.5955138590603948</v>
      </c>
      <c r="C86" s="390">
        <f t="shared" si="7"/>
        <v>8.3399999999999928</v>
      </c>
    </row>
    <row r="87" spans="1:3">
      <c r="A87" s="390">
        <f t="shared" si="7"/>
        <v>8.3499999999999925</v>
      </c>
      <c r="B87" s="390">
        <f t="shared" si="5"/>
        <v>8.6061944630872418</v>
      </c>
      <c r="C87" s="390">
        <f t="shared" si="7"/>
        <v>8.3499999999999925</v>
      </c>
    </row>
    <row r="88" spans="1:3">
      <c r="A88" s="390">
        <f t="shared" si="7"/>
        <v>8.3599999999999923</v>
      </c>
      <c r="B88" s="390">
        <f t="shared" si="5"/>
        <v>8.6168759060402618</v>
      </c>
      <c r="C88" s="390">
        <f t="shared" si="7"/>
        <v>8.3599999999999923</v>
      </c>
    </row>
    <row r="89" spans="1:3">
      <c r="A89" s="390">
        <f t="shared" si="7"/>
        <v>8.3699999999999921</v>
      </c>
      <c r="B89" s="390">
        <f t="shared" si="5"/>
        <v>8.6275581879194547</v>
      </c>
      <c r="C89" s="390">
        <f t="shared" si="7"/>
        <v>8.3699999999999921</v>
      </c>
    </row>
    <row r="90" spans="1:3">
      <c r="A90" s="390">
        <f t="shared" si="7"/>
        <v>8.3799999999999919</v>
      </c>
      <c r="B90" s="390">
        <f t="shared" si="5"/>
        <v>8.6382413087248242</v>
      </c>
      <c r="C90" s="390">
        <f t="shared" si="7"/>
        <v>8.3799999999999919</v>
      </c>
    </row>
    <row r="91" spans="1:3">
      <c r="A91" s="390">
        <f t="shared" si="7"/>
        <v>8.3899999999999917</v>
      </c>
      <c r="B91" s="390">
        <f t="shared" si="5"/>
        <v>8.6489252684563684</v>
      </c>
      <c r="C91" s="390">
        <f t="shared" si="7"/>
        <v>8.3899999999999917</v>
      </c>
    </row>
    <row r="92" spans="1:3">
      <c r="A92" s="390">
        <f t="shared" si="7"/>
        <v>8.3999999999999915</v>
      </c>
      <c r="B92" s="390">
        <f t="shared" si="5"/>
        <v>8.6596100671140839</v>
      </c>
      <c r="C92" s="390">
        <f t="shared" si="7"/>
        <v>8.3999999999999915</v>
      </c>
    </row>
    <row r="93" spans="1:3">
      <c r="A93" s="390">
        <f t="shared" si="7"/>
        <v>8.4099999999999913</v>
      </c>
      <c r="B93" s="390">
        <f t="shared" si="5"/>
        <v>8.6702957046979776</v>
      </c>
      <c r="C93" s="390">
        <f t="shared" si="7"/>
        <v>8.4099999999999913</v>
      </c>
    </row>
    <row r="94" spans="1:3">
      <c r="A94" s="390">
        <f t="shared" si="7"/>
        <v>8.419999999999991</v>
      </c>
      <c r="B94" s="390">
        <f t="shared" si="5"/>
        <v>8.6809821812080443</v>
      </c>
      <c r="C94" s="390">
        <f t="shared" si="7"/>
        <v>8.419999999999991</v>
      </c>
    </row>
    <row r="95" spans="1:3">
      <c r="A95" s="390">
        <f t="shared" si="7"/>
        <v>8.4299999999999908</v>
      </c>
      <c r="B95" s="390">
        <f t="shared" si="5"/>
        <v>8.6916694966442876</v>
      </c>
      <c r="C95" s="390">
        <f t="shared" si="7"/>
        <v>8.4299999999999908</v>
      </c>
    </row>
    <row r="96" spans="1:3">
      <c r="A96" s="390">
        <f t="shared" si="7"/>
        <v>8.4399999999999906</v>
      </c>
      <c r="B96" s="390">
        <f t="shared" si="5"/>
        <v>8.702357651006702</v>
      </c>
      <c r="C96" s="390">
        <f t="shared" si="7"/>
        <v>8.4399999999999906</v>
      </c>
    </row>
    <row r="97" spans="1:3">
      <c r="A97" s="390">
        <f t="shared" si="7"/>
        <v>8.4499999999999904</v>
      </c>
      <c r="B97" s="390">
        <f t="shared" si="5"/>
        <v>8.713046644295293</v>
      </c>
      <c r="C97" s="390">
        <f t="shared" si="7"/>
        <v>8.4499999999999904</v>
      </c>
    </row>
    <row r="98" spans="1:3">
      <c r="A98" s="390">
        <f t="shared" si="7"/>
        <v>8.4599999999999902</v>
      </c>
      <c r="B98" s="390">
        <f t="shared" si="5"/>
        <v>8.7237364765100569</v>
      </c>
      <c r="C98" s="390">
        <f t="shared" si="7"/>
        <v>8.4599999999999902</v>
      </c>
    </row>
    <row r="99" spans="1:3">
      <c r="A99" s="390">
        <f t="shared" si="7"/>
        <v>8.46999999999999</v>
      </c>
      <c r="B99" s="390">
        <f t="shared" si="5"/>
        <v>8.7344271476509956</v>
      </c>
      <c r="C99" s="390">
        <f t="shared" si="7"/>
        <v>8.46999999999999</v>
      </c>
    </row>
    <row r="100" spans="1:3">
      <c r="A100" s="390">
        <f t="shared" si="7"/>
        <v>8.4799999999999898</v>
      </c>
      <c r="B100" s="390">
        <f t="shared" si="5"/>
        <v>8.7451186577181108</v>
      </c>
      <c r="C100" s="390">
        <f t="shared" si="7"/>
        <v>8.4799999999999898</v>
      </c>
    </row>
    <row r="101" spans="1:3">
      <c r="A101" s="390">
        <f>A100+0.01</f>
        <v>8.4899999999999896</v>
      </c>
      <c r="B101" s="390">
        <f t="shared" si="5"/>
        <v>8.755811006711399</v>
      </c>
      <c r="C101" s="390">
        <f>C100+0.01</f>
        <v>8.4899999999999896</v>
      </c>
    </row>
    <row r="102" spans="1:3">
      <c r="A102" s="390">
        <v>8.5</v>
      </c>
      <c r="B102" s="390">
        <f t="shared" si="5"/>
        <v>8.7665041946308726</v>
      </c>
      <c r="C102" s="390">
        <v>8.5</v>
      </c>
    </row>
    <row r="103" spans="1:3">
      <c r="A103" s="390">
        <f t="shared" ref="A103:C118" si="8">A102+0.01</f>
        <v>8.51</v>
      </c>
      <c r="B103" s="390">
        <f t="shared" si="5"/>
        <v>8.7771982214765103</v>
      </c>
      <c r="C103" s="390">
        <f t="shared" si="8"/>
        <v>8.51</v>
      </c>
    </row>
    <row r="104" spans="1:3">
      <c r="A104" s="390">
        <f t="shared" si="8"/>
        <v>8.52</v>
      </c>
      <c r="B104" s="390">
        <f t="shared" si="5"/>
        <v>8.787893087248321</v>
      </c>
      <c r="C104" s="390">
        <f t="shared" si="8"/>
        <v>8.52</v>
      </c>
    </row>
    <row r="105" spans="1:3">
      <c r="A105" s="390">
        <f t="shared" si="8"/>
        <v>8.5299999999999994</v>
      </c>
      <c r="B105" s="390">
        <f t="shared" si="5"/>
        <v>8.7985887919463082</v>
      </c>
      <c r="C105" s="390">
        <f t="shared" si="8"/>
        <v>8.5299999999999994</v>
      </c>
    </row>
    <row r="106" spans="1:3">
      <c r="A106" s="390">
        <f t="shared" si="8"/>
        <v>8.5399999999999991</v>
      </c>
      <c r="B106" s="390">
        <f t="shared" si="5"/>
        <v>8.8092853355704701</v>
      </c>
      <c r="C106" s="390">
        <f t="shared" si="8"/>
        <v>8.5399999999999991</v>
      </c>
    </row>
    <row r="107" spans="1:3">
      <c r="A107" s="390">
        <f t="shared" si="8"/>
        <v>8.5499999999999989</v>
      </c>
      <c r="B107" s="390">
        <f t="shared" si="5"/>
        <v>8.8199827181208033</v>
      </c>
      <c r="C107" s="390">
        <f t="shared" si="8"/>
        <v>8.5499999999999989</v>
      </c>
    </row>
    <row r="108" spans="1:3">
      <c r="A108" s="390">
        <f t="shared" si="8"/>
        <v>8.5599999999999987</v>
      </c>
      <c r="B108" s="390">
        <f t="shared" si="5"/>
        <v>8.8306809395973147</v>
      </c>
      <c r="C108" s="390">
        <f t="shared" si="8"/>
        <v>8.5599999999999987</v>
      </c>
    </row>
    <row r="109" spans="1:3">
      <c r="A109" s="390">
        <f t="shared" si="8"/>
        <v>8.5699999999999985</v>
      </c>
      <c r="B109" s="390">
        <f t="shared" si="5"/>
        <v>8.8413799999999991</v>
      </c>
      <c r="C109" s="390">
        <f t="shared" si="8"/>
        <v>8.5699999999999985</v>
      </c>
    </row>
    <row r="110" spans="1:3">
      <c r="A110" s="390">
        <f t="shared" si="8"/>
        <v>8.5799999999999983</v>
      </c>
      <c r="B110" s="390">
        <f t="shared" si="5"/>
        <v>8.8520798993288583</v>
      </c>
      <c r="C110" s="390">
        <f t="shared" si="8"/>
        <v>8.5799999999999983</v>
      </c>
    </row>
    <row r="111" spans="1:3">
      <c r="A111" s="390">
        <f t="shared" si="8"/>
        <v>8.5899999999999981</v>
      </c>
      <c r="B111" s="390">
        <f t="shared" si="5"/>
        <v>8.8627806375838905</v>
      </c>
      <c r="C111" s="390">
        <f t="shared" si="8"/>
        <v>8.5899999999999981</v>
      </c>
    </row>
    <row r="112" spans="1:3">
      <c r="A112" s="390">
        <f t="shared" si="8"/>
        <v>8.5999999999999979</v>
      </c>
      <c r="B112" s="390">
        <f t="shared" si="5"/>
        <v>8.8734822147650991</v>
      </c>
      <c r="C112" s="390">
        <f t="shared" si="8"/>
        <v>8.5999999999999979</v>
      </c>
    </row>
    <row r="113" spans="1:3">
      <c r="A113" s="390">
        <f t="shared" si="8"/>
        <v>8.6099999999999977</v>
      </c>
      <c r="B113" s="390">
        <f t="shared" si="5"/>
        <v>8.8841846308724826</v>
      </c>
      <c r="C113" s="390">
        <f t="shared" si="8"/>
        <v>8.6099999999999977</v>
      </c>
    </row>
    <row r="114" spans="1:3">
      <c r="A114" s="390">
        <f t="shared" si="8"/>
        <v>8.6199999999999974</v>
      </c>
      <c r="B114" s="390">
        <f t="shared" si="5"/>
        <v>8.8948878859060372</v>
      </c>
      <c r="C114" s="390">
        <f t="shared" si="8"/>
        <v>8.6199999999999974</v>
      </c>
    </row>
    <row r="115" spans="1:3">
      <c r="A115" s="390">
        <f t="shared" si="8"/>
        <v>8.6299999999999972</v>
      </c>
      <c r="B115" s="390">
        <f t="shared" si="5"/>
        <v>8.9055919798657683</v>
      </c>
      <c r="C115" s="390">
        <f t="shared" si="8"/>
        <v>8.6299999999999972</v>
      </c>
    </row>
    <row r="116" spans="1:3">
      <c r="A116" s="390">
        <f t="shared" si="8"/>
        <v>8.639999999999997</v>
      </c>
      <c r="B116" s="390">
        <f t="shared" si="5"/>
        <v>8.916296912751676</v>
      </c>
      <c r="C116" s="390">
        <f t="shared" si="8"/>
        <v>8.639999999999997</v>
      </c>
    </row>
    <row r="117" spans="1:3">
      <c r="A117" s="390">
        <f t="shared" si="8"/>
        <v>8.6499999999999968</v>
      </c>
      <c r="B117" s="390">
        <f t="shared" si="5"/>
        <v>8.9270026845637567</v>
      </c>
      <c r="C117" s="390">
        <f t="shared" si="8"/>
        <v>8.6499999999999968</v>
      </c>
    </row>
    <row r="118" spans="1:3">
      <c r="A118" s="390">
        <f t="shared" si="8"/>
        <v>8.6599999999999966</v>
      </c>
      <c r="B118" s="390">
        <f t="shared" si="5"/>
        <v>8.9377092953020103</v>
      </c>
      <c r="C118" s="390">
        <f t="shared" si="8"/>
        <v>8.6599999999999966</v>
      </c>
    </row>
    <row r="119" spans="1:3">
      <c r="A119" s="390">
        <f t="shared" ref="A119:C134" si="9">A118+0.01</f>
        <v>8.6699999999999964</v>
      </c>
      <c r="B119" s="390">
        <f t="shared" si="5"/>
        <v>8.9484167449664387</v>
      </c>
      <c r="C119" s="390">
        <f t="shared" si="9"/>
        <v>8.6699999999999964</v>
      </c>
    </row>
    <row r="120" spans="1:3">
      <c r="A120" s="390">
        <f t="shared" si="9"/>
        <v>8.6799999999999962</v>
      </c>
      <c r="B120" s="390">
        <f t="shared" si="5"/>
        <v>8.9591250335570436</v>
      </c>
      <c r="C120" s="390">
        <f t="shared" si="9"/>
        <v>8.6799999999999962</v>
      </c>
    </row>
    <row r="121" spans="1:3">
      <c r="A121" s="390">
        <f t="shared" si="9"/>
        <v>8.6899999999999959</v>
      </c>
      <c r="B121" s="390">
        <f t="shared" si="5"/>
        <v>8.9698341610738215</v>
      </c>
      <c r="C121" s="390">
        <f t="shared" si="9"/>
        <v>8.6899999999999959</v>
      </c>
    </row>
    <row r="122" spans="1:3">
      <c r="A122" s="390">
        <f t="shared" si="9"/>
        <v>8.6999999999999957</v>
      </c>
      <c r="B122" s="390">
        <f t="shared" si="5"/>
        <v>8.9805441275167741</v>
      </c>
      <c r="C122" s="390">
        <f t="shared" si="9"/>
        <v>8.6999999999999957</v>
      </c>
    </row>
    <row r="123" spans="1:3">
      <c r="A123" s="390">
        <f t="shared" si="9"/>
        <v>8.7099999999999955</v>
      </c>
      <c r="B123" s="390">
        <f t="shared" si="5"/>
        <v>8.9912549328859015</v>
      </c>
      <c r="C123" s="390">
        <f t="shared" si="9"/>
        <v>8.7099999999999955</v>
      </c>
    </row>
    <row r="124" spans="1:3">
      <c r="A124" s="390">
        <f t="shared" si="9"/>
        <v>8.7199999999999953</v>
      </c>
      <c r="B124" s="390">
        <f t="shared" si="5"/>
        <v>9.0019665771812036</v>
      </c>
      <c r="C124" s="390">
        <f t="shared" si="9"/>
        <v>8.7199999999999953</v>
      </c>
    </row>
    <row r="125" spans="1:3">
      <c r="A125" s="390">
        <f t="shared" si="9"/>
        <v>8.7299999999999951</v>
      </c>
      <c r="B125" s="390">
        <f t="shared" si="5"/>
        <v>9.0126790604026787</v>
      </c>
      <c r="C125" s="390">
        <f t="shared" si="9"/>
        <v>8.7299999999999951</v>
      </c>
    </row>
    <row r="126" spans="1:3">
      <c r="A126" s="390">
        <f t="shared" si="9"/>
        <v>8.7399999999999949</v>
      </c>
      <c r="B126" s="390">
        <f t="shared" si="5"/>
        <v>9.0233923825503304</v>
      </c>
      <c r="C126" s="390">
        <f t="shared" si="9"/>
        <v>8.7399999999999949</v>
      </c>
    </row>
    <row r="127" spans="1:3">
      <c r="A127" s="390">
        <f t="shared" si="9"/>
        <v>8.7499999999999947</v>
      </c>
      <c r="B127" s="390">
        <f t="shared" si="5"/>
        <v>9.0341065436241568</v>
      </c>
      <c r="C127" s="390">
        <f t="shared" si="9"/>
        <v>8.7499999999999947</v>
      </c>
    </row>
    <row r="128" spans="1:3">
      <c r="A128" s="390">
        <f t="shared" si="9"/>
        <v>8.7599999999999945</v>
      </c>
      <c r="B128" s="390">
        <f t="shared" si="5"/>
        <v>9.0448215436241544</v>
      </c>
      <c r="C128" s="390">
        <f t="shared" si="9"/>
        <v>8.7599999999999945</v>
      </c>
    </row>
    <row r="129" spans="1:3">
      <c r="A129" s="390">
        <f t="shared" si="9"/>
        <v>8.7699999999999942</v>
      </c>
      <c r="B129" s="390">
        <f t="shared" si="5"/>
        <v>9.0555373825503302</v>
      </c>
      <c r="C129" s="390">
        <f t="shared" si="9"/>
        <v>8.7699999999999942</v>
      </c>
    </row>
    <row r="130" spans="1:3">
      <c r="A130" s="390">
        <f t="shared" si="9"/>
        <v>8.779999999999994</v>
      </c>
      <c r="B130" s="390">
        <f t="shared" ref="B130:B193" si="10">IF(A130=0,0,+A130*(1+(A130-0.4644)/238.4)-0.02)</f>
        <v>9.0662540604026791</v>
      </c>
      <c r="C130" s="390">
        <f t="shared" si="9"/>
        <v>8.779999999999994</v>
      </c>
    </row>
    <row r="131" spans="1:3">
      <c r="A131" s="390">
        <f t="shared" si="9"/>
        <v>8.7899999999999938</v>
      </c>
      <c r="B131" s="390">
        <f t="shared" si="10"/>
        <v>9.0769715771812027</v>
      </c>
      <c r="C131" s="390">
        <f t="shared" si="9"/>
        <v>8.7899999999999938</v>
      </c>
    </row>
    <row r="132" spans="1:3">
      <c r="A132" s="390">
        <f t="shared" si="9"/>
        <v>8.7999999999999936</v>
      </c>
      <c r="B132" s="390">
        <f t="shared" si="10"/>
        <v>9.0876899328858993</v>
      </c>
      <c r="C132" s="390">
        <f t="shared" si="9"/>
        <v>8.7999999999999936</v>
      </c>
    </row>
    <row r="133" spans="1:3">
      <c r="A133" s="390">
        <f t="shared" si="9"/>
        <v>8.8099999999999934</v>
      </c>
      <c r="B133" s="390">
        <f t="shared" si="10"/>
        <v>9.0984091275167724</v>
      </c>
      <c r="C133" s="390">
        <f t="shared" si="9"/>
        <v>8.8099999999999934</v>
      </c>
    </row>
    <row r="134" spans="1:3">
      <c r="A134" s="390">
        <f t="shared" si="9"/>
        <v>8.8199999999999932</v>
      </c>
      <c r="B134" s="390">
        <f t="shared" si="10"/>
        <v>9.1091291610738185</v>
      </c>
      <c r="C134" s="390">
        <f t="shared" si="9"/>
        <v>8.8199999999999932</v>
      </c>
    </row>
    <row r="135" spans="1:3">
      <c r="A135" s="390">
        <f t="shared" ref="A135:C150" si="11">A134+0.01</f>
        <v>8.829999999999993</v>
      </c>
      <c r="B135" s="390">
        <f t="shared" si="10"/>
        <v>9.1198500335570412</v>
      </c>
      <c r="C135" s="390">
        <f t="shared" si="11"/>
        <v>8.829999999999993</v>
      </c>
    </row>
    <row r="136" spans="1:3">
      <c r="A136" s="390">
        <f t="shared" si="11"/>
        <v>8.8399999999999928</v>
      </c>
      <c r="B136" s="390">
        <f t="shared" si="10"/>
        <v>9.130571744966435</v>
      </c>
      <c r="C136" s="390">
        <f t="shared" si="11"/>
        <v>8.8399999999999928</v>
      </c>
    </row>
    <row r="137" spans="1:3">
      <c r="A137" s="390">
        <f t="shared" si="11"/>
        <v>8.8499999999999925</v>
      </c>
      <c r="B137" s="390">
        <f t="shared" si="10"/>
        <v>9.1412942953020053</v>
      </c>
      <c r="C137" s="390">
        <f t="shared" si="11"/>
        <v>8.8499999999999925</v>
      </c>
    </row>
    <row r="138" spans="1:3">
      <c r="A138" s="390">
        <f t="shared" si="11"/>
        <v>8.8599999999999923</v>
      </c>
      <c r="B138" s="390">
        <f t="shared" si="10"/>
        <v>9.1520176845637504</v>
      </c>
      <c r="C138" s="390">
        <f t="shared" si="11"/>
        <v>8.8599999999999923</v>
      </c>
    </row>
    <row r="139" spans="1:3">
      <c r="A139" s="390">
        <f t="shared" si="11"/>
        <v>8.8699999999999921</v>
      </c>
      <c r="B139" s="390">
        <f t="shared" si="10"/>
        <v>9.1627419127516685</v>
      </c>
      <c r="C139" s="390">
        <f t="shared" si="11"/>
        <v>8.8699999999999921</v>
      </c>
    </row>
    <row r="140" spans="1:3">
      <c r="A140" s="390">
        <f t="shared" si="11"/>
        <v>8.8799999999999919</v>
      </c>
      <c r="B140" s="390">
        <f t="shared" si="10"/>
        <v>9.1734669798657631</v>
      </c>
      <c r="C140" s="390">
        <f t="shared" si="11"/>
        <v>8.8799999999999919</v>
      </c>
    </row>
    <row r="141" spans="1:3">
      <c r="A141" s="390">
        <f t="shared" si="11"/>
        <v>8.8899999999999917</v>
      </c>
      <c r="B141" s="390">
        <f t="shared" si="10"/>
        <v>9.1841928859060324</v>
      </c>
      <c r="C141" s="390">
        <f t="shared" si="11"/>
        <v>8.8899999999999917</v>
      </c>
    </row>
    <row r="142" spans="1:3">
      <c r="A142" s="390">
        <f t="shared" si="11"/>
        <v>8.8999999999999915</v>
      </c>
      <c r="B142" s="390">
        <f t="shared" si="10"/>
        <v>9.1949196308724748</v>
      </c>
      <c r="C142" s="390">
        <f t="shared" si="11"/>
        <v>8.8999999999999915</v>
      </c>
    </row>
    <row r="143" spans="1:3">
      <c r="A143" s="390">
        <f t="shared" si="11"/>
        <v>8.9099999999999913</v>
      </c>
      <c r="B143" s="390">
        <f t="shared" si="10"/>
        <v>9.2056472147650918</v>
      </c>
      <c r="C143" s="390">
        <f t="shared" si="11"/>
        <v>8.9099999999999913</v>
      </c>
    </row>
    <row r="144" spans="1:3">
      <c r="A144" s="390">
        <f t="shared" si="11"/>
        <v>8.919999999999991</v>
      </c>
      <c r="B144" s="390">
        <f t="shared" si="10"/>
        <v>9.2163756375838837</v>
      </c>
      <c r="C144" s="390">
        <f t="shared" si="11"/>
        <v>8.919999999999991</v>
      </c>
    </row>
    <row r="145" spans="1:3">
      <c r="A145" s="390">
        <f t="shared" si="11"/>
        <v>8.9299999999999908</v>
      </c>
      <c r="B145" s="390">
        <f t="shared" si="10"/>
        <v>9.2271048993288503</v>
      </c>
      <c r="C145" s="390">
        <f t="shared" si="11"/>
        <v>8.9299999999999908</v>
      </c>
    </row>
    <row r="146" spans="1:3">
      <c r="A146" s="390">
        <f t="shared" si="11"/>
        <v>8.9399999999999906</v>
      </c>
      <c r="B146" s="390">
        <f t="shared" si="10"/>
        <v>9.2378349999999898</v>
      </c>
      <c r="C146" s="390">
        <f t="shared" si="11"/>
        <v>8.9399999999999906</v>
      </c>
    </row>
    <row r="147" spans="1:3">
      <c r="A147" s="390">
        <f t="shared" si="11"/>
        <v>8.9499999999999904</v>
      </c>
      <c r="B147" s="390">
        <f t="shared" si="10"/>
        <v>9.2485659395973059</v>
      </c>
      <c r="C147" s="390">
        <f t="shared" si="11"/>
        <v>8.9499999999999904</v>
      </c>
    </row>
    <row r="148" spans="1:3">
      <c r="A148" s="390">
        <f t="shared" si="11"/>
        <v>8.9599999999999902</v>
      </c>
      <c r="B148" s="390">
        <f t="shared" si="10"/>
        <v>9.2592977181207949</v>
      </c>
      <c r="C148" s="390">
        <f t="shared" si="11"/>
        <v>8.9599999999999902</v>
      </c>
    </row>
    <row r="149" spans="1:3">
      <c r="A149" s="390">
        <f t="shared" si="11"/>
        <v>8.96999999999999</v>
      </c>
      <c r="B149" s="390">
        <f t="shared" si="10"/>
        <v>9.2700303355704605</v>
      </c>
      <c r="C149" s="390">
        <f t="shared" si="11"/>
        <v>8.96999999999999</v>
      </c>
    </row>
    <row r="150" spans="1:3">
      <c r="A150" s="390">
        <f t="shared" si="11"/>
        <v>8.9799999999999898</v>
      </c>
      <c r="B150" s="390">
        <f t="shared" si="10"/>
        <v>9.2807637919462973</v>
      </c>
      <c r="C150" s="390">
        <f t="shared" si="11"/>
        <v>8.9799999999999898</v>
      </c>
    </row>
    <row r="151" spans="1:3">
      <c r="A151" s="390">
        <f>A150+0.01</f>
        <v>8.9899999999999896</v>
      </c>
      <c r="B151" s="390">
        <f t="shared" si="10"/>
        <v>9.2914980872483106</v>
      </c>
      <c r="C151" s="390">
        <f>C150+0.01</f>
        <v>8.9899999999999896</v>
      </c>
    </row>
    <row r="152" spans="1:3">
      <c r="A152" s="390">
        <v>9</v>
      </c>
      <c r="B152" s="390">
        <f t="shared" si="10"/>
        <v>9.3022332214765111</v>
      </c>
      <c r="C152" s="390">
        <v>9</v>
      </c>
    </row>
    <row r="153" spans="1:3">
      <c r="A153" s="390">
        <f t="shared" ref="A153:C168" si="12">A152+0.01</f>
        <v>9.01</v>
      </c>
      <c r="B153" s="390">
        <f t="shared" si="10"/>
        <v>9.3129691946308739</v>
      </c>
      <c r="C153" s="390">
        <f t="shared" si="12"/>
        <v>9.01</v>
      </c>
    </row>
    <row r="154" spans="1:3">
      <c r="A154" s="390">
        <f t="shared" si="12"/>
        <v>9.02</v>
      </c>
      <c r="B154" s="390">
        <f t="shared" si="10"/>
        <v>9.3237060067114079</v>
      </c>
      <c r="C154" s="390">
        <f t="shared" si="12"/>
        <v>9.02</v>
      </c>
    </row>
    <row r="155" spans="1:3">
      <c r="A155" s="390">
        <f t="shared" si="12"/>
        <v>9.0299999999999994</v>
      </c>
      <c r="B155" s="390">
        <f t="shared" si="10"/>
        <v>9.3344436577181202</v>
      </c>
      <c r="C155" s="390">
        <f t="shared" si="12"/>
        <v>9.0299999999999994</v>
      </c>
    </row>
    <row r="156" spans="1:3">
      <c r="A156" s="390">
        <f t="shared" si="12"/>
        <v>9.0399999999999991</v>
      </c>
      <c r="B156" s="390">
        <f t="shared" si="10"/>
        <v>9.3451821476510073</v>
      </c>
      <c r="C156" s="390">
        <f t="shared" si="12"/>
        <v>9.0399999999999991</v>
      </c>
    </row>
    <row r="157" spans="1:3">
      <c r="A157" s="390">
        <f t="shared" si="12"/>
        <v>9.0499999999999989</v>
      </c>
      <c r="B157" s="390">
        <f t="shared" si="10"/>
        <v>9.3559214765100673</v>
      </c>
      <c r="C157" s="390">
        <f t="shared" si="12"/>
        <v>9.0499999999999989</v>
      </c>
    </row>
    <row r="158" spans="1:3">
      <c r="A158" s="390">
        <f t="shared" si="12"/>
        <v>9.0599999999999987</v>
      </c>
      <c r="B158" s="390">
        <f t="shared" si="10"/>
        <v>9.3666616442953003</v>
      </c>
      <c r="C158" s="390">
        <f t="shared" si="12"/>
        <v>9.0599999999999987</v>
      </c>
    </row>
    <row r="159" spans="1:3">
      <c r="A159" s="390">
        <f t="shared" si="12"/>
        <v>9.0699999999999985</v>
      </c>
      <c r="B159" s="390">
        <f t="shared" si="10"/>
        <v>9.3774026510067099</v>
      </c>
      <c r="C159" s="390">
        <f t="shared" si="12"/>
        <v>9.0699999999999985</v>
      </c>
    </row>
    <row r="160" spans="1:3">
      <c r="A160" s="390">
        <f t="shared" si="12"/>
        <v>9.0799999999999983</v>
      </c>
      <c r="B160" s="390">
        <f t="shared" si="10"/>
        <v>9.3881444966442942</v>
      </c>
      <c r="C160" s="390">
        <f t="shared" si="12"/>
        <v>9.0799999999999983</v>
      </c>
    </row>
    <row r="161" spans="1:3">
      <c r="A161" s="390">
        <f t="shared" si="12"/>
        <v>9.0899999999999981</v>
      </c>
      <c r="B161" s="390">
        <f t="shared" si="10"/>
        <v>9.3988871812080514</v>
      </c>
      <c r="C161" s="390">
        <f t="shared" si="12"/>
        <v>9.0899999999999981</v>
      </c>
    </row>
    <row r="162" spans="1:3">
      <c r="A162" s="390">
        <f t="shared" si="12"/>
        <v>9.0999999999999979</v>
      </c>
      <c r="B162" s="390">
        <f t="shared" si="10"/>
        <v>9.4096307046979852</v>
      </c>
      <c r="C162" s="390">
        <f t="shared" si="12"/>
        <v>9.0999999999999979</v>
      </c>
    </row>
    <row r="163" spans="1:3">
      <c r="A163" s="390">
        <f t="shared" si="12"/>
        <v>9.1099999999999977</v>
      </c>
      <c r="B163" s="390">
        <f t="shared" si="10"/>
        <v>9.420375067114092</v>
      </c>
      <c r="C163" s="390">
        <f t="shared" si="12"/>
        <v>9.1099999999999977</v>
      </c>
    </row>
    <row r="164" spans="1:3">
      <c r="A164" s="390">
        <f t="shared" si="12"/>
        <v>9.1199999999999974</v>
      </c>
      <c r="B164" s="390">
        <f t="shared" si="10"/>
        <v>9.4311202684563753</v>
      </c>
      <c r="C164" s="390">
        <f t="shared" si="12"/>
        <v>9.1199999999999974</v>
      </c>
    </row>
    <row r="165" spans="1:3">
      <c r="A165" s="390">
        <f t="shared" si="12"/>
        <v>9.1299999999999972</v>
      </c>
      <c r="B165" s="390">
        <f t="shared" si="10"/>
        <v>9.4418663087248298</v>
      </c>
      <c r="C165" s="390">
        <f t="shared" si="12"/>
        <v>9.1299999999999972</v>
      </c>
    </row>
    <row r="166" spans="1:3">
      <c r="A166" s="390">
        <f t="shared" si="12"/>
        <v>9.139999999999997</v>
      </c>
      <c r="B166" s="390">
        <f t="shared" si="10"/>
        <v>9.4526131879194608</v>
      </c>
      <c r="C166" s="390">
        <f t="shared" si="12"/>
        <v>9.139999999999997</v>
      </c>
    </row>
    <row r="167" spans="1:3">
      <c r="A167" s="390">
        <f t="shared" si="12"/>
        <v>9.1499999999999968</v>
      </c>
      <c r="B167" s="390">
        <f t="shared" si="10"/>
        <v>9.4633609060402666</v>
      </c>
      <c r="C167" s="390">
        <f t="shared" si="12"/>
        <v>9.1499999999999968</v>
      </c>
    </row>
    <row r="168" spans="1:3">
      <c r="A168" s="390">
        <f t="shared" si="12"/>
        <v>9.1599999999999966</v>
      </c>
      <c r="B168" s="390">
        <f t="shared" si="10"/>
        <v>9.4741094630872436</v>
      </c>
      <c r="C168" s="390">
        <f t="shared" si="12"/>
        <v>9.1599999999999966</v>
      </c>
    </row>
    <row r="169" spans="1:3">
      <c r="A169" s="390">
        <f t="shared" ref="A169:C184" si="13">A168+0.01</f>
        <v>9.1699999999999964</v>
      </c>
      <c r="B169" s="390">
        <f t="shared" si="10"/>
        <v>9.4848588590603988</v>
      </c>
      <c r="C169" s="390">
        <f t="shared" si="13"/>
        <v>9.1699999999999964</v>
      </c>
    </row>
    <row r="170" spans="1:3">
      <c r="A170" s="390">
        <f t="shared" si="13"/>
        <v>9.1799999999999962</v>
      </c>
      <c r="B170" s="390">
        <f t="shared" si="10"/>
        <v>9.4956090939597289</v>
      </c>
      <c r="C170" s="390">
        <f t="shared" si="13"/>
        <v>9.1799999999999962</v>
      </c>
    </row>
    <row r="171" spans="1:3">
      <c r="A171" s="390">
        <f t="shared" si="13"/>
        <v>9.1899999999999959</v>
      </c>
      <c r="B171" s="390">
        <f t="shared" si="10"/>
        <v>9.5063601677852319</v>
      </c>
      <c r="C171" s="390">
        <f t="shared" si="13"/>
        <v>9.1899999999999959</v>
      </c>
    </row>
    <row r="172" spans="1:3">
      <c r="A172" s="390">
        <f t="shared" si="13"/>
        <v>9.1999999999999957</v>
      </c>
      <c r="B172" s="390">
        <f t="shared" si="10"/>
        <v>9.5171120805369078</v>
      </c>
      <c r="C172" s="390">
        <f t="shared" si="13"/>
        <v>9.1999999999999957</v>
      </c>
    </row>
    <row r="173" spans="1:3">
      <c r="A173" s="390">
        <f t="shared" si="13"/>
        <v>9.2099999999999955</v>
      </c>
      <c r="B173" s="390">
        <f t="shared" si="10"/>
        <v>9.5278648322147603</v>
      </c>
      <c r="C173" s="390">
        <f t="shared" si="13"/>
        <v>9.2099999999999955</v>
      </c>
    </row>
    <row r="174" spans="1:3">
      <c r="A174" s="390">
        <f t="shared" si="13"/>
        <v>9.2199999999999953</v>
      </c>
      <c r="B174" s="390">
        <f t="shared" si="10"/>
        <v>9.5386184228187876</v>
      </c>
      <c r="C174" s="390">
        <f t="shared" si="13"/>
        <v>9.2199999999999953</v>
      </c>
    </row>
    <row r="175" spans="1:3">
      <c r="A175" s="390">
        <f t="shared" si="13"/>
        <v>9.2299999999999951</v>
      </c>
      <c r="B175" s="390">
        <f t="shared" si="10"/>
        <v>9.5493728523489878</v>
      </c>
      <c r="C175" s="390">
        <f t="shared" si="13"/>
        <v>9.2299999999999951</v>
      </c>
    </row>
    <row r="176" spans="1:3">
      <c r="A176" s="390">
        <f t="shared" si="13"/>
        <v>9.2399999999999949</v>
      </c>
      <c r="B176" s="390">
        <f t="shared" si="10"/>
        <v>9.5601281208053646</v>
      </c>
      <c r="C176" s="390">
        <f t="shared" si="13"/>
        <v>9.2399999999999949</v>
      </c>
    </row>
    <row r="177" spans="1:3">
      <c r="A177" s="390">
        <f t="shared" si="13"/>
        <v>9.2499999999999947</v>
      </c>
      <c r="B177" s="390">
        <f t="shared" si="10"/>
        <v>9.5708842281879143</v>
      </c>
      <c r="C177" s="390">
        <f t="shared" si="13"/>
        <v>9.2499999999999947</v>
      </c>
    </row>
    <row r="178" spans="1:3">
      <c r="A178" s="390">
        <f t="shared" si="13"/>
        <v>9.2599999999999945</v>
      </c>
      <c r="B178" s="390">
        <f t="shared" si="10"/>
        <v>9.5816411744966388</v>
      </c>
      <c r="C178" s="390">
        <f t="shared" si="13"/>
        <v>9.2599999999999945</v>
      </c>
    </row>
    <row r="179" spans="1:3">
      <c r="A179" s="390">
        <f t="shared" si="13"/>
        <v>9.2699999999999942</v>
      </c>
      <c r="B179" s="390">
        <f t="shared" si="10"/>
        <v>9.592398959731538</v>
      </c>
      <c r="C179" s="390">
        <f t="shared" si="13"/>
        <v>9.2699999999999942</v>
      </c>
    </row>
    <row r="180" spans="1:3">
      <c r="A180" s="390">
        <f t="shared" si="13"/>
        <v>9.279999999999994</v>
      </c>
      <c r="B180" s="390">
        <f t="shared" si="10"/>
        <v>9.603157583892612</v>
      </c>
      <c r="C180" s="390">
        <f t="shared" si="13"/>
        <v>9.279999999999994</v>
      </c>
    </row>
    <row r="181" spans="1:3">
      <c r="A181" s="390">
        <f t="shared" si="13"/>
        <v>9.2899999999999938</v>
      </c>
      <c r="B181" s="390">
        <f t="shared" si="10"/>
        <v>9.6139170469798607</v>
      </c>
      <c r="C181" s="390">
        <f t="shared" si="13"/>
        <v>9.2899999999999938</v>
      </c>
    </row>
    <row r="182" spans="1:3">
      <c r="A182" s="390">
        <f t="shared" si="13"/>
        <v>9.2999999999999936</v>
      </c>
      <c r="B182" s="390">
        <f t="shared" si="10"/>
        <v>9.6246773489932806</v>
      </c>
      <c r="C182" s="390">
        <f t="shared" si="13"/>
        <v>9.2999999999999936</v>
      </c>
    </row>
    <row r="183" spans="1:3">
      <c r="A183" s="390">
        <f t="shared" si="13"/>
        <v>9.3099999999999934</v>
      </c>
      <c r="B183" s="390">
        <f t="shared" si="10"/>
        <v>9.6354384899328789</v>
      </c>
      <c r="C183" s="390">
        <f t="shared" si="13"/>
        <v>9.3099999999999934</v>
      </c>
    </row>
    <row r="184" spans="1:3">
      <c r="A184" s="390">
        <f t="shared" si="13"/>
        <v>9.3199999999999932</v>
      </c>
      <c r="B184" s="390">
        <f t="shared" si="10"/>
        <v>9.6462004697986519</v>
      </c>
      <c r="C184" s="390">
        <f t="shared" si="13"/>
        <v>9.3199999999999932</v>
      </c>
    </row>
    <row r="185" spans="1:3">
      <c r="A185" s="390">
        <f t="shared" ref="A185:C200" si="14">A184+0.01</f>
        <v>9.329999999999993</v>
      </c>
      <c r="B185" s="390">
        <f t="shared" si="10"/>
        <v>9.6569632885905978</v>
      </c>
      <c r="C185" s="390">
        <f t="shared" si="14"/>
        <v>9.329999999999993</v>
      </c>
    </row>
    <row r="186" spans="1:3">
      <c r="A186" s="390">
        <f t="shared" si="14"/>
        <v>9.3399999999999928</v>
      </c>
      <c r="B186" s="390">
        <f t="shared" si="10"/>
        <v>9.6677269463087168</v>
      </c>
      <c r="C186" s="390">
        <f t="shared" si="14"/>
        <v>9.3399999999999928</v>
      </c>
    </row>
    <row r="187" spans="1:3">
      <c r="A187" s="390">
        <f t="shared" si="14"/>
        <v>9.3499999999999925</v>
      </c>
      <c r="B187" s="390">
        <f t="shared" si="10"/>
        <v>9.6784914429530122</v>
      </c>
      <c r="C187" s="390">
        <f t="shared" si="14"/>
        <v>9.3499999999999925</v>
      </c>
    </row>
    <row r="188" spans="1:3">
      <c r="A188" s="390">
        <f t="shared" si="14"/>
        <v>9.3599999999999923</v>
      </c>
      <c r="B188" s="390">
        <f t="shared" si="10"/>
        <v>9.6892567785234824</v>
      </c>
      <c r="C188" s="390">
        <f t="shared" si="14"/>
        <v>9.3599999999999923</v>
      </c>
    </row>
    <row r="189" spans="1:3">
      <c r="A189" s="390">
        <f t="shared" si="14"/>
        <v>9.3699999999999921</v>
      </c>
      <c r="B189" s="390">
        <f t="shared" si="10"/>
        <v>9.7000229530201256</v>
      </c>
      <c r="C189" s="390">
        <f t="shared" si="14"/>
        <v>9.3699999999999921</v>
      </c>
    </row>
    <row r="190" spans="1:3">
      <c r="A190" s="390">
        <f t="shared" si="14"/>
        <v>9.3799999999999919</v>
      </c>
      <c r="B190" s="390">
        <f t="shared" si="10"/>
        <v>9.7107899664429436</v>
      </c>
      <c r="C190" s="390">
        <f t="shared" si="14"/>
        <v>9.3799999999999919</v>
      </c>
    </row>
    <row r="191" spans="1:3">
      <c r="A191" s="390">
        <f t="shared" si="14"/>
        <v>9.3899999999999917</v>
      </c>
      <c r="B191" s="390">
        <f t="shared" si="10"/>
        <v>9.721557818791938</v>
      </c>
      <c r="C191" s="390">
        <f t="shared" si="14"/>
        <v>9.3899999999999917</v>
      </c>
    </row>
    <row r="192" spans="1:3">
      <c r="A192" s="390">
        <f t="shared" si="14"/>
        <v>9.3999999999999915</v>
      </c>
      <c r="B192" s="390">
        <f t="shared" si="10"/>
        <v>9.7323265100671055</v>
      </c>
      <c r="C192" s="390">
        <f t="shared" si="14"/>
        <v>9.3999999999999915</v>
      </c>
    </row>
    <row r="193" spans="1:3">
      <c r="A193" s="390">
        <f t="shared" si="14"/>
        <v>9.4099999999999913</v>
      </c>
      <c r="B193" s="390">
        <f t="shared" si="10"/>
        <v>9.7430960402684459</v>
      </c>
      <c r="C193" s="390">
        <f t="shared" si="14"/>
        <v>9.4099999999999913</v>
      </c>
    </row>
    <row r="194" spans="1:3">
      <c r="A194" s="390">
        <f t="shared" si="14"/>
        <v>9.419999999999991</v>
      </c>
      <c r="B194" s="390">
        <f t="shared" ref="B194:B201" si="15">IF(A194=0,0,+A194*(1+(A194-0.4644)/238.4)-0.02)</f>
        <v>9.7538664093959646</v>
      </c>
      <c r="C194" s="390">
        <f t="shared" si="14"/>
        <v>9.419999999999991</v>
      </c>
    </row>
    <row r="195" spans="1:3">
      <c r="A195" s="390">
        <f t="shared" si="14"/>
        <v>9.4299999999999908</v>
      </c>
      <c r="B195" s="390">
        <f t="shared" si="15"/>
        <v>9.7646376174496545</v>
      </c>
      <c r="C195" s="390">
        <f t="shared" si="14"/>
        <v>9.4299999999999908</v>
      </c>
    </row>
    <row r="196" spans="1:3">
      <c r="A196" s="390">
        <f t="shared" si="14"/>
        <v>9.4399999999999906</v>
      </c>
      <c r="B196" s="390">
        <f t="shared" si="15"/>
        <v>9.775409664429521</v>
      </c>
      <c r="C196" s="390">
        <f t="shared" si="14"/>
        <v>9.4399999999999906</v>
      </c>
    </row>
    <row r="197" spans="1:3">
      <c r="A197" s="390">
        <f t="shared" si="14"/>
        <v>9.4499999999999904</v>
      </c>
      <c r="B197" s="390">
        <f t="shared" si="15"/>
        <v>9.7861825503355604</v>
      </c>
      <c r="C197" s="390">
        <f t="shared" si="14"/>
        <v>9.4499999999999904</v>
      </c>
    </row>
    <row r="198" spans="1:3">
      <c r="A198" s="390">
        <f t="shared" si="14"/>
        <v>9.4599999999999902</v>
      </c>
      <c r="B198" s="390">
        <f t="shared" si="15"/>
        <v>9.7969562751677746</v>
      </c>
      <c r="C198" s="390">
        <f t="shared" si="14"/>
        <v>9.4599999999999902</v>
      </c>
    </row>
    <row r="199" spans="1:3">
      <c r="A199" s="390">
        <f t="shared" si="14"/>
        <v>9.46999999999999</v>
      </c>
      <c r="B199" s="390">
        <f t="shared" si="15"/>
        <v>9.8077308389261653</v>
      </c>
      <c r="C199" s="390">
        <f t="shared" si="14"/>
        <v>9.46999999999999</v>
      </c>
    </row>
    <row r="200" spans="1:3">
      <c r="A200" s="390">
        <f t="shared" si="14"/>
        <v>9.4799999999999898</v>
      </c>
      <c r="B200" s="390">
        <f t="shared" si="15"/>
        <v>9.8185062416107272</v>
      </c>
      <c r="C200" s="390">
        <f t="shared" si="14"/>
        <v>9.4799999999999898</v>
      </c>
    </row>
    <row r="201" spans="1:3">
      <c r="A201" s="390">
        <f>A200+0.01</f>
        <v>9.4899999999999896</v>
      </c>
      <c r="B201" s="390">
        <f t="shared" si="15"/>
        <v>9.8292824832214656</v>
      </c>
      <c r="C201" s="390">
        <f>C200+0.01</f>
        <v>9.4899999999999896</v>
      </c>
    </row>
    <row r="202" spans="1:3">
      <c r="A202" s="391">
        <v>9.5</v>
      </c>
      <c r="B202" s="391">
        <v>9.84</v>
      </c>
      <c r="C202" s="391">
        <v>9.5</v>
      </c>
    </row>
    <row r="203" spans="1:3">
      <c r="A203" s="392">
        <v>9.51</v>
      </c>
      <c r="B203" s="392">
        <v>9.85</v>
      </c>
      <c r="C203" s="392">
        <v>9.51</v>
      </c>
    </row>
    <row r="204" spans="1:3">
      <c r="A204" s="392">
        <v>9.52</v>
      </c>
      <c r="B204" s="392">
        <v>9.86</v>
      </c>
      <c r="C204" s="392">
        <v>9.52</v>
      </c>
    </row>
    <row r="205" spans="1:3">
      <c r="A205" s="392">
        <v>9.5299999999999994</v>
      </c>
      <c r="B205" s="392">
        <v>9.8800000000000008</v>
      </c>
      <c r="C205" s="392">
        <v>9.5299999999999994</v>
      </c>
    </row>
    <row r="206" spans="1:3">
      <c r="A206" s="392">
        <v>9.5399999999999991</v>
      </c>
      <c r="B206" s="392">
        <v>9.89</v>
      </c>
      <c r="C206" s="392">
        <v>9.5399999999999991</v>
      </c>
    </row>
    <row r="207" spans="1:3">
      <c r="A207" s="392">
        <v>9.5500000000000007</v>
      </c>
      <c r="B207" s="392">
        <v>9.9</v>
      </c>
      <c r="C207" s="392">
        <v>9.5500000000000007</v>
      </c>
    </row>
    <row r="208" spans="1:3">
      <c r="A208" s="392">
        <v>9.56</v>
      </c>
      <c r="B208" s="392">
        <v>9.91</v>
      </c>
      <c r="C208" s="392">
        <v>9.56</v>
      </c>
    </row>
    <row r="209" spans="1:3">
      <c r="A209" s="392">
        <v>9.57</v>
      </c>
      <c r="B209" s="392">
        <v>9.92</v>
      </c>
      <c r="C209" s="392">
        <v>9.57</v>
      </c>
    </row>
    <row r="210" spans="1:3">
      <c r="A210" s="392">
        <v>9.58</v>
      </c>
      <c r="B210" s="392">
        <v>9.93</v>
      </c>
      <c r="C210" s="392">
        <v>9.58</v>
      </c>
    </row>
    <row r="211" spans="1:3">
      <c r="A211" s="392">
        <v>9.59</v>
      </c>
      <c r="B211" s="392">
        <v>9.94</v>
      </c>
      <c r="C211" s="392">
        <v>9.59</v>
      </c>
    </row>
    <row r="212" spans="1:3">
      <c r="A212" s="392">
        <v>9.6</v>
      </c>
      <c r="B212" s="392">
        <v>9.9499999999999993</v>
      </c>
      <c r="C212" s="392">
        <v>9.6</v>
      </c>
    </row>
    <row r="213" spans="1:3">
      <c r="A213" s="392">
        <v>9.61</v>
      </c>
      <c r="B213" s="392">
        <v>9.9600000000000009</v>
      </c>
      <c r="C213" s="392">
        <v>9.61</v>
      </c>
    </row>
    <row r="214" spans="1:3">
      <c r="A214" s="392">
        <v>9.6199999999999992</v>
      </c>
      <c r="B214" s="392">
        <v>9.9700000000000006</v>
      </c>
      <c r="C214" s="392">
        <v>9.6199999999999992</v>
      </c>
    </row>
    <row r="215" spans="1:3">
      <c r="A215" s="392">
        <v>9.6300000000000008</v>
      </c>
      <c r="B215" s="392">
        <v>9.98</v>
      </c>
      <c r="C215" s="392">
        <v>9.6300000000000008</v>
      </c>
    </row>
    <row r="216" spans="1:3">
      <c r="A216" s="392">
        <v>9.64</v>
      </c>
      <c r="B216" s="392">
        <v>9.99</v>
      </c>
      <c r="C216" s="392">
        <v>9.64</v>
      </c>
    </row>
    <row r="217" spans="1:3">
      <c r="A217" s="392">
        <v>9.65</v>
      </c>
      <c r="B217" s="392">
        <v>10</v>
      </c>
      <c r="C217" s="392">
        <v>9.65</v>
      </c>
    </row>
    <row r="218" spans="1:3">
      <c r="A218" s="392">
        <v>9.66</v>
      </c>
      <c r="B218" s="392">
        <v>10.01</v>
      </c>
      <c r="C218" s="392">
        <v>9.66</v>
      </c>
    </row>
    <row r="219" spans="1:3">
      <c r="A219" s="392">
        <v>9.67</v>
      </c>
      <c r="B219" s="392">
        <v>10.029999999999999</v>
      </c>
      <c r="C219" s="392">
        <v>9.67</v>
      </c>
    </row>
    <row r="220" spans="1:3">
      <c r="A220" s="392">
        <v>9.68</v>
      </c>
      <c r="B220" s="392">
        <v>10.039999999999999</v>
      </c>
      <c r="C220" s="392">
        <v>9.68</v>
      </c>
    </row>
    <row r="221" spans="1:3">
      <c r="A221" s="392">
        <v>9.69</v>
      </c>
      <c r="B221" s="392">
        <v>10.050000000000001</v>
      </c>
      <c r="C221" s="392">
        <v>9.69</v>
      </c>
    </row>
    <row r="222" spans="1:3">
      <c r="A222" s="392">
        <v>9.6999999999999993</v>
      </c>
      <c r="B222" s="392">
        <v>10.06</v>
      </c>
      <c r="C222" s="392">
        <v>9.6999999999999993</v>
      </c>
    </row>
    <row r="223" spans="1:3">
      <c r="A223" s="392">
        <v>9.7100000000000009</v>
      </c>
      <c r="B223" s="392">
        <v>10.07</v>
      </c>
      <c r="C223" s="392">
        <v>9.7100000000000009</v>
      </c>
    </row>
    <row r="224" spans="1:3">
      <c r="A224" s="392">
        <v>9.7200000000000006</v>
      </c>
      <c r="B224" s="392">
        <v>10.08</v>
      </c>
      <c r="C224" s="392">
        <v>9.7200000000000006</v>
      </c>
    </row>
    <row r="225" spans="1:3">
      <c r="A225" s="392">
        <v>9.73</v>
      </c>
      <c r="B225" s="392">
        <v>10.09</v>
      </c>
      <c r="C225" s="392">
        <v>9.73</v>
      </c>
    </row>
    <row r="226" spans="1:3">
      <c r="A226" s="392">
        <v>9.74</v>
      </c>
      <c r="B226" s="392">
        <v>10.1</v>
      </c>
      <c r="C226" s="392">
        <v>9.74</v>
      </c>
    </row>
    <row r="227" spans="1:3">
      <c r="A227" s="392">
        <v>9.75</v>
      </c>
      <c r="B227" s="392">
        <v>10.11</v>
      </c>
      <c r="C227" s="392">
        <v>9.75</v>
      </c>
    </row>
    <row r="228" spans="1:3">
      <c r="A228" s="392">
        <v>9.76</v>
      </c>
      <c r="B228" s="392">
        <v>10.119999999999999</v>
      </c>
      <c r="C228" s="392">
        <v>9.76</v>
      </c>
    </row>
    <row r="229" spans="1:3">
      <c r="A229" s="392">
        <v>9.77</v>
      </c>
      <c r="B229" s="392">
        <v>10.130000000000001</v>
      </c>
      <c r="C229" s="392">
        <v>9.77</v>
      </c>
    </row>
    <row r="230" spans="1:3">
      <c r="A230" s="392">
        <v>9.7799999999999994</v>
      </c>
      <c r="B230" s="392">
        <v>10.14</v>
      </c>
      <c r="C230" s="392">
        <v>9.7799999999999994</v>
      </c>
    </row>
    <row r="231" spans="1:3">
      <c r="A231" s="392">
        <v>9.7899999999999991</v>
      </c>
      <c r="B231" s="392">
        <v>10.15</v>
      </c>
      <c r="C231" s="392">
        <v>9.7899999999999991</v>
      </c>
    </row>
    <row r="232" spans="1:3">
      <c r="A232" s="392">
        <v>9.8000000000000007</v>
      </c>
      <c r="B232" s="392">
        <v>10.17</v>
      </c>
      <c r="C232" s="392">
        <v>9.8000000000000007</v>
      </c>
    </row>
    <row r="233" spans="1:3">
      <c r="A233" s="392">
        <v>9.81</v>
      </c>
      <c r="B233" s="392">
        <v>10.18</v>
      </c>
      <c r="C233" s="392">
        <v>9.81</v>
      </c>
    </row>
    <row r="234" spans="1:3">
      <c r="A234" s="392">
        <v>9.82</v>
      </c>
      <c r="B234" s="392">
        <v>10.19</v>
      </c>
      <c r="C234" s="392">
        <v>9.82</v>
      </c>
    </row>
    <row r="235" spans="1:3">
      <c r="A235" s="392">
        <v>9.83</v>
      </c>
      <c r="B235" s="392">
        <v>10.199999999999999</v>
      </c>
      <c r="C235" s="392">
        <v>9.83</v>
      </c>
    </row>
    <row r="236" spans="1:3">
      <c r="A236" s="392">
        <v>9.84</v>
      </c>
      <c r="B236" s="392">
        <v>10.210000000000001</v>
      </c>
      <c r="C236" s="392">
        <v>9.84</v>
      </c>
    </row>
    <row r="237" spans="1:3">
      <c r="A237" s="392">
        <v>9.85</v>
      </c>
      <c r="B237" s="392">
        <v>10.220000000000001</v>
      </c>
      <c r="C237" s="392">
        <v>9.85</v>
      </c>
    </row>
    <row r="238" spans="1:3">
      <c r="A238" s="392">
        <v>9.86</v>
      </c>
      <c r="B238" s="392">
        <v>10.23</v>
      </c>
      <c r="C238" s="392">
        <v>9.86</v>
      </c>
    </row>
    <row r="239" spans="1:3">
      <c r="A239" s="392">
        <v>9.8699999999999992</v>
      </c>
      <c r="B239" s="392">
        <v>10.24</v>
      </c>
      <c r="C239" s="392">
        <v>9.8699999999999992</v>
      </c>
    </row>
    <row r="240" spans="1:3">
      <c r="A240" s="392">
        <v>9.8800000000000008</v>
      </c>
      <c r="B240" s="392">
        <v>10.25</v>
      </c>
      <c r="C240" s="392">
        <v>9.8800000000000008</v>
      </c>
    </row>
    <row r="241" spans="1:3">
      <c r="A241" s="392">
        <v>9.89</v>
      </c>
      <c r="B241" s="392">
        <v>10.26</v>
      </c>
      <c r="C241" s="392">
        <v>9.89</v>
      </c>
    </row>
    <row r="242" spans="1:3">
      <c r="A242" s="392">
        <v>9.9</v>
      </c>
      <c r="B242" s="392">
        <v>10.27</v>
      </c>
      <c r="C242" s="392">
        <v>9.9</v>
      </c>
    </row>
    <row r="243" spans="1:3">
      <c r="A243" s="392">
        <v>9.91</v>
      </c>
      <c r="B243" s="392">
        <v>10.28</v>
      </c>
      <c r="C243" s="392">
        <v>9.91</v>
      </c>
    </row>
    <row r="244" spans="1:3">
      <c r="A244" s="392">
        <v>9.92</v>
      </c>
      <c r="B244" s="392">
        <v>10.3</v>
      </c>
      <c r="C244" s="392">
        <v>9.92</v>
      </c>
    </row>
    <row r="245" spans="1:3">
      <c r="A245" s="392">
        <v>9.93</v>
      </c>
      <c r="B245" s="392">
        <v>10.31</v>
      </c>
      <c r="C245" s="392">
        <v>9.93</v>
      </c>
    </row>
    <row r="246" spans="1:3">
      <c r="A246" s="392">
        <v>9.94</v>
      </c>
      <c r="B246" s="392">
        <v>10.32</v>
      </c>
      <c r="C246" s="392">
        <v>9.94</v>
      </c>
    </row>
    <row r="247" spans="1:3">
      <c r="A247" s="392">
        <v>9.9499999999999993</v>
      </c>
      <c r="B247" s="392">
        <v>10.33</v>
      </c>
      <c r="C247" s="392">
        <v>9.9499999999999993</v>
      </c>
    </row>
    <row r="248" spans="1:3">
      <c r="A248" s="392">
        <v>9.9600000000000009</v>
      </c>
      <c r="B248" s="392">
        <v>10.34</v>
      </c>
      <c r="C248" s="392">
        <v>9.9600000000000009</v>
      </c>
    </row>
    <row r="249" spans="1:3">
      <c r="A249" s="392">
        <v>9.9700000000000006</v>
      </c>
      <c r="B249" s="392">
        <v>10.35</v>
      </c>
      <c r="C249" s="392">
        <v>9.9700000000000006</v>
      </c>
    </row>
    <row r="250" spans="1:3">
      <c r="A250" s="392">
        <v>9.98</v>
      </c>
      <c r="B250" s="392">
        <v>10.36</v>
      </c>
      <c r="C250" s="392">
        <v>9.98</v>
      </c>
    </row>
    <row r="251" spans="1:3">
      <c r="A251" s="392">
        <v>9.99</v>
      </c>
      <c r="B251" s="392">
        <v>10.37</v>
      </c>
      <c r="C251" s="392">
        <v>9.99</v>
      </c>
    </row>
    <row r="252" spans="1:3">
      <c r="A252" s="392">
        <v>10</v>
      </c>
      <c r="B252" s="392">
        <v>10.38</v>
      </c>
      <c r="C252" s="392">
        <v>10</v>
      </c>
    </row>
    <row r="253" spans="1:3">
      <c r="A253" s="392">
        <v>10.01</v>
      </c>
      <c r="B253" s="392">
        <v>10.39</v>
      </c>
      <c r="C253" s="392">
        <v>10.01</v>
      </c>
    </row>
    <row r="254" spans="1:3">
      <c r="A254" s="392">
        <v>10.02</v>
      </c>
      <c r="B254" s="392">
        <v>10.4</v>
      </c>
      <c r="C254" s="392">
        <v>10.02</v>
      </c>
    </row>
    <row r="255" spans="1:3">
      <c r="A255" s="392">
        <v>10.029999999999999</v>
      </c>
      <c r="B255" s="392">
        <v>10.41</v>
      </c>
      <c r="C255" s="392">
        <v>10.029999999999999</v>
      </c>
    </row>
    <row r="256" spans="1:3">
      <c r="A256" s="392">
        <v>10.039999999999999</v>
      </c>
      <c r="B256" s="392">
        <v>10.42</v>
      </c>
      <c r="C256" s="392">
        <v>10.039999999999999</v>
      </c>
    </row>
    <row r="257" spans="1:3">
      <c r="A257" s="392">
        <v>10.050000000000001</v>
      </c>
      <c r="B257" s="392">
        <v>10.44</v>
      </c>
      <c r="C257" s="392">
        <v>10.050000000000001</v>
      </c>
    </row>
    <row r="258" spans="1:3">
      <c r="A258" s="392">
        <v>10.06</v>
      </c>
      <c r="B258" s="392">
        <v>10.45</v>
      </c>
      <c r="C258" s="392">
        <v>10.06</v>
      </c>
    </row>
    <row r="259" spans="1:3">
      <c r="A259" s="392">
        <v>10.07</v>
      </c>
      <c r="B259" s="392">
        <v>10.46</v>
      </c>
      <c r="C259" s="392">
        <v>10.07</v>
      </c>
    </row>
    <row r="260" spans="1:3">
      <c r="A260" s="392">
        <v>10.08</v>
      </c>
      <c r="B260" s="392">
        <v>10.47</v>
      </c>
      <c r="C260" s="392">
        <v>10.08</v>
      </c>
    </row>
    <row r="261" spans="1:3">
      <c r="A261" s="392">
        <v>10.09</v>
      </c>
      <c r="B261" s="392">
        <v>10.48</v>
      </c>
      <c r="C261" s="392">
        <v>10.09</v>
      </c>
    </row>
    <row r="262" spans="1:3">
      <c r="A262" s="392">
        <v>10.1</v>
      </c>
      <c r="B262" s="392">
        <v>10.49</v>
      </c>
      <c r="C262" s="392">
        <v>10.1</v>
      </c>
    </row>
    <row r="263" spans="1:3">
      <c r="A263" s="392">
        <v>10.11</v>
      </c>
      <c r="B263" s="392">
        <v>10.5</v>
      </c>
      <c r="C263" s="392">
        <v>10.11</v>
      </c>
    </row>
    <row r="264" spans="1:3">
      <c r="A264" s="392">
        <v>10.119999999999999</v>
      </c>
      <c r="B264" s="392">
        <v>10.51</v>
      </c>
      <c r="C264" s="392">
        <v>10.119999999999999</v>
      </c>
    </row>
    <row r="265" spans="1:3">
      <c r="A265" s="392">
        <v>10.130000000000001</v>
      </c>
      <c r="B265" s="392">
        <v>10.52</v>
      </c>
      <c r="C265" s="392">
        <v>10.130000000000001</v>
      </c>
    </row>
    <row r="266" spans="1:3">
      <c r="A266" s="392">
        <v>10.14</v>
      </c>
      <c r="B266" s="392">
        <v>10.53</v>
      </c>
      <c r="C266" s="392">
        <v>10.14</v>
      </c>
    </row>
    <row r="267" spans="1:3">
      <c r="A267" s="392">
        <v>10.15</v>
      </c>
      <c r="B267" s="392">
        <v>10.54</v>
      </c>
      <c r="C267" s="392">
        <v>10.15</v>
      </c>
    </row>
    <row r="268" spans="1:3">
      <c r="A268" s="392">
        <v>10.16</v>
      </c>
      <c r="B268" s="392">
        <v>10.55</v>
      </c>
      <c r="C268" s="392">
        <v>10.16</v>
      </c>
    </row>
    <row r="269" spans="1:3">
      <c r="A269" s="392">
        <v>10.17</v>
      </c>
      <c r="B269" s="392">
        <v>10.57</v>
      </c>
      <c r="C269" s="392">
        <v>10.17</v>
      </c>
    </row>
    <row r="270" spans="1:3">
      <c r="A270" s="392">
        <v>10.18</v>
      </c>
      <c r="B270" s="392">
        <v>10.58</v>
      </c>
      <c r="C270" s="392">
        <v>10.18</v>
      </c>
    </row>
    <row r="271" spans="1:3">
      <c r="A271" s="392">
        <v>10.19</v>
      </c>
      <c r="B271" s="392">
        <v>10.59</v>
      </c>
      <c r="C271" s="392">
        <v>10.19</v>
      </c>
    </row>
    <row r="272" spans="1:3">
      <c r="A272" s="392">
        <v>10.199999999999999</v>
      </c>
      <c r="B272" s="392">
        <v>10.6</v>
      </c>
      <c r="C272" s="392">
        <v>10.199999999999999</v>
      </c>
    </row>
    <row r="273" spans="1:3">
      <c r="A273" s="392">
        <v>10.210000000000001</v>
      </c>
      <c r="B273" s="392">
        <v>10.61</v>
      </c>
      <c r="C273" s="392">
        <v>10.210000000000001</v>
      </c>
    </row>
    <row r="274" spans="1:3">
      <c r="A274" s="392">
        <v>10.220000000000001</v>
      </c>
      <c r="B274" s="392">
        <v>10.62</v>
      </c>
      <c r="C274" s="392">
        <v>10.220000000000001</v>
      </c>
    </row>
    <row r="275" spans="1:3">
      <c r="A275" s="392">
        <v>10.23</v>
      </c>
      <c r="B275" s="392">
        <v>10.63</v>
      </c>
      <c r="C275" s="392">
        <v>10.23</v>
      </c>
    </row>
    <row r="276" spans="1:3">
      <c r="A276" s="392">
        <v>10.24</v>
      </c>
      <c r="B276" s="392">
        <v>10.64</v>
      </c>
      <c r="C276" s="392">
        <v>10.24</v>
      </c>
    </row>
    <row r="277" spans="1:3">
      <c r="A277" s="392">
        <v>10.25</v>
      </c>
      <c r="B277" s="392">
        <v>10.65</v>
      </c>
      <c r="C277" s="392">
        <v>10.25</v>
      </c>
    </row>
    <row r="278" spans="1:3">
      <c r="A278" s="392">
        <v>10.26</v>
      </c>
      <c r="B278" s="392">
        <v>10.66</v>
      </c>
      <c r="C278" s="392">
        <v>10.26</v>
      </c>
    </row>
    <row r="279" spans="1:3">
      <c r="A279" s="392">
        <v>10.27</v>
      </c>
      <c r="B279" s="392">
        <v>10.67</v>
      </c>
      <c r="C279" s="392">
        <v>10.27</v>
      </c>
    </row>
    <row r="280" spans="1:3">
      <c r="A280" s="392">
        <v>10.28</v>
      </c>
      <c r="B280" s="392">
        <v>10.68</v>
      </c>
      <c r="C280" s="392">
        <v>10.28</v>
      </c>
    </row>
    <row r="281" spans="1:3">
      <c r="A281" s="392">
        <v>10.29</v>
      </c>
      <c r="B281" s="392">
        <v>10.69</v>
      </c>
      <c r="C281" s="392">
        <v>10.29</v>
      </c>
    </row>
    <row r="282" spans="1:3">
      <c r="A282" s="392">
        <v>10.3</v>
      </c>
      <c r="B282" s="392">
        <v>10.71</v>
      </c>
      <c r="C282" s="392">
        <v>10.3</v>
      </c>
    </row>
    <row r="283" spans="1:3">
      <c r="A283" s="392">
        <v>10.31</v>
      </c>
      <c r="B283" s="392">
        <v>10.72</v>
      </c>
      <c r="C283" s="392">
        <v>10.31</v>
      </c>
    </row>
    <row r="284" spans="1:3">
      <c r="A284" s="392">
        <v>10.32</v>
      </c>
      <c r="B284" s="392">
        <v>10.73</v>
      </c>
      <c r="C284" s="392">
        <v>10.32</v>
      </c>
    </row>
    <row r="285" spans="1:3">
      <c r="A285" s="392">
        <v>10.33</v>
      </c>
      <c r="B285" s="392">
        <v>10.74</v>
      </c>
      <c r="C285" s="392">
        <v>10.33</v>
      </c>
    </row>
    <row r="286" spans="1:3">
      <c r="A286" s="392">
        <v>10.34</v>
      </c>
      <c r="B286" s="392">
        <v>10.75</v>
      </c>
      <c r="C286" s="392">
        <v>10.34</v>
      </c>
    </row>
    <row r="287" spans="1:3">
      <c r="A287" s="392">
        <v>10.35</v>
      </c>
      <c r="B287" s="392">
        <v>10.76</v>
      </c>
      <c r="C287" s="392">
        <v>10.35</v>
      </c>
    </row>
    <row r="288" spans="1:3">
      <c r="A288" s="392">
        <v>10.36</v>
      </c>
      <c r="B288" s="392">
        <v>10.77</v>
      </c>
      <c r="C288" s="392">
        <v>10.36</v>
      </c>
    </row>
    <row r="289" spans="1:3">
      <c r="A289" s="392">
        <v>10.37</v>
      </c>
      <c r="B289" s="392">
        <v>10.78</v>
      </c>
      <c r="C289" s="392">
        <v>10.37</v>
      </c>
    </row>
    <row r="290" spans="1:3">
      <c r="A290" s="392">
        <v>10.38</v>
      </c>
      <c r="B290" s="392">
        <v>10.79</v>
      </c>
      <c r="C290" s="392">
        <v>10.38</v>
      </c>
    </row>
    <row r="291" spans="1:3">
      <c r="A291" s="392">
        <v>10.39</v>
      </c>
      <c r="B291" s="392">
        <v>10.8</v>
      </c>
      <c r="C291" s="392">
        <v>10.39</v>
      </c>
    </row>
    <row r="292" spans="1:3">
      <c r="A292" s="392">
        <v>10.4</v>
      </c>
      <c r="B292" s="392">
        <v>10.81</v>
      </c>
      <c r="C292" s="392">
        <v>10.4</v>
      </c>
    </row>
    <row r="293" spans="1:3">
      <c r="A293" s="392">
        <v>10.41</v>
      </c>
      <c r="B293" s="392">
        <v>10.82</v>
      </c>
      <c r="C293" s="392">
        <v>10.41</v>
      </c>
    </row>
    <row r="294" spans="1:3">
      <c r="A294" s="392">
        <v>10.42</v>
      </c>
      <c r="B294" s="392">
        <v>10.84</v>
      </c>
      <c r="C294" s="392">
        <v>10.42</v>
      </c>
    </row>
    <row r="295" spans="1:3">
      <c r="A295" s="392">
        <v>10.43</v>
      </c>
      <c r="B295" s="392">
        <v>10.85</v>
      </c>
      <c r="C295" s="392">
        <v>10.43</v>
      </c>
    </row>
    <row r="296" spans="1:3">
      <c r="A296" s="392">
        <v>10.44</v>
      </c>
      <c r="B296" s="392">
        <v>10.86</v>
      </c>
      <c r="C296" s="392">
        <v>10.44</v>
      </c>
    </row>
    <row r="297" spans="1:3">
      <c r="A297" s="392">
        <v>10.45</v>
      </c>
      <c r="B297" s="392">
        <v>10.87</v>
      </c>
      <c r="C297" s="392">
        <v>10.45</v>
      </c>
    </row>
    <row r="298" spans="1:3">
      <c r="A298" s="392">
        <v>10.46</v>
      </c>
      <c r="B298" s="392">
        <v>10.88</v>
      </c>
      <c r="C298" s="392">
        <v>10.46</v>
      </c>
    </row>
    <row r="299" spans="1:3">
      <c r="A299" s="392">
        <v>10.47</v>
      </c>
      <c r="B299" s="392">
        <v>10.89</v>
      </c>
      <c r="C299" s="392">
        <v>10.47</v>
      </c>
    </row>
    <row r="300" spans="1:3">
      <c r="A300" s="392">
        <v>10.48</v>
      </c>
      <c r="B300" s="392">
        <v>10.9</v>
      </c>
      <c r="C300" s="392">
        <v>10.48</v>
      </c>
    </row>
    <row r="301" spans="1:3">
      <c r="A301" s="392">
        <v>10.49</v>
      </c>
      <c r="B301" s="392">
        <v>10.91</v>
      </c>
      <c r="C301" s="392">
        <v>10.49</v>
      </c>
    </row>
    <row r="302" spans="1:3">
      <c r="A302" s="392">
        <v>10.5</v>
      </c>
      <c r="B302" s="392">
        <v>10.92</v>
      </c>
      <c r="C302" s="392">
        <v>10.5</v>
      </c>
    </row>
    <row r="303" spans="1:3">
      <c r="A303" s="392">
        <v>10.51</v>
      </c>
      <c r="B303" s="392">
        <v>10.93</v>
      </c>
      <c r="C303" s="392">
        <v>10.51</v>
      </c>
    </row>
    <row r="304" spans="1:3">
      <c r="A304" s="392">
        <v>10.52</v>
      </c>
      <c r="B304" s="392">
        <v>10.94</v>
      </c>
      <c r="C304" s="392">
        <v>10.52</v>
      </c>
    </row>
    <row r="305" spans="1:3">
      <c r="A305" s="392">
        <v>10.53</v>
      </c>
      <c r="B305" s="392">
        <v>10.95</v>
      </c>
      <c r="C305" s="392">
        <v>10.53</v>
      </c>
    </row>
    <row r="306" spans="1:3">
      <c r="A306" s="392">
        <v>10.54</v>
      </c>
      <c r="B306" s="392">
        <v>10.97</v>
      </c>
      <c r="C306" s="392">
        <v>10.54</v>
      </c>
    </row>
    <row r="307" spans="1:3">
      <c r="A307" s="392">
        <v>10.55</v>
      </c>
      <c r="B307" s="392">
        <v>10.98</v>
      </c>
      <c r="C307" s="392">
        <v>10.55</v>
      </c>
    </row>
    <row r="308" spans="1:3">
      <c r="A308" s="392">
        <v>10.56</v>
      </c>
      <c r="B308" s="392">
        <v>10.99</v>
      </c>
      <c r="C308" s="392">
        <v>10.56</v>
      </c>
    </row>
    <row r="309" spans="1:3">
      <c r="A309" s="392">
        <v>10.57</v>
      </c>
      <c r="B309" s="392">
        <v>11</v>
      </c>
      <c r="C309" s="392">
        <v>10.57</v>
      </c>
    </row>
    <row r="310" spans="1:3">
      <c r="A310" s="392">
        <v>10.58</v>
      </c>
      <c r="B310" s="392">
        <v>11.01</v>
      </c>
      <c r="C310" s="392">
        <v>10.58</v>
      </c>
    </row>
    <row r="311" spans="1:3">
      <c r="A311" s="392">
        <v>10.59</v>
      </c>
      <c r="B311" s="392">
        <v>11.02</v>
      </c>
      <c r="C311" s="392">
        <v>10.59</v>
      </c>
    </row>
    <row r="312" spans="1:3">
      <c r="A312" s="392">
        <v>10.6</v>
      </c>
      <c r="B312" s="392">
        <v>11.03</v>
      </c>
      <c r="C312" s="392">
        <v>10.6</v>
      </c>
    </row>
    <row r="313" spans="1:3">
      <c r="A313" s="392">
        <v>10.61</v>
      </c>
      <c r="B313" s="392">
        <v>11.04</v>
      </c>
      <c r="C313" s="392">
        <v>10.61</v>
      </c>
    </row>
    <row r="314" spans="1:3">
      <c r="A314" s="392">
        <v>10.62</v>
      </c>
      <c r="B314" s="392">
        <v>11.05</v>
      </c>
      <c r="C314" s="392">
        <v>10.62</v>
      </c>
    </row>
    <row r="315" spans="1:3">
      <c r="A315" s="392">
        <v>10.63</v>
      </c>
      <c r="B315" s="392">
        <v>11.06</v>
      </c>
      <c r="C315" s="392">
        <v>10.63</v>
      </c>
    </row>
    <row r="316" spans="1:3">
      <c r="A316" s="392">
        <v>10.64</v>
      </c>
      <c r="B316" s="392">
        <v>11.07</v>
      </c>
      <c r="C316" s="392">
        <v>10.64</v>
      </c>
    </row>
    <row r="317" spans="1:3">
      <c r="A317" s="392">
        <v>10.65</v>
      </c>
      <c r="B317" s="392">
        <v>11.08</v>
      </c>
      <c r="C317" s="392">
        <v>10.65</v>
      </c>
    </row>
    <row r="318" spans="1:3">
      <c r="A318" s="392">
        <v>10.66</v>
      </c>
      <c r="B318" s="392">
        <v>11.1</v>
      </c>
      <c r="C318" s="392">
        <v>10.66</v>
      </c>
    </row>
    <row r="319" spans="1:3">
      <c r="A319" s="392">
        <v>10.67</v>
      </c>
      <c r="B319" s="392">
        <v>11.11</v>
      </c>
      <c r="C319" s="392">
        <v>10.67</v>
      </c>
    </row>
    <row r="320" spans="1:3">
      <c r="A320" s="392">
        <v>10.68</v>
      </c>
      <c r="B320" s="392">
        <v>11.12</v>
      </c>
      <c r="C320" s="392">
        <v>10.68</v>
      </c>
    </row>
    <row r="321" spans="1:3">
      <c r="A321" s="392">
        <v>10.69</v>
      </c>
      <c r="B321" s="392">
        <v>11.13</v>
      </c>
      <c r="C321" s="392">
        <v>10.69</v>
      </c>
    </row>
    <row r="322" spans="1:3">
      <c r="A322" s="392">
        <v>10.7</v>
      </c>
      <c r="B322" s="392">
        <v>11.14</v>
      </c>
      <c r="C322" s="392">
        <v>10.7</v>
      </c>
    </row>
    <row r="323" spans="1:3">
      <c r="A323" s="392">
        <v>10.71</v>
      </c>
      <c r="B323" s="392">
        <v>11.15</v>
      </c>
      <c r="C323" s="392">
        <v>10.71</v>
      </c>
    </row>
    <row r="324" spans="1:3">
      <c r="A324" s="392">
        <v>10.72</v>
      </c>
      <c r="B324" s="392">
        <v>11.16</v>
      </c>
      <c r="C324" s="392">
        <v>10.72</v>
      </c>
    </row>
    <row r="325" spans="1:3">
      <c r="A325" s="392">
        <v>10.73</v>
      </c>
      <c r="B325" s="392">
        <v>11.17</v>
      </c>
      <c r="C325" s="392">
        <v>10.73</v>
      </c>
    </row>
    <row r="326" spans="1:3">
      <c r="A326" s="392">
        <v>10.74</v>
      </c>
      <c r="B326" s="392">
        <v>11.18</v>
      </c>
      <c r="C326" s="392">
        <v>10.74</v>
      </c>
    </row>
    <row r="327" spans="1:3">
      <c r="A327" s="392">
        <v>10.75</v>
      </c>
      <c r="B327" s="392">
        <v>11.19</v>
      </c>
      <c r="C327" s="392">
        <v>10.75</v>
      </c>
    </row>
    <row r="328" spans="1:3">
      <c r="A328" s="392">
        <v>10.76</v>
      </c>
      <c r="B328" s="392">
        <v>11.2</v>
      </c>
      <c r="C328" s="392">
        <v>10.76</v>
      </c>
    </row>
    <row r="329" spans="1:3">
      <c r="A329" s="392">
        <v>10.77</v>
      </c>
      <c r="B329" s="392">
        <v>11.22</v>
      </c>
      <c r="C329" s="392">
        <v>10.77</v>
      </c>
    </row>
    <row r="330" spans="1:3">
      <c r="A330" s="392">
        <v>10.78</v>
      </c>
      <c r="B330" s="392">
        <v>11.23</v>
      </c>
      <c r="C330" s="392">
        <v>10.78</v>
      </c>
    </row>
    <row r="331" spans="1:3">
      <c r="A331" s="392">
        <v>10.79</v>
      </c>
      <c r="B331" s="392">
        <v>11.24</v>
      </c>
      <c r="C331" s="392">
        <v>10.79</v>
      </c>
    </row>
    <row r="332" spans="1:3">
      <c r="A332" s="392">
        <v>10.8</v>
      </c>
      <c r="B332" s="392">
        <v>11.25</v>
      </c>
      <c r="C332" s="392">
        <v>10.8</v>
      </c>
    </row>
    <row r="333" spans="1:3">
      <c r="A333" s="392">
        <v>10.81</v>
      </c>
      <c r="B333" s="392">
        <v>11.26</v>
      </c>
      <c r="C333" s="392">
        <v>10.81</v>
      </c>
    </row>
    <row r="334" spans="1:3">
      <c r="A334" s="392">
        <v>10.82</v>
      </c>
      <c r="B334" s="392">
        <v>11.27</v>
      </c>
      <c r="C334" s="392">
        <v>10.82</v>
      </c>
    </row>
    <row r="335" spans="1:3">
      <c r="A335" s="392">
        <v>10.83</v>
      </c>
      <c r="B335" s="392">
        <v>11.28</v>
      </c>
      <c r="C335" s="392">
        <v>10.83</v>
      </c>
    </row>
    <row r="336" spans="1:3">
      <c r="A336" s="392">
        <v>10.84</v>
      </c>
      <c r="B336" s="392">
        <v>11.29</v>
      </c>
      <c r="C336" s="392">
        <v>10.84</v>
      </c>
    </row>
    <row r="337" spans="1:3">
      <c r="A337" s="392">
        <v>10.85</v>
      </c>
      <c r="B337" s="392">
        <v>11.3</v>
      </c>
      <c r="C337" s="392">
        <v>10.85</v>
      </c>
    </row>
    <row r="338" spans="1:3">
      <c r="A338" s="392">
        <v>10.86</v>
      </c>
      <c r="B338" s="392">
        <v>11.31</v>
      </c>
      <c r="C338" s="392">
        <v>10.86</v>
      </c>
    </row>
    <row r="339" spans="1:3">
      <c r="A339" s="392">
        <v>10.87</v>
      </c>
      <c r="B339" s="392">
        <v>11.32</v>
      </c>
      <c r="C339" s="392">
        <v>10.87</v>
      </c>
    </row>
    <row r="340" spans="1:3">
      <c r="A340" s="392">
        <v>10.88</v>
      </c>
      <c r="B340" s="392">
        <v>11.33</v>
      </c>
      <c r="C340" s="392">
        <v>10.88</v>
      </c>
    </row>
    <row r="341" spans="1:3">
      <c r="A341" s="392">
        <v>10.89</v>
      </c>
      <c r="B341" s="392">
        <v>11.35</v>
      </c>
      <c r="C341" s="392">
        <v>10.89</v>
      </c>
    </row>
    <row r="342" spans="1:3">
      <c r="A342" s="392">
        <v>10.9</v>
      </c>
      <c r="B342" s="392">
        <v>11.36</v>
      </c>
      <c r="C342" s="392">
        <v>10.9</v>
      </c>
    </row>
    <row r="343" spans="1:3">
      <c r="A343" s="392">
        <v>10.91</v>
      </c>
      <c r="B343" s="392">
        <v>11.37</v>
      </c>
      <c r="C343" s="392">
        <v>10.91</v>
      </c>
    </row>
    <row r="344" spans="1:3">
      <c r="A344" s="392">
        <v>10.92</v>
      </c>
      <c r="B344" s="392">
        <v>11.38</v>
      </c>
      <c r="C344" s="392">
        <v>10.92</v>
      </c>
    </row>
    <row r="345" spans="1:3">
      <c r="A345" s="392">
        <v>10.93</v>
      </c>
      <c r="B345" s="392">
        <v>11.39</v>
      </c>
      <c r="C345" s="392">
        <v>10.93</v>
      </c>
    </row>
    <row r="346" spans="1:3">
      <c r="A346" s="392">
        <v>10.94</v>
      </c>
      <c r="B346" s="392">
        <v>11.4</v>
      </c>
      <c r="C346" s="392">
        <v>10.94</v>
      </c>
    </row>
    <row r="347" spans="1:3">
      <c r="A347" s="392">
        <v>10.95</v>
      </c>
      <c r="B347" s="392">
        <v>11.41</v>
      </c>
      <c r="C347" s="392">
        <v>10.95</v>
      </c>
    </row>
    <row r="348" spans="1:3">
      <c r="A348" s="392">
        <v>10.96</v>
      </c>
      <c r="B348" s="392">
        <v>11.42</v>
      </c>
      <c r="C348" s="392">
        <v>10.96</v>
      </c>
    </row>
    <row r="349" spans="1:3">
      <c r="A349" s="392">
        <v>10.97</v>
      </c>
      <c r="B349" s="392">
        <v>11.43</v>
      </c>
      <c r="C349" s="392">
        <v>10.97</v>
      </c>
    </row>
    <row r="350" spans="1:3">
      <c r="A350" s="392">
        <v>10.98</v>
      </c>
      <c r="B350" s="392">
        <v>11.44</v>
      </c>
      <c r="C350" s="392">
        <v>10.98</v>
      </c>
    </row>
    <row r="351" spans="1:3">
      <c r="A351" s="392">
        <v>10.99</v>
      </c>
      <c r="B351" s="392">
        <v>11.45</v>
      </c>
      <c r="C351" s="392">
        <v>10.99</v>
      </c>
    </row>
    <row r="352" spans="1:3">
      <c r="A352" s="392">
        <v>11</v>
      </c>
      <c r="B352" s="392">
        <v>11.47</v>
      </c>
      <c r="C352" s="392">
        <v>11</v>
      </c>
    </row>
    <row r="353" spans="1:3">
      <c r="A353" s="392">
        <v>11.01</v>
      </c>
      <c r="B353" s="392">
        <v>11.48</v>
      </c>
      <c r="C353" s="392">
        <v>11.01</v>
      </c>
    </row>
    <row r="354" spans="1:3">
      <c r="A354" s="392">
        <v>11.02</v>
      </c>
      <c r="B354" s="392">
        <v>11.49</v>
      </c>
      <c r="C354" s="392">
        <v>11.02</v>
      </c>
    </row>
    <row r="355" spans="1:3">
      <c r="A355" s="392">
        <v>11.03</v>
      </c>
      <c r="B355" s="392">
        <v>11.5</v>
      </c>
      <c r="C355" s="392">
        <v>11.03</v>
      </c>
    </row>
    <row r="356" spans="1:3">
      <c r="A356" s="392">
        <v>11.04</v>
      </c>
      <c r="B356" s="392">
        <v>11.51</v>
      </c>
      <c r="C356" s="392">
        <v>11.04</v>
      </c>
    </row>
    <row r="357" spans="1:3">
      <c r="A357" s="392">
        <v>11.05</v>
      </c>
      <c r="B357" s="392">
        <v>11.52</v>
      </c>
      <c r="C357" s="392">
        <v>11.05</v>
      </c>
    </row>
    <row r="358" spans="1:3">
      <c r="A358" s="392">
        <v>11.06</v>
      </c>
      <c r="B358" s="392">
        <v>11.53</v>
      </c>
      <c r="C358" s="392">
        <v>11.06</v>
      </c>
    </row>
    <row r="359" spans="1:3">
      <c r="A359" s="392">
        <v>11.07</v>
      </c>
      <c r="B359" s="392">
        <v>11.54</v>
      </c>
      <c r="C359" s="392">
        <v>11.07</v>
      </c>
    </row>
    <row r="360" spans="1:3">
      <c r="A360" s="392">
        <v>11.08</v>
      </c>
      <c r="B360" s="392">
        <v>11.55</v>
      </c>
      <c r="C360" s="392">
        <v>11.08</v>
      </c>
    </row>
    <row r="361" spans="1:3">
      <c r="A361" s="392">
        <v>11.09</v>
      </c>
      <c r="B361" s="392">
        <v>11.56</v>
      </c>
      <c r="C361" s="392">
        <v>11.09</v>
      </c>
    </row>
    <row r="362" spans="1:3">
      <c r="A362" s="392">
        <v>11.1</v>
      </c>
      <c r="B362" s="392">
        <v>11.57</v>
      </c>
      <c r="C362" s="392">
        <v>11.1</v>
      </c>
    </row>
    <row r="363" spans="1:3">
      <c r="A363" s="392">
        <v>11.11</v>
      </c>
      <c r="B363" s="392">
        <v>11.58</v>
      </c>
      <c r="C363" s="392">
        <v>11.11</v>
      </c>
    </row>
    <row r="364" spans="1:3">
      <c r="A364" s="392">
        <v>11.12</v>
      </c>
      <c r="B364" s="392">
        <v>11.6</v>
      </c>
      <c r="C364" s="392">
        <v>11.12</v>
      </c>
    </row>
    <row r="365" spans="1:3">
      <c r="A365" s="392">
        <v>11.13</v>
      </c>
      <c r="B365" s="392">
        <v>11.61</v>
      </c>
      <c r="C365" s="392">
        <v>11.13</v>
      </c>
    </row>
    <row r="366" spans="1:3">
      <c r="A366" s="392">
        <v>11.14</v>
      </c>
      <c r="B366" s="392">
        <v>11.62</v>
      </c>
      <c r="C366" s="392">
        <v>11.14</v>
      </c>
    </row>
    <row r="367" spans="1:3">
      <c r="A367" s="392">
        <v>11.15</v>
      </c>
      <c r="B367" s="392">
        <v>11.63</v>
      </c>
      <c r="C367" s="392">
        <v>11.15</v>
      </c>
    </row>
    <row r="368" spans="1:3">
      <c r="A368" s="392">
        <v>11.16</v>
      </c>
      <c r="B368" s="392">
        <v>11.64</v>
      </c>
      <c r="C368" s="392">
        <v>11.16</v>
      </c>
    </row>
    <row r="369" spans="1:3">
      <c r="A369" s="392">
        <v>11.17</v>
      </c>
      <c r="B369" s="392">
        <v>11.65</v>
      </c>
      <c r="C369" s="392">
        <v>11.17</v>
      </c>
    </row>
    <row r="370" spans="1:3">
      <c r="A370" s="392">
        <v>11.18</v>
      </c>
      <c r="B370" s="392">
        <v>11.66</v>
      </c>
      <c r="C370" s="392">
        <v>11.18</v>
      </c>
    </row>
    <row r="371" spans="1:3">
      <c r="A371" s="392">
        <v>11.19</v>
      </c>
      <c r="B371" s="392">
        <v>11.67</v>
      </c>
      <c r="C371" s="392">
        <v>11.19</v>
      </c>
    </row>
    <row r="372" spans="1:3">
      <c r="A372" s="392">
        <v>11.2</v>
      </c>
      <c r="B372" s="392">
        <v>11.68</v>
      </c>
      <c r="C372" s="392">
        <v>11.2</v>
      </c>
    </row>
    <row r="373" spans="1:3">
      <c r="A373" s="392">
        <v>11.21</v>
      </c>
      <c r="B373" s="392">
        <v>11.69</v>
      </c>
      <c r="C373" s="392">
        <v>11.21</v>
      </c>
    </row>
    <row r="374" spans="1:3">
      <c r="A374" s="392">
        <v>11.22</v>
      </c>
      <c r="B374" s="392">
        <v>11.7</v>
      </c>
      <c r="C374" s="392">
        <v>11.22</v>
      </c>
    </row>
    <row r="375" spans="1:3">
      <c r="A375" s="392">
        <v>11.23</v>
      </c>
      <c r="B375" s="392">
        <v>11.72</v>
      </c>
      <c r="C375" s="392">
        <v>11.23</v>
      </c>
    </row>
    <row r="376" spans="1:3">
      <c r="A376" s="392">
        <v>11.24</v>
      </c>
      <c r="B376" s="392">
        <v>11.73</v>
      </c>
      <c r="C376" s="392">
        <v>11.24</v>
      </c>
    </row>
    <row r="377" spans="1:3">
      <c r="A377" s="392">
        <v>11.25</v>
      </c>
      <c r="B377" s="392">
        <v>11.74</v>
      </c>
      <c r="C377" s="392">
        <v>11.25</v>
      </c>
    </row>
    <row r="378" spans="1:3">
      <c r="A378" s="392">
        <v>11.26</v>
      </c>
      <c r="B378" s="392">
        <v>11.75</v>
      </c>
      <c r="C378" s="392">
        <v>11.26</v>
      </c>
    </row>
    <row r="379" spans="1:3">
      <c r="A379" s="392">
        <v>11.27</v>
      </c>
      <c r="B379" s="392">
        <v>11.76</v>
      </c>
      <c r="C379" s="392">
        <v>11.27</v>
      </c>
    </row>
    <row r="380" spans="1:3">
      <c r="A380" s="392">
        <v>11.28</v>
      </c>
      <c r="B380" s="392">
        <v>11.77</v>
      </c>
      <c r="C380" s="392">
        <v>11.28</v>
      </c>
    </row>
    <row r="381" spans="1:3">
      <c r="A381" s="392">
        <v>11.29</v>
      </c>
      <c r="B381" s="392">
        <v>11.78</v>
      </c>
      <c r="C381" s="392">
        <v>11.29</v>
      </c>
    </row>
    <row r="382" spans="1:3">
      <c r="A382" s="392">
        <v>11.3</v>
      </c>
      <c r="B382" s="392">
        <v>11.79</v>
      </c>
      <c r="C382" s="392">
        <v>11.3</v>
      </c>
    </row>
    <row r="383" spans="1:3">
      <c r="A383" s="392">
        <v>11.31</v>
      </c>
      <c r="B383" s="392">
        <v>11.8</v>
      </c>
      <c r="C383" s="392">
        <v>11.31</v>
      </c>
    </row>
    <row r="384" spans="1:3">
      <c r="A384" s="392">
        <v>11.32</v>
      </c>
      <c r="B384" s="392">
        <v>11.81</v>
      </c>
      <c r="C384" s="392">
        <v>11.32</v>
      </c>
    </row>
    <row r="385" spans="1:3">
      <c r="A385" s="392">
        <v>11.33</v>
      </c>
      <c r="B385" s="392">
        <v>11.82</v>
      </c>
      <c r="C385" s="392">
        <v>11.33</v>
      </c>
    </row>
    <row r="386" spans="1:3">
      <c r="A386" s="392">
        <v>11.34</v>
      </c>
      <c r="B386" s="392">
        <v>11.84</v>
      </c>
      <c r="C386" s="392">
        <v>11.34</v>
      </c>
    </row>
    <row r="387" spans="1:3">
      <c r="A387" s="392">
        <v>11.35</v>
      </c>
      <c r="B387" s="392">
        <v>11.85</v>
      </c>
      <c r="C387" s="392">
        <v>11.35</v>
      </c>
    </row>
    <row r="388" spans="1:3">
      <c r="A388" s="392">
        <v>11.36</v>
      </c>
      <c r="B388" s="392">
        <v>11.86</v>
      </c>
      <c r="C388" s="392">
        <v>11.36</v>
      </c>
    </row>
    <row r="389" spans="1:3">
      <c r="A389" s="392">
        <v>11.37</v>
      </c>
      <c r="B389" s="392">
        <v>11.87</v>
      </c>
      <c r="C389" s="392">
        <v>11.37</v>
      </c>
    </row>
    <row r="390" spans="1:3">
      <c r="A390" s="392">
        <v>11.38</v>
      </c>
      <c r="B390" s="392">
        <v>11.88</v>
      </c>
      <c r="C390" s="392">
        <v>11.38</v>
      </c>
    </row>
    <row r="391" spans="1:3">
      <c r="A391" s="392">
        <v>11.39</v>
      </c>
      <c r="B391" s="392">
        <v>11.89</v>
      </c>
      <c r="C391" s="392">
        <v>11.39</v>
      </c>
    </row>
    <row r="392" spans="1:3">
      <c r="A392" s="392">
        <v>11.4</v>
      </c>
      <c r="B392" s="392">
        <v>11.9</v>
      </c>
      <c r="C392" s="392">
        <v>11.4</v>
      </c>
    </row>
    <row r="393" spans="1:3">
      <c r="A393" s="392">
        <v>11.41</v>
      </c>
      <c r="B393" s="392">
        <v>11.91</v>
      </c>
      <c r="C393" s="392">
        <v>11.41</v>
      </c>
    </row>
    <row r="394" spans="1:3">
      <c r="A394" s="392">
        <v>11.42</v>
      </c>
      <c r="B394" s="392">
        <v>11.92</v>
      </c>
      <c r="C394" s="392">
        <v>11.42</v>
      </c>
    </row>
    <row r="395" spans="1:3">
      <c r="A395" s="392">
        <v>11.43</v>
      </c>
      <c r="B395" s="392">
        <v>11.93</v>
      </c>
      <c r="C395" s="392">
        <v>11.43</v>
      </c>
    </row>
    <row r="396" spans="1:3">
      <c r="A396" s="392">
        <v>11.44</v>
      </c>
      <c r="B396" s="392">
        <v>11.94</v>
      </c>
      <c r="C396" s="392">
        <v>11.44</v>
      </c>
    </row>
    <row r="397" spans="1:3">
      <c r="A397" s="392">
        <v>11.45</v>
      </c>
      <c r="B397" s="392">
        <v>11.96</v>
      </c>
      <c r="C397" s="392">
        <v>11.45</v>
      </c>
    </row>
    <row r="398" spans="1:3">
      <c r="A398" s="392">
        <v>11.46</v>
      </c>
      <c r="B398" s="392">
        <v>11.97</v>
      </c>
      <c r="C398" s="392">
        <v>11.46</v>
      </c>
    </row>
    <row r="399" spans="1:3">
      <c r="A399" s="392">
        <v>11.47</v>
      </c>
      <c r="B399" s="392">
        <v>11.98</v>
      </c>
      <c r="C399" s="392">
        <v>11.47</v>
      </c>
    </row>
    <row r="400" spans="1:3">
      <c r="A400" s="392">
        <v>11.48</v>
      </c>
      <c r="B400" s="392">
        <v>11.99</v>
      </c>
      <c r="C400" s="392">
        <v>11.48</v>
      </c>
    </row>
    <row r="401" spans="1:3">
      <c r="A401" s="392">
        <v>11.49</v>
      </c>
      <c r="B401" s="392">
        <v>12</v>
      </c>
      <c r="C401" s="392">
        <v>11.49</v>
      </c>
    </row>
    <row r="402" spans="1:3">
      <c r="A402" s="392">
        <v>11.5</v>
      </c>
      <c r="B402" s="392">
        <v>12.01</v>
      </c>
      <c r="C402" s="392">
        <v>11.5</v>
      </c>
    </row>
    <row r="403" spans="1:3">
      <c r="A403" s="392">
        <v>11.51</v>
      </c>
      <c r="B403" s="392">
        <v>12.02</v>
      </c>
      <c r="C403" s="392">
        <v>11.51</v>
      </c>
    </row>
    <row r="404" spans="1:3">
      <c r="A404" s="392">
        <v>11.52</v>
      </c>
      <c r="B404" s="392">
        <v>12.03</v>
      </c>
      <c r="C404" s="392">
        <v>11.52</v>
      </c>
    </row>
    <row r="405" spans="1:3">
      <c r="A405" s="392">
        <v>11.53</v>
      </c>
      <c r="B405" s="392">
        <v>12.04</v>
      </c>
      <c r="C405" s="392">
        <v>11.53</v>
      </c>
    </row>
    <row r="406" spans="1:3">
      <c r="A406" s="392">
        <v>11.54</v>
      </c>
      <c r="B406" s="392">
        <v>12.05</v>
      </c>
      <c r="C406" s="392">
        <v>11.54</v>
      </c>
    </row>
    <row r="407" spans="1:3">
      <c r="A407" s="392">
        <v>11.55</v>
      </c>
      <c r="B407" s="392">
        <v>12.06</v>
      </c>
      <c r="C407" s="392">
        <v>11.55</v>
      </c>
    </row>
    <row r="408" spans="1:3">
      <c r="A408" s="392">
        <v>11.56</v>
      </c>
      <c r="B408" s="392">
        <v>12.08</v>
      </c>
      <c r="C408" s="392">
        <v>11.56</v>
      </c>
    </row>
    <row r="409" spans="1:3">
      <c r="A409" s="392">
        <v>11.57</v>
      </c>
      <c r="B409" s="392">
        <v>12.09</v>
      </c>
      <c r="C409" s="392">
        <v>11.57</v>
      </c>
    </row>
    <row r="410" spans="1:3">
      <c r="A410" s="392">
        <v>11.58</v>
      </c>
      <c r="B410" s="392">
        <v>12.1</v>
      </c>
      <c r="C410" s="392">
        <v>11.58</v>
      </c>
    </row>
    <row r="411" spans="1:3">
      <c r="A411" s="392">
        <v>11.59</v>
      </c>
      <c r="B411" s="392">
        <v>12.11</v>
      </c>
      <c r="C411" s="392">
        <v>11.59</v>
      </c>
    </row>
    <row r="412" spans="1:3">
      <c r="A412" s="392">
        <v>11.6</v>
      </c>
      <c r="B412" s="392">
        <v>12.12</v>
      </c>
      <c r="C412" s="392">
        <v>11.6</v>
      </c>
    </row>
    <row r="413" spans="1:3">
      <c r="A413" s="392">
        <v>11.61</v>
      </c>
      <c r="B413" s="392">
        <v>12.13</v>
      </c>
      <c r="C413" s="392">
        <v>11.61</v>
      </c>
    </row>
    <row r="414" spans="1:3">
      <c r="A414" s="392">
        <v>11.62</v>
      </c>
      <c r="B414" s="392">
        <v>12.14</v>
      </c>
      <c r="C414" s="392">
        <v>11.62</v>
      </c>
    </row>
    <row r="415" spans="1:3">
      <c r="A415" s="392">
        <v>11.63</v>
      </c>
      <c r="B415" s="392">
        <v>12.15</v>
      </c>
      <c r="C415" s="392">
        <v>11.63</v>
      </c>
    </row>
    <row r="416" spans="1:3">
      <c r="A416" s="392">
        <v>11.64</v>
      </c>
      <c r="B416" s="392">
        <v>12.16</v>
      </c>
      <c r="C416" s="392">
        <v>11.64</v>
      </c>
    </row>
    <row r="417" spans="1:3">
      <c r="A417" s="392">
        <v>11.65</v>
      </c>
      <c r="B417" s="392">
        <v>12.17</v>
      </c>
      <c r="C417" s="392">
        <v>11.65</v>
      </c>
    </row>
    <row r="418" spans="1:3">
      <c r="A418" s="392">
        <v>11.66</v>
      </c>
      <c r="B418" s="392">
        <v>12.19</v>
      </c>
      <c r="C418" s="392">
        <v>11.66</v>
      </c>
    </row>
    <row r="419" spans="1:3">
      <c r="A419" s="392">
        <v>11.67</v>
      </c>
      <c r="B419" s="392">
        <v>12.2</v>
      </c>
      <c r="C419" s="392">
        <v>11.67</v>
      </c>
    </row>
    <row r="420" spans="1:3">
      <c r="A420" s="392">
        <v>11.68</v>
      </c>
      <c r="B420" s="392">
        <v>12.21</v>
      </c>
      <c r="C420" s="392">
        <v>11.68</v>
      </c>
    </row>
    <row r="421" spans="1:3">
      <c r="A421" s="392">
        <v>11.69</v>
      </c>
      <c r="B421" s="392">
        <v>12.22</v>
      </c>
      <c r="C421" s="392">
        <v>11.69</v>
      </c>
    </row>
    <row r="422" spans="1:3">
      <c r="A422" s="392">
        <v>11.7</v>
      </c>
      <c r="B422" s="392">
        <v>12.23</v>
      </c>
      <c r="C422" s="392">
        <v>11.7</v>
      </c>
    </row>
    <row r="423" spans="1:3">
      <c r="A423" s="392">
        <v>11.71</v>
      </c>
      <c r="B423" s="392">
        <v>12.24</v>
      </c>
      <c r="C423" s="392">
        <v>11.71</v>
      </c>
    </row>
    <row r="424" spans="1:3">
      <c r="A424" s="392">
        <v>11.72</v>
      </c>
      <c r="B424" s="392">
        <v>12.25</v>
      </c>
      <c r="C424" s="392">
        <v>11.72</v>
      </c>
    </row>
    <row r="425" spans="1:3">
      <c r="A425" s="392">
        <v>11.73</v>
      </c>
      <c r="B425" s="392">
        <v>12.26</v>
      </c>
      <c r="C425" s="392">
        <v>11.73</v>
      </c>
    </row>
    <row r="426" spans="1:3">
      <c r="A426" s="392">
        <v>11.74</v>
      </c>
      <c r="B426" s="392">
        <v>12.27</v>
      </c>
      <c r="C426" s="392">
        <v>11.74</v>
      </c>
    </row>
    <row r="427" spans="1:3">
      <c r="A427" s="392">
        <v>11.75</v>
      </c>
      <c r="B427" s="392">
        <v>12.28</v>
      </c>
      <c r="C427" s="392">
        <v>11.75</v>
      </c>
    </row>
    <row r="428" spans="1:3">
      <c r="A428" s="392">
        <v>11.76</v>
      </c>
      <c r="B428" s="392">
        <v>12.29</v>
      </c>
      <c r="C428" s="392">
        <v>11.76</v>
      </c>
    </row>
    <row r="429" spans="1:3">
      <c r="A429" s="392">
        <v>11.77</v>
      </c>
      <c r="B429" s="392">
        <v>12.31</v>
      </c>
      <c r="C429" s="392">
        <v>11.77</v>
      </c>
    </row>
    <row r="430" spans="1:3">
      <c r="A430" s="392">
        <v>11.78</v>
      </c>
      <c r="B430" s="392">
        <v>12.32</v>
      </c>
      <c r="C430" s="392">
        <v>11.78</v>
      </c>
    </row>
    <row r="431" spans="1:3">
      <c r="A431" s="392">
        <v>11.79</v>
      </c>
      <c r="B431" s="392">
        <v>12.33</v>
      </c>
      <c r="C431" s="392">
        <v>11.79</v>
      </c>
    </row>
    <row r="432" spans="1:3">
      <c r="A432" s="392">
        <v>11.8</v>
      </c>
      <c r="B432" s="392">
        <v>12.34</v>
      </c>
      <c r="C432" s="392">
        <v>11.8</v>
      </c>
    </row>
    <row r="433" spans="1:3">
      <c r="A433" s="392">
        <v>11.81</v>
      </c>
      <c r="B433" s="392">
        <v>12.35</v>
      </c>
      <c r="C433" s="392">
        <v>11.81</v>
      </c>
    </row>
    <row r="434" spans="1:3">
      <c r="A434" s="392">
        <v>11.82</v>
      </c>
      <c r="B434" s="392">
        <v>12.36</v>
      </c>
      <c r="C434" s="392">
        <v>11.82</v>
      </c>
    </row>
    <row r="435" spans="1:3">
      <c r="A435" s="392">
        <v>11.83</v>
      </c>
      <c r="B435" s="392">
        <v>12.37</v>
      </c>
      <c r="C435" s="392">
        <v>11.83</v>
      </c>
    </row>
    <row r="436" spans="1:3">
      <c r="A436" s="392">
        <v>11.84</v>
      </c>
      <c r="B436" s="392">
        <v>12.38</v>
      </c>
      <c r="C436" s="392">
        <v>11.84</v>
      </c>
    </row>
    <row r="437" spans="1:3">
      <c r="A437" s="392">
        <v>11.85</v>
      </c>
      <c r="B437" s="392">
        <v>12.39</v>
      </c>
      <c r="C437" s="392">
        <v>11.85</v>
      </c>
    </row>
    <row r="438" spans="1:3">
      <c r="A438" s="392">
        <v>11.86</v>
      </c>
      <c r="B438" s="392">
        <v>12.4</v>
      </c>
      <c r="C438" s="392">
        <v>11.86</v>
      </c>
    </row>
    <row r="439" spans="1:3">
      <c r="A439" s="392">
        <v>11.87</v>
      </c>
      <c r="B439" s="392">
        <v>12.42</v>
      </c>
      <c r="C439" s="392">
        <v>11.87</v>
      </c>
    </row>
    <row r="440" spans="1:3">
      <c r="A440" s="392">
        <v>11.88</v>
      </c>
      <c r="B440" s="392">
        <v>12.43</v>
      </c>
      <c r="C440" s="392">
        <v>11.88</v>
      </c>
    </row>
    <row r="441" spans="1:3">
      <c r="A441" s="392">
        <v>11.89</v>
      </c>
      <c r="B441" s="392">
        <v>12.44</v>
      </c>
      <c r="C441" s="392">
        <v>11.89</v>
      </c>
    </row>
    <row r="442" spans="1:3">
      <c r="A442" s="392">
        <v>11.9</v>
      </c>
      <c r="B442" s="392">
        <v>12.45</v>
      </c>
      <c r="C442" s="392">
        <v>11.9</v>
      </c>
    </row>
    <row r="443" spans="1:3">
      <c r="A443" s="392">
        <v>11.91</v>
      </c>
      <c r="B443" s="392">
        <v>12.46</v>
      </c>
      <c r="C443" s="392">
        <v>11.91</v>
      </c>
    </row>
    <row r="444" spans="1:3">
      <c r="A444" s="392">
        <v>11.92</v>
      </c>
      <c r="B444" s="392">
        <v>12.47</v>
      </c>
      <c r="C444" s="392">
        <v>11.92</v>
      </c>
    </row>
    <row r="445" spans="1:3">
      <c r="A445" s="392">
        <v>11.93</v>
      </c>
      <c r="B445" s="392">
        <v>12.48</v>
      </c>
      <c r="C445" s="392">
        <v>11.93</v>
      </c>
    </row>
    <row r="446" spans="1:3">
      <c r="A446" s="392">
        <v>11.94</v>
      </c>
      <c r="B446" s="392">
        <v>12.49</v>
      </c>
      <c r="C446" s="392">
        <v>11.94</v>
      </c>
    </row>
    <row r="447" spans="1:3">
      <c r="A447" s="392">
        <v>11.95</v>
      </c>
      <c r="B447" s="392">
        <v>12.5</v>
      </c>
      <c r="C447" s="392">
        <v>11.95</v>
      </c>
    </row>
    <row r="448" spans="1:3">
      <c r="A448" s="392">
        <v>11.96</v>
      </c>
      <c r="B448" s="392">
        <v>12.51</v>
      </c>
      <c r="C448" s="392">
        <v>11.96</v>
      </c>
    </row>
    <row r="449" spans="1:3">
      <c r="A449" s="392">
        <v>11.97</v>
      </c>
      <c r="B449" s="392">
        <v>12.52</v>
      </c>
      <c r="C449" s="392">
        <v>11.97</v>
      </c>
    </row>
    <row r="450" spans="1:3">
      <c r="A450" s="392">
        <v>11.98</v>
      </c>
      <c r="B450" s="392">
        <v>12.54</v>
      </c>
      <c r="C450" s="392">
        <v>11.98</v>
      </c>
    </row>
    <row r="451" spans="1:3">
      <c r="A451" s="392">
        <v>11.99</v>
      </c>
      <c r="B451" s="392">
        <v>12.55</v>
      </c>
      <c r="C451" s="392">
        <v>11.99</v>
      </c>
    </row>
    <row r="452" spans="1:3">
      <c r="A452" s="392">
        <v>12</v>
      </c>
      <c r="B452" s="392">
        <v>12.56</v>
      </c>
      <c r="C452" s="392">
        <v>12</v>
      </c>
    </row>
    <row r="453" spans="1:3">
      <c r="A453" s="392">
        <v>12.01</v>
      </c>
      <c r="B453" s="392">
        <v>12.57</v>
      </c>
      <c r="C453" s="392">
        <v>12.01</v>
      </c>
    </row>
    <row r="454" spans="1:3">
      <c r="A454" s="392">
        <v>12.02</v>
      </c>
      <c r="B454" s="392">
        <v>12.58</v>
      </c>
      <c r="C454" s="392">
        <v>12.02</v>
      </c>
    </row>
    <row r="455" spans="1:3">
      <c r="A455" s="392">
        <v>12.03</v>
      </c>
      <c r="B455" s="392">
        <v>12.59</v>
      </c>
      <c r="C455" s="392">
        <v>12.03</v>
      </c>
    </row>
    <row r="456" spans="1:3">
      <c r="A456" s="392">
        <v>12.04</v>
      </c>
      <c r="B456" s="392">
        <v>12.6</v>
      </c>
      <c r="C456" s="392">
        <v>12.04</v>
      </c>
    </row>
    <row r="457" spans="1:3">
      <c r="A457" s="392">
        <v>12.05</v>
      </c>
      <c r="B457" s="392">
        <v>12.61</v>
      </c>
      <c r="C457" s="392">
        <v>12.05</v>
      </c>
    </row>
    <row r="458" spans="1:3">
      <c r="A458" s="392">
        <v>12.06</v>
      </c>
      <c r="B458" s="392">
        <v>12.62</v>
      </c>
      <c r="C458" s="392">
        <v>12.06</v>
      </c>
    </row>
    <row r="459" spans="1:3">
      <c r="A459" s="392">
        <v>12.07</v>
      </c>
      <c r="B459" s="392">
        <v>12.63</v>
      </c>
      <c r="C459" s="392">
        <v>12.07</v>
      </c>
    </row>
    <row r="460" spans="1:3">
      <c r="A460" s="392">
        <v>12.08</v>
      </c>
      <c r="B460" s="392">
        <v>12.65</v>
      </c>
      <c r="C460" s="392">
        <v>12.08</v>
      </c>
    </row>
    <row r="461" spans="1:3">
      <c r="A461" s="392">
        <v>12.09</v>
      </c>
      <c r="B461" s="392">
        <v>12.66</v>
      </c>
      <c r="C461" s="392">
        <v>12.09</v>
      </c>
    </row>
    <row r="462" spans="1:3">
      <c r="A462" s="392">
        <v>12.1</v>
      </c>
      <c r="B462" s="392">
        <v>12.67</v>
      </c>
      <c r="C462" s="392">
        <v>12.1</v>
      </c>
    </row>
    <row r="463" spans="1:3">
      <c r="A463" s="392">
        <v>12.11</v>
      </c>
      <c r="B463" s="392">
        <v>12.68</v>
      </c>
      <c r="C463" s="392">
        <v>12.11</v>
      </c>
    </row>
    <row r="464" spans="1:3">
      <c r="A464" s="392">
        <v>12.12</v>
      </c>
      <c r="B464" s="392">
        <v>12.69</v>
      </c>
      <c r="C464" s="392">
        <v>12.12</v>
      </c>
    </row>
    <row r="465" spans="1:3">
      <c r="A465" s="392">
        <v>12.13</v>
      </c>
      <c r="B465" s="392">
        <v>12.7</v>
      </c>
      <c r="C465" s="392">
        <v>12.13</v>
      </c>
    </row>
    <row r="466" spans="1:3">
      <c r="A466" s="392">
        <v>12.14</v>
      </c>
      <c r="B466" s="392">
        <v>12.71</v>
      </c>
      <c r="C466" s="392">
        <v>12.14</v>
      </c>
    </row>
    <row r="467" spans="1:3">
      <c r="A467" s="392">
        <v>12.15</v>
      </c>
      <c r="B467" s="392">
        <v>12.72</v>
      </c>
      <c r="C467" s="392">
        <v>12.15</v>
      </c>
    </row>
    <row r="468" spans="1:3">
      <c r="A468" s="392">
        <v>12.16</v>
      </c>
      <c r="B468" s="392">
        <v>12.73</v>
      </c>
      <c r="C468" s="392">
        <v>12.16</v>
      </c>
    </row>
    <row r="469" spans="1:3">
      <c r="A469" s="392">
        <v>12.17</v>
      </c>
      <c r="B469" s="392">
        <v>12.74</v>
      </c>
      <c r="C469" s="392">
        <v>12.17</v>
      </c>
    </row>
    <row r="470" spans="1:3">
      <c r="A470" s="392">
        <v>12.18</v>
      </c>
      <c r="B470" s="392">
        <v>12.76</v>
      </c>
      <c r="C470" s="392">
        <v>12.18</v>
      </c>
    </row>
    <row r="471" spans="1:3">
      <c r="A471" s="392">
        <v>12.19</v>
      </c>
      <c r="B471" s="392">
        <v>12.77</v>
      </c>
      <c r="C471" s="392">
        <v>12.19</v>
      </c>
    </row>
    <row r="472" spans="1:3">
      <c r="A472" s="392">
        <v>12.2</v>
      </c>
      <c r="B472" s="392">
        <v>12.78</v>
      </c>
      <c r="C472" s="392">
        <v>12.2</v>
      </c>
    </row>
    <row r="473" spans="1:3">
      <c r="A473" s="392">
        <v>12.21</v>
      </c>
      <c r="B473" s="392">
        <v>12.79</v>
      </c>
      <c r="C473" s="392">
        <v>12.21</v>
      </c>
    </row>
    <row r="474" spans="1:3">
      <c r="A474" s="392">
        <v>12.22</v>
      </c>
      <c r="B474" s="392">
        <v>12.8</v>
      </c>
      <c r="C474" s="392">
        <v>12.22</v>
      </c>
    </row>
    <row r="475" spans="1:3">
      <c r="A475" s="392">
        <v>12.23</v>
      </c>
      <c r="B475" s="392">
        <v>12.81</v>
      </c>
      <c r="C475" s="392">
        <v>12.23</v>
      </c>
    </row>
    <row r="476" spans="1:3">
      <c r="A476" s="392">
        <v>12.24</v>
      </c>
      <c r="B476" s="392">
        <v>12.82</v>
      </c>
      <c r="C476" s="392">
        <v>12.24</v>
      </c>
    </row>
    <row r="477" spans="1:3">
      <c r="A477" s="392">
        <v>12.25</v>
      </c>
      <c r="B477" s="392">
        <v>12.83</v>
      </c>
      <c r="C477" s="392">
        <v>12.25</v>
      </c>
    </row>
    <row r="478" spans="1:3">
      <c r="A478" s="392">
        <v>12.26</v>
      </c>
      <c r="B478" s="392">
        <v>12.84</v>
      </c>
      <c r="C478" s="392">
        <v>12.26</v>
      </c>
    </row>
    <row r="479" spans="1:3">
      <c r="A479" s="392">
        <v>12.27</v>
      </c>
      <c r="B479" s="392">
        <v>12.85</v>
      </c>
      <c r="C479" s="392">
        <v>12.27</v>
      </c>
    </row>
    <row r="480" spans="1:3">
      <c r="A480" s="392">
        <v>12.28</v>
      </c>
      <c r="B480" s="392">
        <v>12.86</v>
      </c>
      <c r="C480" s="392">
        <v>12.28</v>
      </c>
    </row>
    <row r="481" spans="1:3">
      <c r="A481" s="392">
        <v>12.29</v>
      </c>
      <c r="B481" s="392">
        <v>12.88</v>
      </c>
      <c r="C481" s="392">
        <v>12.29</v>
      </c>
    </row>
    <row r="482" spans="1:3">
      <c r="A482" s="392">
        <v>12.3</v>
      </c>
      <c r="B482" s="392">
        <v>12.89</v>
      </c>
      <c r="C482" s="392">
        <v>12.3</v>
      </c>
    </row>
    <row r="483" spans="1:3">
      <c r="A483" s="392">
        <v>12.31</v>
      </c>
      <c r="B483" s="392">
        <v>12.9</v>
      </c>
      <c r="C483" s="392">
        <v>12.31</v>
      </c>
    </row>
    <row r="484" spans="1:3">
      <c r="A484" s="392">
        <v>12.32</v>
      </c>
      <c r="B484" s="392">
        <v>12.91</v>
      </c>
      <c r="C484" s="392">
        <v>12.32</v>
      </c>
    </row>
    <row r="485" spans="1:3">
      <c r="A485" s="392">
        <v>12.33</v>
      </c>
      <c r="B485" s="392">
        <v>12.92</v>
      </c>
      <c r="C485" s="392">
        <v>12.33</v>
      </c>
    </row>
    <row r="486" spans="1:3">
      <c r="A486" s="392">
        <v>12.34</v>
      </c>
      <c r="B486" s="392">
        <v>12.93</v>
      </c>
      <c r="C486" s="392">
        <v>12.34</v>
      </c>
    </row>
    <row r="487" spans="1:3">
      <c r="A487" s="392">
        <v>12.35</v>
      </c>
      <c r="B487" s="392">
        <v>12.94</v>
      </c>
      <c r="C487" s="392">
        <v>12.35</v>
      </c>
    </row>
    <row r="488" spans="1:3">
      <c r="A488" s="392">
        <v>12.36</v>
      </c>
      <c r="B488" s="392">
        <v>12.95</v>
      </c>
      <c r="C488" s="392">
        <v>12.36</v>
      </c>
    </row>
    <row r="489" spans="1:3">
      <c r="A489" s="392">
        <v>12.37</v>
      </c>
      <c r="B489" s="392">
        <v>12.96</v>
      </c>
      <c r="C489" s="392">
        <v>12.37</v>
      </c>
    </row>
    <row r="490" spans="1:3">
      <c r="A490" s="392">
        <v>12.38</v>
      </c>
      <c r="B490" s="392">
        <v>12.97</v>
      </c>
      <c r="C490" s="392">
        <v>12.38</v>
      </c>
    </row>
    <row r="491" spans="1:3">
      <c r="A491" s="392">
        <v>12.39</v>
      </c>
      <c r="B491" s="392">
        <v>12.99</v>
      </c>
      <c r="C491" s="392">
        <v>12.39</v>
      </c>
    </row>
    <row r="492" spans="1:3">
      <c r="A492" s="392">
        <v>12.4</v>
      </c>
      <c r="B492" s="392">
        <v>13</v>
      </c>
      <c r="C492" s="392">
        <v>12.4</v>
      </c>
    </row>
    <row r="493" spans="1:3">
      <c r="A493" s="392">
        <v>12.41</v>
      </c>
      <c r="B493" s="392">
        <v>13.01</v>
      </c>
      <c r="C493" s="392">
        <v>12.41</v>
      </c>
    </row>
    <row r="494" spans="1:3">
      <c r="A494" s="392">
        <v>12.42</v>
      </c>
      <c r="B494" s="392">
        <v>13.02</v>
      </c>
      <c r="C494" s="392">
        <v>12.42</v>
      </c>
    </row>
    <row r="495" spans="1:3">
      <c r="A495" s="392">
        <v>12.43</v>
      </c>
      <c r="B495" s="392">
        <v>13.03</v>
      </c>
      <c r="C495" s="392">
        <v>12.43</v>
      </c>
    </row>
    <row r="496" spans="1:3">
      <c r="A496" s="392">
        <v>12.44</v>
      </c>
      <c r="B496" s="392">
        <v>13.04</v>
      </c>
      <c r="C496" s="392">
        <v>12.44</v>
      </c>
    </row>
    <row r="497" spans="1:3">
      <c r="A497" s="392">
        <v>12.45</v>
      </c>
      <c r="B497" s="392">
        <v>13.05</v>
      </c>
      <c r="C497" s="392">
        <v>12.45</v>
      </c>
    </row>
    <row r="498" spans="1:3">
      <c r="A498" s="392">
        <v>12.46</v>
      </c>
      <c r="B498" s="392">
        <v>13.06</v>
      </c>
      <c r="C498" s="392">
        <v>12.46</v>
      </c>
    </row>
    <row r="499" spans="1:3">
      <c r="A499" s="392">
        <v>12.47</v>
      </c>
      <c r="B499" s="392">
        <v>13.07</v>
      </c>
      <c r="C499" s="392">
        <v>12.47</v>
      </c>
    </row>
    <row r="500" spans="1:3">
      <c r="A500" s="392">
        <v>12.48</v>
      </c>
      <c r="B500" s="392">
        <v>13.08</v>
      </c>
      <c r="C500" s="392">
        <v>12.48</v>
      </c>
    </row>
    <row r="501" spans="1:3">
      <c r="A501" s="392">
        <v>12.49</v>
      </c>
      <c r="B501" s="392">
        <v>13.1</v>
      </c>
      <c r="C501" s="392">
        <v>12.49</v>
      </c>
    </row>
    <row r="502" spans="1:3">
      <c r="A502" s="392">
        <v>12.5</v>
      </c>
      <c r="B502" s="392">
        <v>13.11</v>
      </c>
      <c r="C502" s="392">
        <v>12.5</v>
      </c>
    </row>
    <row r="503" spans="1:3">
      <c r="A503" s="392">
        <v>12.51</v>
      </c>
      <c r="B503" s="392">
        <v>13.12</v>
      </c>
      <c r="C503" s="392">
        <v>12.51</v>
      </c>
    </row>
    <row r="504" spans="1:3">
      <c r="A504" s="392">
        <v>12.52</v>
      </c>
      <c r="B504" s="392">
        <v>13.13</v>
      </c>
      <c r="C504" s="392">
        <v>12.52</v>
      </c>
    </row>
    <row r="505" spans="1:3">
      <c r="A505" s="392">
        <v>12.53</v>
      </c>
      <c r="B505" s="392">
        <v>13.14</v>
      </c>
      <c r="C505" s="392">
        <v>12.53</v>
      </c>
    </row>
    <row r="506" spans="1:3">
      <c r="A506" s="392">
        <v>12.54</v>
      </c>
      <c r="B506" s="392">
        <v>13.15</v>
      </c>
      <c r="C506" s="392">
        <v>12.54</v>
      </c>
    </row>
    <row r="507" spans="1:3">
      <c r="A507" s="392">
        <v>12.55</v>
      </c>
      <c r="B507" s="392">
        <v>13.16</v>
      </c>
      <c r="C507" s="392">
        <v>12.55</v>
      </c>
    </row>
    <row r="508" spans="1:3">
      <c r="A508" s="392">
        <v>12.56</v>
      </c>
      <c r="B508" s="392">
        <v>13.17</v>
      </c>
      <c r="C508" s="392">
        <v>12.56</v>
      </c>
    </row>
    <row r="509" spans="1:3">
      <c r="A509" s="392">
        <v>12.57</v>
      </c>
      <c r="B509" s="392">
        <v>13.18</v>
      </c>
      <c r="C509" s="392">
        <v>12.57</v>
      </c>
    </row>
    <row r="510" spans="1:3">
      <c r="A510" s="392">
        <v>12.58</v>
      </c>
      <c r="B510" s="392">
        <v>13.2</v>
      </c>
      <c r="C510" s="392">
        <v>12.58</v>
      </c>
    </row>
    <row r="511" spans="1:3">
      <c r="A511" s="392">
        <v>12.59</v>
      </c>
      <c r="B511" s="392">
        <v>13.21</v>
      </c>
      <c r="C511" s="392">
        <v>12.59</v>
      </c>
    </row>
    <row r="512" spans="1:3">
      <c r="A512" s="392">
        <v>12.6</v>
      </c>
      <c r="B512" s="392">
        <v>13.22</v>
      </c>
      <c r="C512" s="392">
        <v>12.6</v>
      </c>
    </row>
    <row r="513" spans="1:3">
      <c r="A513" s="392">
        <v>12.61</v>
      </c>
      <c r="B513" s="392">
        <v>13.23</v>
      </c>
      <c r="C513" s="392">
        <v>12.61</v>
      </c>
    </row>
    <row r="514" spans="1:3">
      <c r="A514" s="392">
        <v>12.62</v>
      </c>
      <c r="B514" s="392">
        <v>13.24</v>
      </c>
      <c r="C514" s="392">
        <v>12.62</v>
      </c>
    </row>
    <row r="515" spans="1:3">
      <c r="A515" s="392">
        <v>12.63</v>
      </c>
      <c r="B515" s="392">
        <v>13.25</v>
      </c>
      <c r="C515" s="392">
        <v>12.63</v>
      </c>
    </row>
    <row r="516" spans="1:3">
      <c r="A516" s="392">
        <v>12.64</v>
      </c>
      <c r="B516" s="392">
        <v>13.26</v>
      </c>
      <c r="C516" s="392">
        <v>12.64</v>
      </c>
    </row>
    <row r="517" spans="1:3">
      <c r="A517" s="392">
        <v>12.65</v>
      </c>
      <c r="B517" s="392">
        <v>13.27</v>
      </c>
      <c r="C517" s="392">
        <v>12.65</v>
      </c>
    </row>
    <row r="518" spans="1:3">
      <c r="A518" s="392">
        <v>12.66</v>
      </c>
      <c r="B518" s="392">
        <v>13.28</v>
      </c>
      <c r="C518" s="392">
        <v>12.66</v>
      </c>
    </row>
    <row r="519" spans="1:3">
      <c r="A519" s="392">
        <v>12.67</v>
      </c>
      <c r="B519" s="392">
        <v>13.29</v>
      </c>
      <c r="C519" s="392">
        <v>12.67</v>
      </c>
    </row>
    <row r="520" spans="1:3">
      <c r="A520" s="392">
        <v>12.68</v>
      </c>
      <c r="B520" s="392">
        <v>13.31</v>
      </c>
      <c r="C520" s="392">
        <v>12.68</v>
      </c>
    </row>
    <row r="521" spans="1:3">
      <c r="A521" s="392">
        <v>12.69</v>
      </c>
      <c r="B521" s="392">
        <v>13.32</v>
      </c>
      <c r="C521" s="392">
        <v>12.69</v>
      </c>
    </row>
    <row r="522" spans="1:3">
      <c r="A522" s="392">
        <v>12.7</v>
      </c>
      <c r="B522" s="392">
        <v>13.33</v>
      </c>
      <c r="C522" s="392">
        <v>12.7</v>
      </c>
    </row>
    <row r="523" spans="1:3">
      <c r="A523" s="392">
        <v>12.71</v>
      </c>
      <c r="B523" s="392">
        <v>13.34</v>
      </c>
      <c r="C523" s="392">
        <v>12.71</v>
      </c>
    </row>
    <row r="524" spans="1:3">
      <c r="A524" s="392">
        <v>12.72</v>
      </c>
      <c r="B524" s="392">
        <v>13.35</v>
      </c>
      <c r="C524" s="392">
        <v>12.72</v>
      </c>
    </row>
    <row r="525" spans="1:3">
      <c r="A525" s="392">
        <v>12.73</v>
      </c>
      <c r="B525" s="392">
        <v>13.36</v>
      </c>
      <c r="C525" s="392">
        <v>12.73</v>
      </c>
    </row>
    <row r="526" spans="1:3">
      <c r="A526" s="392">
        <v>12.74</v>
      </c>
      <c r="B526" s="392">
        <v>13.37</v>
      </c>
      <c r="C526" s="392">
        <v>12.74</v>
      </c>
    </row>
    <row r="527" spans="1:3">
      <c r="A527" s="392">
        <v>12.75</v>
      </c>
      <c r="B527" s="392">
        <v>13.38</v>
      </c>
      <c r="C527" s="392">
        <v>12.75</v>
      </c>
    </row>
    <row r="528" spans="1:3">
      <c r="A528" s="392">
        <v>12.76</v>
      </c>
      <c r="B528" s="392">
        <v>13.39</v>
      </c>
      <c r="C528" s="392">
        <v>12.76</v>
      </c>
    </row>
    <row r="529" spans="1:3">
      <c r="A529" s="392">
        <v>12.77</v>
      </c>
      <c r="B529" s="392">
        <v>13.4</v>
      </c>
      <c r="C529" s="392">
        <v>12.77</v>
      </c>
    </row>
    <row r="530" spans="1:3">
      <c r="A530" s="392">
        <v>12.78</v>
      </c>
      <c r="B530" s="392">
        <v>13.41</v>
      </c>
      <c r="C530" s="392">
        <v>12.78</v>
      </c>
    </row>
    <row r="531" spans="1:3">
      <c r="A531" s="392">
        <v>12.79</v>
      </c>
      <c r="B531" s="392">
        <v>13.43</v>
      </c>
      <c r="C531" s="392">
        <v>12.79</v>
      </c>
    </row>
    <row r="532" spans="1:3">
      <c r="A532" s="392">
        <v>12.8</v>
      </c>
      <c r="B532" s="392">
        <v>13.44</v>
      </c>
      <c r="C532" s="392">
        <v>12.8</v>
      </c>
    </row>
    <row r="533" spans="1:3">
      <c r="A533" s="392">
        <v>12.81</v>
      </c>
      <c r="B533" s="392">
        <v>13.45</v>
      </c>
      <c r="C533" s="392">
        <v>12.81</v>
      </c>
    </row>
    <row r="534" spans="1:3">
      <c r="A534" s="392">
        <v>12.82</v>
      </c>
      <c r="B534" s="392">
        <v>13.46</v>
      </c>
      <c r="C534" s="392">
        <v>12.82</v>
      </c>
    </row>
    <row r="535" spans="1:3">
      <c r="A535" s="392">
        <v>12.83</v>
      </c>
      <c r="B535" s="392">
        <v>13.47</v>
      </c>
      <c r="C535" s="392">
        <v>12.83</v>
      </c>
    </row>
    <row r="536" spans="1:3">
      <c r="A536" s="392">
        <v>12.84</v>
      </c>
      <c r="B536" s="392">
        <v>13.48</v>
      </c>
      <c r="C536" s="392">
        <v>12.84</v>
      </c>
    </row>
    <row r="537" spans="1:3">
      <c r="A537" s="392">
        <v>12.85</v>
      </c>
      <c r="B537" s="392">
        <v>13.49</v>
      </c>
      <c r="C537" s="392">
        <v>12.85</v>
      </c>
    </row>
    <row r="538" spans="1:3">
      <c r="A538" s="392">
        <v>12.86</v>
      </c>
      <c r="B538" s="392">
        <v>13.5</v>
      </c>
      <c r="C538" s="392">
        <v>12.86</v>
      </c>
    </row>
    <row r="539" spans="1:3">
      <c r="A539" s="392">
        <v>12.87</v>
      </c>
      <c r="B539" s="392">
        <v>13.52</v>
      </c>
      <c r="C539" s="392">
        <v>12.87</v>
      </c>
    </row>
    <row r="540" spans="1:3">
      <c r="A540" s="392">
        <v>12.88</v>
      </c>
      <c r="B540" s="392">
        <v>13.53</v>
      </c>
      <c r="C540" s="392">
        <v>12.88</v>
      </c>
    </row>
    <row r="541" spans="1:3">
      <c r="A541" s="392">
        <v>12.89</v>
      </c>
      <c r="B541" s="392">
        <v>13.54</v>
      </c>
      <c r="C541" s="392">
        <v>12.89</v>
      </c>
    </row>
    <row r="542" spans="1:3">
      <c r="A542" s="392">
        <v>12.9</v>
      </c>
      <c r="B542" s="392">
        <v>13.55</v>
      </c>
      <c r="C542" s="392">
        <v>12.9</v>
      </c>
    </row>
    <row r="543" spans="1:3">
      <c r="A543" s="392">
        <v>12.91</v>
      </c>
      <c r="B543" s="392">
        <v>13.56</v>
      </c>
      <c r="C543" s="392">
        <v>12.91</v>
      </c>
    </row>
    <row r="544" spans="1:3">
      <c r="A544" s="392">
        <v>12.92</v>
      </c>
      <c r="B544" s="392">
        <v>13.57</v>
      </c>
      <c r="C544" s="392">
        <v>12.92</v>
      </c>
    </row>
    <row r="545" spans="1:3">
      <c r="A545" s="392">
        <v>12.93</v>
      </c>
      <c r="B545" s="392">
        <v>13.58</v>
      </c>
      <c r="C545" s="392">
        <v>12.93</v>
      </c>
    </row>
    <row r="546" spans="1:3">
      <c r="A546" s="392">
        <v>12.94</v>
      </c>
      <c r="B546" s="392">
        <v>13.59</v>
      </c>
      <c r="C546" s="392">
        <v>12.94</v>
      </c>
    </row>
    <row r="547" spans="1:3">
      <c r="A547" s="392">
        <v>12.95</v>
      </c>
      <c r="B547" s="392">
        <v>13.6</v>
      </c>
      <c r="C547" s="392">
        <v>12.95</v>
      </c>
    </row>
    <row r="548" spans="1:3">
      <c r="A548" s="392">
        <v>12.96</v>
      </c>
      <c r="B548" s="392">
        <v>13.61</v>
      </c>
      <c r="C548" s="392">
        <v>12.96</v>
      </c>
    </row>
    <row r="549" spans="1:3">
      <c r="A549" s="392">
        <v>12.97</v>
      </c>
      <c r="B549" s="392">
        <v>13.63</v>
      </c>
      <c r="C549" s="392">
        <v>12.97</v>
      </c>
    </row>
    <row r="550" spans="1:3">
      <c r="A550" s="392">
        <v>12.98</v>
      </c>
      <c r="B550" s="392">
        <v>13.64</v>
      </c>
      <c r="C550" s="392">
        <v>12.98</v>
      </c>
    </row>
    <row r="551" spans="1:3">
      <c r="A551" s="392">
        <v>12.99</v>
      </c>
      <c r="B551" s="392">
        <v>13.65</v>
      </c>
      <c r="C551" s="392">
        <v>12.99</v>
      </c>
    </row>
    <row r="552" spans="1:3">
      <c r="A552" s="392">
        <v>13</v>
      </c>
      <c r="B552" s="392">
        <v>13.66</v>
      </c>
      <c r="C552" s="392">
        <v>13</v>
      </c>
    </row>
    <row r="553" spans="1:3">
      <c r="A553" s="392">
        <v>13.01</v>
      </c>
      <c r="B553" s="392">
        <v>13.67</v>
      </c>
      <c r="C553" s="392">
        <v>13.01</v>
      </c>
    </row>
    <row r="554" spans="1:3">
      <c r="A554" s="392">
        <v>13.02</v>
      </c>
      <c r="B554" s="392">
        <v>13.68</v>
      </c>
      <c r="C554" s="392">
        <v>13.02</v>
      </c>
    </row>
    <row r="555" spans="1:3">
      <c r="A555" s="392">
        <v>13.03</v>
      </c>
      <c r="B555" s="392">
        <v>13.69</v>
      </c>
      <c r="C555" s="392">
        <v>13.03</v>
      </c>
    </row>
    <row r="556" spans="1:3">
      <c r="A556" s="392">
        <v>13.04</v>
      </c>
      <c r="B556" s="392">
        <v>13.7</v>
      </c>
      <c r="C556" s="392">
        <v>13.04</v>
      </c>
    </row>
    <row r="557" spans="1:3">
      <c r="A557" s="392">
        <v>13.05</v>
      </c>
      <c r="B557" s="392">
        <v>13.71</v>
      </c>
      <c r="C557" s="392">
        <v>13.05</v>
      </c>
    </row>
    <row r="558" spans="1:3">
      <c r="A558" s="392">
        <v>13.06</v>
      </c>
      <c r="B558" s="392">
        <v>13.73</v>
      </c>
      <c r="C558" s="392">
        <v>13.06</v>
      </c>
    </row>
    <row r="559" spans="1:3">
      <c r="A559" s="392">
        <v>13.07</v>
      </c>
      <c r="B559" s="392">
        <v>13.74</v>
      </c>
      <c r="C559" s="392">
        <v>13.07</v>
      </c>
    </row>
    <row r="560" spans="1:3">
      <c r="A560" s="392">
        <v>13.08</v>
      </c>
      <c r="B560" s="392">
        <v>13.75</v>
      </c>
      <c r="C560" s="392">
        <v>13.08</v>
      </c>
    </row>
    <row r="561" spans="1:3">
      <c r="A561" s="392">
        <v>13.09</v>
      </c>
      <c r="B561" s="392">
        <v>13.76</v>
      </c>
      <c r="C561" s="392">
        <v>13.09</v>
      </c>
    </row>
    <row r="562" spans="1:3">
      <c r="A562" s="392">
        <v>13.1</v>
      </c>
      <c r="B562" s="392">
        <v>13.77</v>
      </c>
      <c r="C562" s="392">
        <v>13.1</v>
      </c>
    </row>
    <row r="563" spans="1:3">
      <c r="A563" s="392">
        <v>13.11</v>
      </c>
      <c r="B563" s="392">
        <v>13.78</v>
      </c>
      <c r="C563" s="392">
        <v>13.11</v>
      </c>
    </row>
    <row r="564" spans="1:3">
      <c r="A564" s="392">
        <v>13.12</v>
      </c>
      <c r="B564" s="392">
        <v>13.79</v>
      </c>
      <c r="C564" s="392">
        <v>13.12</v>
      </c>
    </row>
    <row r="565" spans="1:3">
      <c r="A565" s="392">
        <v>13.13</v>
      </c>
      <c r="B565" s="392">
        <v>13.8</v>
      </c>
      <c r="C565" s="392">
        <v>13.13</v>
      </c>
    </row>
    <row r="566" spans="1:3">
      <c r="A566" s="392">
        <v>13.14</v>
      </c>
      <c r="B566" s="392">
        <v>13.81</v>
      </c>
      <c r="C566" s="392">
        <v>13.14</v>
      </c>
    </row>
    <row r="567" spans="1:3">
      <c r="A567" s="392">
        <v>13.15</v>
      </c>
      <c r="B567" s="392">
        <v>13.82</v>
      </c>
      <c r="C567" s="392">
        <v>13.15</v>
      </c>
    </row>
    <row r="568" spans="1:3">
      <c r="A568" s="392">
        <v>13.16</v>
      </c>
      <c r="B568" s="392">
        <v>13.84</v>
      </c>
      <c r="C568" s="392">
        <v>13.16</v>
      </c>
    </row>
    <row r="569" spans="1:3">
      <c r="A569" s="392">
        <v>13.17</v>
      </c>
      <c r="B569" s="392">
        <v>13.85</v>
      </c>
      <c r="C569" s="392">
        <v>13.17</v>
      </c>
    </row>
    <row r="570" spans="1:3">
      <c r="A570" s="392">
        <v>13.18</v>
      </c>
      <c r="B570" s="392">
        <v>13.86</v>
      </c>
      <c r="C570" s="392">
        <v>13.18</v>
      </c>
    </row>
    <row r="571" spans="1:3">
      <c r="A571" s="392">
        <v>13.19</v>
      </c>
      <c r="B571" s="392">
        <v>13.87</v>
      </c>
      <c r="C571" s="392">
        <v>13.19</v>
      </c>
    </row>
    <row r="572" spans="1:3">
      <c r="A572" s="392">
        <v>13.2</v>
      </c>
      <c r="B572" s="392">
        <v>13.88</v>
      </c>
      <c r="C572" s="392">
        <v>13.2</v>
      </c>
    </row>
    <row r="573" spans="1:3">
      <c r="A573" s="392">
        <v>13.21</v>
      </c>
      <c r="B573" s="392">
        <v>13.89</v>
      </c>
      <c r="C573" s="392">
        <v>13.21</v>
      </c>
    </row>
    <row r="574" spans="1:3">
      <c r="A574" s="392">
        <v>13.22</v>
      </c>
      <c r="B574" s="392">
        <v>13.9</v>
      </c>
      <c r="C574" s="392">
        <v>13.22</v>
      </c>
    </row>
    <row r="575" spans="1:3">
      <c r="A575" s="392">
        <v>13.23</v>
      </c>
      <c r="B575" s="392">
        <v>13.91</v>
      </c>
      <c r="C575" s="392">
        <v>13.23</v>
      </c>
    </row>
    <row r="576" spans="1:3">
      <c r="A576" s="392">
        <v>13.24</v>
      </c>
      <c r="B576" s="392">
        <v>13.92</v>
      </c>
      <c r="C576" s="392">
        <v>13.24</v>
      </c>
    </row>
    <row r="577" spans="1:3">
      <c r="A577" s="392">
        <v>13.25</v>
      </c>
      <c r="B577" s="392">
        <v>13.94</v>
      </c>
      <c r="C577" s="392">
        <v>13.25</v>
      </c>
    </row>
    <row r="578" spans="1:3">
      <c r="A578" s="392">
        <v>13.26</v>
      </c>
      <c r="B578" s="392">
        <v>13.95</v>
      </c>
      <c r="C578" s="392">
        <v>13.26</v>
      </c>
    </row>
    <row r="579" spans="1:3">
      <c r="A579" s="392">
        <v>13.27</v>
      </c>
      <c r="B579" s="392">
        <v>13.96</v>
      </c>
      <c r="C579" s="392">
        <v>13.27</v>
      </c>
    </row>
    <row r="580" spans="1:3">
      <c r="A580" s="392">
        <v>13.28</v>
      </c>
      <c r="B580" s="392">
        <v>13.97</v>
      </c>
      <c r="C580" s="392">
        <v>13.28</v>
      </c>
    </row>
    <row r="581" spans="1:3">
      <c r="A581" s="392">
        <v>13.29</v>
      </c>
      <c r="B581" s="392">
        <v>13.98</v>
      </c>
      <c r="C581" s="392">
        <v>13.29</v>
      </c>
    </row>
    <row r="582" spans="1:3">
      <c r="A582" s="392">
        <v>13.3</v>
      </c>
      <c r="B582" s="392">
        <v>13.99</v>
      </c>
      <c r="C582" s="392">
        <v>13.3</v>
      </c>
    </row>
    <row r="583" spans="1:3">
      <c r="A583" s="392">
        <v>13.31</v>
      </c>
      <c r="B583" s="392">
        <v>14</v>
      </c>
      <c r="C583" s="392">
        <v>13.31</v>
      </c>
    </row>
    <row r="584" spans="1:3">
      <c r="A584" s="392">
        <v>13.32</v>
      </c>
      <c r="B584" s="392">
        <v>14.01</v>
      </c>
      <c r="C584" s="392">
        <v>13.32</v>
      </c>
    </row>
    <row r="585" spans="1:3">
      <c r="A585" s="392">
        <v>13.33</v>
      </c>
      <c r="B585" s="392">
        <v>14.02</v>
      </c>
      <c r="C585" s="392">
        <v>13.33</v>
      </c>
    </row>
    <row r="586" spans="1:3">
      <c r="A586" s="392">
        <v>13.34</v>
      </c>
      <c r="B586" s="392">
        <v>14.04</v>
      </c>
      <c r="C586" s="392">
        <v>13.34</v>
      </c>
    </row>
    <row r="587" spans="1:3">
      <c r="A587" s="392">
        <v>13.35</v>
      </c>
      <c r="B587" s="392">
        <v>14.05</v>
      </c>
      <c r="C587" s="392">
        <v>13.35</v>
      </c>
    </row>
    <row r="588" spans="1:3">
      <c r="A588" s="392">
        <v>13.36</v>
      </c>
      <c r="B588" s="392">
        <v>14.06</v>
      </c>
      <c r="C588" s="392">
        <v>13.36</v>
      </c>
    </row>
    <row r="589" spans="1:3">
      <c r="A589" s="392">
        <v>13.37</v>
      </c>
      <c r="B589" s="392">
        <v>14.07</v>
      </c>
      <c r="C589" s="392">
        <v>13.37</v>
      </c>
    </row>
    <row r="590" spans="1:3">
      <c r="A590" s="392">
        <v>13.38</v>
      </c>
      <c r="B590" s="392">
        <v>14.08</v>
      </c>
      <c r="C590" s="392">
        <v>13.38</v>
      </c>
    </row>
    <row r="591" spans="1:3">
      <c r="A591" s="392">
        <v>13.39</v>
      </c>
      <c r="B591" s="392">
        <v>14.09</v>
      </c>
      <c r="C591" s="392">
        <v>13.39</v>
      </c>
    </row>
    <row r="592" spans="1:3">
      <c r="A592" s="392">
        <v>13.4</v>
      </c>
      <c r="B592" s="392">
        <v>14.1</v>
      </c>
      <c r="C592" s="392">
        <v>13.4</v>
      </c>
    </row>
    <row r="593" spans="1:3">
      <c r="A593" s="392">
        <v>13.41</v>
      </c>
      <c r="B593" s="392">
        <v>14.11</v>
      </c>
      <c r="C593" s="392">
        <v>13.41</v>
      </c>
    </row>
    <row r="594" spans="1:3">
      <c r="A594" s="392">
        <v>13.42</v>
      </c>
      <c r="B594" s="392">
        <v>14.12</v>
      </c>
      <c r="C594" s="392">
        <v>13.42</v>
      </c>
    </row>
    <row r="595" spans="1:3">
      <c r="A595" s="392">
        <v>13.43</v>
      </c>
      <c r="B595" s="392">
        <v>14.13</v>
      </c>
      <c r="C595" s="392">
        <v>13.43</v>
      </c>
    </row>
    <row r="596" spans="1:3">
      <c r="A596" s="392">
        <v>13.44</v>
      </c>
      <c r="B596" s="392">
        <v>14.15</v>
      </c>
      <c r="C596" s="392">
        <v>13.44</v>
      </c>
    </row>
    <row r="597" spans="1:3">
      <c r="A597" s="392">
        <v>13.45</v>
      </c>
      <c r="B597" s="392">
        <v>14.16</v>
      </c>
      <c r="C597" s="392">
        <v>13.45</v>
      </c>
    </row>
    <row r="598" spans="1:3">
      <c r="A598" s="392">
        <v>13.46</v>
      </c>
      <c r="B598" s="392">
        <v>14.17</v>
      </c>
      <c r="C598" s="392">
        <v>13.46</v>
      </c>
    </row>
    <row r="599" spans="1:3">
      <c r="A599" s="392">
        <v>13.47</v>
      </c>
      <c r="B599" s="392">
        <v>14.18</v>
      </c>
      <c r="C599" s="392">
        <v>13.47</v>
      </c>
    </row>
    <row r="600" spans="1:3">
      <c r="A600" s="392">
        <v>13.48</v>
      </c>
      <c r="B600" s="392">
        <v>14.19</v>
      </c>
      <c r="C600" s="392">
        <v>13.48</v>
      </c>
    </row>
    <row r="601" spans="1:3">
      <c r="A601" s="392">
        <v>13.49</v>
      </c>
      <c r="B601" s="392">
        <v>14.2</v>
      </c>
      <c r="C601" s="392">
        <v>13.49</v>
      </c>
    </row>
    <row r="602" spans="1:3">
      <c r="A602" s="392">
        <v>13.5</v>
      </c>
      <c r="B602" s="392">
        <v>14.21</v>
      </c>
      <c r="C602" s="392">
        <v>13.5</v>
      </c>
    </row>
    <row r="603" spans="1:3">
      <c r="A603" s="392">
        <v>13.51</v>
      </c>
      <c r="B603" s="392">
        <v>14.22</v>
      </c>
      <c r="C603" s="392">
        <v>13.51</v>
      </c>
    </row>
    <row r="604" spans="1:3">
      <c r="A604" s="392">
        <v>13.52</v>
      </c>
      <c r="B604" s="392">
        <v>14.23</v>
      </c>
      <c r="C604" s="392">
        <v>13.52</v>
      </c>
    </row>
    <row r="605" spans="1:3">
      <c r="A605" s="392">
        <v>13.53</v>
      </c>
      <c r="B605" s="392">
        <v>14.25</v>
      </c>
      <c r="C605" s="392">
        <v>13.53</v>
      </c>
    </row>
    <row r="606" spans="1:3">
      <c r="A606" s="392">
        <v>13.54</v>
      </c>
      <c r="B606" s="392">
        <v>14.26</v>
      </c>
      <c r="C606" s="392">
        <v>13.54</v>
      </c>
    </row>
    <row r="607" spans="1:3">
      <c r="A607" s="392">
        <v>13.55</v>
      </c>
      <c r="B607" s="392">
        <v>14.27</v>
      </c>
      <c r="C607" s="392">
        <v>13.55</v>
      </c>
    </row>
    <row r="608" spans="1:3">
      <c r="A608" s="392">
        <v>13.56</v>
      </c>
      <c r="B608" s="392">
        <v>14.28</v>
      </c>
      <c r="C608" s="392">
        <v>13.56</v>
      </c>
    </row>
    <row r="609" spans="1:3">
      <c r="A609" s="392">
        <v>13.57</v>
      </c>
      <c r="B609" s="392">
        <v>14.29</v>
      </c>
      <c r="C609" s="392">
        <v>13.57</v>
      </c>
    </row>
    <row r="610" spans="1:3">
      <c r="A610" s="392">
        <v>13.58</v>
      </c>
      <c r="B610" s="392">
        <v>14.3</v>
      </c>
      <c r="C610" s="392">
        <v>13.58</v>
      </c>
    </row>
    <row r="611" spans="1:3">
      <c r="A611" s="392">
        <v>13.59</v>
      </c>
      <c r="B611" s="392">
        <v>14.31</v>
      </c>
      <c r="C611" s="392">
        <v>13.59</v>
      </c>
    </row>
    <row r="612" spans="1:3">
      <c r="A612" s="392">
        <v>13.6</v>
      </c>
      <c r="B612" s="392">
        <v>14.32</v>
      </c>
      <c r="C612" s="392">
        <v>13.6</v>
      </c>
    </row>
    <row r="613" spans="1:3">
      <c r="A613" s="392">
        <v>13.61</v>
      </c>
      <c r="B613" s="392">
        <v>14.33</v>
      </c>
      <c r="C613" s="392">
        <v>13.61</v>
      </c>
    </row>
    <row r="614" spans="1:3">
      <c r="A614" s="392">
        <v>13.62</v>
      </c>
      <c r="B614" s="392">
        <v>14.35</v>
      </c>
      <c r="C614" s="392">
        <v>13.62</v>
      </c>
    </row>
    <row r="615" spans="1:3">
      <c r="A615" s="392">
        <v>13.63</v>
      </c>
      <c r="B615" s="392">
        <v>14.36</v>
      </c>
      <c r="C615" s="392">
        <v>13.63</v>
      </c>
    </row>
    <row r="616" spans="1:3">
      <c r="A616" s="392">
        <v>13.64</v>
      </c>
      <c r="B616" s="392">
        <v>14.37</v>
      </c>
      <c r="C616" s="392">
        <v>13.64</v>
      </c>
    </row>
    <row r="617" spans="1:3">
      <c r="A617" s="392">
        <v>13.65</v>
      </c>
      <c r="B617" s="392">
        <v>14.38</v>
      </c>
      <c r="C617" s="392">
        <v>13.65</v>
      </c>
    </row>
    <row r="618" spans="1:3">
      <c r="A618" s="392">
        <v>13.66</v>
      </c>
      <c r="B618" s="392">
        <v>14.39</v>
      </c>
      <c r="C618" s="392">
        <v>13.66</v>
      </c>
    </row>
    <row r="619" spans="1:3">
      <c r="A619" s="392">
        <v>13.67</v>
      </c>
      <c r="B619" s="392">
        <v>14.4</v>
      </c>
      <c r="C619" s="392">
        <v>13.67</v>
      </c>
    </row>
    <row r="620" spans="1:3">
      <c r="A620" s="392">
        <v>13.68</v>
      </c>
      <c r="B620" s="392">
        <v>14.41</v>
      </c>
      <c r="C620" s="392">
        <v>13.68</v>
      </c>
    </row>
    <row r="621" spans="1:3">
      <c r="A621" s="392">
        <v>13.69</v>
      </c>
      <c r="B621" s="392">
        <v>14.42</v>
      </c>
      <c r="C621" s="392">
        <v>13.69</v>
      </c>
    </row>
    <row r="622" spans="1:3">
      <c r="A622" s="392">
        <v>13.7</v>
      </c>
      <c r="B622" s="392">
        <v>14.43</v>
      </c>
      <c r="C622" s="392">
        <v>13.7</v>
      </c>
    </row>
    <row r="623" spans="1:3">
      <c r="A623" s="392">
        <v>13.71</v>
      </c>
      <c r="B623" s="392">
        <v>14.45</v>
      </c>
      <c r="C623" s="392">
        <v>13.71</v>
      </c>
    </row>
    <row r="624" spans="1:3">
      <c r="A624" s="392">
        <v>13.72</v>
      </c>
      <c r="B624" s="392">
        <v>14.46</v>
      </c>
      <c r="C624" s="392">
        <v>13.72</v>
      </c>
    </row>
    <row r="625" spans="1:3">
      <c r="A625" s="392">
        <v>13.73</v>
      </c>
      <c r="B625" s="392">
        <v>14.47</v>
      </c>
      <c r="C625" s="392">
        <v>13.73</v>
      </c>
    </row>
    <row r="626" spans="1:3">
      <c r="A626" s="392">
        <v>13.74</v>
      </c>
      <c r="B626" s="392">
        <v>14.48</v>
      </c>
      <c r="C626" s="392">
        <v>13.74</v>
      </c>
    </row>
    <row r="627" spans="1:3">
      <c r="A627" s="392">
        <v>13.75</v>
      </c>
      <c r="B627" s="392">
        <v>14.49</v>
      </c>
      <c r="C627" s="392">
        <v>13.75</v>
      </c>
    </row>
    <row r="628" spans="1:3">
      <c r="A628" s="392">
        <v>13.76</v>
      </c>
      <c r="B628" s="392">
        <v>14.5</v>
      </c>
      <c r="C628" s="392">
        <v>13.76</v>
      </c>
    </row>
    <row r="629" spans="1:3">
      <c r="A629" s="392">
        <v>13.77</v>
      </c>
      <c r="B629" s="392">
        <v>14.51</v>
      </c>
      <c r="C629" s="392">
        <v>13.77</v>
      </c>
    </row>
    <row r="630" spans="1:3">
      <c r="A630" s="392">
        <v>13.78</v>
      </c>
      <c r="B630" s="392">
        <v>14.52</v>
      </c>
      <c r="C630" s="392">
        <v>13.78</v>
      </c>
    </row>
    <row r="631" spans="1:3">
      <c r="A631" s="392">
        <v>13.79</v>
      </c>
      <c r="B631" s="392">
        <v>14.53</v>
      </c>
      <c r="C631" s="392">
        <v>13.79</v>
      </c>
    </row>
    <row r="632" spans="1:3">
      <c r="A632" s="392">
        <v>13.8</v>
      </c>
      <c r="B632" s="392">
        <v>14.55</v>
      </c>
      <c r="C632" s="392">
        <v>13.8</v>
      </c>
    </row>
    <row r="633" spans="1:3">
      <c r="A633" s="392">
        <v>13.81</v>
      </c>
      <c r="B633" s="392">
        <v>14.56</v>
      </c>
      <c r="C633" s="392">
        <v>13.81</v>
      </c>
    </row>
    <row r="634" spans="1:3">
      <c r="A634" s="392">
        <v>13.82</v>
      </c>
      <c r="B634" s="392">
        <v>14.57</v>
      </c>
      <c r="C634" s="392">
        <v>13.82</v>
      </c>
    </row>
    <row r="635" spans="1:3">
      <c r="A635" s="392">
        <v>13.83</v>
      </c>
      <c r="B635" s="392">
        <v>14.58</v>
      </c>
      <c r="C635" s="392">
        <v>13.83</v>
      </c>
    </row>
    <row r="636" spans="1:3">
      <c r="A636" s="392">
        <v>13.84</v>
      </c>
      <c r="B636" s="392">
        <v>14.59</v>
      </c>
      <c r="C636" s="392">
        <v>13.84</v>
      </c>
    </row>
    <row r="637" spans="1:3">
      <c r="A637" s="392">
        <v>13.85</v>
      </c>
      <c r="B637" s="392">
        <v>14.6</v>
      </c>
      <c r="C637" s="392">
        <v>13.85</v>
      </c>
    </row>
    <row r="638" spans="1:3">
      <c r="A638" s="392">
        <v>13.86</v>
      </c>
      <c r="B638" s="392">
        <v>14.61</v>
      </c>
      <c r="C638" s="392">
        <v>13.86</v>
      </c>
    </row>
    <row r="639" spans="1:3">
      <c r="A639" s="392">
        <v>13.87</v>
      </c>
      <c r="B639" s="392">
        <v>14.62</v>
      </c>
      <c r="C639" s="392">
        <v>13.87</v>
      </c>
    </row>
    <row r="640" spans="1:3">
      <c r="A640" s="392">
        <v>13.88</v>
      </c>
      <c r="B640" s="392">
        <v>14.63</v>
      </c>
      <c r="C640" s="392">
        <v>13.88</v>
      </c>
    </row>
    <row r="641" spans="1:3">
      <c r="A641" s="392">
        <v>13.89</v>
      </c>
      <c r="B641" s="392">
        <v>14.65</v>
      </c>
      <c r="C641" s="392">
        <v>13.89</v>
      </c>
    </row>
    <row r="642" spans="1:3">
      <c r="A642" s="392">
        <v>13.9</v>
      </c>
      <c r="B642" s="392">
        <v>14.66</v>
      </c>
      <c r="C642" s="392">
        <v>13.9</v>
      </c>
    </row>
    <row r="643" spans="1:3">
      <c r="A643" s="392">
        <v>13.91</v>
      </c>
      <c r="B643" s="392">
        <v>14.67</v>
      </c>
      <c r="C643" s="392">
        <v>13.91</v>
      </c>
    </row>
    <row r="644" spans="1:3">
      <c r="A644" s="392">
        <v>13.92</v>
      </c>
      <c r="B644" s="392">
        <v>14.68</v>
      </c>
      <c r="C644" s="392">
        <v>13.92</v>
      </c>
    </row>
    <row r="645" spans="1:3">
      <c r="A645" s="392">
        <v>13.93</v>
      </c>
      <c r="B645" s="392">
        <v>14.69</v>
      </c>
      <c r="C645" s="392">
        <v>13.93</v>
      </c>
    </row>
    <row r="646" spans="1:3">
      <c r="A646" s="392">
        <v>13.94</v>
      </c>
      <c r="B646" s="392">
        <v>14.7</v>
      </c>
      <c r="C646" s="392">
        <v>13.94</v>
      </c>
    </row>
    <row r="647" spans="1:3">
      <c r="A647" s="392">
        <v>13.95</v>
      </c>
      <c r="B647" s="392">
        <v>14.71</v>
      </c>
      <c r="C647" s="392">
        <v>13.95</v>
      </c>
    </row>
    <row r="648" spans="1:3">
      <c r="A648" s="392">
        <v>13.96</v>
      </c>
      <c r="B648" s="392">
        <v>14.72</v>
      </c>
      <c r="C648" s="392">
        <v>13.96</v>
      </c>
    </row>
    <row r="649" spans="1:3">
      <c r="A649" s="392">
        <v>13.97</v>
      </c>
      <c r="B649" s="392">
        <v>14.74</v>
      </c>
      <c r="C649" s="392">
        <v>13.97</v>
      </c>
    </row>
    <row r="650" spans="1:3">
      <c r="A650" s="392">
        <v>13.98</v>
      </c>
      <c r="B650" s="392">
        <v>14.75</v>
      </c>
      <c r="C650" s="392">
        <v>13.98</v>
      </c>
    </row>
    <row r="651" spans="1:3">
      <c r="A651" s="392">
        <v>13.99</v>
      </c>
      <c r="B651" s="392">
        <v>14.76</v>
      </c>
      <c r="C651" s="392">
        <v>13.99</v>
      </c>
    </row>
    <row r="652" spans="1:3">
      <c r="A652" s="392">
        <v>14</v>
      </c>
      <c r="B652" s="392">
        <v>14.77</v>
      </c>
      <c r="C652" s="392">
        <v>14</v>
      </c>
    </row>
    <row r="653" spans="1:3">
      <c r="A653" s="392">
        <v>14.01</v>
      </c>
      <c r="B653" s="392">
        <v>14.78</v>
      </c>
      <c r="C653" s="392">
        <v>14.01</v>
      </c>
    </row>
    <row r="654" spans="1:3">
      <c r="A654" s="392">
        <v>14.02</v>
      </c>
      <c r="B654" s="392">
        <v>14.79</v>
      </c>
      <c r="C654" s="392">
        <v>14.02</v>
      </c>
    </row>
    <row r="655" spans="1:3">
      <c r="A655" s="392">
        <v>14.03</v>
      </c>
      <c r="B655" s="392">
        <v>14.8</v>
      </c>
      <c r="C655" s="392">
        <v>14.03</v>
      </c>
    </row>
    <row r="656" spans="1:3">
      <c r="A656" s="392">
        <v>14.04</v>
      </c>
      <c r="B656" s="392">
        <v>14.81</v>
      </c>
      <c r="C656" s="392">
        <v>14.04</v>
      </c>
    </row>
    <row r="657" spans="1:3">
      <c r="A657" s="392">
        <v>14.05</v>
      </c>
      <c r="B657" s="392">
        <v>14.82</v>
      </c>
      <c r="C657" s="392">
        <v>14.05</v>
      </c>
    </row>
    <row r="658" spans="1:3">
      <c r="A658" s="392">
        <v>14.06</v>
      </c>
      <c r="B658" s="392">
        <v>14.84</v>
      </c>
      <c r="C658" s="392">
        <v>14.06</v>
      </c>
    </row>
    <row r="659" spans="1:3">
      <c r="A659" s="392">
        <v>14.07</v>
      </c>
      <c r="B659" s="392">
        <v>14.85</v>
      </c>
      <c r="C659" s="392">
        <v>14.07</v>
      </c>
    </row>
    <row r="660" spans="1:3">
      <c r="A660" s="392">
        <v>14.08</v>
      </c>
      <c r="B660" s="392">
        <v>14.86</v>
      </c>
      <c r="C660" s="392">
        <v>14.08</v>
      </c>
    </row>
    <row r="661" spans="1:3">
      <c r="A661" s="392">
        <v>14.09</v>
      </c>
      <c r="B661" s="392">
        <v>14.87</v>
      </c>
      <c r="C661" s="392">
        <v>14.09</v>
      </c>
    </row>
    <row r="662" spans="1:3">
      <c r="A662" s="392">
        <v>14.1</v>
      </c>
      <c r="B662" s="392">
        <v>14.88</v>
      </c>
      <c r="C662" s="392">
        <v>14.1</v>
      </c>
    </row>
    <row r="663" spans="1:3">
      <c r="A663" s="392">
        <v>14.11</v>
      </c>
      <c r="B663" s="392">
        <v>14.89</v>
      </c>
      <c r="C663" s="392">
        <v>14.11</v>
      </c>
    </row>
    <row r="664" spans="1:3">
      <c r="A664" s="392">
        <v>14.12</v>
      </c>
      <c r="B664" s="392">
        <v>14.9</v>
      </c>
      <c r="C664" s="392">
        <v>14.12</v>
      </c>
    </row>
    <row r="665" spans="1:3">
      <c r="A665" s="392">
        <v>14.13</v>
      </c>
      <c r="B665" s="392">
        <v>14.91</v>
      </c>
      <c r="C665" s="392">
        <v>14.13</v>
      </c>
    </row>
    <row r="666" spans="1:3">
      <c r="A666" s="392">
        <v>14.14</v>
      </c>
      <c r="B666" s="392">
        <v>14.92</v>
      </c>
      <c r="C666" s="392">
        <v>14.14</v>
      </c>
    </row>
    <row r="667" spans="1:3">
      <c r="A667" s="392">
        <v>14.15</v>
      </c>
      <c r="B667" s="392">
        <v>14.94</v>
      </c>
      <c r="C667" s="392">
        <v>14.15</v>
      </c>
    </row>
    <row r="668" spans="1:3">
      <c r="A668" s="392">
        <v>14.16</v>
      </c>
      <c r="B668" s="392">
        <v>14.95</v>
      </c>
      <c r="C668" s="392">
        <v>14.16</v>
      </c>
    </row>
    <row r="669" spans="1:3">
      <c r="A669" s="392">
        <v>14.17</v>
      </c>
      <c r="B669" s="392">
        <v>14.96</v>
      </c>
      <c r="C669" s="392">
        <v>14.17</v>
      </c>
    </row>
    <row r="670" spans="1:3">
      <c r="A670" s="392">
        <v>14.18</v>
      </c>
      <c r="B670" s="392">
        <v>14.97</v>
      </c>
      <c r="C670" s="392">
        <v>14.18</v>
      </c>
    </row>
    <row r="671" spans="1:3">
      <c r="A671" s="392">
        <v>14.19</v>
      </c>
      <c r="B671" s="392">
        <v>14.98</v>
      </c>
      <c r="C671" s="392">
        <v>14.19</v>
      </c>
    </row>
    <row r="672" spans="1:3">
      <c r="A672" s="392">
        <v>14.2</v>
      </c>
      <c r="B672" s="392">
        <v>14.99</v>
      </c>
      <c r="C672" s="392">
        <v>14.2</v>
      </c>
    </row>
    <row r="673" spans="1:3">
      <c r="A673" s="392">
        <v>14.21</v>
      </c>
      <c r="B673" s="392">
        <v>15</v>
      </c>
      <c r="C673" s="392">
        <v>14.21</v>
      </c>
    </row>
    <row r="674" spans="1:3">
      <c r="A674" s="392">
        <v>14.22</v>
      </c>
      <c r="B674" s="392">
        <v>15.01</v>
      </c>
      <c r="C674" s="392">
        <v>14.22</v>
      </c>
    </row>
    <row r="675" spans="1:3">
      <c r="A675" s="392">
        <v>14.23</v>
      </c>
      <c r="B675" s="392">
        <v>15.03</v>
      </c>
      <c r="C675" s="392">
        <v>14.23</v>
      </c>
    </row>
    <row r="676" spans="1:3">
      <c r="A676" s="392">
        <v>14.24</v>
      </c>
      <c r="B676" s="392">
        <v>15.04</v>
      </c>
      <c r="C676" s="392">
        <v>14.24</v>
      </c>
    </row>
    <row r="677" spans="1:3">
      <c r="A677" s="392">
        <v>14.25</v>
      </c>
      <c r="B677" s="392">
        <v>15.05</v>
      </c>
      <c r="C677" s="392">
        <v>14.25</v>
      </c>
    </row>
    <row r="678" spans="1:3">
      <c r="A678" s="392">
        <v>14.26</v>
      </c>
      <c r="B678" s="392">
        <v>15.06</v>
      </c>
      <c r="C678" s="392">
        <v>14.26</v>
      </c>
    </row>
    <row r="679" spans="1:3">
      <c r="A679" s="392">
        <v>14.27</v>
      </c>
      <c r="B679" s="392">
        <v>15.07</v>
      </c>
      <c r="C679" s="392">
        <v>14.27</v>
      </c>
    </row>
    <row r="680" spans="1:3">
      <c r="A680" s="392">
        <v>14.28</v>
      </c>
      <c r="B680" s="392">
        <v>15.08</v>
      </c>
      <c r="C680" s="392">
        <v>14.28</v>
      </c>
    </row>
    <row r="681" spans="1:3">
      <c r="A681" s="392">
        <v>14.29</v>
      </c>
      <c r="B681" s="392">
        <v>15.09</v>
      </c>
      <c r="C681" s="392">
        <v>14.29</v>
      </c>
    </row>
    <row r="682" spans="1:3">
      <c r="A682" s="392">
        <v>14.3</v>
      </c>
      <c r="B682" s="392">
        <v>15.1</v>
      </c>
      <c r="C682" s="392">
        <v>14.3</v>
      </c>
    </row>
    <row r="683" spans="1:3">
      <c r="A683" s="392">
        <v>14.31</v>
      </c>
      <c r="B683" s="392">
        <v>15.11</v>
      </c>
      <c r="C683" s="392">
        <v>14.31</v>
      </c>
    </row>
    <row r="684" spans="1:3">
      <c r="A684" s="392">
        <v>14.32</v>
      </c>
      <c r="B684" s="392">
        <v>15.13</v>
      </c>
      <c r="C684" s="392">
        <v>14.32</v>
      </c>
    </row>
    <row r="685" spans="1:3">
      <c r="A685" s="392">
        <v>14.33</v>
      </c>
      <c r="B685" s="392">
        <v>15.14</v>
      </c>
      <c r="C685" s="392">
        <v>14.33</v>
      </c>
    </row>
    <row r="686" spans="1:3">
      <c r="A686" s="392">
        <v>14.34</v>
      </c>
      <c r="B686" s="392">
        <v>15.15</v>
      </c>
      <c r="C686" s="392">
        <v>14.34</v>
      </c>
    </row>
    <row r="687" spans="1:3">
      <c r="A687" s="392">
        <v>14.35</v>
      </c>
      <c r="B687" s="392">
        <v>15.16</v>
      </c>
      <c r="C687" s="392">
        <v>14.35</v>
      </c>
    </row>
    <row r="688" spans="1:3">
      <c r="A688" s="392">
        <v>14.36</v>
      </c>
      <c r="B688" s="392">
        <v>15.17</v>
      </c>
      <c r="C688" s="392">
        <v>14.36</v>
      </c>
    </row>
    <row r="689" spans="1:3">
      <c r="A689" s="392">
        <v>14.37</v>
      </c>
      <c r="B689" s="392">
        <v>15.18</v>
      </c>
      <c r="C689" s="392">
        <v>14.37</v>
      </c>
    </row>
    <row r="690" spans="1:3">
      <c r="A690" s="392">
        <v>14.38</v>
      </c>
      <c r="B690" s="392">
        <v>15.19</v>
      </c>
      <c r="C690" s="392">
        <v>14.38</v>
      </c>
    </row>
    <row r="691" spans="1:3">
      <c r="A691" s="392">
        <v>14.39</v>
      </c>
      <c r="B691" s="392">
        <v>15.2</v>
      </c>
      <c r="C691" s="392">
        <v>14.39</v>
      </c>
    </row>
    <row r="692" spans="1:3">
      <c r="A692" s="392">
        <v>14.4</v>
      </c>
      <c r="B692" s="392">
        <v>15.22</v>
      </c>
      <c r="C692" s="392">
        <v>14.4</v>
      </c>
    </row>
    <row r="693" spans="1:3">
      <c r="A693" s="392">
        <v>14.41</v>
      </c>
      <c r="B693" s="392">
        <v>15.23</v>
      </c>
      <c r="C693" s="392">
        <v>14.41</v>
      </c>
    </row>
    <row r="694" spans="1:3">
      <c r="A694" s="392">
        <v>14.42</v>
      </c>
      <c r="B694" s="392">
        <v>15.24</v>
      </c>
      <c r="C694" s="392">
        <v>14.42</v>
      </c>
    </row>
    <row r="695" spans="1:3">
      <c r="A695" s="392">
        <v>14.43</v>
      </c>
      <c r="B695" s="392">
        <v>15.25</v>
      </c>
      <c r="C695" s="392">
        <v>14.43</v>
      </c>
    </row>
    <row r="696" spans="1:3">
      <c r="A696" s="392">
        <v>14.44</v>
      </c>
      <c r="B696" s="392">
        <v>15.26</v>
      </c>
      <c r="C696" s="392">
        <v>14.44</v>
      </c>
    </row>
    <row r="697" spans="1:3">
      <c r="A697" s="392">
        <v>14.45</v>
      </c>
      <c r="B697" s="392">
        <v>15.27</v>
      </c>
      <c r="C697" s="392">
        <v>14.45</v>
      </c>
    </row>
    <row r="698" spans="1:3">
      <c r="A698" s="392">
        <v>14.46</v>
      </c>
      <c r="B698" s="392">
        <v>15.28</v>
      </c>
      <c r="C698" s="392">
        <v>14.46</v>
      </c>
    </row>
    <row r="699" spans="1:3">
      <c r="A699" s="392">
        <v>14.47</v>
      </c>
      <c r="B699" s="392">
        <v>15.29</v>
      </c>
      <c r="C699" s="392">
        <v>14.47</v>
      </c>
    </row>
    <row r="700" spans="1:3">
      <c r="A700" s="392">
        <v>14.48</v>
      </c>
      <c r="B700" s="392">
        <v>15.3</v>
      </c>
      <c r="C700" s="392">
        <v>14.48</v>
      </c>
    </row>
    <row r="701" spans="1:3">
      <c r="A701" s="392">
        <v>14.49</v>
      </c>
      <c r="B701" s="392">
        <v>15.32</v>
      </c>
      <c r="C701" s="392">
        <v>14.49</v>
      </c>
    </row>
    <row r="702" spans="1:3">
      <c r="A702" s="392">
        <v>14.5</v>
      </c>
      <c r="B702" s="392">
        <v>15.33</v>
      </c>
      <c r="C702" s="392">
        <v>14.5</v>
      </c>
    </row>
    <row r="703" spans="1:3">
      <c r="A703" s="392">
        <v>14.51</v>
      </c>
      <c r="B703" s="392">
        <v>15.34</v>
      </c>
      <c r="C703" s="392">
        <v>14.51</v>
      </c>
    </row>
    <row r="704" spans="1:3">
      <c r="A704" s="392">
        <v>14.52</v>
      </c>
      <c r="B704" s="392">
        <v>15.35</v>
      </c>
      <c r="C704" s="392">
        <v>14.52</v>
      </c>
    </row>
    <row r="705" spans="1:3">
      <c r="A705" s="392">
        <v>14.53</v>
      </c>
      <c r="B705" s="392">
        <v>15.36</v>
      </c>
      <c r="C705" s="392">
        <v>14.53</v>
      </c>
    </row>
    <row r="706" spans="1:3">
      <c r="A706" s="392">
        <v>14.54</v>
      </c>
      <c r="B706" s="392">
        <v>15.37</v>
      </c>
      <c r="C706" s="392">
        <v>14.54</v>
      </c>
    </row>
    <row r="707" spans="1:3">
      <c r="A707" s="392">
        <v>14.55</v>
      </c>
      <c r="B707" s="392">
        <v>15.38</v>
      </c>
      <c r="C707" s="392">
        <v>14.55</v>
      </c>
    </row>
    <row r="708" spans="1:3">
      <c r="A708" s="392">
        <v>14.56</v>
      </c>
      <c r="B708" s="392">
        <v>15.39</v>
      </c>
      <c r="C708" s="392">
        <v>14.56</v>
      </c>
    </row>
    <row r="709" spans="1:3">
      <c r="A709" s="392">
        <v>14.57</v>
      </c>
      <c r="B709" s="392">
        <v>15.41</v>
      </c>
      <c r="C709" s="392">
        <v>14.57</v>
      </c>
    </row>
    <row r="710" spans="1:3">
      <c r="A710" s="392">
        <v>14.58</v>
      </c>
      <c r="B710" s="392">
        <v>15.42</v>
      </c>
      <c r="C710" s="392">
        <v>14.58</v>
      </c>
    </row>
    <row r="711" spans="1:3">
      <c r="A711" s="392">
        <v>14.59</v>
      </c>
      <c r="B711" s="392">
        <v>15.43</v>
      </c>
      <c r="C711" s="392">
        <v>14.59</v>
      </c>
    </row>
    <row r="712" spans="1:3">
      <c r="A712" s="392">
        <v>14.6</v>
      </c>
      <c r="B712" s="392">
        <v>15.44</v>
      </c>
      <c r="C712" s="392">
        <v>14.6</v>
      </c>
    </row>
    <row r="713" spans="1:3">
      <c r="A713" s="392">
        <v>14.61</v>
      </c>
      <c r="B713" s="392">
        <v>15.45</v>
      </c>
      <c r="C713" s="392">
        <v>14.61</v>
      </c>
    </row>
    <row r="714" spans="1:3">
      <c r="A714" s="392">
        <v>14.62</v>
      </c>
      <c r="B714" s="392">
        <v>15.46</v>
      </c>
      <c r="C714" s="392">
        <v>14.62</v>
      </c>
    </row>
    <row r="715" spans="1:3">
      <c r="A715" s="392">
        <v>14.63</v>
      </c>
      <c r="B715" s="392">
        <v>15.47</v>
      </c>
      <c r="C715" s="392">
        <v>14.63</v>
      </c>
    </row>
    <row r="716" spans="1:3">
      <c r="A716" s="392">
        <v>14.64</v>
      </c>
      <c r="B716" s="392">
        <v>15.48</v>
      </c>
      <c r="C716" s="392">
        <v>14.64</v>
      </c>
    </row>
    <row r="717" spans="1:3">
      <c r="A717" s="392">
        <v>14.65</v>
      </c>
      <c r="B717" s="392">
        <v>15.49</v>
      </c>
      <c r="C717" s="392">
        <v>14.65</v>
      </c>
    </row>
    <row r="718" spans="1:3">
      <c r="A718" s="392">
        <v>14.66</v>
      </c>
      <c r="B718" s="392">
        <v>15.51</v>
      </c>
      <c r="C718" s="392">
        <v>14.66</v>
      </c>
    </row>
    <row r="719" spans="1:3">
      <c r="A719" s="392">
        <v>14.67</v>
      </c>
      <c r="B719" s="392">
        <v>15.52</v>
      </c>
      <c r="C719" s="392">
        <v>14.67</v>
      </c>
    </row>
    <row r="720" spans="1:3">
      <c r="A720" s="392">
        <v>14.68</v>
      </c>
      <c r="B720" s="392">
        <v>15.53</v>
      </c>
      <c r="C720" s="392">
        <v>14.68</v>
      </c>
    </row>
    <row r="721" spans="1:3">
      <c r="A721" s="392">
        <v>14.69</v>
      </c>
      <c r="B721" s="392">
        <v>15.54</v>
      </c>
      <c r="C721" s="392">
        <v>14.69</v>
      </c>
    </row>
    <row r="722" spans="1:3">
      <c r="A722" s="392">
        <v>14.7</v>
      </c>
      <c r="B722" s="392">
        <v>15.55</v>
      </c>
      <c r="C722" s="392">
        <v>14.7</v>
      </c>
    </row>
    <row r="723" spans="1:3">
      <c r="A723" s="392">
        <v>14.71</v>
      </c>
      <c r="B723" s="392">
        <v>15.56</v>
      </c>
      <c r="C723" s="392">
        <v>14.71</v>
      </c>
    </row>
    <row r="724" spans="1:3">
      <c r="A724" s="392">
        <v>14.72</v>
      </c>
      <c r="B724" s="392">
        <v>15.57</v>
      </c>
      <c r="C724" s="392">
        <v>14.72</v>
      </c>
    </row>
    <row r="725" spans="1:3">
      <c r="A725" s="392">
        <v>14.73</v>
      </c>
      <c r="B725" s="392">
        <v>15.58</v>
      </c>
      <c r="C725" s="392">
        <v>14.73</v>
      </c>
    </row>
    <row r="726" spans="1:3">
      <c r="A726" s="392">
        <v>14.74</v>
      </c>
      <c r="B726" s="392">
        <v>15.6</v>
      </c>
      <c r="C726" s="392">
        <v>14.74</v>
      </c>
    </row>
    <row r="727" spans="1:3">
      <c r="A727" s="392">
        <v>14.75</v>
      </c>
      <c r="B727" s="392">
        <v>15.61</v>
      </c>
      <c r="C727" s="392">
        <v>14.75</v>
      </c>
    </row>
    <row r="728" spans="1:3">
      <c r="A728" s="392">
        <v>14.76</v>
      </c>
      <c r="B728" s="392">
        <v>15.62</v>
      </c>
      <c r="C728" s="392">
        <v>14.76</v>
      </c>
    </row>
    <row r="729" spans="1:3">
      <c r="A729" s="392">
        <v>14.77</v>
      </c>
      <c r="B729" s="392">
        <v>15.63</v>
      </c>
      <c r="C729" s="392">
        <v>14.77</v>
      </c>
    </row>
    <row r="730" spans="1:3">
      <c r="A730" s="392">
        <v>14.78</v>
      </c>
      <c r="B730" s="392">
        <v>15.64</v>
      </c>
      <c r="C730" s="392">
        <v>14.78</v>
      </c>
    </row>
    <row r="731" spans="1:3">
      <c r="A731" s="392">
        <v>14.79</v>
      </c>
      <c r="B731" s="392">
        <v>15.65</v>
      </c>
      <c r="C731" s="392">
        <v>14.79</v>
      </c>
    </row>
    <row r="732" spans="1:3">
      <c r="A732" s="392">
        <v>14.8</v>
      </c>
      <c r="B732" s="392">
        <v>15.66</v>
      </c>
      <c r="C732" s="392">
        <v>14.8</v>
      </c>
    </row>
    <row r="733" spans="1:3">
      <c r="A733" s="392">
        <v>14.81</v>
      </c>
      <c r="B733" s="392">
        <v>15.67</v>
      </c>
      <c r="C733" s="392">
        <v>14.81</v>
      </c>
    </row>
    <row r="734" spans="1:3">
      <c r="A734" s="392">
        <v>14.82</v>
      </c>
      <c r="B734" s="392">
        <v>15.69</v>
      </c>
      <c r="C734" s="392">
        <v>14.82</v>
      </c>
    </row>
    <row r="735" spans="1:3">
      <c r="A735" s="392">
        <v>14.83</v>
      </c>
      <c r="B735" s="392">
        <v>15.7</v>
      </c>
      <c r="C735" s="392">
        <v>14.83</v>
      </c>
    </row>
    <row r="736" spans="1:3">
      <c r="A736" s="392">
        <v>14.84</v>
      </c>
      <c r="B736" s="392">
        <v>15.71</v>
      </c>
      <c r="C736" s="392">
        <v>14.84</v>
      </c>
    </row>
    <row r="737" spans="1:3">
      <c r="A737" s="392">
        <v>14.85</v>
      </c>
      <c r="B737" s="392">
        <v>15.72</v>
      </c>
      <c r="C737" s="392">
        <v>14.85</v>
      </c>
    </row>
    <row r="738" spans="1:3">
      <c r="A738" s="392">
        <v>14.86</v>
      </c>
      <c r="B738" s="392">
        <v>15.73</v>
      </c>
      <c r="C738" s="392">
        <v>14.86</v>
      </c>
    </row>
    <row r="739" spans="1:3">
      <c r="A739" s="392">
        <v>14.87</v>
      </c>
      <c r="B739" s="392">
        <v>15.74</v>
      </c>
      <c r="C739" s="392">
        <v>14.87</v>
      </c>
    </row>
    <row r="740" spans="1:3">
      <c r="A740" s="392">
        <v>14.88</v>
      </c>
      <c r="B740" s="392">
        <v>15.75</v>
      </c>
      <c r="C740" s="392">
        <v>14.88</v>
      </c>
    </row>
    <row r="741" spans="1:3">
      <c r="A741" s="392">
        <v>14.89</v>
      </c>
      <c r="B741" s="392">
        <v>15.76</v>
      </c>
      <c r="C741" s="392">
        <v>14.89</v>
      </c>
    </row>
    <row r="742" spans="1:3">
      <c r="A742" s="392">
        <v>14.9</v>
      </c>
      <c r="B742" s="392">
        <v>15.78</v>
      </c>
      <c r="C742" s="392">
        <v>14.9</v>
      </c>
    </row>
    <row r="743" spans="1:3">
      <c r="A743" s="392">
        <v>14.91</v>
      </c>
      <c r="B743" s="392">
        <v>15.79</v>
      </c>
      <c r="C743" s="392">
        <v>14.91</v>
      </c>
    </row>
    <row r="744" spans="1:3">
      <c r="A744" s="392">
        <v>14.92</v>
      </c>
      <c r="B744" s="392">
        <v>15.8</v>
      </c>
      <c r="C744" s="392">
        <v>14.92</v>
      </c>
    </row>
    <row r="745" spans="1:3">
      <c r="A745" s="392">
        <v>14.93</v>
      </c>
      <c r="B745" s="392">
        <v>15.81</v>
      </c>
      <c r="C745" s="392">
        <v>14.93</v>
      </c>
    </row>
    <row r="746" spans="1:3">
      <c r="A746" s="392">
        <v>14.94</v>
      </c>
      <c r="B746" s="392">
        <v>15.82</v>
      </c>
      <c r="C746" s="392">
        <v>14.94</v>
      </c>
    </row>
    <row r="747" spans="1:3">
      <c r="A747" s="392">
        <v>14.95</v>
      </c>
      <c r="B747" s="392">
        <v>15.83</v>
      </c>
      <c r="C747" s="392">
        <v>14.95</v>
      </c>
    </row>
    <row r="748" spans="1:3">
      <c r="A748" s="392">
        <v>14.96</v>
      </c>
      <c r="B748" s="392">
        <v>15.84</v>
      </c>
      <c r="C748" s="392">
        <v>14.96</v>
      </c>
    </row>
    <row r="749" spans="1:3">
      <c r="A749" s="392">
        <v>14.97</v>
      </c>
      <c r="B749" s="392">
        <v>15.85</v>
      </c>
      <c r="C749" s="392">
        <v>14.97</v>
      </c>
    </row>
    <row r="750" spans="1:3">
      <c r="A750" s="392">
        <v>14.98</v>
      </c>
      <c r="B750" s="392">
        <v>15.87</v>
      </c>
      <c r="C750" s="392">
        <v>14.98</v>
      </c>
    </row>
    <row r="751" spans="1:3">
      <c r="A751" s="392">
        <v>14.99</v>
      </c>
      <c r="B751" s="392">
        <v>15.88</v>
      </c>
      <c r="C751" s="392">
        <v>14.99</v>
      </c>
    </row>
    <row r="752" spans="1:3">
      <c r="A752" s="392">
        <v>15</v>
      </c>
      <c r="B752" s="392">
        <v>15.89</v>
      </c>
      <c r="C752" s="392">
        <v>15</v>
      </c>
    </row>
    <row r="753" spans="1:3">
      <c r="A753" s="392">
        <v>15.01</v>
      </c>
      <c r="B753" s="392">
        <v>15.9</v>
      </c>
      <c r="C753" s="392">
        <v>15.01</v>
      </c>
    </row>
    <row r="754" spans="1:3">
      <c r="A754" s="392">
        <v>15.02</v>
      </c>
      <c r="B754" s="392">
        <v>15.91</v>
      </c>
      <c r="C754" s="392">
        <v>15.02</v>
      </c>
    </row>
    <row r="755" spans="1:3">
      <c r="A755" s="392">
        <v>15.03</v>
      </c>
      <c r="B755" s="392">
        <v>15.92</v>
      </c>
      <c r="C755" s="392">
        <v>15.03</v>
      </c>
    </row>
    <row r="756" spans="1:3">
      <c r="A756" s="392">
        <v>15.04</v>
      </c>
      <c r="B756" s="392">
        <v>15.93</v>
      </c>
      <c r="C756" s="392">
        <v>15.04</v>
      </c>
    </row>
    <row r="757" spans="1:3">
      <c r="A757" s="392">
        <v>15.05</v>
      </c>
      <c r="B757" s="392">
        <v>15.94</v>
      </c>
      <c r="C757" s="392">
        <v>15.05</v>
      </c>
    </row>
    <row r="758" spans="1:3">
      <c r="A758" s="392">
        <v>15.06</v>
      </c>
      <c r="B758" s="392">
        <v>15.95</v>
      </c>
      <c r="C758" s="392">
        <v>15.06</v>
      </c>
    </row>
    <row r="759" spans="1:3">
      <c r="A759" s="392">
        <v>15.07</v>
      </c>
      <c r="B759" s="392">
        <v>15.97</v>
      </c>
      <c r="C759" s="392">
        <v>15.07</v>
      </c>
    </row>
    <row r="760" spans="1:3">
      <c r="A760" s="392">
        <v>15.08</v>
      </c>
      <c r="B760" s="392">
        <v>15.98</v>
      </c>
      <c r="C760" s="392">
        <v>15.08</v>
      </c>
    </row>
    <row r="761" spans="1:3">
      <c r="A761" s="392">
        <v>15.09</v>
      </c>
      <c r="B761" s="392">
        <v>15.99</v>
      </c>
      <c r="C761" s="392">
        <v>15.09</v>
      </c>
    </row>
    <row r="762" spans="1:3">
      <c r="A762" s="392">
        <v>15.1</v>
      </c>
      <c r="B762" s="392">
        <v>16</v>
      </c>
      <c r="C762" s="392">
        <v>15.1</v>
      </c>
    </row>
    <row r="763" spans="1:3">
      <c r="A763" s="392">
        <v>15.11</v>
      </c>
      <c r="B763" s="392">
        <v>16.010000000000002</v>
      </c>
      <c r="C763" s="392">
        <v>15.11</v>
      </c>
    </row>
    <row r="764" spans="1:3">
      <c r="A764" s="392">
        <v>15.12</v>
      </c>
      <c r="B764" s="392">
        <v>16.02</v>
      </c>
      <c r="C764" s="392">
        <v>15.12</v>
      </c>
    </row>
    <row r="765" spans="1:3">
      <c r="A765" s="392">
        <v>15.13</v>
      </c>
      <c r="B765" s="392">
        <v>16.03</v>
      </c>
      <c r="C765" s="392">
        <v>15.13</v>
      </c>
    </row>
    <row r="766" spans="1:3">
      <c r="A766" s="392">
        <v>15.14</v>
      </c>
      <c r="B766" s="392">
        <v>16.04</v>
      </c>
      <c r="C766" s="392">
        <v>15.14</v>
      </c>
    </row>
    <row r="767" spans="1:3">
      <c r="A767" s="392">
        <v>15.15</v>
      </c>
      <c r="B767" s="392">
        <v>16.059999999999999</v>
      </c>
      <c r="C767" s="392">
        <v>15.15</v>
      </c>
    </row>
    <row r="768" spans="1:3">
      <c r="A768" s="392">
        <v>15.16</v>
      </c>
      <c r="B768" s="392">
        <v>16.07</v>
      </c>
      <c r="C768" s="392">
        <v>15.16</v>
      </c>
    </row>
    <row r="769" spans="1:3">
      <c r="A769" s="392">
        <v>15.17</v>
      </c>
      <c r="B769" s="392">
        <v>16.079999999999998</v>
      </c>
      <c r="C769" s="392">
        <v>15.17</v>
      </c>
    </row>
    <row r="770" spans="1:3">
      <c r="A770" s="392">
        <v>15.18</v>
      </c>
      <c r="B770" s="392">
        <v>16.09</v>
      </c>
      <c r="C770" s="392">
        <v>15.18</v>
      </c>
    </row>
    <row r="771" spans="1:3">
      <c r="A771" s="392">
        <v>15.19</v>
      </c>
      <c r="B771" s="392">
        <v>16.100000000000001</v>
      </c>
      <c r="C771" s="392">
        <v>15.19</v>
      </c>
    </row>
    <row r="772" spans="1:3">
      <c r="A772" s="392">
        <v>15.2</v>
      </c>
      <c r="B772" s="392">
        <v>16.11</v>
      </c>
      <c r="C772" s="392">
        <v>15.2</v>
      </c>
    </row>
    <row r="773" spans="1:3">
      <c r="A773" s="392">
        <v>15.21</v>
      </c>
      <c r="B773" s="392">
        <v>16.12</v>
      </c>
      <c r="C773" s="392">
        <v>15.21</v>
      </c>
    </row>
    <row r="774" spans="1:3">
      <c r="A774" s="392">
        <v>15.22</v>
      </c>
      <c r="B774" s="392">
        <v>16.13</v>
      </c>
      <c r="C774" s="392">
        <v>15.22</v>
      </c>
    </row>
    <row r="775" spans="1:3">
      <c r="A775" s="392">
        <v>15.23</v>
      </c>
      <c r="B775" s="392">
        <v>16.149999999999999</v>
      </c>
      <c r="C775" s="392">
        <v>15.23</v>
      </c>
    </row>
    <row r="776" spans="1:3">
      <c r="A776" s="392">
        <v>15.24</v>
      </c>
      <c r="B776" s="392">
        <v>16.16</v>
      </c>
      <c r="C776" s="392">
        <v>15.24</v>
      </c>
    </row>
    <row r="777" spans="1:3">
      <c r="A777" s="392">
        <v>15.25</v>
      </c>
      <c r="B777" s="392">
        <v>16.170000000000002</v>
      </c>
      <c r="C777" s="392">
        <v>15.25</v>
      </c>
    </row>
    <row r="778" spans="1:3">
      <c r="A778" s="392">
        <v>15.26</v>
      </c>
      <c r="B778" s="392">
        <v>16.18</v>
      </c>
      <c r="C778" s="392">
        <v>15.26</v>
      </c>
    </row>
    <row r="779" spans="1:3">
      <c r="A779" s="392">
        <v>15.27</v>
      </c>
      <c r="B779" s="392">
        <v>16.190000000000001</v>
      </c>
      <c r="C779" s="392">
        <v>15.27</v>
      </c>
    </row>
    <row r="780" spans="1:3">
      <c r="A780" s="392">
        <v>15.28</v>
      </c>
      <c r="B780" s="392">
        <v>16.2</v>
      </c>
      <c r="C780" s="392">
        <v>15.28</v>
      </c>
    </row>
    <row r="781" spans="1:3">
      <c r="A781" s="392">
        <v>15.29</v>
      </c>
      <c r="B781" s="392">
        <v>16.21</v>
      </c>
      <c r="C781" s="392">
        <v>15.29</v>
      </c>
    </row>
    <row r="782" spans="1:3">
      <c r="A782" s="392">
        <v>15.3</v>
      </c>
      <c r="B782" s="392">
        <v>16.22</v>
      </c>
      <c r="C782" s="392">
        <v>15.3</v>
      </c>
    </row>
    <row r="783" spans="1:3">
      <c r="A783" s="392">
        <v>15.31</v>
      </c>
      <c r="B783" s="392">
        <v>16.239999999999998</v>
      </c>
      <c r="C783" s="392">
        <v>15.31</v>
      </c>
    </row>
    <row r="784" spans="1:3">
      <c r="A784" s="392">
        <v>15.32</v>
      </c>
      <c r="B784" s="392">
        <v>16.25</v>
      </c>
      <c r="C784" s="392">
        <v>15.32</v>
      </c>
    </row>
    <row r="785" spans="1:3">
      <c r="A785" s="392">
        <v>15.33</v>
      </c>
      <c r="B785" s="392">
        <v>16.260000000000002</v>
      </c>
      <c r="C785" s="392">
        <v>15.33</v>
      </c>
    </row>
    <row r="786" spans="1:3">
      <c r="A786" s="392">
        <v>15.34</v>
      </c>
      <c r="B786" s="392">
        <v>16.27</v>
      </c>
      <c r="C786" s="392">
        <v>15.34</v>
      </c>
    </row>
    <row r="787" spans="1:3">
      <c r="A787" s="392">
        <v>15.35</v>
      </c>
      <c r="B787" s="392">
        <v>16.28</v>
      </c>
      <c r="C787" s="392">
        <v>15.35</v>
      </c>
    </row>
    <row r="788" spans="1:3">
      <c r="A788" s="392">
        <v>15.36</v>
      </c>
      <c r="B788" s="392">
        <v>16.29</v>
      </c>
      <c r="C788" s="392">
        <v>15.36</v>
      </c>
    </row>
    <row r="789" spans="1:3">
      <c r="A789" s="392">
        <v>15.37</v>
      </c>
      <c r="B789" s="392">
        <v>16.3</v>
      </c>
      <c r="C789" s="392">
        <v>15.37</v>
      </c>
    </row>
    <row r="790" spans="1:3">
      <c r="A790" s="392">
        <v>15.38</v>
      </c>
      <c r="B790" s="392">
        <v>16.32</v>
      </c>
      <c r="C790" s="392">
        <v>15.38</v>
      </c>
    </row>
    <row r="791" spans="1:3">
      <c r="A791" s="392">
        <v>15.39</v>
      </c>
      <c r="B791" s="392">
        <v>16.329999999999998</v>
      </c>
      <c r="C791" s="392">
        <v>15.39</v>
      </c>
    </row>
    <row r="792" spans="1:3">
      <c r="A792" s="392">
        <v>15.4</v>
      </c>
      <c r="B792" s="392">
        <v>16.34</v>
      </c>
      <c r="C792" s="392">
        <v>15.4</v>
      </c>
    </row>
    <row r="793" spans="1:3">
      <c r="A793" s="392">
        <v>15.41</v>
      </c>
      <c r="B793" s="392">
        <v>16.350000000000001</v>
      </c>
      <c r="C793" s="392">
        <v>15.41</v>
      </c>
    </row>
    <row r="794" spans="1:3">
      <c r="A794" s="392">
        <v>15.42</v>
      </c>
      <c r="B794" s="392">
        <v>16.36</v>
      </c>
      <c r="C794" s="392">
        <v>15.42</v>
      </c>
    </row>
    <row r="795" spans="1:3">
      <c r="A795" s="392">
        <v>15.43</v>
      </c>
      <c r="B795" s="392">
        <v>16.37</v>
      </c>
      <c r="C795" s="392">
        <v>15.43</v>
      </c>
    </row>
    <row r="796" spans="1:3">
      <c r="A796" s="392">
        <v>15.44</v>
      </c>
      <c r="B796" s="392">
        <v>16.38</v>
      </c>
      <c r="C796" s="392">
        <v>15.44</v>
      </c>
    </row>
    <row r="797" spans="1:3">
      <c r="A797" s="392">
        <v>15.45</v>
      </c>
      <c r="B797" s="392">
        <v>16.39</v>
      </c>
      <c r="C797" s="392">
        <v>15.45</v>
      </c>
    </row>
    <row r="798" spans="1:3">
      <c r="A798" s="392">
        <v>15.46</v>
      </c>
      <c r="B798" s="392">
        <v>16.41</v>
      </c>
      <c r="C798" s="392">
        <v>15.46</v>
      </c>
    </row>
    <row r="799" spans="1:3">
      <c r="A799" s="392">
        <v>15.47</v>
      </c>
      <c r="B799" s="392">
        <v>16.420000000000002</v>
      </c>
      <c r="C799" s="392">
        <v>15.47</v>
      </c>
    </row>
    <row r="800" spans="1:3">
      <c r="A800" s="392">
        <v>15.48</v>
      </c>
      <c r="B800" s="392">
        <v>16.43</v>
      </c>
      <c r="C800" s="392">
        <v>15.48</v>
      </c>
    </row>
    <row r="801" spans="1:3">
      <c r="A801" s="392">
        <v>15.49</v>
      </c>
      <c r="B801" s="392">
        <v>16.440000000000001</v>
      </c>
      <c r="C801" s="392">
        <v>15.49</v>
      </c>
    </row>
    <row r="802" spans="1:3">
      <c r="A802" s="392">
        <v>15.5</v>
      </c>
      <c r="B802" s="392">
        <v>16.45</v>
      </c>
      <c r="C802" s="392">
        <v>15.5</v>
      </c>
    </row>
    <row r="803" spans="1:3">
      <c r="A803" s="392">
        <v>15.51</v>
      </c>
      <c r="B803" s="392">
        <v>16.46</v>
      </c>
      <c r="C803" s="392">
        <v>15.51</v>
      </c>
    </row>
    <row r="804" spans="1:3">
      <c r="A804" s="392">
        <v>15.52</v>
      </c>
      <c r="B804" s="392">
        <v>16.47</v>
      </c>
      <c r="C804" s="392">
        <v>15.52</v>
      </c>
    </row>
    <row r="805" spans="1:3">
      <c r="A805" s="392">
        <v>15.53</v>
      </c>
      <c r="B805" s="392">
        <v>16.48</v>
      </c>
      <c r="C805" s="392">
        <v>15.53</v>
      </c>
    </row>
    <row r="806" spans="1:3">
      <c r="A806" s="392">
        <v>15.54</v>
      </c>
      <c r="B806" s="392">
        <v>16.5</v>
      </c>
      <c r="C806" s="392">
        <v>15.54</v>
      </c>
    </row>
    <row r="807" spans="1:3">
      <c r="A807" s="392">
        <v>15.55</v>
      </c>
      <c r="B807" s="392">
        <v>16.510000000000002</v>
      </c>
      <c r="C807" s="392">
        <v>15.55</v>
      </c>
    </row>
    <row r="808" spans="1:3">
      <c r="A808" s="392">
        <v>15.56</v>
      </c>
      <c r="B808" s="392">
        <v>16.52</v>
      </c>
      <c r="C808" s="392">
        <v>15.56</v>
      </c>
    </row>
    <row r="809" spans="1:3">
      <c r="A809" s="392">
        <v>15.57</v>
      </c>
      <c r="B809" s="392">
        <v>16.53</v>
      </c>
      <c r="C809" s="392">
        <v>15.57</v>
      </c>
    </row>
    <row r="810" spans="1:3">
      <c r="A810" s="392">
        <v>15.58</v>
      </c>
      <c r="B810" s="392">
        <v>16.54</v>
      </c>
      <c r="C810" s="392">
        <v>15.58</v>
      </c>
    </row>
    <row r="811" spans="1:3">
      <c r="A811" s="392">
        <v>15.59</v>
      </c>
      <c r="B811" s="392">
        <v>16.55</v>
      </c>
      <c r="C811" s="392">
        <v>15.59</v>
      </c>
    </row>
    <row r="812" spans="1:3">
      <c r="A812" s="392">
        <v>15.6</v>
      </c>
      <c r="B812" s="392">
        <v>16.559999999999999</v>
      </c>
      <c r="C812" s="392">
        <v>15.6</v>
      </c>
    </row>
    <row r="813" spans="1:3">
      <c r="A813" s="392">
        <v>15.61</v>
      </c>
      <c r="B813" s="392">
        <v>16.57</v>
      </c>
      <c r="C813" s="392">
        <v>15.61</v>
      </c>
    </row>
    <row r="814" spans="1:3">
      <c r="A814" s="392">
        <v>15.62</v>
      </c>
      <c r="B814" s="392">
        <v>16.59</v>
      </c>
      <c r="C814" s="392">
        <v>15.62</v>
      </c>
    </row>
    <row r="815" spans="1:3">
      <c r="A815" s="392">
        <v>15.63</v>
      </c>
      <c r="B815" s="392">
        <v>16.600000000000001</v>
      </c>
      <c r="C815" s="392">
        <v>15.63</v>
      </c>
    </row>
    <row r="816" spans="1:3">
      <c r="A816" s="392">
        <v>15.64</v>
      </c>
      <c r="B816" s="392">
        <v>16.61</v>
      </c>
      <c r="C816" s="392">
        <v>15.64</v>
      </c>
    </row>
    <row r="817" spans="1:3">
      <c r="A817" s="392">
        <v>15.65</v>
      </c>
      <c r="B817" s="392">
        <v>16.62</v>
      </c>
      <c r="C817" s="392">
        <v>15.65</v>
      </c>
    </row>
    <row r="818" spans="1:3">
      <c r="A818" s="392">
        <v>15.66</v>
      </c>
      <c r="B818" s="392">
        <v>16.63</v>
      </c>
      <c r="C818" s="392">
        <v>15.66</v>
      </c>
    </row>
    <row r="819" spans="1:3">
      <c r="A819" s="392">
        <v>15.67</v>
      </c>
      <c r="B819" s="392">
        <v>16.64</v>
      </c>
      <c r="C819" s="392">
        <v>15.67</v>
      </c>
    </row>
    <row r="820" spans="1:3">
      <c r="A820" s="392">
        <v>15.68</v>
      </c>
      <c r="B820" s="392">
        <v>16.649999999999999</v>
      </c>
      <c r="C820" s="392">
        <v>15.68</v>
      </c>
    </row>
    <row r="821" spans="1:3">
      <c r="A821" s="392">
        <v>15.69</v>
      </c>
      <c r="B821" s="392">
        <v>16.670000000000002</v>
      </c>
      <c r="C821" s="392">
        <v>15.69</v>
      </c>
    </row>
    <row r="822" spans="1:3">
      <c r="A822" s="392">
        <v>15.7</v>
      </c>
      <c r="B822" s="392">
        <v>16.68</v>
      </c>
      <c r="C822" s="392">
        <v>15.7</v>
      </c>
    </row>
    <row r="823" spans="1:3">
      <c r="A823" s="392">
        <v>15.71</v>
      </c>
      <c r="B823" s="392">
        <v>16.690000000000001</v>
      </c>
      <c r="C823" s="392">
        <v>15.71</v>
      </c>
    </row>
    <row r="824" spans="1:3">
      <c r="A824" s="392">
        <v>15.72</v>
      </c>
      <c r="B824" s="392">
        <v>16.7</v>
      </c>
      <c r="C824" s="392">
        <v>15.72</v>
      </c>
    </row>
    <row r="825" spans="1:3">
      <c r="A825" s="392">
        <v>15.73</v>
      </c>
      <c r="B825" s="392">
        <v>16.71</v>
      </c>
      <c r="C825" s="392">
        <v>15.73</v>
      </c>
    </row>
    <row r="826" spans="1:3">
      <c r="A826" s="392">
        <v>15.74</v>
      </c>
      <c r="B826" s="392">
        <v>16.72</v>
      </c>
      <c r="C826" s="392">
        <v>15.74</v>
      </c>
    </row>
    <row r="827" spans="1:3">
      <c r="A827" s="392">
        <v>15.75</v>
      </c>
      <c r="B827" s="392">
        <v>16.73</v>
      </c>
      <c r="C827" s="392">
        <v>15.75</v>
      </c>
    </row>
    <row r="828" spans="1:3">
      <c r="A828" s="392">
        <v>15.76</v>
      </c>
      <c r="B828" s="392">
        <v>16.739999999999998</v>
      </c>
      <c r="C828" s="392">
        <v>15.76</v>
      </c>
    </row>
    <row r="829" spans="1:3">
      <c r="A829" s="392">
        <v>15.77</v>
      </c>
      <c r="B829" s="392">
        <v>16.760000000000002</v>
      </c>
      <c r="C829" s="392">
        <v>15.77</v>
      </c>
    </row>
    <row r="830" spans="1:3">
      <c r="A830" s="392">
        <v>15.78</v>
      </c>
      <c r="B830" s="392">
        <v>16.77</v>
      </c>
      <c r="C830" s="392">
        <v>15.78</v>
      </c>
    </row>
    <row r="831" spans="1:3">
      <c r="A831" s="392">
        <v>15.79</v>
      </c>
      <c r="B831" s="392">
        <v>16.78</v>
      </c>
      <c r="C831" s="392">
        <v>15.79</v>
      </c>
    </row>
    <row r="832" spans="1:3">
      <c r="A832" s="392">
        <v>15.8</v>
      </c>
      <c r="B832" s="392">
        <v>16.79</v>
      </c>
      <c r="C832" s="392">
        <v>15.8</v>
      </c>
    </row>
    <row r="833" spans="1:3">
      <c r="A833" s="392">
        <v>15.81</v>
      </c>
      <c r="B833" s="392">
        <v>16.8</v>
      </c>
      <c r="C833" s="392">
        <v>15.81</v>
      </c>
    </row>
    <row r="834" spans="1:3">
      <c r="A834" s="392">
        <v>15.82</v>
      </c>
      <c r="B834" s="392">
        <v>16.809999999999999</v>
      </c>
      <c r="C834" s="392">
        <v>15.82</v>
      </c>
    </row>
    <row r="835" spans="1:3">
      <c r="A835" s="392">
        <v>15.83</v>
      </c>
      <c r="B835" s="392">
        <v>16.82</v>
      </c>
      <c r="C835" s="392">
        <v>15.83</v>
      </c>
    </row>
    <row r="836" spans="1:3">
      <c r="A836" s="392">
        <v>15.84</v>
      </c>
      <c r="B836" s="392">
        <v>16.829999999999998</v>
      </c>
      <c r="C836" s="392">
        <v>15.84</v>
      </c>
    </row>
    <row r="837" spans="1:3">
      <c r="A837" s="392">
        <v>15.85</v>
      </c>
      <c r="B837" s="392">
        <v>16.850000000000001</v>
      </c>
      <c r="C837" s="392">
        <v>15.85</v>
      </c>
    </row>
    <row r="838" spans="1:3">
      <c r="A838" s="392">
        <v>15.86</v>
      </c>
      <c r="B838" s="392">
        <v>16.86</v>
      </c>
      <c r="C838" s="392">
        <v>15.86</v>
      </c>
    </row>
    <row r="839" spans="1:3">
      <c r="A839" s="392">
        <v>15.87</v>
      </c>
      <c r="B839" s="392">
        <v>16.87</v>
      </c>
      <c r="C839" s="392">
        <v>15.87</v>
      </c>
    </row>
    <row r="840" spans="1:3">
      <c r="A840" s="392">
        <v>15.88</v>
      </c>
      <c r="B840" s="392">
        <v>16.88</v>
      </c>
      <c r="C840" s="392">
        <v>15.88</v>
      </c>
    </row>
    <row r="841" spans="1:3">
      <c r="A841" s="392">
        <v>15.89</v>
      </c>
      <c r="B841" s="392">
        <v>16.89</v>
      </c>
      <c r="C841" s="392">
        <v>15.89</v>
      </c>
    </row>
    <row r="842" spans="1:3">
      <c r="A842" s="392">
        <v>15.9</v>
      </c>
      <c r="B842" s="392">
        <v>16.899999999999999</v>
      </c>
      <c r="C842" s="392">
        <v>15.9</v>
      </c>
    </row>
    <row r="843" spans="1:3">
      <c r="A843" s="392">
        <v>15.91</v>
      </c>
      <c r="B843" s="392">
        <v>16.91</v>
      </c>
      <c r="C843" s="392">
        <v>15.91</v>
      </c>
    </row>
    <row r="844" spans="1:3">
      <c r="A844" s="392">
        <v>15.92</v>
      </c>
      <c r="B844" s="392">
        <v>16.920000000000002</v>
      </c>
      <c r="C844" s="392">
        <v>15.92</v>
      </c>
    </row>
    <row r="845" spans="1:3">
      <c r="A845" s="392">
        <v>15.93</v>
      </c>
      <c r="B845" s="392">
        <v>16.940000000000001</v>
      </c>
      <c r="C845" s="392">
        <v>15.93</v>
      </c>
    </row>
    <row r="846" spans="1:3">
      <c r="A846" s="392">
        <v>15.94</v>
      </c>
      <c r="B846" s="392">
        <v>16.95</v>
      </c>
      <c r="C846" s="392">
        <v>15.94</v>
      </c>
    </row>
    <row r="847" spans="1:3">
      <c r="A847" s="392">
        <v>15.95</v>
      </c>
      <c r="B847" s="392">
        <v>16.96</v>
      </c>
      <c r="C847" s="392">
        <v>15.95</v>
      </c>
    </row>
    <row r="848" spans="1:3">
      <c r="A848" s="392">
        <v>15.96</v>
      </c>
      <c r="B848" s="392">
        <v>16.97</v>
      </c>
      <c r="C848" s="392">
        <v>15.96</v>
      </c>
    </row>
    <row r="849" spans="1:3">
      <c r="A849" s="392">
        <v>15.97</v>
      </c>
      <c r="B849" s="392">
        <v>16.98</v>
      </c>
      <c r="C849" s="392">
        <v>15.97</v>
      </c>
    </row>
    <row r="850" spans="1:3">
      <c r="A850" s="392">
        <v>15.98</v>
      </c>
      <c r="B850" s="392">
        <v>16.989999999999998</v>
      </c>
      <c r="C850" s="392">
        <v>15.98</v>
      </c>
    </row>
    <row r="851" spans="1:3">
      <c r="A851" s="392">
        <v>15.99</v>
      </c>
      <c r="B851" s="392">
        <v>17</v>
      </c>
      <c r="C851" s="392">
        <v>15.99</v>
      </c>
    </row>
    <row r="852" spans="1:3">
      <c r="A852" s="392">
        <v>16</v>
      </c>
      <c r="B852" s="392">
        <v>17.02</v>
      </c>
      <c r="C852" s="392">
        <v>16</v>
      </c>
    </row>
    <row r="853" spans="1:3">
      <c r="A853" s="392">
        <v>16.010000000000002</v>
      </c>
      <c r="B853" s="392">
        <v>17.03</v>
      </c>
      <c r="C853" s="392">
        <v>16.010000000000002</v>
      </c>
    </row>
    <row r="854" spans="1:3">
      <c r="A854" s="392">
        <v>16.02</v>
      </c>
      <c r="B854" s="392">
        <v>17.04</v>
      </c>
      <c r="C854" s="392">
        <v>16.02</v>
      </c>
    </row>
    <row r="855" spans="1:3">
      <c r="A855" s="392">
        <v>16.03</v>
      </c>
      <c r="B855" s="392">
        <v>17.05</v>
      </c>
      <c r="C855" s="392">
        <v>16.03</v>
      </c>
    </row>
    <row r="856" spans="1:3">
      <c r="A856" s="392">
        <v>16.04</v>
      </c>
      <c r="B856" s="392">
        <v>17.059999999999999</v>
      </c>
      <c r="C856" s="392">
        <v>16.04</v>
      </c>
    </row>
    <row r="857" spans="1:3">
      <c r="A857" s="392">
        <v>16.05</v>
      </c>
      <c r="B857" s="392">
        <v>17.07</v>
      </c>
      <c r="C857" s="392">
        <v>16.05</v>
      </c>
    </row>
    <row r="858" spans="1:3">
      <c r="A858" s="392">
        <v>16.059999999999999</v>
      </c>
      <c r="B858" s="392">
        <v>17.079999999999998</v>
      </c>
      <c r="C858" s="392">
        <v>16.059999999999999</v>
      </c>
    </row>
    <row r="859" spans="1:3">
      <c r="A859" s="392">
        <v>16.07</v>
      </c>
      <c r="B859" s="392">
        <v>17.09</v>
      </c>
      <c r="C859" s="392">
        <v>16.07</v>
      </c>
    </row>
    <row r="860" spans="1:3">
      <c r="A860" s="392">
        <v>16.079999999999998</v>
      </c>
      <c r="B860" s="392">
        <v>17.11</v>
      </c>
      <c r="C860" s="392">
        <v>16.079999999999998</v>
      </c>
    </row>
    <row r="861" spans="1:3">
      <c r="A861" s="392">
        <v>16.09</v>
      </c>
      <c r="B861" s="392">
        <v>17.12</v>
      </c>
      <c r="C861" s="392">
        <v>16.09</v>
      </c>
    </row>
    <row r="862" spans="1:3">
      <c r="A862" s="392">
        <v>16.100000000000001</v>
      </c>
      <c r="B862" s="392">
        <v>17.13</v>
      </c>
      <c r="C862" s="392">
        <v>16.100000000000001</v>
      </c>
    </row>
    <row r="863" spans="1:3">
      <c r="A863" s="392">
        <v>16.11</v>
      </c>
      <c r="B863" s="392">
        <v>17.14</v>
      </c>
      <c r="C863" s="392">
        <v>16.11</v>
      </c>
    </row>
    <row r="864" spans="1:3">
      <c r="A864" s="392">
        <v>16.12</v>
      </c>
      <c r="B864" s="392">
        <v>17.149999999999999</v>
      </c>
      <c r="C864" s="392">
        <v>16.12</v>
      </c>
    </row>
    <row r="865" spans="1:3">
      <c r="A865" s="392">
        <v>16.13</v>
      </c>
      <c r="B865" s="392">
        <v>17.16</v>
      </c>
      <c r="C865" s="392">
        <v>16.13</v>
      </c>
    </row>
    <row r="866" spans="1:3">
      <c r="A866" s="392">
        <v>16.14</v>
      </c>
      <c r="B866" s="392">
        <v>17.170000000000002</v>
      </c>
      <c r="C866" s="392">
        <v>16.14</v>
      </c>
    </row>
    <row r="867" spans="1:3">
      <c r="A867" s="392">
        <v>16.149999999999999</v>
      </c>
      <c r="B867" s="392">
        <v>17.190000000000001</v>
      </c>
      <c r="C867" s="392">
        <v>16.149999999999999</v>
      </c>
    </row>
    <row r="868" spans="1:3">
      <c r="A868" s="392">
        <v>16.16</v>
      </c>
      <c r="B868" s="392">
        <v>17.2</v>
      </c>
      <c r="C868" s="392">
        <v>16.16</v>
      </c>
    </row>
    <row r="869" spans="1:3">
      <c r="A869" s="392">
        <v>16.170000000000002</v>
      </c>
      <c r="B869" s="392">
        <v>17.21</v>
      </c>
      <c r="C869" s="392">
        <v>16.170000000000002</v>
      </c>
    </row>
    <row r="870" spans="1:3">
      <c r="A870" s="392">
        <v>16.18</v>
      </c>
      <c r="B870" s="392">
        <v>17.22</v>
      </c>
      <c r="C870" s="392">
        <v>16.18</v>
      </c>
    </row>
    <row r="871" spans="1:3">
      <c r="A871" s="392">
        <v>16.190000000000001</v>
      </c>
      <c r="B871" s="392">
        <v>17.23</v>
      </c>
      <c r="C871" s="392">
        <v>16.190000000000001</v>
      </c>
    </row>
    <row r="872" spans="1:3">
      <c r="A872" s="392">
        <v>16.2</v>
      </c>
      <c r="B872" s="392">
        <v>17.239999999999998</v>
      </c>
      <c r="C872" s="392">
        <v>16.2</v>
      </c>
    </row>
    <row r="873" spans="1:3">
      <c r="A873" s="392">
        <v>16.21</v>
      </c>
      <c r="B873" s="392">
        <v>17.25</v>
      </c>
      <c r="C873" s="392">
        <v>16.21</v>
      </c>
    </row>
    <row r="874" spans="1:3">
      <c r="A874" s="392">
        <v>16.22</v>
      </c>
      <c r="B874" s="392">
        <v>17.260000000000002</v>
      </c>
      <c r="C874" s="392">
        <v>16.22</v>
      </c>
    </row>
    <row r="875" spans="1:3">
      <c r="A875" s="392">
        <v>16.23</v>
      </c>
      <c r="B875" s="392">
        <v>17.28</v>
      </c>
      <c r="C875" s="392">
        <v>16.23</v>
      </c>
    </row>
    <row r="876" spans="1:3">
      <c r="A876" s="392">
        <v>16.239999999999998</v>
      </c>
      <c r="B876" s="392">
        <v>17.29</v>
      </c>
      <c r="C876" s="392">
        <v>16.239999999999998</v>
      </c>
    </row>
    <row r="877" spans="1:3">
      <c r="A877" s="392">
        <v>16.25</v>
      </c>
      <c r="B877" s="392">
        <v>17.3</v>
      </c>
      <c r="C877" s="392">
        <v>16.25</v>
      </c>
    </row>
    <row r="878" spans="1:3">
      <c r="A878" s="392">
        <v>16.260000000000002</v>
      </c>
      <c r="B878" s="392">
        <v>17.309999999999999</v>
      </c>
      <c r="C878" s="392">
        <v>16.260000000000002</v>
      </c>
    </row>
    <row r="879" spans="1:3">
      <c r="A879" s="392">
        <v>16.27</v>
      </c>
      <c r="B879" s="392">
        <v>17.32</v>
      </c>
      <c r="C879" s="392">
        <v>16.27</v>
      </c>
    </row>
    <row r="880" spans="1:3">
      <c r="A880" s="392">
        <v>16.28</v>
      </c>
      <c r="B880" s="392">
        <v>17.329999999999998</v>
      </c>
      <c r="C880" s="392">
        <v>16.28</v>
      </c>
    </row>
    <row r="881" spans="1:3">
      <c r="A881" s="392">
        <v>16.29</v>
      </c>
      <c r="B881" s="392">
        <v>17.34</v>
      </c>
      <c r="C881" s="392">
        <v>16.29</v>
      </c>
    </row>
    <row r="882" spans="1:3">
      <c r="A882" s="392">
        <v>16.3</v>
      </c>
      <c r="B882" s="392">
        <v>17.36</v>
      </c>
      <c r="C882" s="392">
        <v>16.3</v>
      </c>
    </row>
    <row r="883" spans="1:3">
      <c r="A883" s="392">
        <v>16.309999999999999</v>
      </c>
      <c r="B883" s="392">
        <v>17.37</v>
      </c>
      <c r="C883" s="392">
        <v>16.309999999999999</v>
      </c>
    </row>
    <row r="884" spans="1:3">
      <c r="A884" s="392">
        <v>16.32</v>
      </c>
      <c r="B884" s="392">
        <v>17.38</v>
      </c>
      <c r="C884" s="392">
        <v>16.32</v>
      </c>
    </row>
    <row r="885" spans="1:3">
      <c r="A885" s="392">
        <v>16.329999999999998</v>
      </c>
      <c r="B885" s="392">
        <v>17.39</v>
      </c>
      <c r="C885" s="392">
        <v>16.329999999999998</v>
      </c>
    </row>
    <row r="886" spans="1:3">
      <c r="A886" s="392">
        <v>16.34</v>
      </c>
      <c r="B886" s="392">
        <v>17.399999999999999</v>
      </c>
      <c r="C886" s="392">
        <v>16.34</v>
      </c>
    </row>
    <row r="887" spans="1:3">
      <c r="A887" s="392">
        <v>16.350000000000001</v>
      </c>
      <c r="B887" s="392">
        <v>17.41</v>
      </c>
      <c r="C887" s="392">
        <v>16.350000000000001</v>
      </c>
    </row>
    <row r="888" spans="1:3">
      <c r="A888" s="392">
        <v>16.36</v>
      </c>
      <c r="B888" s="392">
        <v>17.420000000000002</v>
      </c>
      <c r="C888" s="392">
        <v>16.36</v>
      </c>
    </row>
    <row r="889" spans="1:3">
      <c r="A889" s="392">
        <v>16.37</v>
      </c>
      <c r="B889" s="392">
        <v>17.440000000000001</v>
      </c>
      <c r="C889" s="392">
        <v>16.37</v>
      </c>
    </row>
    <row r="890" spans="1:3">
      <c r="A890" s="392">
        <v>16.38</v>
      </c>
      <c r="B890" s="392">
        <v>17.45</v>
      </c>
      <c r="C890" s="392">
        <v>16.38</v>
      </c>
    </row>
    <row r="891" spans="1:3">
      <c r="A891" s="392">
        <v>16.39</v>
      </c>
      <c r="B891" s="392">
        <v>17.46</v>
      </c>
      <c r="C891" s="392">
        <v>16.39</v>
      </c>
    </row>
    <row r="892" spans="1:3">
      <c r="A892" s="392">
        <v>16.399999999999999</v>
      </c>
      <c r="B892" s="392">
        <v>17.47</v>
      </c>
      <c r="C892" s="392">
        <v>16.399999999999999</v>
      </c>
    </row>
    <row r="893" spans="1:3">
      <c r="A893" s="392">
        <v>16.41</v>
      </c>
      <c r="B893" s="392">
        <v>17.48</v>
      </c>
      <c r="C893" s="392">
        <v>16.41</v>
      </c>
    </row>
    <row r="894" spans="1:3">
      <c r="A894" s="392">
        <v>16.420000000000002</v>
      </c>
      <c r="B894" s="392">
        <v>17.489999999999998</v>
      </c>
      <c r="C894" s="392">
        <v>16.420000000000002</v>
      </c>
    </row>
    <row r="895" spans="1:3">
      <c r="A895" s="392">
        <v>16.43</v>
      </c>
      <c r="B895" s="392">
        <v>17.5</v>
      </c>
      <c r="C895" s="392">
        <v>16.43</v>
      </c>
    </row>
    <row r="896" spans="1:3">
      <c r="A896" s="392">
        <v>16.440000000000001</v>
      </c>
      <c r="B896" s="392">
        <v>17.510000000000002</v>
      </c>
      <c r="C896" s="392">
        <v>16.440000000000001</v>
      </c>
    </row>
    <row r="897" spans="1:3">
      <c r="A897" s="392">
        <v>16.45</v>
      </c>
      <c r="B897" s="392">
        <v>17.53</v>
      </c>
      <c r="C897" s="392">
        <v>16.45</v>
      </c>
    </row>
    <row r="898" spans="1:3">
      <c r="A898" s="392">
        <v>16.46</v>
      </c>
      <c r="B898" s="392">
        <v>17.54</v>
      </c>
      <c r="C898" s="392">
        <v>16.46</v>
      </c>
    </row>
    <row r="899" spans="1:3">
      <c r="A899" s="392">
        <v>16.47</v>
      </c>
      <c r="B899" s="392">
        <v>17.55</v>
      </c>
      <c r="C899" s="392">
        <v>16.47</v>
      </c>
    </row>
    <row r="900" spans="1:3">
      <c r="A900" s="392">
        <v>16.48</v>
      </c>
      <c r="B900" s="392">
        <v>17.559999999999999</v>
      </c>
      <c r="C900" s="392">
        <v>16.48</v>
      </c>
    </row>
    <row r="901" spans="1:3">
      <c r="A901" s="392">
        <v>16.489999999999998</v>
      </c>
      <c r="B901" s="392">
        <v>17.57</v>
      </c>
      <c r="C901" s="392">
        <v>16.489999999999998</v>
      </c>
    </row>
    <row r="902" spans="1:3">
      <c r="A902" s="392">
        <v>16.5</v>
      </c>
      <c r="B902" s="392">
        <v>17.579999999999998</v>
      </c>
      <c r="C902" s="392">
        <v>16.5</v>
      </c>
    </row>
    <row r="903" spans="1:3">
      <c r="A903" s="392">
        <v>16.510000000000002</v>
      </c>
      <c r="B903" s="392">
        <v>17.59</v>
      </c>
      <c r="C903" s="392">
        <v>16.510000000000002</v>
      </c>
    </row>
    <row r="904" spans="1:3">
      <c r="A904" s="392">
        <v>16.52</v>
      </c>
      <c r="B904" s="392">
        <v>17.61</v>
      </c>
      <c r="C904" s="392">
        <v>16.52</v>
      </c>
    </row>
    <row r="905" spans="1:3">
      <c r="A905" s="392">
        <v>16.53</v>
      </c>
      <c r="B905" s="392">
        <v>17.62</v>
      </c>
      <c r="C905" s="392">
        <v>16.53</v>
      </c>
    </row>
    <row r="906" spans="1:3">
      <c r="A906" s="392">
        <v>16.54</v>
      </c>
      <c r="B906" s="392">
        <v>17.63</v>
      </c>
      <c r="C906" s="392">
        <v>16.54</v>
      </c>
    </row>
    <row r="907" spans="1:3">
      <c r="A907" s="392">
        <v>16.55</v>
      </c>
      <c r="B907" s="392">
        <v>17.64</v>
      </c>
      <c r="C907" s="392">
        <v>16.55</v>
      </c>
    </row>
    <row r="908" spans="1:3">
      <c r="A908" s="392">
        <v>16.559999999999999</v>
      </c>
      <c r="B908" s="392">
        <v>17.649999999999999</v>
      </c>
      <c r="C908" s="392">
        <v>16.559999999999999</v>
      </c>
    </row>
    <row r="909" spans="1:3">
      <c r="A909" s="392">
        <v>16.57</v>
      </c>
      <c r="B909" s="392">
        <v>17.66</v>
      </c>
      <c r="C909" s="392">
        <v>16.57</v>
      </c>
    </row>
    <row r="910" spans="1:3">
      <c r="A910" s="392">
        <v>16.579999999999998</v>
      </c>
      <c r="B910" s="392">
        <v>17.670000000000002</v>
      </c>
      <c r="C910" s="392">
        <v>16.579999999999998</v>
      </c>
    </row>
    <row r="911" spans="1:3">
      <c r="A911" s="392">
        <v>16.59</v>
      </c>
      <c r="B911" s="392">
        <v>17.690000000000001</v>
      </c>
      <c r="C911" s="392">
        <v>16.59</v>
      </c>
    </row>
    <row r="912" spans="1:3">
      <c r="A912" s="392">
        <v>16.600000000000001</v>
      </c>
      <c r="B912" s="392">
        <v>17.7</v>
      </c>
      <c r="C912" s="392">
        <v>16.600000000000001</v>
      </c>
    </row>
    <row r="913" spans="1:3">
      <c r="A913" s="392">
        <v>16.61</v>
      </c>
      <c r="B913" s="392">
        <v>17.71</v>
      </c>
      <c r="C913" s="392">
        <v>16.61</v>
      </c>
    </row>
    <row r="914" spans="1:3">
      <c r="A914" s="392">
        <v>16.62</v>
      </c>
      <c r="B914" s="392">
        <v>17.72</v>
      </c>
      <c r="C914" s="392">
        <v>16.62</v>
      </c>
    </row>
    <row r="915" spans="1:3">
      <c r="A915" s="392">
        <v>16.63</v>
      </c>
      <c r="B915" s="392">
        <v>17.73</v>
      </c>
      <c r="C915" s="392">
        <v>16.63</v>
      </c>
    </row>
    <row r="916" spans="1:3">
      <c r="A916" s="392">
        <v>16.64</v>
      </c>
      <c r="B916" s="392">
        <v>17.739999999999998</v>
      </c>
      <c r="C916" s="392">
        <v>16.64</v>
      </c>
    </row>
    <row r="917" spans="1:3">
      <c r="A917" s="392">
        <v>16.649999999999999</v>
      </c>
      <c r="B917" s="392">
        <v>17.75</v>
      </c>
      <c r="C917" s="392">
        <v>16.649999999999999</v>
      </c>
    </row>
    <row r="918" spans="1:3">
      <c r="A918" s="392">
        <v>16.66</v>
      </c>
      <c r="B918" s="392">
        <v>17.760000000000002</v>
      </c>
      <c r="C918" s="392">
        <v>16.66</v>
      </c>
    </row>
    <row r="919" spans="1:3">
      <c r="A919" s="392">
        <v>16.670000000000002</v>
      </c>
      <c r="B919" s="392">
        <v>17.78</v>
      </c>
      <c r="C919" s="392">
        <v>16.670000000000002</v>
      </c>
    </row>
    <row r="920" spans="1:3">
      <c r="A920" s="392">
        <v>16.68</v>
      </c>
      <c r="B920" s="392">
        <v>17.79</v>
      </c>
      <c r="C920" s="392">
        <v>16.68</v>
      </c>
    </row>
    <row r="921" spans="1:3">
      <c r="A921" s="392">
        <v>16.690000000000001</v>
      </c>
      <c r="B921" s="392">
        <v>17.8</v>
      </c>
      <c r="C921" s="392">
        <v>16.690000000000001</v>
      </c>
    </row>
    <row r="922" spans="1:3">
      <c r="A922" s="392">
        <v>16.7</v>
      </c>
      <c r="B922" s="392">
        <v>17.809999999999999</v>
      </c>
      <c r="C922" s="392">
        <v>16.7</v>
      </c>
    </row>
    <row r="923" spans="1:3">
      <c r="A923" s="392">
        <v>16.71</v>
      </c>
      <c r="B923" s="392">
        <v>17.82</v>
      </c>
      <c r="C923" s="392">
        <v>16.71</v>
      </c>
    </row>
    <row r="924" spans="1:3">
      <c r="A924" s="392">
        <v>16.72</v>
      </c>
      <c r="B924" s="392">
        <v>17.829999999999998</v>
      </c>
      <c r="C924" s="392">
        <v>16.72</v>
      </c>
    </row>
    <row r="925" spans="1:3">
      <c r="A925" s="392">
        <v>16.73</v>
      </c>
      <c r="B925" s="392">
        <v>17.84</v>
      </c>
      <c r="C925" s="392">
        <v>16.73</v>
      </c>
    </row>
    <row r="926" spans="1:3">
      <c r="A926" s="392">
        <v>16.739999999999998</v>
      </c>
      <c r="B926" s="392">
        <v>17.86</v>
      </c>
      <c r="C926" s="392">
        <v>16.739999999999998</v>
      </c>
    </row>
    <row r="927" spans="1:3">
      <c r="A927" s="392">
        <v>16.75</v>
      </c>
      <c r="B927" s="392">
        <v>17.87</v>
      </c>
      <c r="C927" s="392">
        <v>16.75</v>
      </c>
    </row>
    <row r="928" spans="1:3">
      <c r="A928" s="392">
        <v>16.760000000000002</v>
      </c>
      <c r="B928" s="392">
        <v>17.88</v>
      </c>
      <c r="C928" s="392">
        <v>16.760000000000002</v>
      </c>
    </row>
    <row r="929" spans="1:3">
      <c r="A929" s="392">
        <v>16.77</v>
      </c>
      <c r="B929" s="392">
        <v>17.89</v>
      </c>
      <c r="C929" s="392">
        <v>16.77</v>
      </c>
    </row>
    <row r="930" spans="1:3">
      <c r="A930" s="392">
        <v>16.78</v>
      </c>
      <c r="B930" s="392">
        <v>17.899999999999999</v>
      </c>
      <c r="C930" s="392">
        <v>16.78</v>
      </c>
    </row>
    <row r="931" spans="1:3">
      <c r="A931" s="392">
        <v>16.79</v>
      </c>
      <c r="B931" s="392">
        <v>17.91</v>
      </c>
      <c r="C931" s="392">
        <v>16.79</v>
      </c>
    </row>
    <row r="932" spans="1:3">
      <c r="A932" s="392">
        <v>16.8</v>
      </c>
      <c r="B932" s="392">
        <v>17.920000000000002</v>
      </c>
      <c r="C932" s="392">
        <v>16.8</v>
      </c>
    </row>
    <row r="933" spans="1:3">
      <c r="A933" s="392">
        <v>16.809999999999999</v>
      </c>
      <c r="B933" s="392">
        <v>17.940000000000001</v>
      </c>
      <c r="C933" s="392">
        <v>16.809999999999999</v>
      </c>
    </row>
    <row r="934" spans="1:3">
      <c r="A934" s="392">
        <v>16.82</v>
      </c>
      <c r="B934" s="392">
        <v>17.95</v>
      </c>
      <c r="C934" s="392">
        <v>16.82</v>
      </c>
    </row>
    <row r="935" spans="1:3">
      <c r="A935" s="392">
        <v>16.829999999999998</v>
      </c>
      <c r="B935" s="392">
        <v>17.96</v>
      </c>
      <c r="C935" s="392">
        <v>16.829999999999998</v>
      </c>
    </row>
    <row r="936" spans="1:3">
      <c r="A936" s="392">
        <v>16.84</v>
      </c>
      <c r="B936" s="392">
        <v>17.97</v>
      </c>
      <c r="C936" s="392">
        <v>16.84</v>
      </c>
    </row>
    <row r="937" spans="1:3">
      <c r="A937" s="392">
        <v>16.850000000000001</v>
      </c>
      <c r="B937" s="392">
        <v>17.98</v>
      </c>
      <c r="C937" s="392">
        <v>16.850000000000001</v>
      </c>
    </row>
    <row r="938" spans="1:3">
      <c r="A938" s="392">
        <v>16.86</v>
      </c>
      <c r="B938" s="392">
        <v>17.989999999999998</v>
      </c>
      <c r="C938" s="392">
        <v>16.86</v>
      </c>
    </row>
    <row r="939" spans="1:3">
      <c r="A939" s="392">
        <v>16.87</v>
      </c>
      <c r="B939" s="392">
        <v>18</v>
      </c>
      <c r="C939" s="392">
        <v>16.87</v>
      </c>
    </row>
    <row r="940" spans="1:3">
      <c r="A940" s="392">
        <v>16.88</v>
      </c>
      <c r="B940" s="392">
        <v>18.02</v>
      </c>
      <c r="C940" s="392">
        <v>16.88</v>
      </c>
    </row>
    <row r="941" spans="1:3">
      <c r="A941" s="392">
        <v>16.89</v>
      </c>
      <c r="B941" s="392">
        <v>18.03</v>
      </c>
      <c r="C941" s="392">
        <v>16.89</v>
      </c>
    </row>
    <row r="942" spans="1:3">
      <c r="A942" s="392">
        <v>16.899999999999999</v>
      </c>
      <c r="B942" s="392">
        <v>18.04</v>
      </c>
      <c r="C942" s="392">
        <v>16.899999999999999</v>
      </c>
    </row>
    <row r="943" spans="1:3">
      <c r="A943" s="392">
        <v>16.91</v>
      </c>
      <c r="B943" s="392">
        <v>18.05</v>
      </c>
      <c r="C943" s="392">
        <v>16.91</v>
      </c>
    </row>
    <row r="944" spans="1:3">
      <c r="A944" s="392">
        <v>16.920000000000002</v>
      </c>
      <c r="B944" s="392">
        <v>18.059999999999999</v>
      </c>
      <c r="C944" s="392">
        <v>16.920000000000002</v>
      </c>
    </row>
    <row r="945" spans="1:3">
      <c r="A945" s="392">
        <v>16.93</v>
      </c>
      <c r="B945" s="392">
        <v>18.07</v>
      </c>
      <c r="C945" s="392">
        <v>16.93</v>
      </c>
    </row>
    <row r="946" spans="1:3">
      <c r="A946" s="392">
        <v>16.940000000000001</v>
      </c>
      <c r="B946" s="392">
        <v>18.079999999999998</v>
      </c>
      <c r="C946" s="392">
        <v>16.940000000000001</v>
      </c>
    </row>
    <row r="947" spans="1:3">
      <c r="A947" s="392">
        <v>16.95</v>
      </c>
      <c r="B947" s="392">
        <v>18.100000000000001</v>
      </c>
      <c r="C947" s="392">
        <v>16.95</v>
      </c>
    </row>
    <row r="948" spans="1:3">
      <c r="A948" s="392">
        <v>16.96</v>
      </c>
      <c r="B948" s="392">
        <v>18.11</v>
      </c>
      <c r="C948" s="392">
        <v>16.96</v>
      </c>
    </row>
    <row r="949" spans="1:3">
      <c r="A949" s="392">
        <v>16.97</v>
      </c>
      <c r="B949" s="392">
        <v>18.12</v>
      </c>
      <c r="C949" s="392">
        <v>16.97</v>
      </c>
    </row>
    <row r="950" spans="1:3">
      <c r="A950" s="392">
        <v>16.98</v>
      </c>
      <c r="B950" s="392">
        <v>18.13</v>
      </c>
      <c r="C950" s="392">
        <v>16.98</v>
      </c>
    </row>
    <row r="951" spans="1:3">
      <c r="A951" s="392">
        <v>16.989999999999998</v>
      </c>
      <c r="B951" s="392">
        <v>18.14</v>
      </c>
      <c r="C951" s="392">
        <v>16.989999999999998</v>
      </c>
    </row>
    <row r="952" spans="1:3">
      <c r="A952" s="392">
        <v>17</v>
      </c>
      <c r="B952" s="392">
        <v>18.149999999999999</v>
      </c>
      <c r="C952" s="392">
        <v>17</v>
      </c>
    </row>
    <row r="953" spans="1:3">
      <c r="A953" s="392">
        <v>17.010000000000002</v>
      </c>
      <c r="B953" s="392">
        <v>18.16</v>
      </c>
      <c r="C953" s="392">
        <v>17.010000000000002</v>
      </c>
    </row>
    <row r="954" spans="1:3">
      <c r="A954" s="392">
        <v>17.02</v>
      </c>
      <c r="B954" s="392">
        <v>18.18</v>
      </c>
      <c r="C954" s="392">
        <v>17.02</v>
      </c>
    </row>
    <row r="955" spans="1:3">
      <c r="A955" s="392">
        <v>17.03</v>
      </c>
      <c r="B955" s="392">
        <v>18.190000000000001</v>
      </c>
      <c r="C955" s="392">
        <v>17.03</v>
      </c>
    </row>
    <row r="956" spans="1:3">
      <c r="A956" s="392">
        <v>17.04</v>
      </c>
      <c r="B956" s="392">
        <v>18.2</v>
      </c>
      <c r="C956" s="392">
        <v>17.04</v>
      </c>
    </row>
    <row r="957" spans="1:3">
      <c r="A957" s="392">
        <v>17.05</v>
      </c>
      <c r="B957" s="392">
        <v>18.21</v>
      </c>
      <c r="C957" s="392">
        <v>17.05</v>
      </c>
    </row>
    <row r="958" spans="1:3">
      <c r="A958" s="392">
        <v>17.059999999999999</v>
      </c>
      <c r="B958" s="392">
        <v>18.22</v>
      </c>
      <c r="C958" s="392">
        <v>17.059999999999999</v>
      </c>
    </row>
    <row r="959" spans="1:3">
      <c r="A959" s="392">
        <v>17.07</v>
      </c>
      <c r="B959" s="392">
        <v>18.23</v>
      </c>
      <c r="C959" s="392">
        <v>17.07</v>
      </c>
    </row>
    <row r="960" spans="1:3">
      <c r="A960" s="392">
        <v>17.079999999999998</v>
      </c>
      <c r="B960" s="392">
        <v>18.239999999999998</v>
      </c>
      <c r="C960" s="392">
        <v>17.079999999999998</v>
      </c>
    </row>
    <row r="961" spans="1:3">
      <c r="A961" s="392">
        <v>17.09</v>
      </c>
      <c r="B961" s="392">
        <v>18.260000000000002</v>
      </c>
      <c r="C961" s="392">
        <v>17.09</v>
      </c>
    </row>
    <row r="962" spans="1:3">
      <c r="A962" s="392">
        <v>17.100000000000001</v>
      </c>
      <c r="B962" s="392">
        <v>18.27</v>
      </c>
      <c r="C962" s="392">
        <v>17.100000000000001</v>
      </c>
    </row>
    <row r="963" spans="1:3">
      <c r="A963" s="392">
        <v>17.11</v>
      </c>
      <c r="B963" s="392">
        <v>18.28</v>
      </c>
      <c r="C963" s="392">
        <v>17.11</v>
      </c>
    </row>
    <row r="964" spans="1:3">
      <c r="A964" s="392">
        <v>17.12</v>
      </c>
      <c r="B964" s="392">
        <v>18.29</v>
      </c>
      <c r="C964" s="392">
        <v>17.12</v>
      </c>
    </row>
    <row r="965" spans="1:3">
      <c r="A965" s="392">
        <v>17.13</v>
      </c>
      <c r="B965" s="392">
        <v>18.3</v>
      </c>
      <c r="C965" s="392">
        <v>17.13</v>
      </c>
    </row>
    <row r="966" spans="1:3">
      <c r="A966" s="392">
        <v>17.14</v>
      </c>
      <c r="B966" s="392">
        <v>18.309999999999999</v>
      </c>
      <c r="C966" s="392">
        <v>17.14</v>
      </c>
    </row>
    <row r="967" spans="1:3">
      <c r="A967" s="392">
        <v>17.149999999999999</v>
      </c>
      <c r="B967" s="392">
        <v>18.32</v>
      </c>
      <c r="C967" s="392">
        <v>17.149999999999999</v>
      </c>
    </row>
    <row r="968" spans="1:3">
      <c r="A968" s="392">
        <v>17.16</v>
      </c>
      <c r="B968" s="392">
        <v>18.34</v>
      </c>
      <c r="C968" s="392">
        <v>17.16</v>
      </c>
    </row>
    <row r="969" spans="1:3">
      <c r="A969" s="392">
        <v>17.170000000000002</v>
      </c>
      <c r="B969" s="392">
        <v>18.350000000000001</v>
      </c>
      <c r="C969" s="392">
        <v>17.170000000000002</v>
      </c>
    </row>
    <row r="970" spans="1:3">
      <c r="A970" s="392">
        <v>17.18</v>
      </c>
      <c r="B970" s="392">
        <v>18.36</v>
      </c>
      <c r="C970" s="392">
        <v>17.18</v>
      </c>
    </row>
    <row r="971" spans="1:3">
      <c r="A971" s="392">
        <v>17.190000000000001</v>
      </c>
      <c r="B971" s="392">
        <v>18.37</v>
      </c>
      <c r="C971" s="392">
        <v>17.190000000000001</v>
      </c>
    </row>
    <row r="972" spans="1:3">
      <c r="A972" s="392">
        <v>17.2</v>
      </c>
      <c r="B972" s="392">
        <v>18.38</v>
      </c>
      <c r="C972" s="392">
        <v>17.2</v>
      </c>
    </row>
    <row r="973" spans="1:3">
      <c r="A973" s="392">
        <v>17.21</v>
      </c>
      <c r="B973" s="392">
        <v>18.39</v>
      </c>
      <c r="C973" s="392">
        <v>17.21</v>
      </c>
    </row>
    <row r="974" spans="1:3">
      <c r="A974" s="392">
        <v>17.22</v>
      </c>
      <c r="B974" s="392">
        <v>18.399999999999999</v>
      </c>
      <c r="C974" s="392">
        <v>17.22</v>
      </c>
    </row>
    <row r="975" spans="1:3">
      <c r="A975" s="392">
        <v>17.23</v>
      </c>
      <c r="B975" s="392">
        <v>18.420000000000002</v>
      </c>
      <c r="C975" s="392">
        <v>17.23</v>
      </c>
    </row>
    <row r="976" spans="1:3">
      <c r="A976" s="392">
        <v>17.239999999999998</v>
      </c>
      <c r="B976" s="392">
        <v>18.43</v>
      </c>
      <c r="C976" s="392">
        <v>17.239999999999998</v>
      </c>
    </row>
    <row r="977" spans="1:3">
      <c r="A977" s="392">
        <v>17.25</v>
      </c>
      <c r="B977" s="392">
        <v>18.440000000000001</v>
      </c>
      <c r="C977" s="392">
        <v>17.25</v>
      </c>
    </row>
    <row r="978" spans="1:3">
      <c r="A978" s="392">
        <v>17.260000000000002</v>
      </c>
      <c r="B978" s="392">
        <v>18.45</v>
      </c>
      <c r="C978" s="392">
        <v>17.260000000000002</v>
      </c>
    </row>
    <row r="979" spans="1:3">
      <c r="A979" s="392">
        <v>17.27</v>
      </c>
      <c r="B979" s="392">
        <v>18.46</v>
      </c>
      <c r="C979" s="392">
        <v>17.27</v>
      </c>
    </row>
    <row r="980" spans="1:3">
      <c r="A980" s="392">
        <v>17.28</v>
      </c>
      <c r="B980" s="392">
        <v>18.47</v>
      </c>
      <c r="C980" s="392">
        <v>17.28</v>
      </c>
    </row>
    <row r="981" spans="1:3">
      <c r="A981" s="392">
        <v>17.29</v>
      </c>
      <c r="B981" s="392">
        <v>18.48</v>
      </c>
      <c r="C981" s="392">
        <v>17.29</v>
      </c>
    </row>
    <row r="982" spans="1:3">
      <c r="A982" s="392">
        <v>17.3</v>
      </c>
      <c r="B982" s="392">
        <v>18.5</v>
      </c>
      <c r="C982" s="392">
        <v>17.3</v>
      </c>
    </row>
    <row r="983" spans="1:3">
      <c r="A983" s="392">
        <v>17.309999999999999</v>
      </c>
      <c r="B983" s="392">
        <v>18.510000000000002</v>
      </c>
      <c r="C983" s="392">
        <v>17.309999999999999</v>
      </c>
    </row>
    <row r="984" spans="1:3">
      <c r="A984" s="392">
        <v>17.32</v>
      </c>
      <c r="B984" s="392">
        <v>18.52</v>
      </c>
      <c r="C984" s="392">
        <v>17.32</v>
      </c>
    </row>
    <row r="985" spans="1:3">
      <c r="A985" s="392">
        <v>17.329999999999998</v>
      </c>
      <c r="B985" s="392">
        <v>18.53</v>
      </c>
      <c r="C985" s="392">
        <v>17.329999999999998</v>
      </c>
    </row>
    <row r="986" spans="1:3">
      <c r="A986" s="392">
        <v>17.34</v>
      </c>
      <c r="B986" s="392">
        <v>18.54</v>
      </c>
      <c r="C986" s="392">
        <v>17.34</v>
      </c>
    </row>
    <row r="987" spans="1:3">
      <c r="A987" s="392">
        <v>17.350000000000001</v>
      </c>
      <c r="B987" s="392">
        <v>18.55</v>
      </c>
      <c r="C987" s="392">
        <v>17.350000000000001</v>
      </c>
    </row>
    <row r="988" spans="1:3">
      <c r="A988" s="392">
        <v>17.36</v>
      </c>
      <c r="B988" s="392">
        <v>18.559999999999999</v>
      </c>
      <c r="C988" s="392">
        <v>17.36</v>
      </c>
    </row>
    <row r="989" spans="1:3">
      <c r="A989" s="392">
        <v>17.37</v>
      </c>
      <c r="B989" s="392">
        <v>18.579999999999998</v>
      </c>
      <c r="C989" s="392">
        <v>17.37</v>
      </c>
    </row>
    <row r="990" spans="1:3">
      <c r="A990" s="392">
        <v>17.38</v>
      </c>
      <c r="B990" s="392">
        <v>18.59</v>
      </c>
      <c r="C990" s="392">
        <v>17.38</v>
      </c>
    </row>
    <row r="991" spans="1:3">
      <c r="A991" s="392">
        <v>17.39</v>
      </c>
      <c r="B991" s="392">
        <v>18.600000000000001</v>
      </c>
      <c r="C991" s="392">
        <v>17.39</v>
      </c>
    </row>
    <row r="992" spans="1:3">
      <c r="A992" s="392">
        <v>17.399999999999999</v>
      </c>
      <c r="B992" s="392">
        <v>18.61</v>
      </c>
      <c r="C992" s="392">
        <v>17.399999999999999</v>
      </c>
    </row>
    <row r="993" spans="1:3">
      <c r="A993" s="392">
        <v>17.41</v>
      </c>
      <c r="B993" s="392">
        <v>18.62</v>
      </c>
      <c r="C993" s="392">
        <v>17.41</v>
      </c>
    </row>
    <row r="994" spans="1:3">
      <c r="A994" s="392">
        <v>17.420000000000002</v>
      </c>
      <c r="B994" s="392">
        <v>18.63</v>
      </c>
      <c r="C994" s="392">
        <v>17.420000000000002</v>
      </c>
    </row>
    <row r="995" spans="1:3">
      <c r="A995" s="392">
        <v>17.43</v>
      </c>
      <c r="B995" s="392">
        <v>18.64</v>
      </c>
      <c r="C995" s="392">
        <v>17.43</v>
      </c>
    </row>
    <row r="996" spans="1:3">
      <c r="A996" s="392">
        <v>17.440000000000001</v>
      </c>
      <c r="B996" s="392">
        <v>18.66</v>
      </c>
      <c r="C996" s="392">
        <v>17.440000000000001</v>
      </c>
    </row>
    <row r="997" spans="1:3">
      <c r="A997" s="392">
        <v>17.45</v>
      </c>
      <c r="B997" s="392">
        <v>18.670000000000002</v>
      </c>
      <c r="C997" s="392">
        <v>17.45</v>
      </c>
    </row>
    <row r="998" spans="1:3">
      <c r="A998" s="392">
        <v>17.46</v>
      </c>
      <c r="B998" s="392">
        <v>18.68</v>
      </c>
      <c r="C998" s="392">
        <v>17.46</v>
      </c>
    </row>
    <row r="999" spans="1:3">
      <c r="A999" s="392">
        <v>17.47</v>
      </c>
      <c r="B999" s="392">
        <v>18.690000000000001</v>
      </c>
      <c r="C999" s="392">
        <v>17.47</v>
      </c>
    </row>
    <row r="1000" spans="1:3">
      <c r="A1000" s="392">
        <v>17.48</v>
      </c>
      <c r="B1000" s="392">
        <v>18.7</v>
      </c>
      <c r="C1000" s="392">
        <v>17.48</v>
      </c>
    </row>
    <row r="1001" spans="1:3">
      <c r="A1001" s="392">
        <v>17.489999999999998</v>
      </c>
      <c r="B1001" s="392">
        <v>18.71</v>
      </c>
      <c r="C1001" s="392">
        <v>17.489999999999998</v>
      </c>
    </row>
    <row r="1002" spans="1:3">
      <c r="A1002" s="392">
        <v>17.5</v>
      </c>
      <c r="B1002" s="392">
        <v>18.72</v>
      </c>
      <c r="C1002" s="392">
        <v>17.5</v>
      </c>
    </row>
    <row r="1003" spans="1:3">
      <c r="A1003" s="392">
        <v>17.510000000000002</v>
      </c>
      <c r="B1003" s="392">
        <v>18.739999999999998</v>
      </c>
      <c r="C1003" s="392">
        <v>17.510000000000002</v>
      </c>
    </row>
    <row r="1004" spans="1:3">
      <c r="A1004" s="392">
        <v>17.52</v>
      </c>
      <c r="B1004" s="392">
        <v>18.75</v>
      </c>
      <c r="C1004" s="392">
        <v>17.52</v>
      </c>
    </row>
    <row r="1005" spans="1:3">
      <c r="A1005" s="392">
        <v>17.53</v>
      </c>
      <c r="B1005" s="392">
        <v>18.760000000000002</v>
      </c>
      <c r="C1005" s="392">
        <v>17.53</v>
      </c>
    </row>
    <row r="1006" spans="1:3">
      <c r="A1006" s="392">
        <v>17.54</v>
      </c>
      <c r="B1006" s="392">
        <v>18.77</v>
      </c>
      <c r="C1006" s="392">
        <v>17.54</v>
      </c>
    </row>
    <row r="1007" spans="1:3">
      <c r="A1007" s="392">
        <v>17.55</v>
      </c>
      <c r="B1007" s="392">
        <v>18.78</v>
      </c>
      <c r="C1007" s="392">
        <v>17.55</v>
      </c>
    </row>
    <row r="1008" spans="1:3">
      <c r="A1008" s="392">
        <v>17.559999999999999</v>
      </c>
      <c r="B1008" s="392">
        <v>18.79</v>
      </c>
      <c r="C1008" s="392">
        <v>17.559999999999999</v>
      </c>
    </row>
    <row r="1009" spans="1:3">
      <c r="A1009" s="392">
        <v>17.57</v>
      </c>
      <c r="B1009" s="392">
        <v>18.8</v>
      </c>
      <c r="C1009" s="392">
        <v>17.57</v>
      </c>
    </row>
    <row r="1010" spans="1:3">
      <c r="A1010" s="392">
        <v>17.579999999999998</v>
      </c>
      <c r="B1010" s="392">
        <v>18.82</v>
      </c>
      <c r="C1010" s="392">
        <v>17.579999999999998</v>
      </c>
    </row>
    <row r="1011" spans="1:3">
      <c r="A1011" s="392">
        <v>17.59</v>
      </c>
      <c r="B1011" s="392">
        <v>18.829999999999998</v>
      </c>
      <c r="C1011" s="392">
        <v>17.59</v>
      </c>
    </row>
    <row r="1012" spans="1:3">
      <c r="A1012" s="392">
        <v>17.600000000000001</v>
      </c>
      <c r="B1012" s="392">
        <v>18.84</v>
      </c>
      <c r="C1012" s="392">
        <v>17.600000000000001</v>
      </c>
    </row>
    <row r="1013" spans="1:3">
      <c r="A1013" s="392">
        <v>17.61</v>
      </c>
      <c r="B1013" s="392">
        <v>18.850000000000001</v>
      </c>
      <c r="C1013" s="392">
        <v>17.61</v>
      </c>
    </row>
    <row r="1014" spans="1:3">
      <c r="A1014" s="392">
        <v>17.62</v>
      </c>
      <c r="B1014" s="392">
        <v>18.86</v>
      </c>
      <c r="C1014" s="392">
        <v>17.62</v>
      </c>
    </row>
    <row r="1015" spans="1:3">
      <c r="A1015" s="392">
        <v>17.63</v>
      </c>
      <c r="B1015" s="392">
        <v>18.87</v>
      </c>
      <c r="C1015" s="392">
        <v>17.63</v>
      </c>
    </row>
    <row r="1016" spans="1:3">
      <c r="A1016" s="392">
        <v>17.64</v>
      </c>
      <c r="B1016" s="392">
        <v>18.88</v>
      </c>
      <c r="C1016" s="392">
        <v>17.64</v>
      </c>
    </row>
    <row r="1017" spans="1:3">
      <c r="A1017" s="392">
        <v>17.649999999999999</v>
      </c>
      <c r="B1017" s="392">
        <v>18.899999999999999</v>
      </c>
      <c r="C1017" s="392">
        <v>17.649999999999999</v>
      </c>
    </row>
    <row r="1018" spans="1:3">
      <c r="A1018" s="392">
        <v>17.66</v>
      </c>
      <c r="B1018" s="392">
        <v>18.91</v>
      </c>
      <c r="C1018" s="392">
        <v>17.66</v>
      </c>
    </row>
    <row r="1019" spans="1:3">
      <c r="A1019" s="392">
        <v>17.670000000000002</v>
      </c>
      <c r="B1019" s="392">
        <v>18.920000000000002</v>
      </c>
      <c r="C1019" s="392">
        <v>17.670000000000002</v>
      </c>
    </row>
    <row r="1020" spans="1:3">
      <c r="A1020" s="392">
        <v>17.68</v>
      </c>
      <c r="B1020" s="392">
        <v>18.93</v>
      </c>
      <c r="C1020" s="392">
        <v>17.68</v>
      </c>
    </row>
    <row r="1021" spans="1:3">
      <c r="A1021" s="392">
        <v>17.690000000000001</v>
      </c>
      <c r="B1021" s="392">
        <v>18.940000000000001</v>
      </c>
      <c r="C1021" s="392">
        <v>17.690000000000001</v>
      </c>
    </row>
    <row r="1022" spans="1:3">
      <c r="A1022" s="392">
        <v>17.7</v>
      </c>
      <c r="B1022" s="392">
        <v>18.95</v>
      </c>
      <c r="C1022" s="392">
        <v>17.7</v>
      </c>
    </row>
    <row r="1023" spans="1:3">
      <c r="A1023" s="392">
        <v>17.71</v>
      </c>
      <c r="B1023" s="392">
        <v>18.97</v>
      </c>
      <c r="C1023" s="392">
        <v>17.71</v>
      </c>
    </row>
    <row r="1024" spans="1:3">
      <c r="A1024" s="392">
        <v>17.72</v>
      </c>
      <c r="B1024" s="392">
        <v>18.98</v>
      </c>
      <c r="C1024" s="392">
        <v>17.72</v>
      </c>
    </row>
    <row r="1025" spans="1:3">
      <c r="A1025" s="392">
        <v>17.73</v>
      </c>
      <c r="B1025" s="392">
        <v>18.989999999999998</v>
      </c>
      <c r="C1025" s="392">
        <v>17.73</v>
      </c>
    </row>
    <row r="1026" spans="1:3">
      <c r="A1026" s="392">
        <v>17.739999999999998</v>
      </c>
      <c r="B1026" s="392">
        <v>19</v>
      </c>
      <c r="C1026" s="392">
        <v>17.739999999999998</v>
      </c>
    </row>
    <row r="1027" spans="1:3">
      <c r="A1027" s="392">
        <v>17.75</v>
      </c>
      <c r="B1027" s="392">
        <v>19.010000000000002</v>
      </c>
      <c r="C1027" s="392">
        <v>17.75</v>
      </c>
    </row>
    <row r="1028" spans="1:3">
      <c r="A1028" s="392">
        <v>17.760000000000002</v>
      </c>
      <c r="B1028" s="392">
        <v>19.02</v>
      </c>
      <c r="C1028" s="392">
        <v>17.760000000000002</v>
      </c>
    </row>
    <row r="1029" spans="1:3">
      <c r="A1029" s="392">
        <v>17.77</v>
      </c>
      <c r="B1029" s="392">
        <v>19.03</v>
      </c>
      <c r="C1029" s="392">
        <v>17.77</v>
      </c>
    </row>
    <row r="1030" spans="1:3">
      <c r="A1030" s="392">
        <v>17.78</v>
      </c>
      <c r="B1030" s="392">
        <v>19.05</v>
      </c>
      <c r="C1030" s="392">
        <v>17.78</v>
      </c>
    </row>
    <row r="1031" spans="1:3">
      <c r="A1031" s="392">
        <v>17.79</v>
      </c>
      <c r="B1031" s="392">
        <v>19.059999999999999</v>
      </c>
      <c r="C1031" s="392">
        <v>17.79</v>
      </c>
    </row>
    <row r="1032" spans="1:3">
      <c r="A1032" s="392">
        <v>17.8</v>
      </c>
      <c r="B1032" s="392">
        <v>19.07</v>
      </c>
      <c r="C1032" s="392">
        <v>17.8</v>
      </c>
    </row>
    <row r="1033" spans="1:3">
      <c r="A1033" s="392">
        <v>17.809999999999999</v>
      </c>
      <c r="B1033" s="392">
        <v>19.079999999999998</v>
      </c>
      <c r="C1033" s="392">
        <v>17.809999999999999</v>
      </c>
    </row>
    <row r="1034" spans="1:3">
      <c r="A1034" s="392">
        <v>17.82</v>
      </c>
      <c r="B1034" s="392">
        <v>19.09</v>
      </c>
      <c r="C1034" s="392">
        <v>17.82</v>
      </c>
    </row>
    <row r="1035" spans="1:3">
      <c r="A1035" s="392">
        <v>17.829999999999998</v>
      </c>
      <c r="B1035" s="392">
        <v>19.100000000000001</v>
      </c>
      <c r="C1035" s="392">
        <v>17.829999999999998</v>
      </c>
    </row>
    <row r="1036" spans="1:3">
      <c r="A1036" s="392">
        <v>17.84</v>
      </c>
      <c r="B1036" s="392">
        <v>19.11</v>
      </c>
      <c r="C1036" s="392">
        <v>17.84</v>
      </c>
    </row>
    <row r="1037" spans="1:3">
      <c r="A1037" s="392">
        <v>17.850000000000001</v>
      </c>
      <c r="B1037" s="392">
        <v>19.13</v>
      </c>
      <c r="C1037" s="392">
        <v>17.850000000000001</v>
      </c>
    </row>
    <row r="1038" spans="1:3">
      <c r="A1038" s="392">
        <v>17.86</v>
      </c>
      <c r="B1038" s="392">
        <v>19.14</v>
      </c>
      <c r="C1038" s="392">
        <v>17.86</v>
      </c>
    </row>
    <row r="1039" spans="1:3">
      <c r="A1039" s="392">
        <v>17.87</v>
      </c>
      <c r="B1039" s="392">
        <v>19.149999999999999</v>
      </c>
      <c r="C1039" s="392">
        <v>17.87</v>
      </c>
    </row>
    <row r="1040" spans="1:3">
      <c r="A1040" s="392">
        <v>17.88</v>
      </c>
      <c r="B1040" s="392">
        <v>19.16</v>
      </c>
      <c r="C1040" s="392">
        <v>17.88</v>
      </c>
    </row>
    <row r="1041" spans="1:3">
      <c r="A1041" s="392">
        <v>17.89</v>
      </c>
      <c r="B1041" s="392">
        <v>19.170000000000002</v>
      </c>
      <c r="C1041" s="392">
        <v>17.89</v>
      </c>
    </row>
    <row r="1042" spans="1:3">
      <c r="A1042" s="392">
        <v>17.899999999999999</v>
      </c>
      <c r="B1042" s="392">
        <v>19.18</v>
      </c>
      <c r="C1042" s="392">
        <v>17.899999999999999</v>
      </c>
    </row>
    <row r="1043" spans="1:3">
      <c r="A1043" s="392">
        <v>17.91</v>
      </c>
      <c r="B1043" s="392">
        <v>19.2</v>
      </c>
      <c r="C1043" s="392">
        <v>17.91</v>
      </c>
    </row>
    <row r="1044" spans="1:3">
      <c r="A1044" s="392">
        <v>17.920000000000002</v>
      </c>
      <c r="B1044" s="392">
        <v>19.21</v>
      </c>
      <c r="C1044" s="392">
        <v>17.920000000000002</v>
      </c>
    </row>
    <row r="1045" spans="1:3">
      <c r="A1045" s="392">
        <v>17.93</v>
      </c>
      <c r="B1045" s="392">
        <v>19.22</v>
      </c>
      <c r="C1045" s="392">
        <v>17.93</v>
      </c>
    </row>
    <row r="1046" spans="1:3">
      <c r="A1046" s="392">
        <v>17.940000000000001</v>
      </c>
      <c r="B1046" s="392">
        <v>19.23</v>
      </c>
      <c r="C1046" s="392">
        <v>17.940000000000001</v>
      </c>
    </row>
    <row r="1047" spans="1:3">
      <c r="A1047" s="392">
        <v>17.95</v>
      </c>
      <c r="B1047" s="392">
        <v>19.239999999999998</v>
      </c>
      <c r="C1047" s="392">
        <v>17.95</v>
      </c>
    </row>
    <row r="1048" spans="1:3">
      <c r="A1048" s="392">
        <v>17.96</v>
      </c>
      <c r="B1048" s="392">
        <v>19.25</v>
      </c>
      <c r="C1048" s="392">
        <v>17.96</v>
      </c>
    </row>
    <row r="1049" spans="1:3">
      <c r="A1049" s="392">
        <v>17.97</v>
      </c>
      <c r="B1049" s="392">
        <v>19.260000000000002</v>
      </c>
      <c r="C1049" s="392">
        <v>17.97</v>
      </c>
    </row>
    <row r="1050" spans="1:3">
      <c r="A1050" s="392">
        <v>17.98</v>
      </c>
      <c r="B1050" s="392">
        <v>19.28</v>
      </c>
      <c r="C1050" s="392">
        <v>17.98</v>
      </c>
    </row>
    <row r="1051" spans="1:3">
      <c r="A1051" s="392">
        <v>17.989999999999998</v>
      </c>
      <c r="B1051" s="392">
        <v>19.29</v>
      </c>
      <c r="C1051" s="392">
        <v>17.989999999999998</v>
      </c>
    </row>
    <row r="1052" spans="1:3">
      <c r="A1052" s="392">
        <v>18</v>
      </c>
      <c r="B1052" s="392">
        <v>19.3</v>
      </c>
      <c r="C1052" s="392">
        <v>18</v>
      </c>
    </row>
    <row r="1053" spans="1:3">
      <c r="A1053" s="392">
        <v>18.010000000000002</v>
      </c>
      <c r="B1053" s="392">
        <v>19.309999999999999</v>
      </c>
      <c r="C1053" s="392">
        <v>18.010000000000002</v>
      </c>
    </row>
    <row r="1054" spans="1:3">
      <c r="A1054" s="392">
        <v>18.02</v>
      </c>
      <c r="B1054" s="392">
        <v>19.32</v>
      </c>
      <c r="C1054" s="392">
        <v>18.02</v>
      </c>
    </row>
    <row r="1055" spans="1:3">
      <c r="A1055" s="392">
        <v>18.03</v>
      </c>
      <c r="B1055" s="392">
        <v>19.329999999999998</v>
      </c>
      <c r="C1055" s="392">
        <v>18.03</v>
      </c>
    </row>
    <row r="1056" spans="1:3">
      <c r="A1056" s="392">
        <v>18.04</v>
      </c>
      <c r="B1056" s="392">
        <v>19.34</v>
      </c>
      <c r="C1056" s="392">
        <v>18.04</v>
      </c>
    </row>
    <row r="1057" spans="1:3">
      <c r="A1057" s="392">
        <v>18.05</v>
      </c>
      <c r="B1057" s="392">
        <v>19.36</v>
      </c>
      <c r="C1057" s="392">
        <v>18.05</v>
      </c>
    </row>
    <row r="1058" spans="1:3">
      <c r="A1058" s="392">
        <v>18.059999999999999</v>
      </c>
      <c r="B1058" s="392">
        <v>19.37</v>
      </c>
      <c r="C1058" s="392">
        <v>18.059999999999999</v>
      </c>
    </row>
    <row r="1059" spans="1:3">
      <c r="A1059" s="392">
        <v>18.07</v>
      </c>
      <c r="B1059" s="392">
        <v>19.38</v>
      </c>
      <c r="C1059" s="392">
        <v>18.07</v>
      </c>
    </row>
    <row r="1060" spans="1:3">
      <c r="A1060" s="392">
        <v>18.079999999999998</v>
      </c>
      <c r="B1060" s="392">
        <v>19.39</v>
      </c>
      <c r="C1060" s="392">
        <v>18.079999999999998</v>
      </c>
    </row>
    <row r="1061" spans="1:3">
      <c r="A1061" s="392">
        <v>18.09</v>
      </c>
      <c r="B1061" s="392">
        <v>19.399999999999999</v>
      </c>
      <c r="C1061" s="392">
        <v>18.09</v>
      </c>
    </row>
    <row r="1062" spans="1:3">
      <c r="A1062" s="392">
        <v>18.100000000000001</v>
      </c>
      <c r="B1062" s="392">
        <v>19.41</v>
      </c>
      <c r="C1062" s="392">
        <v>18.100000000000001</v>
      </c>
    </row>
    <row r="1063" spans="1:3">
      <c r="A1063" s="392">
        <v>18.11</v>
      </c>
      <c r="B1063" s="392">
        <v>19.43</v>
      </c>
      <c r="C1063" s="392">
        <v>18.11</v>
      </c>
    </row>
    <row r="1064" spans="1:3">
      <c r="A1064" s="392">
        <v>18.12</v>
      </c>
      <c r="B1064" s="392">
        <v>19.440000000000001</v>
      </c>
      <c r="C1064" s="392">
        <v>18.12</v>
      </c>
    </row>
    <row r="1065" spans="1:3">
      <c r="A1065" s="392">
        <v>18.13</v>
      </c>
      <c r="B1065" s="392">
        <v>19.45</v>
      </c>
      <c r="C1065" s="392">
        <v>18.13</v>
      </c>
    </row>
    <row r="1066" spans="1:3">
      <c r="A1066" s="392">
        <v>18.14</v>
      </c>
      <c r="B1066" s="392">
        <v>19.46</v>
      </c>
      <c r="C1066" s="392">
        <v>18.14</v>
      </c>
    </row>
    <row r="1067" spans="1:3">
      <c r="A1067" s="392">
        <v>18.149999999999999</v>
      </c>
      <c r="B1067" s="392">
        <v>19.47</v>
      </c>
      <c r="C1067" s="392">
        <v>18.149999999999999</v>
      </c>
    </row>
    <row r="1068" spans="1:3">
      <c r="A1068" s="392">
        <v>18.16</v>
      </c>
      <c r="B1068" s="392">
        <v>19.48</v>
      </c>
      <c r="C1068" s="392">
        <v>18.16</v>
      </c>
    </row>
    <row r="1069" spans="1:3">
      <c r="A1069" s="392">
        <v>18.170000000000002</v>
      </c>
      <c r="B1069" s="392">
        <v>19.489999999999998</v>
      </c>
      <c r="C1069" s="392">
        <v>18.170000000000002</v>
      </c>
    </row>
    <row r="1070" spans="1:3">
      <c r="A1070" s="392">
        <v>18.18</v>
      </c>
      <c r="B1070" s="392">
        <v>19.510000000000002</v>
      </c>
      <c r="C1070" s="392">
        <v>18.18</v>
      </c>
    </row>
    <row r="1071" spans="1:3">
      <c r="A1071" s="392">
        <v>18.190000000000001</v>
      </c>
      <c r="B1071" s="392">
        <v>19.52</v>
      </c>
      <c r="C1071" s="392">
        <v>18.190000000000001</v>
      </c>
    </row>
    <row r="1072" spans="1:3">
      <c r="A1072" s="392">
        <v>18.2</v>
      </c>
      <c r="B1072" s="392">
        <v>19.53</v>
      </c>
      <c r="C1072" s="392">
        <v>18.2</v>
      </c>
    </row>
    <row r="1073" spans="1:3">
      <c r="A1073" s="392">
        <v>18.21</v>
      </c>
      <c r="B1073" s="392">
        <v>19.54</v>
      </c>
      <c r="C1073" s="392">
        <v>18.21</v>
      </c>
    </row>
    <row r="1074" spans="1:3">
      <c r="A1074" s="392">
        <v>18.22</v>
      </c>
      <c r="B1074" s="392">
        <v>19.55</v>
      </c>
      <c r="C1074" s="392">
        <v>18.22</v>
      </c>
    </row>
    <row r="1075" spans="1:3">
      <c r="A1075" s="392">
        <v>18.23</v>
      </c>
      <c r="B1075" s="392">
        <v>19.559999999999999</v>
      </c>
      <c r="C1075" s="392">
        <v>18.23</v>
      </c>
    </row>
    <row r="1076" spans="1:3">
      <c r="A1076" s="392">
        <v>18.239999999999998</v>
      </c>
      <c r="B1076" s="392">
        <v>19.579999999999998</v>
      </c>
      <c r="C1076" s="392">
        <v>18.239999999999998</v>
      </c>
    </row>
    <row r="1077" spans="1:3">
      <c r="A1077" s="392">
        <v>18.25</v>
      </c>
      <c r="B1077" s="392">
        <v>19.59</v>
      </c>
      <c r="C1077" s="392">
        <v>18.25</v>
      </c>
    </row>
    <row r="1078" spans="1:3">
      <c r="A1078" s="392">
        <v>18.260000000000002</v>
      </c>
      <c r="B1078" s="392">
        <v>19.600000000000001</v>
      </c>
      <c r="C1078" s="392">
        <v>18.260000000000002</v>
      </c>
    </row>
    <row r="1079" spans="1:3">
      <c r="A1079" s="392">
        <v>18.27</v>
      </c>
      <c r="B1079" s="392">
        <v>19.61</v>
      </c>
      <c r="C1079" s="392">
        <v>18.27</v>
      </c>
    </row>
    <row r="1080" spans="1:3">
      <c r="A1080" s="392">
        <v>18.28</v>
      </c>
      <c r="B1080" s="392">
        <v>19.62</v>
      </c>
      <c r="C1080" s="392">
        <v>18.28</v>
      </c>
    </row>
    <row r="1081" spans="1:3">
      <c r="A1081" s="392">
        <v>18.29</v>
      </c>
      <c r="B1081" s="392">
        <v>19.63</v>
      </c>
      <c r="C1081" s="392">
        <v>18.29</v>
      </c>
    </row>
    <row r="1082" spans="1:3">
      <c r="A1082" s="392">
        <v>18.3</v>
      </c>
      <c r="B1082" s="392">
        <v>19.64</v>
      </c>
      <c r="C1082" s="392">
        <v>18.3</v>
      </c>
    </row>
    <row r="1083" spans="1:3">
      <c r="A1083" s="392">
        <v>18.309999999999999</v>
      </c>
      <c r="B1083" s="392">
        <v>19.66</v>
      </c>
      <c r="C1083" s="392">
        <v>18.309999999999999</v>
      </c>
    </row>
    <row r="1084" spans="1:3">
      <c r="A1084" s="392">
        <v>18.32</v>
      </c>
      <c r="B1084" s="392">
        <v>19.670000000000002</v>
      </c>
      <c r="C1084" s="392">
        <v>18.32</v>
      </c>
    </row>
    <row r="1085" spans="1:3">
      <c r="A1085" s="392">
        <v>18.329999999999998</v>
      </c>
      <c r="B1085" s="392">
        <v>19.68</v>
      </c>
      <c r="C1085" s="392">
        <v>18.329999999999998</v>
      </c>
    </row>
    <row r="1086" spans="1:3">
      <c r="A1086" s="392">
        <v>18.34</v>
      </c>
      <c r="B1086" s="392">
        <v>19.690000000000001</v>
      </c>
      <c r="C1086" s="392">
        <v>18.34</v>
      </c>
    </row>
    <row r="1087" spans="1:3">
      <c r="A1087" s="392">
        <v>18.350000000000001</v>
      </c>
      <c r="B1087" s="392">
        <v>19.7</v>
      </c>
      <c r="C1087" s="392">
        <v>18.350000000000001</v>
      </c>
    </row>
    <row r="1088" spans="1:3">
      <c r="A1088" s="392">
        <v>18.36</v>
      </c>
      <c r="B1088" s="392">
        <v>19.71</v>
      </c>
      <c r="C1088" s="392">
        <v>18.36</v>
      </c>
    </row>
    <row r="1089" spans="1:3">
      <c r="A1089" s="392">
        <v>18.37</v>
      </c>
      <c r="B1089" s="392">
        <v>19.73</v>
      </c>
      <c r="C1089" s="392">
        <v>18.37</v>
      </c>
    </row>
    <row r="1090" spans="1:3">
      <c r="A1090" s="392">
        <v>18.38</v>
      </c>
      <c r="B1090" s="392">
        <v>19.739999999999998</v>
      </c>
      <c r="C1090" s="392">
        <v>18.38</v>
      </c>
    </row>
    <row r="1091" spans="1:3">
      <c r="A1091" s="392">
        <v>18.39</v>
      </c>
      <c r="B1091" s="392">
        <v>19.75</v>
      </c>
      <c r="C1091" s="392">
        <v>18.39</v>
      </c>
    </row>
    <row r="1092" spans="1:3">
      <c r="A1092" s="392">
        <v>18.399999999999999</v>
      </c>
      <c r="B1092" s="392">
        <v>19.760000000000002</v>
      </c>
      <c r="C1092" s="392">
        <v>18.399999999999999</v>
      </c>
    </row>
    <row r="1093" spans="1:3">
      <c r="A1093" s="392">
        <v>18.41</v>
      </c>
      <c r="B1093" s="392">
        <v>19.77</v>
      </c>
      <c r="C1093" s="392">
        <v>18.41</v>
      </c>
    </row>
    <row r="1094" spans="1:3">
      <c r="A1094" s="392">
        <v>18.420000000000002</v>
      </c>
      <c r="B1094" s="392">
        <v>19.78</v>
      </c>
      <c r="C1094" s="392">
        <v>18.420000000000002</v>
      </c>
    </row>
    <row r="1095" spans="1:3">
      <c r="A1095" s="392">
        <v>18.43</v>
      </c>
      <c r="B1095" s="392">
        <v>19.79</v>
      </c>
      <c r="C1095" s="392">
        <v>18.43</v>
      </c>
    </row>
    <row r="1096" spans="1:3">
      <c r="A1096" s="392">
        <v>18.440000000000001</v>
      </c>
      <c r="B1096" s="392">
        <v>19.809999999999999</v>
      </c>
      <c r="C1096" s="392">
        <v>18.440000000000001</v>
      </c>
    </row>
    <row r="1097" spans="1:3">
      <c r="A1097" s="392">
        <v>18.45</v>
      </c>
      <c r="B1097" s="392">
        <v>19.82</v>
      </c>
      <c r="C1097" s="392">
        <v>18.45</v>
      </c>
    </row>
    <row r="1098" spans="1:3">
      <c r="A1098" s="392">
        <v>18.46</v>
      </c>
      <c r="B1098" s="392">
        <v>19.829999999999998</v>
      </c>
      <c r="C1098" s="392">
        <v>18.46</v>
      </c>
    </row>
    <row r="1099" spans="1:3">
      <c r="A1099" s="392">
        <v>18.47</v>
      </c>
      <c r="B1099" s="392">
        <v>19.84</v>
      </c>
      <c r="C1099" s="392">
        <v>18.47</v>
      </c>
    </row>
    <row r="1100" spans="1:3">
      <c r="A1100" s="392">
        <v>18.48</v>
      </c>
      <c r="B1100" s="392">
        <v>19.850000000000001</v>
      </c>
      <c r="C1100" s="392">
        <v>18.48</v>
      </c>
    </row>
    <row r="1101" spans="1:3">
      <c r="A1101" s="392">
        <v>18.489999999999998</v>
      </c>
      <c r="B1101" s="392">
        <v>19.86</v>
      </c>
      <c r="C1101" s="392">
        <v>18.489999999999998</v>
      </c>
    </row>
    <row r="1102" spans="1:3">
      <c r="A1102" s="392">
        <v>18.5</v>
      </c>
      <c r="B1102" s="392">
        <v>19.88</v>
      </c>
      <c r="C1102" s="392">
        <v>18.5</v>
      </c>
    </row>
    <row r="1103" spans="1:3">
      <c r="A1103" s="392">
        <v>18.510000000000002</v>
      </c>
      <c r="B1103" s="392">
        <v>19.89</v>
      </c>
      <c r="C1103" s="392">
        <v>18.510000000000002</v>
      </c>
    </row>
    <row r="1104" spans="1:3">
      <c r="A1104" s="392">
        <v>18.52</v>
      </c>
      <c r="B1104" s="392">
        <v>19.899999999999999</v>
      </c>
      <c r="C1104" s="392">
        <v>18.52</v>
      </c>
    </row>
    <row r="1105" spans="1:3">
      <c r="A1105" s="392">
        <v>18.53</v>
      </c>
      <c r="B1105" s="392">
        <v>19.91</v>
      </c>
      <c r="C1105" s="392">
        <v>18.53</v>
      </c>
    </row>
    <row r="1106" spans="1:3">
      <c r="A1106" s="392">
        <v>18.54</v>
      </c>
      <c r="B1106" s="392">
        <v>19.920000000000002</v>
      </c>
      <c r="C1106" s="392">
        <v>18.54</v>
      </c>
    </row>
    <row r="1107" spans="1:3">
      <c r="A1107" s="392">
        <v>18.55</v>
      </c>
      <c r="B1107" s="392">
        <v>19.93</v>
      </c>
      <c r="C1107" s="392">
        <v>18.55</v>
      </c>
    </row>
    <row r="1108" spans="1:3">
      <c r="A1108" s="392">
        <v>18.559999999999999</v>
      </c>
      <c r="B1108" s="392">
        <v>19.940000000000001</v>
      </c>
      <c r="C1108" s="392">
        <v>18.559999999999999</v>
      </c>
    </row>
    <row r="1109" spans="1:3">
      <c r="A1109" s="392">
        <v>18.57</v>
      </c>
      <c r="B1109" s="392">
        <v>19.96</v>
      </c>
      <c r="C1109" s="392">
        <v>18.57</v>
      </c>
    </row>
    <row r="1110" spans="1:3">
      <c r="A1110" s="392">
        <v>18.579999999999998</v>
      </c>
      <c r="B1110" s="392">
        <v>19.97</v>
      </c>
      <c r="C1110" s="392">
        <v>18.579999999999998</v>
      </c>
    </row>
    <row r="1111" spans="1:3">
      <c r="A1111" s="392">
        <v>18.59</v>
      </c>
      <c r="B1111" s="392">
        <v>19.98</v>
      </c>
      <c r="C1111" s="392">
        <v>18.59</v>
      </c>
    </row>
    <row r="1112" spans="1:3">
      <c r="A1112" s="392">
        <v>18.600000000000001</v>
      </c>
      <c r="B1112" s="392">
        <v>19.989999999999998</v>
      </c>
      <c r="C1112" s="392">
        <v>18.600000000000001</v>
      </c>
    </row>
    <row r="1113" spans="1:3">
      <c r="A1113" s="392">
        <v>18.61</v>
      </c>
      <c r="B1113" s="392">
        <v>20</v>
      </c>
      <c r="C1113" s="392">
        <v>18.61</v>
      </c>
    </row>
    <row r="1114" spans="1:3">
      <c r="A1114" s="392">
        <v>18.62</v>
      </c>
      <c r="B1114" s="392">
        <v>20.010000000000002</v>
      </c>
      <c r="C1114" s="392">
        <v>18.62</v>
      </c>
    </row>
    <row r="1115" spans="1:3">
      <c r="A1115" s="392">
        <v>18.63</v>
      </c>
      <c r="B1115" s="392">
        <v>20.03</v>
      </c>
      <c r="C1115" s="392">
        <v>18.63</v>
      </c>
    </row>
    <row r="1116" spans="1:3">
      <c r="A1116" s="392">
        <v>18.64</v>
      </c>
      <c r="B1116" s="392">
        <v>20.04</v>
      </c>
      <c r="C1116" s="392">
        <v>18.64</v>
      </c>
    </row>
    <row r="1117" spans="1:3">
      <c r="A1117" s="392">
        <v>18.649999999999999</v>
      </c>
      <c r="B1117" s="392">
        <v>20.05</v>
      </c>
      <c r="C1117" s="392">
        <v>18.649999999999999</v>
      </c>
    </row>
    <row r="1118" spans="1:3">
      <c r="A1118" s="392">
        <v>18.66</v>
      </c>
      <c r="B1118" s="392">
        <v>20.059999999999999</v>
      </c>
      <c r="C1118" s="392">
        <v>18.66</v>
      </c>
    </row>
    <row r="1119" spans="1:3">
      <c r="A1119" s="392">
        <v>18.670000000000002</v>
      </c>
      <c r="B1119" s="392">
        <v>20.07</v>
      </c>
      <c r="C1119" s="392">
        <v>18.670000000000002</v>
      </c>
    </row>
    <row r="1120" spans="1:3">
      <c r="A1120" s="392">
        <v>18.68</v>
      </c>
      <c r="B1120" s="392">
        <v>20.079999999999998</v>
      </c>
      <c r="C1120" s="392">
        <v>18.68</v>
      </c>
    </row>
    <row r="1121" spans="1:3">
      <c r="A1121" s="392">
        <v>18.690000000000001</v>
      </c>
      <c r="B1121" s="392">
        <v>20.100000000000001</v>
      </c>
      <c r="C1121" s="392">
        <v>18.690000000000001</v>
      </c>
    </row>
    <row r="1122" spans="1:3">
      <c r="A1122" s="392">
        <v>18.7</v>
      </c>
      <c r="B1122" s="392">
        <v>20.11</v>
      </c>
      <c r="C1122" s="392">
        <v>18.7</v>
      </c>
    </row>
    <row r="1123" spans="1:3">
      <c r="A1123" s="392">
        <v>18.71</v>
      </c>
      <c r="B1123" s="392">
        <v>20.12</v>
      </c>
      <c r="C1123" s="392">
        <v>18.71</v>
      </c>
    </row>
    <row r="1124" spans="1:3">
      <c r="A1124" s="392">
        <v>18.72</v>
      </c>
      <c r="B1124" s="392">
        <v>20.13</v>
      </c>
      <c r="C1124" s="392">
        <v>18.72</v>
      </c>
    </row>
    <row r="1125" spans="1:3">
      <c r="A1125" s="392">
        <v>18.73</v>
      </c>
      <c r="B1125" s="392">
        <v>20.14</v>
      </c>
      <c r="C1125" s="392">
        <v>18.73</v>
      </c>
    </row>
    <row r="1126" spans="1:3">
      <c r="A1126" s="392">
        <v>18.739999999999998</v>
      </c>
      <c r="B1126" s="392">
        <v>20.149999999999999</v>
      </c>
      <c r="C1126" s="392">
        <v>18.739999999999998</v>
      </c>
    </row>
    <row r="1127" spans="1:3">
      <c r="A1127" s="392">
        <v>18.75</v>
      </c>
      <c r="B1127" s="392">
        <v>20.16</v>
      </c>
      <c r="C1127" s="392">
        <v>18.75</v>
      </c>
    </row>
    <row r="1128" spans="1:3">
      <c r="A1128" s="392">
        <v>18.760000000000002</v>
      </c>
      <c r="B1128" s="392">
        <v>20.18</v>
      </c>
      <c r="C1128" s="392">
        <v>18.760000000000002</v>
      </c>
    </row>
    <row r="1129" spans="1:3">
      <c r="A1129" s="392">
        <v>18.77</v>
      </c>
      <c r="B1129" s="392">
        <v>20.190000000000001</v>
      </c>
      <c r="C1129" s="392">
        <v>18.77</v>
      </c>
    </row>
    <row r="1130" spans="1:3">
      <c r="A1130" s="392">
        <v>18.78</v>
      </c>
      <c r="B1130" s="392">
        <v>20.2</v>
      </c>
      <c r="C1130" s="392">
        <v>18.78</v>
      </c>
    </row>
    <row r="1131" spans="1:3">
      <c r="A1131" s="392">
        <v>18.79</v>
      </c>
      <c r="B1131" s="392">
        <v>20.21</v>
      </c>
      <c r="C1131" s="392">
        <v>18.79</v>
      </c>
    </row>
    <row r="1132" spans="1:3">
      <c r="A1132" s="392">
        <v>18.8</v>
      </c>
      <c r="B1132" s="392">
        <v>20.22</v>
      </c>
      <c r="C1132" s="392">
        <v>18.8</v>
      </c>
    </row>
    <row r="1133" spans="1:3">
      <c r="A1133" s="392">
        <v>18.809999999999999</v>
      </c>
      <c r="B1133" s="392">
        <v>20.23</v>
      </c>
      <c r="C1133" s="392">
        <v>18.809999999999999</v>
      </c>
    </row>
    <row r="1134" spans="1:3">
      <c r="A1134" s="392">
        <v>18.82</v>
      </c>
      <c r="B1134" s="392">
        <v>20.25</v>
      </c>
      <c r="C1134" s="392">
        <v>18.82</v>
      </c>
    </row>
    <row r="1135" spans="1:3">
      <c r="A1135" s="392">
        <v>18.829999999999998</v>
      </c>
      <c r="B1135" s="392">
        <v>20.260000000000002</v>
      </c>
      <c r="C1135" s="392">
        <v>18.829999999999998</v>
      </c>
    </row>
    <row r="1136" spans="1:3">
      <c r="A1136" s="392">
        <v>18.84</v>
      </c>
      <c r="B1136" s="392">
        <v>20.27</v>
      </c>
      <c r="C1136" s="392">
        <v>18.84</v>
      </c>
    </row>
    <row r="1137" spans="1:3">
      <c r="A1137" s="392">
        <v>18.850000000000001</v>
      </c>
      <c r="B1137" s="392">
        <v>20.28</v>
      </c>
      <c r="C1137" s="392">
        <v>18.850000000000001</v>
      </c>
    </row>
    <row r="1138" spans="1:3">
      <c r="A1138" s="392">
        <v>18.86</v>
      </c>
      <c r="B1138" s="392">
        <v>20.29</v>
      </c>
      <c r="C1138" s="392">
        <v>18.86</v>
      </c>
    </row>
    <row r="1139" spans="1:3">
      <c r="A1139" s="392">
        <v>18.87</v>
      </c>
      <c r="B1139" s="392">
        <v>20.3</v>
      </c>
      <c r="C1139" s="392">
        <v>18.87</v>
      </c>
    </row>
    <row r="1140" spans="1:3">
      <c r="A1140" s="392">
        <v>18.88</v>
      </c>
      <c r="B1140" s="392">
        <v>20.32</v>
      </c>
      <c r="C1140" s="392">
        <v>18.88</v>
      </c>
    </row>
    <row r="1141" spans="1:3">
      <c r="A1141" s="392">
        <v>18.89</v>
      </c>
      <c r="B1141" s="392">
        <v>20.329999999999998</v>
      </c>
      <c r="C1141" s="392">
        <v>18.89</v>
      </c>
    </row>
    <row r="1142" spans="1:3">
      <c r="A1142" s="392">
        <v>18.899999999999999</v>
      </c>
      <c r="B1142" s="392">
        <v>20.34</v>
      </c>
      <c r="C1142" s="392">
        <v>18.899999999999999</v>
      </c>
    </row>
    <row r="1143" spans="1:3">
      <c r="A1143" s="392">
        <v>18.91</v>
      </c>
      <c r="B1143" s="392">
        <v>20.350000000000001</v>
      </c>
      <c r="C1143" s="392">
        <v>18.91</v>
      </c>
    </row>
    <row r="1144" spans="1:3">
      <c r="A1144" s="392">
        <v>18.920000000000002</v>
      </c>
      <c r="B1144" s="392">
        <v>20.36</v>
      </c>
      <c r="C1144" s="392">
        <v>18.920000000000002</v>
      </c>
    </row>
    <row r="1145" spans="1:3">
      <c r="A1145" s="392">
        <v>18.93</v>
      </c>
      <c r="B1145" s="392">
        <v>20.37</v>
      </c>
      <c r="C1145" s="392">
        <v>18.93</v>
      </c>
    </row>
    <row r="1146" spans="1:3">
      <c r="A1146" s="392">
        <v>18.940000000000001</v>
      </c>
      <c r="B1146" s="392">
        <v>20.38</v>
      </c>
      <c r="C1146" s="392">
        <v>18.940000000000001</v>
      </c>
    </row>
    <row r="1147" spans="1:3">
      <c r="A1147" s="392">
        <v>18.95</v>
      </c>
      <c r="B1147" s="392">
        <v>20.399999999999999</v>
      </c>
      <c r="C1147" s="392">
        <v>18.95</v>
      </c>
    </row>
    <row r="1148" spans="1:3">
      <c r="A1148" s="392">
        <v>18.96</v>
      </c>
      <c r="B1148" s="392">
        <v>20.41</v>
      </c>
      <c r="C1148" s="392">
        <v>18.96</v>
      </c>
    </row>
    <row r="1149" spans="1:3">
      <c r="A1149" s="392">
        <v>18.97</v>
      </c>
      <c r="B1149" s="392">
        <v>20.420000000000002</v>
      </c>
      <c r="C1149" s="392">
        <v>18.97</v>
      </c>
    </row>
    <row r="1150" spans="1:3">
      <c r="A1150" s="392">
        <v>18.98</v>
      </c>
      <c r="B1150" s="392">
        <v>20.43</v>
      </c>
      <c r="C1150" s="392">
        <v>18.98</v>
      </c>
    </row>
    <row r="1151" spans="1:3">
      <c r="A1151" s="392">
        <v>18.989999999999998</v>
      </c>
      <c r="B1151" s="392">
        <v>20.440000000000001</v>
      </c>
      <c r="C1151" s="392">
        <v>18.989999999999998</v>
      </c>
    </row>
    <row r="1152" spans="1:3">
      <c r="A1152" s="392">
        <v>19</v>
      </c>
      <c r="B1152" s="392">
        <v>20.45</v>
      </c>
      <c r="C1152" s="392">
        <v>19</v>
      </c>
    </row>
    <row r="1153" spans="1:3">
      <c r="A1153" s="392">
        <v>19.010000000000002</v>
      </c>
      <c r="B1153" s="392">
        <v>20.47</v>
      </c>
      <c r="C1153" s="392">
        <v>19.010000000000002</v>
      </c>
    </row>
    <row r="1154" spans="1:3">
      <c r="A1154" s="392">
        <v>19.02</v>
      </c>
      <c r="B1154" s="392">
        <v>20.48</v>
      </c>
      <c r="C1154" s="392">
        <v>19.02</v>
      </c>
    </row>
    <row r="1155" spans="1:3">
      <c r="A1155" s="392">
        <v>19.03</v>
      </c>
      <c r="B1155" s="392">
        <v>20.49</v>
      </c>
      <c r="C1155" s="392">
        <v>19.03</v>
      </c>
    </row>
    <row r="1156" spans="1:3">
      <c r="A1156" s="392">
        <v>19.04</v>
      </c>
      <c r="B1156" s="392">
        <v>20.5</v>
      </c>
      <c r="C1156" s="392">
        <v>19.04</v>
      </c>
    </row>
    <row r="1157" spans="1:3">
      <c r="A1157" s="392">
        <v>19.05</v>
      </c>
      <c r="B1157" s="392">
        <v>20.51</v>
      </c>
      <c r="C1157" s="392">
        <v>19.05</v>
      </c>
    </row>
    <row r="1158" spans="1:3">
      <c r="A1158" s="392">
        <v>19.059999999999999</v>
      </c>
      <c r="B1158" s="392">
        <v>20.52</v>
      </c>
      <c r="C1158" s="392">
        <v>19.059999999999999</v>
      </c>
    </row>
    <row r="1159" spans="1:3">
      <c r="A1159" s="392">
        <v>19.07</v>
      </c>
      <c r="B1159" s="392">
        <v>20.54</v>
      </c>
      <c r="C1159" s="392">
        <v>19.07</v>
      </c>
    </row>
    <row r="1160" spans="1:3">
      <c r="A1160" s="392">
        <v>19.079999999999998</v>
      </c>
      <c r="B1160" s="392">
        <v>20.55</v>
      </c>
      <c r="C1160" s="392">
        <v>19.079999999999998</v>
      </c>
    </row>
    <row r="1161" spans="1:3">
      <c r="A1161" s="392">
        <v>19.09</v>
      </c>
      <c r="B1161" s="392">
        <v>20.56</v>
      </c>
      <c r="C1161" s="392">
        <v>19.09</v>
      </c>
    </row>
    <row r="1162" spans="1:3">
      <c r="A1162" s="392">
        <v>19.100000000000001</v>
      </c>
      <c r="B1162" s="392">
        <v>20.57</v>
      </c>
      <c r="C1162" s="392">
        <v>19.100000000000001</v>
      </c>
    </row>
    <row r="1163" spans="1:3">
      <c r="A1163" s="392">
        <v>19.11</v>
      </c>
      <c r="B1163" s="392">
        <v>20.58</v>
      </c>
      <c r="C1163" s="392">
        <v>19.11</v>
      </c>
    </row>
    <row r="1164" spans="1:3">
      <c r="A1164" s="392">
        <v>19.12</v>
      </c>
      <c r="B1164" s="392">
        <v>20.59</v>
      </c>
      <c r="C1164" s="392">
        <v>19.12</v>
      </c>
    </row>
    <row r="1165" spans="1:3">
      <c r="A1165" s="392">
        <v>19.13</v>
      </c>
      <c r="B1165" s="392">
        <v>20.61</v>
      </c>
      <c r="C1165" s="392">
        <v>19.13</v>
      </c>
    </row>
    <row r="1166" spans="1:3">
      <c r="A1166" s="392">
        <v>19.14</v>
      </c>
      <c r="B1166" s="392">
        <v>20.62</v>
      </c>
      <c r="C1166" s="392">
        <v>19.14</v>
      </c>
    </row>
    <row r="1167" spans="1:3">
      <c r="A1167" s="392">
        <v>19.149999999999999</v>
      </c>
      <c r="B1167" s="392">
        <v>20.63</v>
      </c>
      <c r="C1167" s="392">
        <v>19.149999999999999</v>
      </c>
    </row>
    <row r="1168" spans="1:3">
      <c r="A1168" s="392">
        <v>19.16</v>
      </c>
      <c r="B1168" s="392">
        <v>20.64</v>
      </c>
      <c r="C1168" s="392">
        <v>19.16</v>
      </c>
    </row>
    <row r="1169" spans="1:3">
      <c r="A1169" s="392">
        <v>19.170000000000002</v>
      </c>
      <c r="B1169" s="392">
        <v>20.65</v>
      </c>
      <c r="C1169" s="392">
        <v>19.170000000000002</v>
      </c>
    </row>
    <row r="1170" spans="1:3">
      <c r="A1170" s="392">
        <v>19.18</v>
      </c>
      <c r="B1170" s="392">
        <v>20.66</v>
      </c>
      <c r="C1170" s="392">
        <v>19.18</v>
      </c>
    </row>
    <row r="1171" spans="1:3">
      <c r="A1171" s="392">
        <v>19.190000000000001</v>
      </c>
      <c r="B1171" s="392">
        <v>20.67</v>
      </c>
      <c r="C1171" s="392">
        <v>19.190000000000001</v>
      </c>
    </row>
    <row r="1172" spans="1:3">
      <c r="A1172" s="392">
        <v>19.2</v>
      </c>
      <c r="B1172" s="392">
        <v>20.69</v>
      </c>
      <c r="C1172" s="392">
        <v>19.2</v>
      </c>
    </row>
    <row r="1173" spans="1:3">
      <c r="A1173" s="392">
        <v>19.21</v>
      </c>
      <c r="B1173" s="392">
        <v>20.7</v>
      </c>
      <c r="C1173" s="392">
        <v>19.21</v>
      </c>
    </row>
    <row r="1174" spans="1:3">
      <c r="A1174" s="392">
        <v>19.22</v>
      </c>
      <c r="B1174" s="392">
        <v>20.71</v>
      </c>
      <c r="C1174" s="392">
        <v>19.22</v>
      </c>
    </row>
    <row r="1175" spans="1:3">
      <c r="A1175" s="392">
        <v>19.23</v>
      </c>
      <c r="B1175" s="392">
        <v>20.72</v>
      </c>
      <c r="C1175" s="392">
        <v>19.23</v>
      </c>
    </row>
    <row r="1176" spans="1:3">
      <c r="A1176" s="392">
        <v>19.239999999999998</v>
      </c>
      <c r="B1176" s="392">
        <v>20.73</v>
      </c>
      <c r="C1176" s="392">
        <v>19.239999999999998</v>
      </c>
    </row>
    <row r="1177" spans="1:3">
      <c r="A1177" s="392">
        <v>19.25</v>
      </c>
      <c r="B1177" s="392">
        <v>20.74</v>
      </c>
      <c r="C1177" s="392">
        <v>19.25</v>
      </c>
    </row>
    <row r="1178" spans="1:3">
      <c r="A1178" s="392">
        <v>19.260000000000002</v>
      </c>
      <c r="B1178" s="392">
        <v>20.76</v>
      </c>
      <c r="C1178" s="392">
        <v>19.260000000000002</v>
      </c>
    </row>
    <row r="1179" spans="1:3">
      <c r="A1179" s="392">
        <v>19.27</v>
      </c>
      <c r="B1179" s="392">
        <v>20.77</v>
      </c>
      <c r="C1179" s="392">
        <v>19.27</v>
      </c>
    </row>
    <row r="1180" spans="1:3">
      <c r="A1180" s="392">
        <v>19.28</v>
      </c>
      <c r="B1180" s="392">
        <v>20.78</v>
      </c>
      <c r="C1180" s="392">
        <v>19.28</v>
      </c>
    </row>
    <row r="1181" spans="1:3">
      <c r="A1181" s="392">
        <v>19.29</v>
      </c>
      <c r="B1181" s="392">
        <v>20.79</v>
      </c>
      <c r="C1181" s="392">
        <v>19.29</v>
      </c>
    </row>
    <row r="1182" spans="1:3">
      <c r="A1182" s="392">
        <v>19.3</v>
      </c>
      <c r="B1182" s="392">
        <v>20.8</v>
      </c>
      <c r="C1182" s="392">
        <v>19.3</v>
      </c>
    </row>
    <row r="1183" spans="1:3">
      <c r="A1183" s="392">
        <v>19.309999999999999</v>
      </c>
      <c r="B1183" s="392">
        <v>20.81</v>
      </c>
      <c r="C1183" s="392">
        <v>19.309999999999999</v>
      </c>
    </row>
    <row r="1184" spans="1:3">
      <c r="A1184" s="392">
        <v>19.32</v>
      </c>
      <c r="B1184" s="392">
        <v>20.83</v>
      </c>
      <c r="C1184" s="392">
        <v>19.32</v>
      </c>
    </row>
    <row r="1185" spans="1:3">
      <c r="A1185" s="392">
        <v>19.329999999999998</v>
      </c>
      <c r="B1185" s="392">
        <v>20.84</v>
      </c>
      <c r="C1185" s="392">
        <v>19.329999999999998</v>
      </c>
    </row>
    <row r="1186" spans="1:3">
      <c r="A1186" s="392">
        <v>19.34</v>
      </c>
      <c r="B1186" s="392">
        <v>20.85</v>
      </c>
      <c r="C1186" s="392">
        <v>19.34</v>
      </c>
    </row>
    <row r="1187" spans="1:3">
      <c r="A1187" s="392">
        <v>19.350000000000001</v>
      </c>
      <c r="B1187" s="392">
        <v>20.86</v>
      </c>
      <c r="C1187" s="392">
        <v>19.350000000000001</v>
      </c>
    </row>
    <row r="1188" spans="1:3">
      <c r="A1188" s="392">
        <v>19.36</v>
      </c>
      <c r="B1188" s="392">
        <v>20.87</v>
      </c>
      <c r="C1188" s="392">
        <v>19.36</v>
      </c>
    </row>
    <row r="1189" spans="1:3">
      <c r="A1189" s="392">
        <v>19.37</v>
      </c>
      <c r="B1189" s="392">
        <v>20.88</v>
      </c>
      <c r="C1189" s="392">
        <v>19.37</v>
      </c>
    </row>
    <row r="1190" spans="1:3">
      <c r="A1190" s="392">
        <v>19.38</v>
      </c>
      <c r="B1190" s="392">
        <v>20.9</v>
      </c>
      <c r="C1190" s="392">
        <v>19.38</v>
      </c>
    </row>
    <row r="1191" spans="1:3">
      <c r="A1191" s="392">
        <v>19.39</v>
      </c>
      <c r="B1191" s="392">
        <v>20.91</v>
      </c>
      <c r="C1191" s="392">
        <v>19.39</v>
      </c>
    </row>
    <row r="1192" spans="1:3">
      <c r="A1192" s="392">
        <v>19.399999999999999</v>
      </c>
      <c r="B1192" s="392">
        <v>20.92</v>
      </c>
      <c r="C1192" s="392">
        <v>19.399999999999999</v>
      </c>
    </row>
    <row r="1193" spans="1:3">
      <c r="A1193" s="392">
        <v>19.41</v>
      </c>
      <c r="B1193" s="392">
        <v>20.93</v>
      </c>
      <c r="C1193" s="392">
        <v>19.41</v>
      </c>
    </row>
    <row r="1194" spans="1:3">
      <c r="A1194" s="392">
        <v>19.420000000000002</v>
      </c>
      <c r="B1194" s="392">
        <v>20.94</v>
      </c>
      <c r="C1194" s="392">
        <v>19.420000000000002</v>
      </c>
    </row>
    <row r="1195" spans="1:3">
      <c r="A1195" s="392">
        <v>19.43</v>
      </c>
      <c r="B1195" s="392">
        <v>20.95</v>
      </c>
      <c r="C1195" s="392">
        <v>19.43</v>
      </c>
    </row>
    <row r="1196" spans="1:3">
      <c r="A1196" s="392">
        <v>19.440000000000001</v>
      </c>
      <c r="B1196" s="392">
        <v>20.97</v>
      </c>
      <c r="C1196" s="392">
        <v>19.440000000000001</v>
      </c>
    </row>
    <row r="1197" spans="1:3">
      <c r="A1197" s="392">
        <v>19.45</v>
      </c>
      <c r="B1197" s="392">
        <v>20.98</v>
      </c>
      <c r="C1197" s="392">
        <v>19.45</v>
      </c>
    </row>
    <row r="1198" spans="1:3">
      <c r="A1198" s="392">
        <v>19.46</v>
      </c>
      <c r="B1198" s="392">
        <v>20.99</v>
      </c>
      <c r="C1198" s="392">
        <v>19.46</v>
      </c>
    </row>
    <row r="1199" spans="1:3">
      <c r="A1199" s="392">
        <v>19.47</v>
      </c>
      <c r="B1199" s="392">
        <v>21</v>
      </c>
      <c r="C1199" s="392">
        <v>19.47</v>
      </c>
    </row>
    <row r="1200" spans="1:3">
      <c r="A1200" s="392">
        <v>19.48</v>
      </c>
      <c r="B1200" s="392">
        <v>21.01</v>
      </c>
      <c r="C1200" s="392">
        <v>19.48</v>
      </c>
    </row>
    <row r="1201" spans="1:3">
      <c r="A1201" s="392">
        <v>19.489999999999998</v>
      </c>
      <c r="B1201" s="392">
        <v>21.02</v>
      </c>
      <c r="C1201" s="392">
        <v>19.489999999999998</v>
      </c>
    </row>
    <row r="1202" spans="1:3">
      <c r="A1202" s="392">
        <v>19.5</v>
      </c>
      <c r="B1202" s="392">
        <v>21.04</v>
      </c>
      <c r="C1202" s="392">
        <v>19.5</v>
      </c>
    </row>
    <row r="1203" spans="1:3">
      <c r="A1203" s="392">
        <v>19.510000000000002</v>
      </c>
      <c r="B1203" s="392">
        <v>21.05</v>
      </c>
      <c r="C1203" s="392">
        <v>19.510000000000002</v>
      </c>
    </row>
    <row r="1204" spans="1:3">
      <c r="A1204" s="392">
        <v>19.52</v>
      </c>
      <c r="B1204" s="392">
        <v>21.06</v>
      </c>
      <c r="C1204" s="392">
        <v>19.52</v>
      </c>
    </row>
    <row r="1205" spans="1:3">
      <c r="A1205" s="392">
        <v>19.53</v>
      </c>
      <c r="B1205" s="392">
        <v>21.07</v>
      </c>
      <c r="C1205" s="392">
        <v>19.53</v>
      </c>
    </row>
    <row r="1206" spans="1:3">
      <c r="A1206" s="392">
        <v>19.54</v>
      </c>
      <c r="B1206" s="392">
        <v>21.08</v>
      </c>
      <c r="C1206" s="392">
        <v>19.54</v>
      </c>
    </row>
    <row r="1207" spans="1:3">
      <c r="A1207" s="392">
        <v>19.55</v>
      </c>
      <c r="B1207" s="392">
        <v>21.09</v>
      </c>
      <c r="C1207" s="392">
        <v>19.55</v>
      </c>
    </row>
    <row r="1208" spans="1:3">
      <c r="A1208" s="392">
        <v>19.559999999999999</v>
      </c>
      <c r="B1208" s="392">
        <v>21.11</v>
      </c>
      <c r="C1208" s="392">
        <v>19.559999999999999</v>
      </c>
    </row>
    <row r="1209" spans="1:3">
      <c r="A1209" s="392">
        <v>19.57</v>
      </c>
      <c r="B1209" s="392">
        <v>21.12</v>
      </c>
      <c r="C1209" s="392">
        <v>19.57</v>
      </c>
    </row>
    <row r="1210" spans="1:3">
      <c r="A1210" s="392">
        <v>19.579999999999998</v>
      </c>
      <c r="B1210" s="392">
        <v>21.13</v>
      </c>
      <c r="C1210" s="392">
        <v>19.579999999999998</v>
      </c>
    </row>
    <row r="1211" spans="1:3">
      <c r="A1211" s="392">
        <v>19.59</v>
      </c>
      <c r="B1211" s="392">
        <v>21.14</v>
      </c>
      <c r="C1211" s="392">
        <v>19.59</v>
      </c>
    </row>
    <row r="1212" spans="1:3">
      <c r="A1212" s="392">
        <v>19.600000000000001</v>
      </c>
      <c r="B1212" s="392">
        <v>21.15</v>
      </c>
      <c r="C1212" s="392">
        <v>19.600000000000001</v>
      </c>
    </row>
    <row r="1213" spans="1:3">
      <c r="A1213" s="392">
        <v>19.61</v>
      </c>
      <c r="B1213" s="392">
        <v>21.16</v>
      </c>
      <c r="C1213" s="392">
        <v>19.61</v>
      </c>
    </row>
    <row r="1214" spans="1:3">
      <c r="A1214" s="392">
        <v>19.62</v>
      </c>
      <c r="B1214" s="392">
        <v>21.18</v>
      </c>
      <c r="C1214" s="392">
        <v>19.62</v>
      </c>
    </row>
    <row r="1215" spans="1:3">
      <c r="A1215" s="392">
        <v>19.63</v>
      </c>
      <c r="B1215" s="392">
        <v>21.19</v>
      </c>
      <c r="C1215" s="392">
        <v>19.63</v>
      </c>
    </row>
    <row r="1216" spans="1:3">
      <c r="A1216" s="392">
        <v>19.64</v>
      </c>
      <c r="B1216" s="392">
        <v>21.2</v>
      </c>
      <c r="C1216" s="392">
        <v>19.64</v>
      </c>
    </row>
    <row r="1217" spans="1:3">
      <c r="A1217" s="392">
        <v>19.649999999999999</v>
      </c>
      <c r="B1217" s="392">
        <v>21.21</v>
      </c>
      <c r="C1217" s="392">
        <v>19.649999999999999</v>
      </c>
    </row>
    <row r="1218" spans="1:3">
      <c r="A1218" s="392">
        <v>19.66</v>
      </c>
      <c r="B1218" s="392">
        <v>21.22</v>
      </c>
      <c r="C1218" s="392">
        <v>19.66</v>
      </c>
    </row>
    <row r="1219" spans="1:3">
      <c r="A1219" s="392">
        <v>19.670000000000002</v>
      </c>
      <c r="B1219" s="392">
        <v>21.23</v>
      </c>
      <c r="C1219" s="392">
        <v>19.670000000000002</v>
      </c>
    </row>
    <row r="1220" spans="1:3">
      <c r="A1220" s="392">
        <v>19.68</v>
      </c>
      <c r="B1220" s="392">
        <v>21.25</v>
      </c>
      <c r="C1220" s="392">
        <v>19.68</v>
      </c>
    </row>
    <row r="1221" spans="1:3">
      <c r="A1221" s="392">
        <v>19.690000000000001</v>
      </c>
      <c r="B1221" s="392">
        <v>21.26</v>
      </c>
      <c r="C1221" s="392">
        <v>19.690000000000001</v>
      </c>
    </row>
    <row r="1222" spans="1:3">
      <c r="A1222" s="392">
        <v>19.7</v>
      </c>
      <c r="B1222" s="392">
        <v>21.27</v>
      </c>
      <c r="C1222" s="392">
        <v>19.7</v>
      </c>
    </row>
    <row r="1223" spans="1:3">
      <c r="A1223" s="392">
        <v>19.71</v>
      </c>
      <c r="B1223" s="392">
        <v>21.28</v>
      </c>
      <c r="C1223" s="392">
        <v>19.71</v>
      </c>
    </row>
    <row r="1224" spans="1:3">
      <c r="A1224" s="392">
        <v>19.72</v>
      </c>
      <c r="B1224" s="392">
        <v>21.29</v>
      </c>
      <c r="C1224" s="392">
        <v>19.72</v>
      </c>
    </row>
    <row r="1225" spans="1:3">
      <c r="A1225" s="392">
        <v>19.73</v>
      </c>
      <c r="B1225" s="392">
        <v>21.3</v>
      </c>
      <c r="C1225" s="392">
        <v>19.73</v>
      </c>
    </row>
    <row r="1226" spans="1:3">
      <c r="A1226" s="392">
        <v>19.739999999999998</v>
      </c>
      <c r="B1226" s="392">
        <v>21.32</v>
      </c>
      <c r="C1226" s="392">
        <v>19.739999999999998</v>
      </c>
    </row>
    <row r="1227" spans="1:3">
      <c r="A1227" s="392">
        <v>19.75</v>
      </c>
      <c r="B1227" s="392">
        <v>21.33</v>
      </c>
      <c r="C1227" s="392">
        <v>19.75</v>
      </c>
    </row>
    <row r="1228" spans="1:3">
      <c r="A1228" s="392">
        <v>19.760000000000002</v>
      </c>
      <c r="B1228" s="392">
        <v>21.34</v>
      </c>
      <c r="C1228" s="392">
        <v>19.760000000000002</v>
      </c>
    </row>
    <row r="1229" spans="1:3">
      <c r="A1229" s="392">
        <v>19.77</v>
      </c>
      <c r="B1229" s="392">
        <v>21.35</v>
      </c>
      <c r="C1229" s="392">
        <v>19.77</v>
      </c>
    </row>
    <row r="1230" spans="1:3">
      <c r="A1230" s="392">
        <v>19.78</v>
      </c>
      <c r="B1230" s="392">
        <v>21.36</v>
      </c>
      <c r="C1230" s="392">
        <v>19.78</v>
      </c>
    </row>
    <row r="1231" spans="1:3">
      <c r="A1231" s="392">
        <v>19.79</v>
      </c>
      <c r="B1231" s="392">
        <v>21.37</v>
      </c>
      <c r="C1231" s="392">
        <v>19.79</v>
      </c>
    </row>
    <row r="1232" spans="1:3">
      <c r="A1232" s="392">
        <v>19.8</v>
      </c>
      <c r="B1232" s="392">
        <v>21.39</v>
      </c>
      <c r="C1232" s="392">
        <v>19.8</v>
      </c>
    </row>
    <row r="1233" spans="1:3">
      <c r="A1233" s="392">
        <v>19.809999999999999</v>
      </c>
      <c r="B1233" s="392">
        <v>21.4</v>
      </c>
      <c r="C1233" s="392">
        <v>19.809999999999999</v>
      </c>
    </row>
    <row r="1234" spans="1:3">
      <c r="A1234" s="392">
        <v>19.82</v>
      </c>
      <c r="B1234" s="392">
        <v>21.41</v>
      </c>
      <c r="C1234" s="392">
        <v>19.82</v>
      </c>
    </row>
    <row r="1235" spans="1:3">
      <c r="A1235" s="392">
        <v>19.829999999999998</v>
      </c>
      <c r="B1235" s="392">
        <v>21.42</v>
      </c>
      <c r="C1235" s="392">
        <v>19.829999999999998</v>
      </c>
    </row>
    <row r="1236" spans="1:3">
      <c r="A1236" s="392">
        <v>19.84</v>
      </c>
      <c r="B1236" s="392">
        <v>21.43</v>
      </c>
      <c r="C1236" s="392">
        <v>19.84</v>
      </c>
    </row>
    <row r="1237" spans="1:3">
      <c r="A1237" s="392">
        <v>19.850000000000001</v>
      </c>
      <c r="B1237" s="392">
        <v>21.44</v>
      </c>
      <c r="C1237" s="392">
        <v>19.850000000000001</v>
      </c>
    </row>
    <row r="1238" spans="1:3">
      <c r="A1238" s="392">
        <v>19.86</v>
      </c>
      <c r="B1238" s="392">
        <v>21.46</v>
      </c>
      <c r="C1238" s="392">
        <v>19.86</v>
      </c>
    </row>
    <row r="1239" spans="1:3">
      <c r="A1239" s="392">
        <v>19.87</v>
      </c>
      <c r="B1239" s="392">
        <v>21.47</v>
      </c>
      <c r="C1239" s="392">
        <v>19.87</v>
      </c>
    </row>
    <row r="1240" spans="1:3">
      <c r="A1240" s="392">
        <v>19.88</v>
      </c>
      <c r="B1240" s="392">
        <v>21.48</v>
      </c>
      <c r="C1240" s="392">
        <v>19.88</v>
      </c>
    </row>
    <row r="1241" spans="1:3">
      <c r="A1241" s="392">
        <v>19.89</v>
      </c>
      <c r="B1241" s="392">
        <v>21.49</v>
      </c>
      <c r="C1241" s="392">
        <v>19.89</v>
      </c>
    </row>
    <row r="1242" spans="1:3">
      <c r="A1242" s="392">
        <v>19.899999999999999</v>
      </c>
      <c r="B1242" s="392">
        <v>21.5</v>
      </c>
      <c r="C1242" s="392">
        <v>19.899999999999999</v>
      </c>
    </row>
    <row r="1243" spans="1:3">
      <c r="A1243" s="392">
        <v>19.91</v>
      </c>
      <c r="B1243" s="392">
        <v>21.51</v>
      </c>
      <c r="C1243" s="392">
        <v>19.91</v>
      </c>
    </row>
    <row r="1244" spans="1:3">
      <c r="A1244" s="392">
        <v>19.920000000000002</v>
      </c>
      <c r="B1244" s="392">
        <v>21.53</v>
      </c>
      <c r="C1244" s="392">
        <v>19.920000000000002</v>
      </c>
    </row>
    <row r="1245" spans="1:3">
      <c r="A1245" s="392">
        <v>19.93</v>
      </c>
      <c r="B1245" s="392">
        <v>21.54</v>
      </c>
      <c r="C1245" s="392">
        <v>19.93</v>
      </c>
    </row>
    <row r="1246" spans="1:3">
      <c r="A1246" s="392">
        <v>19.940000000000001</v>
      </c>
      <c r="B1246" s="392">
        <v>21.55</v>
      </c>
      <c r="C1246" s="392">
        <v>19.940000000000001</v>
      </c>
    </row>
    <row r="1247" spans="1:3">
      <c r="A1247" s="392">
        <v>19.95</v>
      </c>
      <c r="B1247" s="392">
        <v>21.56</v>
      </c>
      <c r="C1247" s="392">
        <v>19.95</v>
      </c>
    </row>
    <row r="1248" spans="1:3">
      <c r="A1248" s="392">
        <v>19.96</v>
      </c>
      <c r="B1248" s="392">
        <v>21.57</v>
      </c>
      <c r="C1248" s="392">
        <v>19.96</v>
      </c>
    </row>
    <row r="1249" spans="1:3">
      <c r="A1249" s="392">
        <v>19.97</v>
      </c>
      <c r="B1249" s="392">
        <v>21.58</v>
      </c>
      <c r="C1249" s="392">
        <v>19.97</v>
      </c>
    </row>
    <row r="1250" spans="1:3">
      <c r="A1250" s="392">
        <v>19.98</v>
      </c>
      <c r="B1250" s="392">
        <v>21.6</v>
      </c>
      <c r="C1250" s="392">
        <v>19.98</v>
      </c>
    </row>
    <row r="1251" spans="1:3">
      <c r="A1251" s="392">
        <v>19.989999999999998</v>
      </c>
      <c r="B1251" s="392">
        <v>21.61</v>
      </c>
      <c r="C1251" s="392">
        <v>19.989999999999998</v>
      </c>
    </row>
    <row r="1252" spans="1:3">
      <c r="A1252" s="392">
        <v>20</v>
      </c>
      <c r="B1252" s="392">
        <v>21.62</v>
      </c>
      <c r="C1252" s="392">
        <v>20</v>
      </c>
    </row>
    <row r="1253" spans="1:3">
      <c r="A1253" s="392">
        <v>20.010000000000002</v>
      </c>
      <c r="B1253" s="392">
        <v>21.63</v>
      </c>
      <c r="C1253" s="392">
        <v>20.010000000000002</v>
      </c>
    </row>
    <row r="1254" spans="1:3">
      <c r="A1254" s="392">
        <v>20.02</v>
      </c>
      <c r="B1254" s="392">
        <v>21.64</v>
      </c>
      <c r="C1254" s="392">
        <v>20.02</v>
      </c>
    </row>
    <row r="1255" spans="1:3">
      <c r="A1255" s="392">
        <v>20.03</v>
      </c>
      <c r="B1255" s="392">
        <v>21.65</v>
      </c>
      <c r="C1255" s="392">
        <v>20.03</v>
      </c>
    </row>
    <row r="1256" spans="1:3">
      <c r="A1256" s="392">
        <v>20.04</v>
      </c>
      <c r="B1256" s="392">
        <v>21.67</v>
      </c>
      <c r="C1256" s="392">
        <v>20.04</v>
      </c>
    </row>
    <row r="1257" spans="1:3">
      <c r="A1257" s="392">
        <v>20.05</v>
      </c>
      <c r="B1257" s="392">
        <v>21.68</v>
      </c>
      <c r="C1257" s="392">
        <v>20.05</v>
      </c>
    </row>
    <row r="1258" spans="1:3">
      <c r="A1258" s="392">
        <v>20.059999999999999</v>
      </c>
      <c r="B1258" s="392">
        <v>21.69</v>
      </c>
      <c r="C1258" s="392">
        <v>20.059999999999999</v>
      </c>
    </row>
    <row r="1259" spans="1:3">
      <c r="A1259" s="392">
        <v>20.07</v>
      </c>
      <c r="B1259" s="392">
        <v>21.7</v>
      </c>
      <c r="C1259" s="392">
        <v>20.07</v>
      </c>
    </row>
    <row r="1260" spans="1:3">
      <c r="A1260" s="392">
        <v>20.079999999999998</v>
      </c>
      <c r="B1260" s="392">
        <v>21.71</v>
      </c>
      <c r="C1260" s="392">
        <v>20.079999999999998</v>
      </c>
    </row>
    <row r="1261" spans="1:3">
      <c r="A1261" s="392">
        <v>20.09</v>
      </c>
      <c r="B1261" s="392">
        <v>21.72</v>
      </c>
      <c r="C1261" s="392">
        <v>20.09</v>
      </c>
    </row>
    <row r="1262" spans="1:3">
      <c r="A1262" s="392">
        <v>20.100000000000001</v>
      </c>
      <c r="B1262" s="392">
        <v>21.74</v>
      </c>
      <c r="C1262" s="392">
        <v>20.100000000000001</v>
      </c>
    </row>
    <row r="1263" spans="1:3">
      <c r="A1263" s="392">
        <v>20.11</v>
      </c>
      <c r="B1263" s="392">
        <v>21.75</v>
      </c>
      <c r="C1263" s="392">
        <v>20.11</v>
      </c>
    </row>
    <row r="1264" spans="1:3">
      <c r="A1264" s="392">
        <v>20.12</v>
      </c>
      <c r="B1264" s="392">
        <v>21.76</v>
      </c>
      <c r="C1264" s="392">
        <v>20.12</v>
      </c>
    </row>
    <row r="1265" spans="1:3">
      <c r="A1265" s="392">
        <v>20.13</v>
      </c>
      <c r="B1265" s="392">
        <v>21.77</v>
      </c>
      <c r="C1265" s="392">
        <v>20.13</v>
      </c>
    </row>
    <row r="1266" spans="1:3">
      <c r="A1266" s="392">
        <v>20.14</v>
      </c>
      <c r="B1266" s="392">
        <v>21.78</v>
      </c>
      <c r="C1266" s="392">
        <v>20.14</v>
      </c>
    </row>
    <row r="1267" spans="1:3">
      <c r="A1267" s="392">
        <v>20.149999999999999</v>
      </c>
      <c r="B1267" s="392">
        <v>21.79</v>
      </c>
      <c r="C1267" s="392">
        <v>20.149999999999999</v>
      </c>
    </row>
    <row r="1268" spans="1:3">
      <c r="A1268" s="392">
        <v>20.16</v>
      </c>
      <c r="B1268" s="392">
        <v>21.81</v>
      </c>
      <c r="C1268" s="392">
        <v>20.16</v>
      </c>
    </row>
    <row r="1269" spans="1:3">
      <c r="A1269" s="392">
        <v>20.170000000000002</v>
      </c>
      <c r="B1269" s="392">
        <v>21.82</v>
      </c>
      <c r="C1269" s="392">
        <v>20.170000000000002</v>
      </c>
    </row>
    <row r="1270" spans="1:3">
      <c r="A1270" s="392">
        <v>20.18</v>
      </c>
      <c r="B1270" s="392">
        <v>21.83</v>
      </c>
      <c r="C1270" s="392">
        <v>20.18</v>
      </c>
    </row>
    <row r="1271" spans="1:3">
      <c r="A1271" s="392">
        <v>20.190000000000001</v>
      </c>
      <c r="B1271" s="392">
        <v>21.84</v>
      </c>
      <c r="C1271" s="392">
        <v>20.190000000000001</v>
      </c>
    </row>
    <row r="1272" spans="1:3">
      <c r="A1272" s="392">
        <v>20.2</v>
      </c>
      <c r="B1272" s="392">
        <v>21.85</v>
      </c>
      <c r="C1272" s="392">
        <v>20.2</v>
      </c>
    </row>
    <row r="1273" spans="1:3">
      <c r="A1273" s="392">
        <v>20.21</v>
      </c>
      <c r="B1273" s="392">
        <v>21.87</v>
      </c>
      <c r="C1273" s="392">
        <v>20.21</v>
      </c>
    </row>
    <row r="1274" spans="1:3">
      <c r="A1274" s="392">
        <v>20.22</v>
      </c>
      <c r="B1274" s="392">
        <v>21.88</v>
      </c>
      <c r="C1274" s="392">
        <v>20.22</v>
      </c>
    </row>
    <row r="1275" spans="1:3">
      <c r="A1275" s="392">
        <v>20.23</v>
      </c>
      <c r="B1275" s="392">
        <v>21.89</v>
      </c>
      <c r="C1275" s="392">
        <v>20.23</v>
      </c>
    </row>
    <row r="1276" spans="1:3">
      <c r="A1276" s="392">
        <v>20.239999999999998</v>
      </c>
      <c r="B1276" s="392">
        <v>21.9</v>
      </c>
      <c r="C1276" s="392">
        <v>20.239999999999998</v>
      </c>
    </row>
    <row r="1277" spans="1:3">
      <c r="A1277" s="392">
        <v>20.25</v>
      </c>
      <c r="B1277" s="392">
        <v>21.91</v>
      </c>
      <c r="C1277" s="392">
        <v>20.25</v>
      </c>
    </row>
    <row r="1278" spans="1:3">
      <c r="A1278" s="392">
        <v>20.260000000000002</v>
      </c>
      <c r="B1278" s="392">
        <v>21.92</v>
      </c>
      <c r="C1278" s="392">
        <v>20.260000000000002</v>
      </c>
    </row>
    <row r="1279" spans="1:3">
      <c r="A1279" s="392">
        <v>20.27</v>
      </c>
      <c r="B1279" s="392">
        <v>21.94</v>
      </c>
      <c r="C1279" s="392">
        <v>20.27</v>
      </c>
    </row>
    <row r="1280" spans="1:3">
      <c r="A1280" s="392">
        <v>20.28</v>
      </c>
      <c r="B1280" s="392">
        <v>21.95</v>
      </c>
      <c r="C1280" s="392">
        <v>20.28</v>
      </c>
    </row>
    <row r="1281" spans="1:3">
      <c r="A1281" s="392">
        <v>20.29</v>
      </c>
      <c r="B1281" s="392">
        <v>21.96</v>
      </c>
      <c r="C1281" s="392">
        <v>20.29</v>
      </c>
    </row>
    <row r="1282" spans="1:3">
      <c r="A1282" s="392">
        <v>20.3</v>
      </c>
      <c r="B1282" s="392">
        <v>21.97</v>
      </c>
      <c r="C1282" s="392">
        <v>20.3</v>
      </c>
    </row>
    <row r="1283" spans="1:3">
      <c r="A1283" s="392">
        <v>20.309999999999999</v>
      </c>
      <c r="B1283" s="392">
        <v>21.98</v>
      </c>
      <c r="C1283" s="392">
        <v>20.309999999999999</v>
      </c>
    </row>
    <row r="1284" spans="1:3">
      <c r="A1284" s="392">
        <v>20.32</v>
      </c>
      <c r="B1284" s="392">
        <v>21.99</v>
      </c>
      <c r="C1284" s="392">
        <v>20.32</v>
      </c>
    </row>
    <row r="1285" spans="1:3">
      <c r="A1285" s="392">
        <v>20.329999999999998</v>
      </c>
      <c r="B1285" s="392">
        <v>22.01</v>
      </c>
      <c r="C1285" s="392">
        <v>20.329999999999998</v>
      </c>
    </row>
    <row r="1286" spans="1:3">
      <c r="A1286" s="392">
        <v>20.34</v>
      </c>
      <c r="B1286" s="392">
        <v>22.02</v>
      </c>
      <c r="C1286" s="392">
        <v>20.34</v>
      </c>
    </row>
    <row r="1287" spans="1:3">
      <c r="A1287" s="392">
        <v>20.350000000000001</v>
      </c>
      <c r="B1287" s="392">
        <v>22.03</v>
      </c>
      <c r="C1287" s="392">
        <v>20.350000000000001</v>
      </c>
    </row>
    <row r="1288" spans="1:3">
      <c r="A1288" s="392">
        <v>20.36</v>
      </c>
      <c r="B1288" s="392">
        <v>22.04</v>
      </c>
      <c r="C1288" s="392">
        <v>20.36</v>
      </c>
    </row>
    <row r="1289" spans="1:3">
      <c r="A1289" s="392">
        <v>20.37</v>
      </c>
      <c r="B1289" s="392">
        <v>22.05</v>
      </c>
      <c r="C1289" s="392">
        <v>20.37</v>
      </c>
    </row>
    <row r="1290" spans="1:3">
      <c r="A1290" s="392">
        <v>20.38</v>
      </c>
      <c r="B1290" s="392">
        <v>22.06</v>
      </c>
      <c r="C1290" s="392">
        <v>20.38</v>
      </c>
    </row>
    <row r="1291" spans="1:3">
      <c r="A1291" s="392">
        <v>20.39</v>
      </c>
      <c r="B1291" s="392">
        <v>22.08</v>
      </c>
      <c r="C1291" s="392">
        <v>20.39</v>
      </c>
    </row>
    <row r="1292" spans="1:3">
      <c r="A1292" s="392">
        <v>20.399999999999999</v>
      </c>
      <c r="B1292" s="392">
        <v>22.09</v>
      </c>
      <c r="C1292" s="392">
        <v>20.399999999999999</v>
      </c>
    </row>
    <row r="1293" spans="1:3">
      <c r="A1293" s="392">
        <v>20.41</v>
      </c>
      <c r="B1293" s="392">
        <v>22.1</v>
      </c>
      <c r="C1293" s="392">
        <v>20.41</v>
      </c>
    </row>
    <row r="1294" spans="1:3">
      <c r="A1294" s="392">
        <v>20.420000000000002</v>
      </c>
      <c r="B1294" s="392">
        <v>22.11</v>
      </c>
      <c r="C1294" s="392">
        <v>20.420000000000002</v>
      </c>
    </row>
    <row r="1295" spans="1:3">
      <c r="A1295" s="392">
        <v>20.43</v>
      </c>
      <c r="B1295" s="392">
        <v>22.12</v>
      </c>
      <c r="C1295" s="392">
        <v>20.43</v>
      </c>
    </row>
    <row r="1296" spans="1:3">
      <c r="A1296" s="392">
        <v>20.440000000000001</v>
      </c>
      <c r="B1296" s="392">
        <v>22.13</v>
      </c>
      <c r="C1296" s="392">
        <v>20.440000000000001</v>
      </c>
    </row>
    <row r="1297" spans="1:3">
      <c r="A1297" s="392">
        <v>20.45</v>
      </c>
      <c r="B1297" s="392">
        <v>22.15</v>
      </c>
      <c r="C1297" s="392">
        <v>20.45</v>
      </c>
    </row>
    <row r="1298" spans="1:3">
      <c r="A1298" s="392">
        <v>20.46</v>
      </c>
      <c r="B1298" s="392">
        <v>22.16</v>
      </c>
      <c r="C1298" s="392">
        <v>20.46</v>
      </c>
    </row>
    <row r="1299" spans="1:3">
      <c r="A1299" s="392">
        <v>20.47</v>
      </c>
      <c r="B1299" s="392">
        <v>22.17</v>
      </c>
      <c r="C1299" s="392">
        <v>20.47</v>
      </c>
    </row>
    <row r="1300" spans="1:3">
      <c r="A1300" s="392">
        <v>20.48</v>
      </c>
      <c r="B1300" s="392">
        <v>22.18</v>
      </c>
      <c r="C1300" s="392">
        <v>20.48</v>
      </c>
    </row>
    <row r="1301" spans="1:3">
      <c r="A1301" s="392">
        <v>20.49</v>
      </c>
      <c r="B1301" s="392">
        <v>22.19</v>
      </c>
      <c r="C1301" s="392">
        <v>20.49</v>
      </c>
    </row>
    <row r="1302" spans="1:3">
      <c r="A1302" s="392">
        <v>20.5</v>
      </c>
      <c r="B1302" s="392">
        <v>22.21</v>
      </c>
      <c r="C1302" s="392">
        <v>20.5</v>
      </c>
    </row>
    <row r="1303" spans="1:3">
      <c r="A1303" s="392">
        <v>20.51</v>
      </c>
      <c r="B1303" s="392">
        <v>22.22</v>
      </c>
      <c r="C1303" s="392">
        <v>20.51</v>
      </c>
    </row>
    <row r="1304" spans="1:3">
      <c r="A1304" s="392">
        <v>20.52</v>
      </c>
      <c r="B1304" s="392">
        <v>22.23</v>
      </c>
      <c r="C1304" s="392">
        <v>20.52</v>
      </c>
    </row>
    <row r="1305" spans="1:3">
      <c r="A1305" s="392">
        <v>20.53</v>
      </c>
      <c r="B1305" s="392">
        <v>22.24</v>
      </c>
      <c r="C1305" s="392">
        <v>20.53</v>
      </c>
    </row>
    <row r="1306" spans="1:3">
      <c r="A1306" s="392">
        <v>20.54</v>
      </c>
      <c r="B1306" s="392">
        <v>22.25</v>
      </c>
      <c r="C1306" s="392">
        <v>20.54</v>
      </c>
    </row>
    <row r="1307" spans="1:3">
      <c r="A1307" s="392">
        <v>20.55</v>
      </c>
      <c r="B1307" s="392">
        <v>22.26</v>
      </c>
      <c r="C1307" s="392">
        <v>20.55</v>
      </c>
    </row>
    <row r="1308" spans="1:3">
      <c r="A1308" s="392">
        <v>20.56</v>
      </c>
      <c r="B1308" s="392">
        <v>22.28</v>
      </c>
      <c r="C1308" s="392">
        <v>20.56</v>
      </c>
    </row>
    <row r="1309" spans="1:3">
      <c r="A1309" s="392">
        <v>20.57</v>
      </c>
      <c r="B1309" s="392">
        <v>22.29</v>
      </c>
      <c r="C1309" s="392">
        <v>20.57</v>
      </c>
    </row>
    <row r="1310" spans="1:3">
      <c r="A1310" s="392">
        <v>20.58</v>
      </c>
      <c r="B1310" s="392">
        <v>22.3</v>
      </c>
      <c r="C1310" s="392">
        <v>20.58</v>
      </c>
    </row>
    <row r="1311" spans="1:3">
      <c r="A1311" s="392">
        <v>20.59</v>
      </c>
      <c r="B1311" s="392">
        <v>22.31</v>
      </c>
      <c r="C1311" s="392">
        <v>20.59</v>
      </c>
    </row>
    <row r="1312" spans="1:3">
      <c r="A1312" s="392">
        <v>20.6</v>
      </c>
      <c r="B1312" s="392">
        <v>22.32</v>
      </c>
      <c r="C1312" s="392">
        <v>20.6</v>
      </c>
    </row>
    <row r="1313" spans="1:3">
      <c r="A1313" s="392">
        <v>20.61</v>
      </c>
      <c r="B1313" s="392">
        <v>22.33</v>
      </c>
      <c r="C1313" s="392">
        <v>20.61</v>
      </c>
    </row>
    <row r="1314" spans="1:3">
      <c r="A1314" s="392">
        <v>20.62</v>
      </c>
      <c r="B1314" s="392">
        <v>22.35</v>
      </c>
      <c r="C1314" s="392">
        <v>20.62</v>
      </c>
    </row>
    <row r="1315" spans="1:3">
      <c r="A1315" s="392">
        <v>20.63</v>
      </c>
      <c r="B1315" s="392">
        <v>22.36</v>
      </c>
      <c r="C1315" s="392">
        <v>20.63</v>
      </c>
    </row>
    <row r="1316" spans="1:3">
      <c r="A1316" s="392">
        <v>20.64</v>
      </c>
      <c r="B1316" s="392">
        <v>22.37</v>
      </c>
      <c r="C1316" s="392">
        <v>20.64</v>
      </c>
    </row>
    <row r="1317" spans="1:3">
      <c r="A1317" s="392">
        <v>20.65</v>
      </c>
      <c r="B1317" s="392">
        <v>22.38</v>
      </c>
      <c r="C1317" s="392">
        <v>20.65</v>
      </c>
    </row>
    <row r="1318" spans="1:3">
      <c r="A1318" s="392">
        <v>20.66</v>
      </c>
      <c r="B1318" s="392">
        <v>22.39</v>
      </c>
      <c r="C1318" s="392">
        <v>20.66</v>
      </c>
    </row>
    <row r="1319" spans="1:3">
      <c r="A1319" s="392">
        <v>20.67</v>
      </c>
      <c r="B1319" s="392">
        <v>22.41</v>
      </c>
      <c r="C1319" s="392">
        <v>20.67</v>
      </c>
    </row>
    <row r="1320" spans="1:3">
      <c r="A1320" s="392">
        <v>20.68</v>
      </c>
      <c r="B1320" s="392">
        <v>22.42</v>
      </c>
      <c r="C1320" s="392">
        <v>20.68</v>
      </c>
    </row>
    <row r="1321" spans="1:3">
      <c r="A1321" s="392">
        <v>20.69</v>
      </c>
      <c r="B1321" s="392">
        <v>22.43</v>
      </c>
      <c r="C1321" s="392">
        <v>20.69</v>
      </c>
    </row>
    <row r="1322" spans="1:3">
      <c r="A1322" s="392">
        <v>20.7</v>
      </c>
      <c r="B1322" s="392">
        <v>22.44</v>
      </c>
      <c r="C1322" s="392">
        <v>20.7</v>
      </c>
    </row>
    <row r="1323" spans="1:3">
      <c r="A1323" s="392">
        <v>20.71</v>
      </c>
      <c r="B1323" s="392">
        <v>22.45</v>
      </c>
      <c r="C1323" s="392">
        <v>20.71</v>
      </c>
    </row>
    <row r="1324" spans="1:3">
      <c r="A1324" s="392">
        <v>20.72</v>
      </c>
      <c r="B1324" s="392">
        <v>22.46</v>
      </c>
      <c r="C1324" s="392">
        <v>20.72</v>
      </c>
    </row>
    <row r="1325" spans="1:3">
      <c r="A1325" s="392">
        <v>20.73</v>
      </c>
      <c r="B1325" s="392">
        <v>22.48</v>
      </c>
      <c r="C1325" s="392">
        <v>20.73</v>
      </c>
    </row>
    <row r="1326" spans="1:3">
      <c r="A1326" s="392">
        <v>20.74</v>
      </c>
      <c r="B1326" s="392">
        <v>22.49</v>
      </c>
      <c r="C1326" s="392">
        <v>20.74</v>
      </c>
    </row>
    <row r="1327" spans="1:3">
      <c r="A1327" s="392">
        <v>20.75</v>
      </c>
      <c r="B1327" s="392">
        <v>22.5</v>
      </c>
      <c r="C1327" s="392">
        <v>20.75</v>
      </c>
    </row>
    <row r="1328" spans="1:3">
      <c r="A1328" s="392">
        <v>20.76</v>
      </c>
      <c r="B1328" s="392">
        <v>22.51</v>
      </c>
      <c r="C1328" s="392">
        <v>20.76</v>
      </c>
    </row>
    <row r="1329" spans="1:3">
      <c r="A1329" s="392">
        <v>20.77</v>
      </c>
      <c r="B1329" s="392">
        <v>22.52</v>
      </c>
      <c r="C1329" s="392">
        <v>20.77</v>
      </c>
    </row>
    <row r="1330" spans="1:3">
      <c r="A1330" s="392">
        <v>20.78</v>
      </c>
      <c r="B1330" s="392">
        <v>22.53</v>
      </c>
      <c r="C1330" s="392">
        <v>20.78</v>
      </c>
    </row>
    <row r="1331" spans="1:3">
      <c r="A1331" s="392">
        <v>20.79</v>
      </c>
      <c r="B1331" s="392">
        <v>22.55</v>
      </c>
      <c r="C1331" s="392">
        <v>20.79</v>
      </c>
    </row>
    <row r="1332" spans="1:3">
      <c r="A1332" s="392">
        <v>20.8</v>
      </c>
      <c r="B1332" s="392">
        <v>22.56</v>
      </c>
      <c r="C1332" s="392">
        <v>20.8</v>
      </c>
    </row>
    <row r="1333" spans="1:3">
      <c r="A1333" s="392">
        <v>20.81</v>
      </c>
      <c r="B1333" s="392">
        <v>22.57</v>
      </c>
      <c r="C1333" s="392">
        <v>20.81</v>
      </c>
    </row>
    <row r="1334" spans="1:3">
      <c r="A1334" s="392">
        <v>20.82</v>
      </c>
      <c r="B1334" s="392">
        <v>22.58</v>
      </c>
      <c r="C1334" s="392">
        <v>20.82</v>
      </c>
    </row>
    <row r="1335" spans="1:3">
      <c r="A1335" s="392">
        <v>20.83</v>
      </c>
      <c r="B1335" s="392">
        <v>22.59</v>
      </c>
      <c r="C1335" s="392">
        <v>20.83</v>
      </c>
    </row>
    <row r="1336" spans="1:3">
      <c r="A1336" s="392">
        <v>20.84</v>
      </c>
      <c r="B1336" s="392">
        <v>22.61</v>
      </c>
      <c r="C1336" s="392">
        <v>20.84</v>
      </c>
    </row>
    <row r="1337" spans="1:3">
      <c r="A1337" s="392">
        <v>20.85</v>
      </c>
      <c r="B1337" s="392">
        <v>22.62</v>
      </c>
      <c r="C1337" s="392">
        <v>20.85</v>
      </c>
    </row>
    <row r="1338" spans="1:3">
      <c r="A1338" s="392">
        <v>20.86</v>
      </c>
      <c r="B1338" s="392">
        <v>22.63</v>
      </c>
      <c r="C1338" s="392">
        <v>20.86</v>
      </c>
    </row>
    <row r="1339" spans="1:3">
      <c r="A1339" s="392">
        <v>20.87</v>
      </c>
      <c r="B1339" s="392">
        <v>22.64</v>
      </c>
      <c r="C1339" s="392">
        <v>20.87</v>
      </c>
    </row>
    <row r="1340" spans="1:3">
      <c r="A1340" s="392">
        <v>20.88</v>
      </c>
      <c r="B1340" s="392">
        <v>22.65</v>
      </c>
      <c r="C1340" s="392">
        <v>20.88</v>
      </c>
    </row>
    <row r="1341" spans="1:3">
      <c r="A1341" s="392">
        <v>20.89</v>
      </c>
      <c r="B1341" s="392">
        <v>22.66</v>
      </c>
      <c r="C1341" s="392">
        <v>20.89</v>
      </c>
    </row>
    <row r="1342" spans="1:3">
      <c r="A1342" s="392">
        <v>20.9</v>
      </c>
      <c r="B1342" s="392">
        <v>22.68</v>
      </c>
      <c r="C1342" s="392">
        <v>20.9</v>
      </c>
    </row>
    <row r="1343" spans="1:3">
      <c r="A1343" s="392">
        <v>20.91</v>
      </c>
      <c r="B1343" s="392">
        <v>22.69</v>
      </c>
      <c r="C1343" s="392">
        <v>20.91</v>
      </c>
    </row>
    <row r="1344" spans="1:3">
      <c r="A1344" s="392">
        <v>20.92</v>
      </c>
      <c r="B1344" s="392">
        <v>22.7</v>
      </c>
      <c r="C1344" s="392">
        <v>20.92</v>
      </c>
    </row>
    <row r="1345" spans="1:3">
      <c r="A1345" s="392">
        <v>20.93</v>
      </c>
      <c r="B1345" s="392">
        <v>22.71</v>
      </c>
      <c r="C1345" s="392">
        <v>20.93</v>
      </c>
    </row>
    <row r="1346" spans="1:3">
      <c r="A1346" s="392">
        <v>20.94</v>
      </c>
      <c r="B1346" s="392">
        <v>22.72</v>
      </c>
      <c r="C1346" s="392">
        <v>20.94</v>
      </c>
    </row>
    <row r="1347" spans="1:3">
      <c r="A1347" s="392">
        <v>20.95</v>
      </c>
      <c r="B1347" s="392">
        <v>22.73</v>
      </c>
      <c r="C1347" s="392">
        <v>20.95</v>
      </c>
    </row>
    <row r="1348" spans="1:3">
      <c r="A1348" s="392">
        <v>20.96</v>
      </c>
      <c r="B1348" s="392">
        <v>22.75</v>
      </c>
      <c r="C1348" s="392">
        <v>20.96</v>
      </c>
    </row>
    <row r="1349" spans="1:3">
      <c r="A1349" s="392">
        <v>20.97</v>
      </c>
      <c r="B1349" s="392">
        <v>22.76</v>
      </c>
      <c r="C1349" s="392">
        <v>20.97</v>
      </c>
    </row>
    <row r="1350" spans="1:3">
      <c r="A1350" s="392">
        <v>20.98</v>
      </c>
      <c r="B1350" s="392">
        <v>22.77</v>
      </c>
      <c r="C1350" s="392">
        <v>20.98</v>
      </c>
    </row>
    <row r="1351" spans="1:3">
      <c r="A1351" s="392">
        <v>20.99</v>
      </c>
      <c r="B1351" s="392">
        <v>22.78</v>
      </c>
      <c r="C1351" s="392">
        <v>20.99</v>
      </c>
    </row>
    <row r="1352" spans="1:3">
      <c r="A1352" s="392">
        <v>21</v>
      </c>
      <c r="B1352" s="392">
        <v>22.79</v>
      </c>
      <c r="C1352" s="392">
        <v>21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60B0-9438-4C29-99C8-A807D30A8A3B}">
  <sheetPr>
    <tabColor rgb="FFFF0000"/>
  </sheetPr>
  <dimension ref="B1:ER109"/>
  <sheetViews>
    <sheetView zoomScaleNormal="100" workbookViewId="0">
      <pane xSplit="45" topLeftCell="AU1" activePane="topRight" state="frozen"/>
      <selection activeCell="H2" sqref="H2"/>
      <selection pane="topRight" activeCell="AU4" sqref="AU4:EO8"/>
    </sheetView>
  </sheetViews>
  <sheetFormatPr defaultColWidth="9.1796875" defaultRowHeight="12.5"/>
  <cols>
    <col min="1" max="1" width="2.1796875" style="661" customWidth="1"/>
    <col min="2" max="2" width="6.1796875" style="665" customWidth="1"/>
    <col min="3" max="3" width="31.81640625" style="666" customWidth="1"/>
    <col min="4" max="4" width="7.54296875" style="667" customWidth="1"/>
    <col min="5" max="5" width="7.1796875" style="667" customWidth="1"/>
    <col min="6" max="6" width="9.54296875" style="667" customWidth="1"/>
    <col min="7" max="7" width="9.453125" style="667" customWidth="1"/>
    <col min="8" max="8" width="7.81640625" style="667" customWidth="1"/>
    <col min="9" max="9" width="8.453125" style="667" customWidth="1"/>
    <col min="10" max="10" width="19.81640625" style="668" customWidth="1"/>
    <col min="11" max="11" width="10.54296875" style="669" customWidth="1"/>
    <col min="12" max="12" width="7.81640625" style="670" customWidth="1"/>
    <col min="13" max="13" width="7.453125" style="661" hidden="1" customWidth="1"/>
    <col min="14" max="19" width="8" style="661" hidden="1" customWidth="1"/>
    <col min="20" max="20" width="9.1796875" style="661" hidden="1" customWidth="1"/>
    <col min="21" max="21" width="11.1796875" style="661" hidden="1" customWidth="1"/>
    <col min="22" max="23" width="9.1796875" style="661" hidden="1" customWidth="1"/>
    <col min="24" max="24" width="9.1796875" style="661" hidden="1" customWidth="1" collapsed="1"/>
    <col min="25" max="34" width="9.1796875" style="661" hidden="1" customWidth="1"/>
    <col min="35" max="35" width="6.54296875" style="661" hidden="1" customWidth="1"/>
    <col min="36" max="37" width="9.1796875" style="661" hidden="1" customWidth="1"/>
    <col min="38" max="38" width="10.1796875" style="661" hidden="1" customWidth="1"/>
    <col min="39" max="39" width="13" style="661" hidden="1" customWidth="1"/>
    <col min="40" max="40" width="11.81640625" style="661" hidden="1" customWidth="1"/>
    <col min="41" max="41" width="14.1796875" style="661" hidden="1" customWidth="1"/>
    <col min="42" max="42" width="16.1796875" style="661" hidden="1" customWidth="1"/>
    <col min="43" max="43" width="13.81640625" style="661" hidden="1" customWidth="1"/>
    <col min="44" max="44" width="13" style="661" hidden="1" customWidth="1"/>
    <col min="45" max="45" width="9.1796875" style="661" hidden="1" customWidth="1"/>
    <col min="46" max="46" width="9.1796875" style="661" customWidth="1"/>
    <col min="47" max="47" width="5.54296875" style="661" customWidth="1"/>
    <col min="48" max="48" width="12" style="661" customWidth="1"/>
    <col min="49" max="49" width="11.54296875" style="661" customWidth="1"/>
    <col min="50" max="50" width="12.1796875" style="661" customWidth="1"/>
    <col min="51" max="51" width="6.1796875" style="661" customWidth="1"/>
    <col min="52" max="52" width="6.54296875" style="661" customWidth="1"/>
    <col min="53" max="53" width="10.1796875" style="661" customWidth="1"/>
    <col min="54" max="54" width="6.54296875" style="661" customWidth="1"/>
    <col min="55" max="55" width="7.81640625" style="661" customWidth="1"/>
    <col min="56" max="56" width="11.1796875" style="661" customWidth="1"/>
    <col min="57" max="57" width="11.54296875" style="661" bestFit="1" customWidth="1"/>
    <col min="58" max="58" width="5.54296875" style="661" customWidth="1"/>
    <col min="59" max="60" width="6.81640625" style="661" customWidth="1"/>
    <col min="61" max="61" width="8.54296875" style="661" customWidth="1"/>
    <col min="62" max="62" width="8.81640625" style="661" customWidth="1"/>
    <col min="63" max="65" width="9.1796875" style="661" customWidth="1"/>
    <col min="66" max="66" width="7.54296875" style="661" customWidth="1"/>
    <col min="67" max="67" width="7.1796875" style="661" customWidth="1"/>
    <col min="68" max="68" width="8.81640625" style="661" customWidth="1"/>
    <col min="69" max="69" width="7.54296875" style="661" customWidth="1"/>
    <col min="70" max="70" width="8.1796875" style="661" customWidth="1"/>
    <col min="71" max="71" width="7.1796875" style="661" customWidth="1"/>
    <col min="72" max="72" width="6.54296875" style="661" customWidth="1"/>
    <col min="73" max="73" width="9.1796875" style="661" customWidth="1"/>
    <col min="74" max="74" width="7.1796875" style="661" customWidth="1"/>
    <col min="75" max="75" width="5.81640625" style="661" customWidth="1"/>
    <col min="76" max="78" width="6.1796875" style="661" customWidth="1"/>
    <col min="79" max="80" width="9.1796875" style="661" customWidth="1"/>
    <col min="81" max="81" width="5.54296875" style="661" customWidth="1"/>
    <col min="82" max="82" width="6" style="661" customWidth="1"/>
    <col min="83" max="83" width="5.453125" style="661" customWidth="1"/>
    <col min="84" max="97" width="6.81640625" style="661" customWidth="1"/>
    <col min="98" max="98" width="7.54296875" style="661" customWidth="1"/>
    <col min="99" max="99" width="6.1796875" style="661" customWidth="1"/>
    <col min="100" max="100" width="6" style="661" customWidth="1"/>
    <col min="101" max="101" width="6.453125" style="661" customWidth="1"/>
    <col min="102" max="102" width="5.453125" style="661" customWidth="1"/>
    <col min="103" max="103" width="6.81640625" style="661" customWidth="1"/>
    <col min="104" max="104" width="6.453125" style="661" customWidth="1"/>
    <col min="105" max="105" width="11.54296875" style="661" customWidth="1"/>
    <col min="106" max="106" width="7.81640625" style="661" customWidth="1"/>
    <col min="107" max="107" width="7.453125" style="661" customWidth="1"/>
    <col min="108" max="108" width="6.1796875" style="661" customWidth="1"/>
    <col min="109" max="109" width="6.81640625" style="661" customWidth="1"/>
    <col min="110" max="110" width="5.1796875" style="661" customWidth="1"/>
    <col min="111" max="112" width="8" style="661" customWidth="1"/>
    <col min="113" max="113" width="7.453125" style="661" customWidth="1"/>
    <col min="114" max="116" width="6.1796875" style="661" customWidth="1"/>
    <col min="117" max="117" width="6.81640625" style="661" customWidth="1"/>
    <col min="118" max="118" width="10.1796875" style="661" customWidth="1"/>
    <col min="119" max="119" width="6" style="661" customWidth="1"/>
    <col min="120" max="120" width="6.81640625" style="661" customWidth="1"/>
    <col min="121" max="121" width="7" style="661" customWidth="1"/>
    <col min="122" max="122" width="7.54296875" style="661" customWidth="1"/>
    <col min="123" max="124" width="9.1796875" style="661" customWidth="1"/>
    <col min="125" max="125" width="6.1796875" style="661" customWidth="1"/>
    <col min="126" max="126" width="7.1796875" style="661" customWidth="1"/>
    <col min="127" max="127" width="6.54296875" style="661" customWidth="1"/>
    <col min="128" max="128" width="5.1796875" style="661" customWidth="1"/>
    <col min="129" max="129" width="6.81640625" style="661" customWidth="1"/>
    <col min="130" max="130" width="8.1796875" style="661" customWidth="1"/>
    <col min="131" max="131" width="7" style="661" customWidth="1"/>
    <col min="132" max="132" width="6.1796875" style="661" customWidth="1"/>
    <col min="133" max="133" width="7.1796875" style="661" customWidth="1"/>
    <col min="134" max="134" width="6.81640625" style="661" customWidth="1"/>
    <col min="135" max="135" width="7.1796875" style="661" customWidth="1"/>
    <col min="136" max="136" width="7.453125" style="661" customWidth="1"/>
    <col min="137" max="137" width="7.54296875" style="661" customWidth="1"/>
    <col min="138" max="138" width="6.1796875" style="661" customWidth="1"/>
    <col min="139" max="140" width="6.81640625" style="661" customWidth="1"/>
    <col min="141" max="141" width="6.54296875" style="661" customWidth="1"/>
    <col min="142" max="142" width="5.1796875" style="661" customWidth="1"/>
    <col min="143" max="143" width="7.81640625" style="661" customWidth="1"/>
    <col min="144" max="144" width="5.81640625" style="661" customWidth="1"/>
    <col min="145" max="145" width="5.54296875" style="661" customWidth="1"/>
    <col min="146" max="146" width="9.1796875" style="661" customWidth="1"/>
    <col min="147" max="16384" width="9.1796875" style="661"/>
  </cols>
  <sheetData>
    <row r="1" spans="2:148" s="660" customFormat="1" ht="33.75" customHeight="1" thickBot="1">
      <c r="B1" s="994" t="s">
        <v>24</v>
      </c>
      <c r="C1" s="994"/>
      <c r="D1" s="994"/>
      <c r="E1" s="994"/>
      <c r="F1" s="994"/>
      <c r="G1" s="994"/>
      <c r="H1" s="994"/>
      <c r="I1" s="994"/>
      <c r="J1" s="994"/>
      <c r="K1" s="994"/>
      <c r="L1" s="994"/>
      <c r="M1" s="994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3"/>
      <c r="AG1" s="233"/>
      <c r="AH1" s="233"/>
      <c r="AI1" s="233"/>
      <c r="AJ1" s="233"/>
      <c r="AK1" s="233"/>
      <c r="AL1" s="233"/>
      <c r="AM1" s="233"/>
      <c r="AN1" s="233"/>
      <c r="AO1" s="233"/>
      <c r="AP1" s="233"/>
      <c r="AQ1" s="233"/>
      <c r="AR1" s="233"/>
      <c r="AS1" s="233"/>
      <c r="AU1" s="720">
        <v>1</v>
      </c>
      <c r="AV1" s="721" t="s">
        <v>25</v>
      </c>
      <c r="AW1" s="672"/>
      <c r="AX1" s="672"/>
      <c r="AY1" s="672"/>
      <c r="AZ1" s="672"/>
      <c r="BA1" s="672"/>
      <c r="BB1" s="672"/>
      <c r="BC1" s="672"/>
      <c r="BD1" s="672"/>
      <c r="BE1" s="672"/>
      <c r="BF1" s="672"/>
      <c r="BG1" s="672"/>
      <c r="BH1" s="672"/>
      <c r="BI1" s="672"/>
      <c r="BJ1" s="672"/>
      <c r="BK1" s="672"/>
      <c r="BL1" s="672"/>
      <c r="BM1" s="672"/>
      <c r="BN1" s="672"/>
      <c r="BO1" s="672"/>
      <c r="BP1" s="672"/>
      <c r="BQ1" s="672"/>
      <c r="BR1" s="672"/>
      <c r="BS1" s="672"/>
      <c r="BT1" s="672"/>
      <c r="BU1" s="672"/>
      <c r="BV1" s="672"/>
      <c r="BW1" s="672"/>
      <c r="BX1" s="672"/>
      <c r="BY1" s="672"/>
      <c r="BZ1" s="672"/>
      <c r="CA1" s="672"/>
      <c r="CB1" s="672"/>
      <c r="CC1" s="672"/>
      <c r="CD1" s="672"/>
      <c r="CE1" s="672"/>
      <c r="CF1" s="672"/>
      <c r="CG1" s="672"/>
      <c r="CH1" s="672"/>
      <c r="CI1" s="672"/>
      <c r="CJ1" s="672"/>
      <c r="CK1" s="672"/>
      <c r="CL1" s="672"/>
      <c r="CM1" s="672"/>
      <c r="CN1" s="672"/>
      <c r="CO1" s="672"/>
      <c r="CP1" s="672"/>
      <c r="CQ1" s="672"/>
      <c r="CR1" s="672"/>
      <c r="CS1" s="672"/>
      <c r="CT1" s="672"/>
      <c r="CU1" s="672"/>
      <c r="CV1" s="672"/>
      <c r="CW1" s="672"/>
      <c r="CX1" s="672"/>
      <c r="CY1" s="672"/>
      <c r="CZ1" s="672"/>
      <c r="DA1" s="672"/>
      <c r="DB1" s="672"/>
      <c r="DC1" s="672"/>
      <c r="DD1" s="672"/>
      <c r="DE1" s="672"/>
      <c r="DF1" s="672"/>
      <c r="DG1" s="672"/>
      <c r="DH1" s="672"/>
      <c r="DI1" s="672"/>
      <c r="DJ1" s="672"/>
      <c r="DK1" s="672"/>
      <c r="DL1" s="672"/>
      <c r="DM1" s="672"/>
      <c r="DN1" s="672"/>
      <c r="DO1" s="672"/>
      <c r="DP1" s="672"/>
      <c r="DQ1" s="672"/>
      <c r="DR1" s="672"/>
      <c r="DS1" s="672"/>
      <c r="DT1" s="672"/>
      <c r="DU1" s="672"/>
      <c r="DV1" s="672"/>
      <c r="DW1" s="672"/>
      <c r="DX1" s="672"/>
      <c r="DY1" s="672"/>
      <c r="DZ1" s="672"/>
      <c r="EA1" s="672"/>
      <c r="EB1" s="672"/>
      <c r="EC1" s="672"/>
      <c r="ED1" s="672"/>
      <c r="EE1" s="672"/>
      <c r="EF1" s="672"/>
      <c r="EG1" s="672"/>
      <c r="EH1" s="672"/>
      <c r="EI1" s="672"/>
      <c r="EJ1" s="672"/>
      <c r="EK1" s="672"/>
      <c r="EL1" s="672"/>
      <c r="EM1" s="672"/>
      <c r="EN1" s="672"/>
      <c r="EO1" s="672"/>
      <c r="EP1" s="672"/>
      <c r="EQ1" s="671"/>
      <c r="ER1" s="671"/>
    </row>
    <row r="2" spans="2:148" s="660" customFormat="1" ht="14.5">
      <c r="B2" s="798"/>
      <c r="C2" s="798" t="s">
        <v>26</v>
      </c>
      <c r="D2" s="799" t="s">
        <v>27</v>
      </c>
      <c r="E2" s="752" t="s">
        <v>28</v>
      </c>
      <c r="F2" s="752"/>
      <c r="G2" s="799" t="s">
        <v>29</v>
      </c>
      <c r="H2" s="832">
        <v>28</v>
      </c>
      <c r="I2" s="798"/>
      <c r="J2" s="800"/>
      <c r="K2" s="801"/>
      <c r="L2" s="802"/>
      <c r="M2" s="803"/>
      <c r="N2" s="233"/>
      <c r="O2" s="233"/>
      <c r="P2" s="233"/>
      <c r="Q2" s="233"/>
      <c r="R2" s="233"/>
      <c r="S2" s="233"/>
      <c r="T2" s="233"/>
      <c r="U2" s="233"/>
      <c r="V2" s="233"/>
      <c r="W2" s="233"/>
      <c r="X2" s="233"/>
      <c r="Y2" s="233"/>
      <c r="Z2" s="233"/>
      <c r="AA2" s="233"/>
      <c r="AB2" s="233"/>
      <c r="AC2" s="233"/>
      <c r="AD2" s="233"/>
      <c r="AE2" s="233"/>
      <c r="AF2" s="233"/>
      <c r="AG2" s="233"/>
      <c r="AH2" s="233"/>
      <c r="AI2" s="233"/>
      <c r="AJ2" s="233"/>
      <c r="AK2" s="233"/>
      <c r="AL2" s="515" t="s">
        <v>30</v>
      </c>
      <c r="AM2" s="516" t="s">
        <v>31</v>
      </c>
      <c r="AN2" s="516" t="s">
        <v>32</v>
      </c>
      <c r="AO2" s="233"/>
      <c r="AP2" s="233"/>
      <c r="AQ2" s="233"/>
      <c r="AR2" s="233"/>
      <c r="AS2" s="233"/>
      <c r="AU2" s="720">
        <v>2</v>
      </c>
      <c r="AV2" s="721" t="s">
        <v>33</v>
      </c>
      <c r="AW2" s="672"/>
      <c r="AX2" s="672"/>
      <c r="AY2" s="673"/>
      <c r="AZ2" s="674"/>
      <c r="BA2" s="672"/>
      <c r="BB2" s="674"/>
      <c r="BC2" s="672"/>
      <c r="BD2" s="672"/>
      <c r="BE2" s="672"/>
      <c r="BF2" s="672"/>
      <c r="BG2" s="672"/>
      <c r="BH2" s="672"/>
      <c r="BI2" s="672"/>
      <c r="BJ2" s="672"/>
      <c r="BK2" s="672"/>
      <c r="BL2" s="672"/>
      <c r="BM2" s="672"/>
      <c r="BN2" s="672"/>
      <c r="BO2" s="672"/>
      <c r="BP2" s="672"/>
      <c r="BQ2" s="672"/>
      <c r="BR2" s="672"/>
      <c r="BS2" s="672"/>
      <c r="BT2" s="672"/>
      <c r="BU2" s="672"/>
      <c r="BV2" s="672"/>
      <c r="BW2" s="672"/>
      <c r="BX2" s="672"/>
      <c r="BY2" s="672"/>
      <c r="BZ2" s="672"/>
      <c r="CA2" s="672"/>
      <c r="CB2" s="672"/>
      <c r="CC2" s="672"/>
      <c r="CD2" s="672"/>
      <c r="CE2" s="672"/>
      <c r="CF2" s="672"/>
      <c r="CG2" s="672"/>
      <c r="CH2" s="672"/>
      <c r="CI2" s="672"/>
      <c r="CJ2" s="672"/>
      <c r="CK2" s="672"/>
      <c r="CL2" s="672"/>
      <c r="CM2" s="672"/>
      <c r="CN2" s="672"/>
      <c r="CO2" s="672"/>
      <c r="CP2" s="672"/>
      <c r="CQ2" s="672"/>
      <c r="CR2" s="672"/>
      <c r="CS2" s="672"/>
      <c r="CT2" s="672"/>
      <c r="CU2" s="672"/>
      <c r="CV2" s="672"/>
      <c r="CW2" s="672"/>
      <c r="CX2" s="672"/>
      <c r="CY2" s="672"/>
      <c r="CZ2" s="672"/>
      <c r="DA2" s="672"/>
      <c r="DB2" s="672"/>
      <c r="DC2" s="672"/>
      <c r="DD2" s="672"/>
      <c r="DE2" s="672"/>
      <c r="DF2" s="672"/>
      <c r="DG2" s="672"/>
      <c r="DH2" s="672"/>
      <c r="DI2" s="672"/>
      <c r="DJ2" s="672"/>
      <c r="DK2" s="672"/>
      <c r="DL2" s="672"/>
      <c r="DM2" s="672"/>
      <c r="DN2" s="672"/>
      <c r="DO2" s="672"/>
      <c r="DP2" s="672"/>
      <c r="DQ2" s="672"/>
      <c r="DR2" s="672"/>
      <c r="DS2" s="672"/>
      <c r="DT2" s="672"/>
      <c r="DU2" s="672"/>
      <c r="DV2" s="672"/>
      <c r="DW2" s="672"/>
      <c r="DX2" s="672"/>
      <c r="DY2" s="672"/>
      <c r="DZ2" s="672"/>
      <c r="EA2" s="672"/>
      <c r="EB2" s="672"/>
      <c r="EC2" s="672"/>
      <c r="ED2" s="672"/>
      <c r="EE2" s="672"/>
      <c r="EF2" s="672"/>
      <c r="EG2" s="672"/>
      <c r="EH2" s="672"/>
      <c r="EI2" s="672"/>
      <c r="EJ2" s="672"/>
      <c r="EK2" s="672"/>
      <c r="EL2" s="672"/>
      <c r="EM2" s="672"/>
      <c r="EN2" s="672"/>
      <c r="EO2" s="672"/>
      <c r="EP2" s="672"/>
      <c r="EQ2" s="671"/>
      <c r="ER2" s="671"/>
    </row>
    <row r="3" spans="2:148" s="660" customFormat="1" ht="15" thickBot="1">
      <c r="B3" s="798"/>
      <c r="C3" s="831" t="s">
        <v>33</v>
      </c>
      <c r="D3" s="801" t="s">
        <v>35</v>
      </c>
      <c r="E3" s="801">
        <v>10026</v>
      </c>
      <c r="F3" s="801"/>
      <c r="G3" s="800" t="s">
        <v>36</v>
      </c>
      <c r="H3" s="832">
        <f>10000+H2</f>
        <v>10028</v>
      </c>
      <c r="I3" s="800" t="s">
        <v>37</v>
      </c>
      <c r="J3" s="833">
        <v>46043</v>
      </c>
      <c r="K3" s="800" t="s">
        <v>38</v>
      </c>
      <c r="L3" s="834">
        <f>'10027'!L3</f>
        <v>14</v>
      </c>
      <c r="M3" s="798"/>
      <c r="N3" s="233"/>
      <c r="O3" s="233"/>
      <c r="P3" s="233">
        <f>36+5</f>
        <v>41</v>
      </c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517" t="e">
        <f>(K9)/(D9+K15)*100</f>
        <v>#VALUE!</v>
      </c>
      <c r="AM3" s="518" t="e">
        <f>(K8)/(D8-K15)*100</f>
        <v>#VALUE!</v>
      </c>
      <c r="AN3" s="518" t="e">
        <f>(K8+K9)/(D8+D9)*100</f>
        <v>#VALUE!</v>
      </c>
      <c r="AO3" s="233"/>
      <c r="AP3" s="233"/>
      <c r="AQ3" s="233"/>
      <c r="AR3" s="233"/>
      <c r="AS3" s="233"/>
      <c r="AU3" s="720">
        <v>3</v>
      </c>
      <c r="AV3" s="721" t="s">
        <v>34</v>
      </c>
    </row>
    <row r="4" spans="2:148" ht="15.75" customHeight="1" thickBot="1">
      <c r="B4" s="804"/>
      <c r="C4" s="805"/>
      <c r="D4" s="806"/>
      <c r="E4" s="806"/>
      <c r="F4" s="806"/>
      <c r="G4" s="806"/>
      <c r="H4" s="806"/>
      <c r="I4" s="806"/>
      <c r="J4" s="807"/>
      <c r="K4" s="808"/>
      <c r="L4" s="809"/>
      <c r="M4" s="810"/>
      <c r="N4" s="519"/>
      <c r="O4" s="519"/>
      <c r="P4" s="519">
        <f>P3+15</f>
        <v>56</v>
      </c>
      <c r="Q4" s="519"/>
      <c r="R4" s="519"/>
      <c r="S4" s="519"/>
      <c r="T4" s="520" t="s">
        <v>39</v>
      </c>
      <c r="U4" s="519"/>
      <c r="V4" s="519"/>
      <c r="W4" s="519"/>
      <c r="X4" s="519"/>
      <c r="Y4" s="519"/>
      <c r="Z4" s="519"/>
      <c r="AA4" s="519"/>
      <c r="AB4" s="519"/>
      <c r="AC4" s="519"/>
      <c r="AD4" s="519"/>
      <c r="AE4" s="519"/>
      <c r="AF4" s="519"/>
      <c r="AG4" s="519"/>
      <c r="AH4" s="519"/>
      <c r="AI4" s="519"/>
      <c r="AJ4" s="519"/>
      <c r="AK4" s="519"/>
      <c r="AL4" s="519"/>
      <c r="AM4" s="519"/>
      <c r="AN4" s="519"/>
      <c r="AO4" s="519"/>
      <c r="AP4" s="519"/>
      <c r="AQ4" s="519"/>
      <c r="AR4" s="519"/>
      <c r="AS4" s="519"/>
      <c r="AV4" s="811"/>
      <c r="BJ4" s="989" t="s">
        <v>40</v>
      </c>
      <c r="BU4" s="989" t="s">
        <v>41</v>
      </c>
      <c r="CE4" s="989" t="s">
        <v>42</v>
      </c>
      <c r="DH4" s="980" t="s">
        <v>43</v>
      </c>
      <c r="DI4" s="980" t="s">
        <v>44</v>
      </c>
      <c r="DJ4" s="980" t="s">
        <v>45</v>
      </c>
      <c r="DK4" s="980" t="s">
        <v>46</v>
      </c>
      <c r="DL4" s="980" t="s">
        <v>46</v>
      </c>
      <c r="DM4" s="980" t="s">
        <v>47</v>
      </c>
      <c r="DN4" s="981" t="s">
        <v>48</v>
      </c>
      <c r="DO4" s="980" t="s">
        <v>49</v>
      </c>
      <c r="DP4" s="980" t="s">
        <v>50</v>
      </c>
      <c r="DS4" s="980" t="s">
        <v>51</v>
      </c>
      <c r="DT4" s="980" t="s">
        <v>52</v>
      </c>
      <c r="DU4" s="980" t="s">
        <v>53</v>
      </c>
      <c r="EA4" s="980" t="s">
        <v>54</v>
      </c>
      <c r="EF4" s="980" t="s">
        <v>55</v>
      </c>
      <c r="EG4" s="980" t="s">
        <v>56</v>
      </c>
      <c r="EH4" s="980" t="s">
        <v>57</v>
      </c>
      <c r="EI4" s="980" t="s">
        <v>58</v>
      </c>
      <c r="EL4" s="989" t="s">
        <v>59</v>
      </c>
    </row>
    <row r="5" spans="2:148" s="695" customFormat="1" ht="15" customHeight="1">
      <c r="B5" s="982" t="s">
        <v>60</v>
      </c>
      <c r="C5" s="984" t="s">
        <v>61</v>
      </c>
      <c r="D5" s="986" t="s">
        <v>62</v>
      </c>
      <c r="E5" s="986"/>
      <c r="F5" s="986" t="s">
        <v>63</v>
      </c>
      <c r="G5" s="986"/>
      <c r="H5" s="986"/>
      <c r="I5" s="986"/>
      <c r="J5" s="984" t="s">
        <v>64</v>
      </c>
      <c r="K5" s="987" t="s">
        <v>65</v>
      </c>
      <c r="L5" s="995" t="s">
        <v>66</v>
      </c>
      <c r="M5" s="997" t="s">
        <v>67</v>
      </c>
      <c r="N5" s="693"/>
      <c r="O5" s="693"/>
      <c r="P5" s="693"/>
      <c r="Q5" s="693"/>
      <c r="R5" s="693"/>
      <c r="S5" s="693"/>
      <c r="T5" s="693"/>
      <c r="U5" s="693"/>
      <c r="V5" s="693"/>
      <c r="W5" s="693"/>
      <c r="X5" s="693"/>
      <c r="Y5" s="693"/>
      <c r="Z5" s="693"/>
      <c r="AA5" s="693"/>
      <c r="AB5" s="693"/>
      <c r="AC5" s="693"/>
      <c r="AD5" s="693"/>
      <c r="AE5" s="693"/>
      <c r="AF5" s="693"/>
      <c r="AG5" s="693"/>
      <c r="AH5" s="693"/>
      <c r="AI5" s="694"/>
      <c r="AJ5" s="693"/>
      <c r="AK5" s="693" t="s">
        <v>68</v>
      </c>
      <c r="AL5" s="693"/>
      <c r="AM5" s="693"/>
      <c r="AN5" s="693"/>
      <c r="AO5" s="693"/>
      <c r="AP5" s="693"/>
      <c r="AQ5" s="693"/>
      <c r="AR5" s="693"/>
      <c r="AS5" s="693"/>
      <c r="AU5" s="980" t="s">
        <v>69</v>
      </c>
      <c r="AV5" s="980" t="s">
        <v>70</v>
      </c>
      <c r="AW5" s="980" t="s">
        <v>71</v>
      </c>
      <c r="AX5" s="971" t="s">
        <v>72</v>
      </c>
      <c r="AY5" s="971" t="s">
        <v>73</v>
      </c>
      <c r="AZ5" s="980" t="s">
        <v>74</v>
      </c>
      <c r="BA5" s="980" t="s">
        <v>75</v>
      </c>
      <c r="BB5" s="980" t="s">
        <v>76</v>
      </c>
      <c r="BC5" s="971" t="s">
        <v>77</v>
      </c>
      <c r="BD5" s="971" t="s">
        <v>78</v>
      </c>
      <c r="BE5" s="971" t="s">
        <v>79</v>
      </c>
      <c r="BF5" s="971" t="s">
        <v>71</v>
      </c>
      <c r="BG5" s="971" t="s">
        <v>80</v>
      </c>
      <c r="BH5" s="971" t="s">
        <v>81</v>
      </c>
      <c r="BI5" s="971" t="s">
        <v>82</v>
      </c>
      <c r="BJ5" s="989"/>
      <c r="BK5" s="971" t="s">
        <v>83</v>
      </c>
      <c r="BL5" s="971" t="s">
        <v>84</v>
      </c>
      <c r="BM5" s="971" t="s">
        <v>85</v>
      </c>
      <c r="BN5" s="971" t="s">
        <v>74</v>
      </c>
      <c r="BO5" s="971" t="s">
        <v>86</v>
      </c>
      <c r="BP5" s="971" t="s">
        <v>87</v>
      </c>
      <c r="BQ5" s="971" t="s">
        <v>88</v>
      </c>
      <c r="BR5" s="971" t="s">
        <v>89</v>
      </c>
      <c r="BS5" s="971" t="s">
        <v>90</v>
      </c>
      <c r="BT5" s="971" t="s">
        <v>91</v>
      </c>
      <c r="BU5" s="989"/>
      <c r="BV5" s="971" t="s">
        <v>92</v>
      </c>
      <c r="BW5" s="971" t="s">
        <v>93</v>
      </c>
      <c r="BX5" s="971" t="s">
        <v>94</v>
      </c>
      <c r="BY5" s="971" t="s">
        <v>95</v>
      </c>
      <c r="BZ5" s="971" t="s">
        <v>96</v>
      </c>
      <c r="CA5" s="971" t="s">
        <v>97</v>
      </c>
      <c r="CB5" s="971" t="s">
        <v>98</v>
      </c>
      <c r="CC5" s="971" t="s">
        <v>99</v>
      </c>
      <c r="CD5" s="971" t="s">
        <v>100</v>
      </c>
      <c r="CE5" s="989"/>
      <c r="CF5" s="971" t="s">
        <v>101</v>
      </c>
      <c r="CG5" s="917"/>
      <c r="CH5" s="917"/>
      <c r="CI5" s="917"/>
      <c r="CJ5" s="917"/>
      <c r="CK5" s="917"/>
      <c r="CL5" s="917"/>
      <c r="CM5" s="917"/>
      <c r="CN5" s="917"/>
      <c r="CO5" s="917"/>
      <c r="CP5" s="917"/>
      <c r="CQ5" s="917"/>
      <c r="CR5" s="917"/>
      <c r="CS5" s="917"/>
      <c r="CT5" s="971" t="s">
        <v>102</v>
      </c>
      <c r="CU5" s="971" t="s">
        <v>103</v>
      </c>
      <c r="CV5" s="971" t="s">
        <v>104</v>
      </c>
      <c r="CW5" s="971" t="s">
        <v>105</v>
      </c>
      <c r="CX5" s="971" t="s">
        <v>105</v>
      </c>
      <c r="CY5" s="971" t="s">
        <v>106</v>
      </c>
      <c r="CZ5" s="971" t="s">
        <v>107</v>
      </c>
      <c r="DA5" s="971" t="s">
        <v>108</v>
      </c>
      <c r="DB5" s="971" t="s">
        <v>109</v>
      </c>
      <c r="DC5" s="971" t="s">
        <v>110</v>
      </c>
      <c r="DD5" s="971" t="s">
        <v>111</v>
      </c>
      <c r="DE5" s="971" t="s">
        <v>112</v>
      </c>
      <c r="DF5" s="971" t="s">
        <v>113</v>
      </c>
      <c r="DG5" s="977" t="s">
        <v>114</v>
      </c>
      <c r="DH5" s="980"/>
      <c r="DI5" s="980"/>
      <c r="DJ5" s="980"/>
      <c r="DK5" s="980"/>
      <c r="DL5" s="980"/>
      <c r="DM5" s="980"/>
      <c r="DN5" s="981"/>
      <c r="DO5" s="980"/>
      <c r="DP5" s="980"/>
      <c r="DQ5" s="991" t="s">
        <v>115</v>
      </c>
      <c r="DR5" s="977" t="s">
        <v>116</v>
      </c>
      <c r="DS5" s="980"/>
      <c r="DT5" s="980"/>
      <c r="DU5" s="980"/>
      <c r="DV5" s="971" t="s">
        <v>117</v>
      </c>
      <c r="DW5" s="971" t="s">
        <v>118</v>
      </c>
      <c r="DX5" s="971" t="s">
        <v>119</v>
      </c>
      <c r="DY5" s="971" t="s">
        <v>120</v>
      </c>
      <c r="DZ5" s="977" t="s">
        <v>121</v>
      </c>
      <c r="EA5" s="980"/>
      <c r="EB5" s="971" t="s">
        <v>122</v>
      </c>
      <c r="EC5" s="971" t="s">
        <v>123</v>
      </c>
      <c r="ED5" s="971" t="s">
        <v>124</v>
      </c>
      <c r="EE5" s="977" t="s">
        <v>125</v>
      </c>
      <c r="EF5" s="980"/>
      <c r="EG5" s="980"/>
      <c r="EH5" s="980"/>
      <c r="EI5" s="980"/>
      <c r="EJ5" s="991" t="s">
        <v>126</v>
      </c>
      <c r="EK5" s="971" t="s">
        <v>127</v>
      </c>
      <c r="EL5" s="989"/>
      <c r="EM5" s="971" t="s">
        <v>128</v>
      </c>
      <c r="EN5" s="971" t="s">
        <v>129</v>
      </c>
      <c r="EO5" s="971" t="s">
        <v>130</v>
      </c>
    </row>
    <row r="6" spans="2:148" s="698" customFormat="1" ht="12" thickBot="1">
      <c r="B6" s="983"/>
      <c r="C6" s="985"/>
      <c r="D6" s="794" t="s">
        <v>131</v>
      </c>
      <c r="E6" s="794" t="s">
        <v>66</v>
      </c>
      <c r="F6" s="794" t="s">
        <v>132</v>
      </c>
      <c r="G6" s="794" t="s">
        <v>133</v>
      </c>
      <c r="H6" s="794" t="s">
        <v>134</v>
      </c>
      <c r="I6" s="794" t="s">
        <v>66</v>
      </c>
      <c r="J6" s="985"/>
      <c r="K6" s="988"/>
      <c r="L6" s="996"/>
      <c r="M6" s="998"/>
      <c r="N6" s="696"/>
      <c r="O6" s="696"/>
      <c r="P6" s="696"/>
      <c r="Q6" s="696"/>
      <c r="R6" s="696"/>
      <c r="S6" s="696"/>
      <c r="T6" s="696" t="s">
        <v>135</v>
      </c>
      <c r="U6" s="696"/>
      <c r="V6" s="696"/>
      <c r="W6" s="696"/>
      <c r="X6" s="696"/>
      <c r="Y6" s="696"/>
      <c r="Z6" s="696"/>
      <c r="AA6" s="696"/>
      <c r="AB6" s="696"/>
      <c r="AC6" s="696"/>
      <c r="AD6" s="696"/>
      <c r="AE6" s="696"/>
      <c r="AF6" s="696"/>
      <c r="AG6" s="696"/>
      <c r="AH6" s="696"/>
      <c r="AI6" s="697"/>
      <c r="AJ6" s="696"/>
      <c r="AK6" s="696"/>
      <c r="AL6" s="696"/>
      <c r="AM6" s="696"/>
      <c r="AN6" s="696"/>
      <c r="AO6" s="696"/>
      <c r="AP6" s="696"/>
      <c r="AQ6" s="696"/>
      <c r="AR6" s="696"/>
      <c r="AS6" s="696"/>
      <c r="AU6" s="980"/>
      <c r="AV6" s="980"/>
      <c r="AW6" s="980"/>
      <c r="AX6" s="972"/>
      <c r="AY6" s="972"/>
      <c r="AZ6" s="980"/>
      <c r="BA6" s="980"/>
      <c r="BB6" s="980"/>
      <c r="BC6" s="972"/>
      <c r="BD6" s="972"/>
      <c r="BE6" s="972"/>
      <c r="BF6" s="972"/>
      <c r="BG6" s="972"/>
      <c r="BH6" s="972"/>
      <c r="BI6" s="972"/>
      <c r="BJ6" s="989"/>
      <c r="BK6" s="972"/>
      <c r="BL6" s="972"/>
      <c r="BM6" s="972"/>
      <c r="BN6" s="972"/>
      <c r="BO6" s="972"/>
      <c r="BP6" s="972"/>
      <c r="BQ6" s="972"/>
      <c r="BR6" s="972"/>
      <c r="BS6" s="972"/>
      <c r="BT6" s="972"/>
      <c r="BU6" s="989"/>
      <c r="BV6" s="972"/>
      <c r="BW6" s="972"/>
      <c r="BX6" s="972"/>
      <c r="BY6" s="972"/>
      <c r="BZ6" s="972"/>
      <c r="CA6" s="972"/>
      <c r="CB6" s="972"/>
      <c r="CC6" s="972"/>
      <c r="CD6" s="972"/>
      <c r="CE6" s="989"/>
      <c r="CF6" s="972"/>
      <c r="CG6" s="918"/>
      <c r="CH6" s="918"/>
      <c r="CI6" s="918"/>
      <c r="CJ6" s="918"/>
      <c r="CK6" s="918"/>
      <c r="CL6" s="918"/>
      <c r="CM6" s="918"/>
      <c r="CN6" s="918"/>
      <c r="CO6" s="918"/>
      <c r="CP6" s="918"/>
      <c r="CQ6" s="918"/>
      <c r="CR6" s="918"/>
      <c r="CS6" s="918"/>
      <c r="CT6" s="972"/>
      <c r="CU6" s="972"/>
      <c r="CV6" s="972"/>
      <c r="CW6" s="972"/>
      <c r="CX6" s="972"/>
      <c r="CY6" s="972"/>
      <c r="CZ6" s="972"/>
      <c r="DA6" s="972"/>
      <c r="DB6" s="972"/>
      <c r="DC6" s="972"/>
      <c r="DD6" s="972"/>
      <c r="DE6" s="972"/>
      <c r="DF6" s="972"/>
      <c r="DG6" s="978"/>
      <c r="DH6" s="980"/>
      <c r="DI6" s="980"/>
      <c r="DJ6" s="980"/>
      <c r="DK6" s="980"/>
      <c r="DL6" s="980"/>
      <c r="DM6" s="980"/>
      <c r="DN6" s="981"/>
      <c r="DO6" s="980"/>
      <c r="DP6" s="980"/>
      <c r="DQ6" s="992"/>
      <c r="DR6" s="978"/>
      <c r="DS6" s="980"/>
      <c r="DT6" s="980"/>
      <c r="DU6" s="980"/>
      <c r="DV6" s="972"/>
      <c r="DW6" s="972"/>
      <c r="DX6" s="972"/>
      <c r="DY6" s="972"/>
      <c r="DZ6" s="978"/>
      <c r="EA6" s="980"/>
      <c r="EB6" s="972"/>
      <c r="EC6" s="972"/>
      <c r="ED6" s="972"/>
      <c r="EE6" s="978"/>
      <c r="EF6" s="980"/>
      <c r="EG6" s="980"/>
      <c r="EH6" s="980"/>
      <c r="EI6" s="980"/>
      <c r="EJ6" s="992"/>
      <c r="EK6" s="972"/>
      <c r="EL6" s="989"/>
      <c r="EM6" s="972"/>
      <c r="EN6" s="972"/>
      <c r="EO6" s="972"/>
    </row>
    <row r="7" spans="2:148" s="695" customFormat="1" ht="12.75" customHeight="1" thickBot="1">
      <c r="B7" s="797"/>
      <c r="C7" s="974" t="s">
        <v>136</v>
      </c>
      <c r="D7" s="975"/>
      <c r="E7" s="975"/>
      <c r="F7" s="975"/>
      <c r="G7" s="975"/>
      <c r="H7" s="975"/>
      <c r="I7" s="975"/>
      <c r="J7" s="975"/>
      <c r="K7" s="975"/>
      <c r="L7" s="976"/>
      <c r="M7" s="699"/>
      <c r="N7" s="693"/>
      <c r="O7" s="693"/>
      <c r="P7" s="693"/>
      <c r="Q7" s="693"/>
      <c r="R7" s="693"/>
      <c r="S7" s="693"/>
      <c r="T7" s="693"/>
      <c r="U7" s="693"/>
      <c r="V7" s="700" t="s">
        <v>137</v>
      </c>
      <c r="W7" s="700" t="s">
        <v>138</v>
      </c>
      <c r="X7" s="693"/>
      <c r="Y7" s="693"/>
      <c r="Z7" s="693"/>
      <c r="AA7" s="693"/>
      <c r="AB7" s="693"/>
      <c r="AC7" s="693"/>
      <c r="AD7" s="693"/>
      <c r="AE7" s="693"/>
      <c r="AF7" s="693"/>
      <c r="AG7" s="693"/>
      <c r="AH7" s="693"/>
      <c r="AI7" s="694"/>
      <c r="AJ7" s="693"/>
      <c r="AK7" s="693"/>
      <c r="AL7" s="693"/>
      <c r="AM7" s="693"/>
      <c r="AN7" s="693"/>
      <c r="AO7" s="693"/>
      <c r="AP7" s="693"/>
      <c r="AQ7" s="701" t="s">
        <v>139</v>
      </c>
      <c r="AR7" s="701" t="s">
        <v>140</v>
      </c>
      <c r="AS7" s="701" t="s">
        <v>141</v>
      </c>
      <c r="AU7" s="980"/>
      <c r="AV7" s="980"/>
      <c r="AW7" s="980"/>
      <c r="AX7" s="973"/>
      <c r="AY7" s="973"/>
      <c r="AZ7" s="980"/>
      <c r="BA7" s="980"/>
      <c r="BB7" s="980"/>
      <c r="BC7" s="973"/>
      <c r="BD7" s="973"/>
      <c r="BE7" s="973"/>
      <c r="BF7" s="973"/>
      <c r="BG7" s="973"/>
      <c r="BH7" s="973"/>
      <c r="BI7" s="973"/>
      <c r="BJ7" s="990"/>
      <c r="BK7" s="973"/>
      <c r="BL7" s="973"/>
      <c r="BM7" s="973"/>
      <c r="BN7" s="973"/>
      <c r="BO7" s="973"/>
      <c r="BP7" s="973"/>
      <c r="BQ7" s="973"/>
      <c r="BR7" s="973"/>
      <c r="BS7" s="973"/>
      <c r="BT7" s="973"/>
      <c r="BU7" s="990"/>
      <c r="BV7" s="973"/>
      <c r="BW7" s="973"/>
      <c r="BX7" s="973"/>
      <c r="BY7" s="973"/>
      <c r="BZ7" s="973"/>
      <c r="CA7" s="973"/>
      <c r="CB7" s="973"/>
      <c r="CC7" s="973"/>
      <c r="CD7" s="973"/>
      <c r="CE7" s="990"/>
      <c r="CF7" s="973"/>
      <c r="CG7" s="919"/>
      <c r="CH7" s="919"/>
      <c r="CI7" s="919"/>
      <c r="CJ7" s="919"/>
      <c r="CK7" s="919"/>
      <c r="CL7" s="919"/>
      <c r="CM7" s="919"/>
      <c r="CN7" s="919"/>
      <c r="CO7" s="919"/>
      <c r="CP7" s="919"/>
      <c r="CQ7" s="919"/>
      <c r="CR7" s="919"/>
      <c r="CS7" s="919"/>
      <c r="CT7" s="973"/>
      <c r="CU7" s="973"/>
      <c r="CV7" s="973"/>
      <c r="CW7" s="973"/>
      <c r="CX7" s="973"/>
      <c r="CY7" s="973"/>
      <c r="CZ7" s="973"/>
      <c r="DA7" s="973"/>
      <c r="DB7" s="973"/>
      <c r="DC7" s="973"/>
      <c r="DD7" s="973"/>
      <c r="DE7" s="973"/>
      <c r="DF7" s="973"/>
      <c r="DG7" s="979"/>
      <c r="DH7" s="980"/>
      <c r="DI7" s="980"/>
      <c r="DJ7" s="980"/>
      <c r="DK7" s="980"/>
      <c r="DL7" s="980"/>
      <c r="DM7" s="980"/>
      <c r="DN7" s="981"/>
      <c r="DO7" s="980"/>
      <c r="DP7" s="980"/>
      <c r="DQ7" s="993"/>
      <c r="DR7" s="979"/>
      <c r="DS7" s="980"/>
      <c r="DT7" s="980"/>
      <c r="DU7" s="980"/>
      <c r="DV7" s="973"/>
      <c r="DW7" s="973"/>
      <c r="DX7" s="973"/>
      <c r="DY7" s="973"/>
      <c r="DZ7" s="979"/>
      <c r="EA7" s="980"/>
      <c r="EB7" s="973"/>
      <c r="EC7" s="973"/>
      <c r="ED7" s="973"/>
      <c r="EE7" s="979"/>
      <c r="EF7" s="980"/>
      <c r="EG7" s="980"/>
      <c r="EH7" s="980"/>
      <c r="EI7" s="980"/>
      <c r="EJ7" s="993"/>
      <c r="EK7" s="973"/>
      <c r="EL7" s="990"/>
      <c r="EM7" s="973"/>
      <c r="EN7" s="973"/>
      <c r="EO7" s="973"/>
    </row>
    <row r="8" spans="2:148" s="662" customFormat="1" ht="22.5" customHeight="1">
      <c r="B8" s="745"/>
      <c r="C8" s="813"/>
      <c r="D8" s="544" t="s">
        <v>142</v>
      </c>
      <c r="E8" s="795">
        <v>1</v>
      </c>
      <c r="F8" s="966" t="s">
        <v>143</v>
      </c>
      <c r="G8" s="967"/>
      <c r="H8" s="814">
        <f>IF(E9="",0,E9-D9)+IF(E10="",0,E10-D10)</f>
        <v>7</v>
      </c>
      <c r="I8" s="812" t="s">
        <v>144</v>
      </c>
      <c r="J8" s="543" t="s">
        <v>145</v>
      </c>
      <c r="K8" s="882">
        <f>D37+D36</f>
        <v>94</v>
      </c>
      <c r="L8" s="796">
        <f>E37+E36</f>
        <v>94</v>
      </c>
      <c r="M8" s="531"/>
      <c r="N8" s="521" t="e">
        <v>#VALUE!</v>
      </c>
      <c r="O8" s="521" t="e">
        <f>(D8-K15)/133+K8</f>
        <v>#VALUE!</v>
      </c>
      <c r="P8" s="521" t="s">
        <v>146</v>
      </c>
      <c r="Q8" s="521"/>
      <c r="R8" s="532" t="e">
        <f>D8/0.667</f>
        <v>#VALUE!</v>
      </c>
      <c r="S8" s="521"/>
      <c r="T8" s="521">
        <f>K8*100</f>
        <v>9400</v>
      </c>
      <c r="U8" s="521" t="e">
        <f>(D8-K15)*0.67</f>
        <v>#VALUE!</v>
      </c>
      <c r="V8" s="521" t="e">
        <f>T8+U8</f>
        <v>#VALUE!</v>
      </c>
      <c r="W8" s="521">
        <v>44</v>
      </c>
      <c r="X8" s="521" t="e">
        <f>V8*W8</f>
        <v>#VALUE!</v>
      </c>
      <c r="Y8" s="521" t="s">
        <v>147</v>
      </c>
      <c r="Z8" s="521"/>
      <c r="AA8" s="521" t="e">
        <f>V8/100</f>
        <v>#VALUE!</v>
      </c>
      <c r="AB8" s="521">
        <f>(235*0.67+800)</f>
        <v>957.45</v>
      </c>
      <c r="AC8" s="521">
        <f>AB8/100</f>
        <v>9.5745000000000005</v>
      </c>
      <c r="AD8" s="521" t="e">
        <f>AA8+AC8</f>
        <v>#VALUE!</v>
      </c>
      <c r="AE8" s="521"/>
      <c r="AF8" s="521"/>
      <c r="AG8" s="532"/>
      <c r="AH8" s="521">
        <f>98+47</f>
        <v>145</v>
      </c>
      <c r="AI8" s="522"/>
      <c r="AJ8" s="521"/>
      <c r="AK8" s="521"/>
      <c r="AL8" s="521"/>
      <c r="AM8" s="533" t="s">
        <v>148</v>
      </c>
      <c r="AN8" s="534" t="s">
        <v>149</v>
      </c>
      <c r="AO8" s="534" t="s">
        <v>150</v>
      </c>
      <c r="AP8" s="521"/>
      <c r="AQ8" s="535" t="s">
        <v>151</v>
      </c>
      <c r="AR8" s="535">
        <v>261</v>
      </c>
      <c r="AS8" s="705">
        <v>163</v>
      </c>
      <c r="AT8" s="706"/>
      <c r="AU8" s="688">
        <f>L15/E10%</f>
        <v>11.174458380843786</v>
      </c>
      <c r="AV8" s="690">
        <f>I13+I14</f>
        <v>13.000000000000114</v>
      </c>
      <c r="AW8" s="688">
        <f>L9/(L15+E10)%</f>
        <v>2.8205128205128207</v>
      </c>
      <c r="AX8" s="689">
        <f>E20</f>
        <v>79.7</v>
      </c>
      <c r="AY8" s="690">
        <f>I20</f>
        <v>9.9999999999999645</v>
      </c>
      <c r="AZ8" s="689"/>
      <c r="BA8" s="690">
        <f>I22</f>
        <v>1.9999999999999929</v>
      </c>
      <c r="BB8" s="703">
        <f>E22</f>
        <v>96.4</v>
      </c>
      <c r="BC8" s="690">
        <f>I33</f>
        <v>51.999999999999972</v>
      </c>
      <c r="BD8" s="689">
        <f>SUM(I13:I15)</f>
        <v>17.000000000000099</v>
      </c>
      <c r="BE8" s="689">
        <f ca="1">L37</f>
        <v>46.7</v>
      </c>
      <c r="BF8" s="688">
        <f>L8/E9%</f>
        <v>2.3779408044523147</v>
      </c>
      <c r="BG8" s="689">
        <f>E40</f>
        <v>47</v>
      </c>
      <c r="BH8" s="690">
        <f>I40</f>
        <v>4.9999999999999822</v>
      </c>
      <c r="BI8" s="703">
        <f>K41</f>
        <v>64</v>
      </c>
      <c r="BJ8" s="690">
        <f>K42</f>
        <v>0</v>
      </c>
      <c r="BK8" s="689">
        <f>E43</f>
        <v>65.599999999999994</v>
      </c>
      <c r="BL8" s="690">
        <f>I43</f>
        <v>49.999999999999986</v>
      </c>
      <c r="BM8" s="690">
        <f>I45</f>
        <v>9.9999999999999645</v>
      </c>
      <c r="BN8" s="689"/>
      <c r="BO8" s="690">
        <f>E47</f>
        <v>76</v>
      </c>
      <c r="BP8" s="690">
        <f>I51</f>
        <v>120.00000000000006</v>
      </c>
      <c r="BQ8" s="690">
        <f>I57</f>
        <v>7.9999999999999716</v>
      </c>
      <c r="BR8" s="703">
        <f>E57</f>
        <v>10.6</v>
      </c>
      <c r="BS8" s="689">
        <f>L55</f>
        <v>22.2</v>
      </c>
      <c r="BT8" s="689">
        <f>L63</f>
        <v>2.41</v>
      </c>
      <c r="BU8" s="689">
        <f>L64</f>
        <v>0.76</v>
      </c>
      <c r="BV8" s="690">
        <f>E61</f>
        <v>75</v>
      </c>
      <c r="BW8" s="690">
        <f>E60</f>
        <v>1</v>
      </c>
      <c r="BX8" s="690">
        <f>E58</f>
        <v>142</v>
      </c>
      <c r="BY8" s="690">
        <f>E59</f>
        <v>264</v>
      </c>
      <c r="BZ8" s="688">
        <f ca="1">L60</f>
        <v>16.440000000000001</v>
      </c>
      <c r="CA8" s="688">
        <f>BX8/(L8+L9+12)%</f>
        <v>88.198757763975152</v>
      </c>
      <c r="CB8" s="688">
        <f>BX8/BY8%</f>
        <v>53.787878787878782</v>
      </c>
      <c r="CC8" s="689"/>
      <c r="CD8" s="690">
        <f>I59+I58</f>
        <v>90</v>
      </c>
      <c r="CE8" s="690">
        <f>I64</f>
        <v>128.00000000000003</v>
      </c>
      <c r="CF8" s="689">
        <f ca="1">L56</f>
        <v>80.2</v>
      </c>
      <c r="CG8" s="689"/>
      <c r="CH8" s="689"/>
      <c r="CI8" s="689"/>
      <c r="CJ8" s="689"/>
      <c r="CK8" s="689"/>
      <c r="CL8" s="689"/>
      <c r="CM8" s="689"/>
      <c r="CN8" s="689"/>
      <c r="CO8" s="689"/>
      <c r="CP8" s="689"/>
      <c r="CQ8" s="689"/>
      <c r="CR8" s="689"/>
      <c r="CS8" s="689"/>
      <c r="CT8" s="689" t="s">
        <v>152</v>
      </c>
      <c r="CU8" s="689" t="s">
        <v>153</v>
      </c>
      <c r="CV8" s="690">
        <f>E72</f>
        <v>180</v>
      </c>
      <c r="CW8" s="689"/>
      <c r="CX8" s="689"/>
      <c r="CY8" s="690">
        <f>E78</f>
        <v>270</v>
      </c>
      <c r="CZ8" s="703">
        <f ca="1">I77</f>
        <v>101.1</v>
      </c>
      <c r="DA8" s="724"/>
      <c r="DB8" s="691">
        <f>I72</f>
        <v>30.000000000000053</v>
      </c>
      <c r="DC8" s="691">
        <f>I78+I80</f>
        <v>45</v>
      </c>
      <c r="DD8" s="691">
        <f>DB8+DC8</f>
        <v>75.000000000000057</v>
      </c>
      <c r="DE8" s="691">
        <f>DD8-75</f>
        <v>0</v>
      </c>
      <c r="DF8" s="687" t="s">
        <v>154</v>
      </c>
      <c r="DG8" s="691"/>
      <c r="DH8" s="691">
        <f>I74</f>
        <v>5</v>
      </c>
      <c r="DI8" s="691">
        <f>I75</f>
        <v>10</v>
      </c>
      <c r="DJ8" s="692" t="s">
        <v>155</v>
      </c>
      <c r="DK8" s="692">
        <f>(E78-E84)/E78%</f>
        <v>8.5185185185185173</v>
      </c>
      <c r="DL8" s="702"/>
      <c r="DM8" s="687"/>
      <c r="DN8" s="687"/>
      <c r="DO8" s="692">
        <f>(E66-E98-10.5)/E66%</f>
        <v>11.296296296296296</v>
      </c>
      <c r="DP8" s="691">
        <f>I76</f>
        <v>0</v>
      </c>
      <c r="DQ8" s="712">
        <f ca="1">L77</f>
        <v>101.2</v>
      </c>
      <c r="DR8" s="687"/>
      <c r="DS8" s="687"/>
      <c r="DT8" s="687"/>
      <c r="DU8" s="691">
        <f>K83</f>
        <v>1356</v>
      </c>
      <c r="DV8" s="691">
        <f>K83+K75</f>
        <v>2455</v>
      </c>
      <c r="DW8" s="687"/>
      <c r="DX8" s="691">
        <f>I84</f>
        <v>9.9999999999999645</v>
      </c>
      <c r="DY8" s="691">
        <f>I88</f>
        <v>9.9999999999999645</v>
      </c>
      <c r="DZ8" s="691">
        <f>DY8-10</f>
        <v>-3.5527136788005009E-14</v>
      </c>
      <c r="EA8" s="687"/>
      <c r="EB8" s="710">
        <f>D83/E98</f>
        <v>0.66375545851528384</v>
      </c>
      <c r="EC8" s="691">
        <f>I98</f>
        <v>50.999999999999979</v>
      </c>
      <c r="ED8" s="687">
        <f>L98</f>
        <v>10.6</v>
      </c>
      <c r="EE8" s="692">
        <f>E100</f>
        <v>3.3</v>
      </c>
      <c r="EF8" s="692">
        <f>EE8*1000/E98</f>
        <v>14.410480349344978</v>
      </c>
      <c r="EG8" s="687"/>
      <c r="EH8" s="691">
        <f>E98</f>
        <v>229</v>
      </c>
      <c r="EI8" s="691">
        <f>L105</f>
        <v>224.99999999999983</v>
      </c>
      <c r="EJ8" s="687">
        <f>ABS(L105-K105)</f>
        <v>5.0000000000001705</v>
      </c>
      <c r="EK8" s="692">
        <f>L103</f>
        <v>6.1666666666666661</v>
      </c>
      <c r="EL8" s="687">
        <f>ABS(L103-K103)</f>
        <v>0.16666666666666607</v>
      </c>
      <c r="EM8" s="692">
        <f>L106</f>
        <v>101.85185185185307</v>
      </c>
      <c r="EN8" s="687">
        <f>L96</f>
        <v>18.100000000000001</v>
      </c>
      <c r="EO8" s="687">
        <f>L97</f>
        <v>5.25</v>
      </c>
    </row>
    <row r="9" spans="2:148" s="662" customFormat="1" ht="22.5" customHeight="1">
      <c r="B9" s="744"/>
      <c r="C9" s="536" t="s">
        <v>156</v>
      </c>
      <c r="D9" s="479">
        <v>3950</v>
      </c>
      <c r="E9" s="646">
        <v>3953</v>
      </c>
      <c r="F9" s="714"/>
      <c r="G9" s="714"/>
      <c r="H9" s="448" t="str">
        <f>IF(OR(F9="",G9=""),"",IF(G9&gt;=F9,(G9-F9)*24*60,(1+G9-F9)*24*60))</f>
        <v/>
      </c>
      <c r="I9" s="685" t="str">
        <f>IF(OR(F15="",G9=""),"",IF(F15&gt;=G9,(F15-G9)*24*60,(1+F15-G9)*24*60))</f>
        <v/>
      </c>
      <c r="J9" s="539" t="s">
        <v>157</v>
      </c>
      <c r="K9" s="448">
        <f>D14+D13+D15</f>
        <v>55</v>
      </c>
      <c r="L9" s="707">
        <f>E14+E13+E15</f>
        <v>55</v>
      </c>
      <c r="M9" s="531"/>
      <c r="N9" s="521">
        <v>2840</v>
      </c>
      <c r="O9" s="521" t="e">
        <f>(D9+K15)/133+K9+D15</f>
        <v>#VALUE!</v>
      </c>
      <c r="P9" s="521" t="s">
        <v>158</v>
      </c>
      <c r="Q9" s="521"/>
      <c r="R9" s="521">
        <f>52+15</f>
        <v>67</v>
      </c>
      <c r="S9" s="521">
        <v>236</v>
      </c>
      <c r="T9" s="521">
        <f>(D13+D15)*100</f>
        <v>5100</v>
      </c>
      <c r="U9" s="521" t="e">
        <f>D9*0.7+K15*0.67</f>
        <v>#VALUE!</v>
      </c>
      <c r="V9" s="521" t="e">
        <f>T9+U9</f>
        <v>#VALUE!</v>
      </c>
      <c r="W9" s="521">
        <v>100</v>
      </c>
      <c r="X9" s="521" t="e">
        <f>V9*W9</f>
        <v>#VALUE!</v>
      </c>
      <c r="Y9" s="521" t="s">
        <v>159</v>
      </c>
      <c r="Z9" s="521"/>
      <c r="AA9" s="521" t="e">
        <f>V9/100</f>
        <v>#VALUE!</v>
      </c>
      <c r="AB9" s="521"/>
      <c r="AC9" s="521"/>
      <c r="AD9" s="521"/>
      <c r="AE9" s="521"/>
      <c r="AF9" s="521"/>
      <c r="AG9" s="521"/>
      <c r="AH9" s="521">
        <f>AH8+10+2+16</f>
        <v>173</v>
      </c>
      <c r="AI9" s="968" t="s">
        <v>160</v>
      </c>
      <c r="AJ9" s="969"/>
      <c r="AK9" s="969"/>
      <c r="AL9" s="970"/>
      <c r="AM9" s="541">
        <v>44</v>
      </c>
      <c r="AN9" s="542">
        <v>44</v>
      </c>
      <c r="AO9" s="542">
        <v>20</v>
      </c>
      <c r="AP9" s="521"/>
      <c r="AQ9" s="535" t="s">
        <v>161</v>
      </c>
      <c r="AR9" s="535">
        <v>96</v>
      </c>
      <c r="AS9" s="535">
        <v>99</v>
      </c>
    </row>
    <row r="10" spans="2:148" s="662" customFormat="1" ht="24.75" customHeight="1" thickBot="1">
      <c r="B10" s="745"/>
      <c r="C10" s="536" t="s">
        <v>162</v>
      </c>
      <c r="D10" s="479">
        <v>1750</v>
      </c>
      <c r="E10" s="646">
        <f>-50+1804</f>
        <v>1754</v>
      </c>
      <c r="F10" s="714"/>
      <c r="G10" s="714"/>
      <c r="H10" s="815" t="str">
        <f>IF(OR(F10="",G10=""),"",IF(G10&gt;=F10,(G10-F10)*24*60,(1+G10-F10)*24*60))</f>
        <v/>
      </c>
      <c r="I10" s="685" t="str">
        <f>IF(OR(F13="",G10=""),"",IF(F13&gt;=G10,(F13-G10)*24*60,(1+F13-G10)*24*60))</f>
        <v/>
      </c>
      <c r="J10" s="543" t="s">
        <v>163</v>
      </c>
      <c r="K10" s="792"/>
      <c r="L10" s="645"/>
      <c r="M10" s="545"/>
      <c r="N10" s="521"/>
      <c r="O10" s="521"/>
      <c r="P10" s="521"/>
      <c r="Q10" s="521"/>
      <c r="R10" s="521"/>
      <c r="S10" s="521"/>
      <c r="T10" s="521"/>
      <c r="U10" s="521"/>
      <c r="V10" s="521"/>
      <c r="W10" s="521"/>
      <c r="X10" s="521"/>
      <c r="Y10" s="521"/>
      <c r="Z10" s="521"/>
      <c r="AA10" s="521"/>
      <c r="AB10" s="521"/>
      <c r="AC10" s="521"/>
      <c r="AD10" s="521"/>
      <c r="AE10" s="521"/>
      <c r="AF10" s="521"/>
      <c r="AG10" s="521"/>
      <c r="AH10" s="521"/>
      <c r="AI10" s="968" t="s">
        <v>164</v>
      </c>
      <c r="AJ10" s="969"/>
      <c r="AK10" s="969"/>
      <c r="AL10" s="969"/>
      <c r="AM10" s="546">
        <f>(K8+K9+D31+D49+D54)-D58</f>
        <v>42</v>
      </c>
      <c r="AN10" s="546">
        <f>K61+AM10-(D59-D58)</f>
        <v>56</v>
      </c>
      <c r="AO10" s="546">
        <f>AN10+K62-D61</f>
        <v>16</v>
      </c>
      <c r="AP10" s="521"/>
      <c r="AQ10" s="535"/>
      <c r="AR10" s="535"/>
      <c r="AS10" s="535"/>
      <c r="AV10" s="959" t="s">
        <v>165</v>
      </c>
      <c r="AW10" s="959" t="s">
        <v>166</v>
      </c>
      <c r="AX10" s="959" t="s">
        <v>167</v>
      </c>
      <c r="AY10" s="959" t="s">
        <v>168</v>
      </c>
      <c r="AZ10" s="959" t="s">
        <v>169</v>
      </c>
      <c r="BA10" s="959" t="s">
        <v>170</v>
      </c>
      <c r="BB10" s="959" t="s">
        <v>171</v>
      </c>
      <c r="BC10" s="959" t="s">
        <v>172</v>
      </c>
      <c r="BD10" s="959" t="s">
        <v>173</v>
      </c>
      <c r="BE10" s="959" t="s">
        <v>174</v>
      </c>
    </row>
    <row r="11" spans="2:148" s="662" customFormat="1" ht="15" customHeight="1" thickBot="1">
      <c r="B11" s="770"/>
      <c r="C11" s="941" t="s">
        <v>175</v>
      </c>
      <c r="D11" s="942"/>
      <c r="E11" s="942"/>
      <c r="F11" s="942"/>
      <c r="G11" s="942"/>
      <c r="H11" s="942"/>
      <c r="I11" s="942"/>
      <c r="J11" s="942"/>
      <c r="K11" s="942"/>
      <c r="L11" s="943"/>
      <c r="M11" s="530"/>
      <c r="N11" s="521"/>
      <c r="O11" s="521">
        <v>47</v>
      </c>
      <c r="P11" s="521">
        <v>50</v>
      </c>
      <c r="Q11" s="521"/>
      <c r="R11" s="521"/>
      <c r="S11" s="521"/>
      <c r="T11" s="521"/>
      <c r="U11" s="521"/>
      <c r="V11" s="521"/>
      <c r="W11" s="547" t="e">
        <f>((O8*W8)+(O9*W9))/SUM(O8:O9)</f>
        <v>#VALUE!</v>
      </c>
      <c r="X11" s="521"/>
      <c r="Y11" s="521"/>
      <c r="Z11" s="521"/>
      <c r="AA11" s="521"/>
      <c r="AB11" s="521"/>
      <c r="AC11" s="521"/>
      <c r="AD11" s="521">
        <f>226</f>
        <v>226</v>
      </c>
      <c r="AE11" s="521"/>
      <c r="AF11" s="521"/>
      <c r="AG11" s="521"/>
      <c r="AH11" s="521"/>
      <c r="AI11" s="522"/>
      <c r="AJ11" s="521"/>
      <c r="AK11" s="521"/>
      <c r="AL11" s="521"/>
      <c r="AM11" s="521"/>
      <c r="AN11" s="521"/>
      <c r="AO11" s="521"/>
      <c r="AP11" s="521"/>
      <c r="AQ11" s="535" t="s">
        <v>176</v>
      </c>
      <c r="AR11" s="535">
        <v>45</v>
      </c>
      <c r="AS11" s="535">
        <v>30</v>
      </c>
      <c r="AV11" s="959"/>
      <c r="AW11" s="959"/>
      <c r="AX11" s="959"/>
      <c r="AY11" s="959"/>
      <c r="AZ11" s="959"/>
      <c r="BA11" s="959"/>
      <c r="BB11" s="959"/>
      <c r="BC11" s="959"/>
      <c r="BD11" s="959"/>
      <c r="BE11" s="959"/>
    </row>
    <row r="12" spans="2:148" s="662" customFormat="1" ht="23.25" customHeight="1">
      <c r="B12" s="767"/>
      <c r="C12" s="756" t="s">
        <v>177</v>
      </c>
      <c r="D12" s="882">
        <v>5</v>
      </c>
      <c r="E12" s="647"/>
      <c r="F12" s="775"/>
      <c r="G12" s="775"/>
      <c r="H12" s="882">
        <v>1</v>
      </c>
      <c r="I12" s="882"/>
      <c r="J12" s="790" t="s">
        <v>178</v>
      </c>
      <c r="K12" s="882">
        <v>180</v>
      </c>
      <c r="L12" s="793">
        <v>180</v>
      </c>
      <c r="M12" s="548"/>
      <c r="N12" s="521"/>
      <c r="O12" s="521"/>
      <c r="P12" s="521">
        <v>91</v>
      </c>
      <c r="Q12" s="521"/>
      <c r="R12" s="521"/>
      <c r="S12" s="521"/>
      <c r="T12" s="964" t="s">
        <v>179</v>
      </c>
      <c r="U12" s="964"/>
      <c r="V12" s="532">
        <f>D9/H13*1.2</f>
        <v>384.32432432432438</v>
      </c>
      <c r="W12" s="521"/>
      <c r="X12" s="549" t="s">
        <v>180</v>
      </c>
      <c r="Y12" s="550" t="e">
        <f>D9+K15+(K9+D15)*100</f>
        <v>#VALUE!</v>
      </c>
      <c r="Z12" s="521"/>
      <c r="AA12" s="521"/>
      <c r="AB12" s="521"/>
      <c r="AC12" s="521"/>
      <c r="AD12" s="521">
        <v>150</v>
      </c>
      <c r="AE12" s="521"/>
      <c r="AF12" s="521"/>
      <c r="AG12" s="532">
        <f>K8+K9+D15+D31+D49+D54</f>
        <v>192</v>
      </c>
      <c r="AH12" s="532">
        <f>AG12-59</f>
        <v>133</v>
      </c>
      <c r="AI12" s="522"/>
      <c r="AJ12" s="521"/>
      <c r="AK12" s="521"/>
      <c r="AL12" s="521"/>
      <c r="AM12" s="521"/>
      <c r="AN12" s="521"/>
      <c r="AO12" s="521"/>
      <c r="AP12" s="521"/>
      <c r="AQ12" s="535" t="s">
        <v>181</v>
      </c>
      <c r="AR12" s="535">
        <v>269</v>
      </c>
      <c r="AS12" s="535">
        <v>265</v>
      </c>
      <c r="AV12" s="724">
        <f>$J$3+F13</f>
        <v>46043.758333333331</v>
      </c>
      <c r="AW12" s="724">
        <f>IF(F58&gt;=F13,$J$3+F58,$J$3+1+F58)</f>
        <v>46043.859027777777</v>
      </c>
      <c r="AX12" s="724">
        <f>IF(F70&gt;=F13,$J$3+F70,$J$3+1+F70)</f>
        <v>46043.88958333333</v>
      </c>
      <c r="AY12" s="724">
        <f>IF(F72&gt;=F13,$J$3+F72,$J$3+1+F72)</f>
        <v>46043.913888888892</v>
      </c>
      <c r="AZ12" s="718"/>
      <c r="BA12" s="719">
        <f>E78</f>
        <v>270</v>
      </c>
      <c r="BB12" s="724">
        <f>IF(G80&gt;=F13,$J$3+G80,$J$3+1+G80)</f>
        <v>46043.96597222222</v>
      </c>
      <c r="BC12" s="718"/>
      <c r="BD12" s="719">
        <f>E84</f>
        <v>247</v>
      </c>
      <c r="BE12" s="724">
        <f>IF(G98&gt;=F13,$J$3+G98,$J$3+1+G98)</f>
        <v>46044.015277777777</v>
      </c>
    </row>
    <row r="13" spans="2:148" s="662" customFormat="1" ht="28.5" customHeight="1">
      <c r="B13" s="746"/>
      <c r="C13" s="551" t="s">
        <v>182</v>
      </c>
      <c r="D13" s="448">
        <v>37</v>
      </c>
      <c r="E13" s="646">
        <v>37</v>
      </c>
      <c r="F13" s="714">
        <v>0.7583333333333333</v>
      </c>
      <c r="G13" s="648"/>
      <c r="H13" s="448">
        <f>D13/K12*60</f>
        <v>12.333333333333332</v>
      </c>
      <c r="I13" s="685">
        <f>IF(OR(F14="",F13=""),"",IF(F14&gt;=F13,(F14-F13)*24*60,(1+F14-F13)*24*60))</f>
        <v>11.999999999999957</v>
      </c>
      <c r="J13" s="552" t="s">
        <v>183</v>
      </c>
      <c r="K13" s="583">
        <v>61</v>
      </c>
      <c r="L13" s="561">
        <f ca="1">K13+RANDBETWEEN(-2,2)/10</f>
        <v>60.9</v>
      </c>
      <c r="M13" s="554"/>
      <c r="N13" s="521"/>
      <c r="O13" s="521"/>
      <c r="P13" s="521"/>
      <c r="Q13" s="521"/>
      <c r="R13" s="521"/>
      <c r="S13" s="521"/>
      <c r="T13" s="555" t="s">
        <v>184</v>
      </c>
      <c r="U13" s="521"/>
      <c r="V13" s="556" t="e">
        <f>(K9+D15)/(D9+K15)*100</f>
        <v>#VALUE!</v>
      </c>
      <c r="W13" s="521"/>
      <c r="X13" s="521"/>
      <c r="Y13" s="521"/>
      <c r="Z13" s="521"/>
      <c r="AA13" s="521"/>
      <c r="AB13" s="521"/>
      <c r="AC13" s="521"/>
      <c r="AD13" s="521">
        <f>AD11-AD12</f>
        <v>76</v>
      </c>
      <c r="AE13" s="521">
        <f>AD13/280*60</f>
        <v>16.285714285714285</v>
      </c>
      <c r="AF13" s="521"/>
      <c r="AG13" s="532">
        <f>AG12-35</f>
        <v>157</v>
      </c>
      <c r="AH13" s="521"/>
      <c r="AI13" s="522"/>
      <c r="AJ13" s="521"/>
      <c r="AK13" s="521"/>
      <c r="AL13" s="521"/>
      <c r="AM13" s="521"/>
      <c r="AN13" s="521"/>
      <c r="AO13" s="521"/>
      <c r="AP13" s="521"/>
      <c r="AQ13" s="535" t="s">
        <v>185</v>
      </c>
      <c r="AR13" s="535">
        <v>3.2</v>
      </c>
      <c r="AS13" s="535">
        <v>3.3</v>
      </c>
    </row>
    <row r="14" spans="2:148" s="662" customFormat="1" ht="20.25" customHeight="1">
      <c r="B14" s="746"/>
      <c r="C14" s="536" t="s">
        <v>186</v>
      </c>
      <c r="D14" s="448">
        <v>4</v>
      </c>
      <c r="E14" s="646">
        <v>4</v>
      </c>
      <c r="F14" s="714">
        <v>0.76666666666666661</v>
      </c>
      <c r="G14" s="648"/>
      <c r="H14" s="448">
        <v>1</v>
      </c>
      <c r="I14" s="685">
        <f>IF(OR(F15="",F14=""),"",IF(F15&gt;=F14,(F15-F14)*24*60,(1+F15-F14)*24*60))</f>
        <v>1.0000000000001563</v>
      </c>
      <c r="J14" s="552" t="s">
        <v>187</v>
      </c>
      <c r="K14" s="583">
        <v>60</v>
      </c>
      <c r="L14" s="561">
        <f ca="1">57+RANDBETWEEN(-5,5)/10</f>
        <v>56.7</v>
      </c>
      <c r="M14" s="554"/>
      <c r="N14" s="521"/>
      <c r="O14" s="521"/>
      <c r="P14" s="521"/>
      <c r="Q14" s="521"/>
      <c r="R14" s="521"/>
      <c r="S14" s="521"/>
      <c r="T14" s="555"/>
      <c r="U14" s="521"/>
      <c r="V14" s="556"/>
      <c r="W14" s="521"/>
      <c r="X14" s="521"/>
      <c r="Y14" s="521"/>
      <c r="Z14" s="521"/>
      <c r="AA14" s="521"/>
      <c r="AB14" s="521"/>
      <c r="AC14" s="521"/>
      <c r="AD14" s="521"/>
      <c r="AE14" s="521"/>
      <c r="AF14" s="521"/>
      <c r="AG14" s="532"/>
      <c r="AH14" s="521"/>
      <c r="AI14" s="522"/>
      <c r="AJ14" s="521"/>
      <c r="AK14" s="521"/>
      <c r="AL14" s="521"/>
      <c r="AM14" s="521"/>
      <c r="AN14" s="521"/>
      <c r="AO14" s="521"/>
      <c r="AP14" s="521"/>
      <c r="AQ14" s="535" t="s">
        <v>188</v>
      </c>
      <c r="AR14" s="535">
        <v>2.9</v>
      </c>
      <c r="AS14" s="535">
        <v>2.9</v>
      </c>
    </row>
    <row r="15" spans="2:148" s="663" customFormat="1" ht="33.75" customHeight="1">
      <c r="B15" s="744"/>
      <c r="C15" s="536" t="s">
        <v>189</v>
      </c>
      <c r="D15" s="448">
        <v>14</v>
      </c>
      <c r="E15" s="646">
        <v>14</v>
      </c>
      <c r="F15" s="714">
        <v>0.76736111111111116</v>
      </c>
      <c r="G15" s="648"/>
      <c r="H15" s="448">
        <f>D15/K35*60</f>
        <v>3.7333333333333334</v>
      </c>
      <c r="I15" s="685">
        <f>IF(OR(F19="",F15=""),"",IF(F19&gt;=F15,(F19-F15)*24*60,(1+F19-F15)*24*60))</f>
        <v>3.9999999999999858</v>
      </c>
      <c r="J15" s="539" t="s">
        <v>190</v>
      </c>
      <c r="K15" s="448" t="s">
        <v>191</v>
      </c>
      <c r="L15" s="640">
        <v>196</v>
      </c>
      <c r="M15" s="531">
        <v>270</v>
      </c>
      <c r="N15" s="523"/>
      <c r="O15" s="523"/>
      <c r="P15" s="523"/>
      <c r="Q15" s="523"/>
      <c r="R15" s="523"/>
      <c r="S15" s="523"/>
      <c r="T15" s="523"/>
      <c r="U15" s="523"/>
      <c r="V15" s="523"/>
      <c r="W15" s="523"/>
      <c r="X15" s="523">
        <v>109</v>
      </c>
      <c r="Y15" s="523"/>
      <c r="Z15" s="523"/>
      <c r="AA15" s="523"/>
      <c r="AB15" s="523"/>
      <c r="AC15" s="523"/>
      <c r="AD15" s="523">
        <f>150/240*60</f>
        <v>37.5</v>
      </c>
      <c r="AE15" s="523"/>
      <c r="AF15" s="523"/>
      <c r="AG15" s="523"/>
      <c r="AH15" s="523"/>
      <c r="AI15" s="524"/>
      <c r="AJ15" s="523"/>
      <c r="AK15" s="523"/>
      <c r="AL15" s="523"/>
      <c r="AM15" s="523"/>
      <c r="AN15" s="523"/>
      <c r="AO15" s="523"/>
      <c r="AP15" s="523"/>
      <c r="AQ15" s="535" t="s">
        <v>192</v>
      </c>
      <c r="AR15" s="535">
        <v>0.36</v>
      </c>
      <c r="AS15" s="535">
        <v>0.3</v>
      </c>
    </row>
    <row r="16" spans="2:148" s="662" customFormat="1" ht="20.25" customHeight="1">
      <c r="B16" s="744"/>
      <c r="C16" s="536" t="s">
        <v>193</v>
      </c>
      <c r="D16" s="557">
        <v>3</v>
      </c>
      <c r="E16" s="646"/>
      <c r="F16" s="648"/>
      <c r="G16" s="648"/>
      <c r="H16" s="448"/>
      <c r="I16" s="448"/>
      <c r="J16" s="448"/>
      <c r="K16" s="448"/>
      <c r="L16" s="558"/>
      <c r="M16" s="531"/>
      <c r="N16" s="521"/>
      <c r="O16" s="521"/>
      <c r="P16" s="521"/>
      <c r="Q16" s="521"/>
      <c r="R16" s="521"/>
      <c r="S16" s="521"/>
      <c r="T16" s="521"/>
      <c r="U16" s="521"/>
      <c r="V16" s="521" t="e">
        <f>#REF!/100</f>
        <v>#REF!</v>
      </c>
      <c r="W16" s="521"/>
      <c r="X16" s="521"/>
      <c r="Y16" s="521"/>
      <c r="Z16" s="521"/>
      <c r="AA16" s="521"/>
      <c r="AB16" s="521"/>
      <c r="AC16" s="521"/>
      <c r="AD16" s="521">
        <f>AD15+AE13</f>
        <v>53.785714285714285</v>
      </c>
      <c r="AE16" s="521"/>
      <c r="AF16" s="521"/>
      <c r="AG16" s="521"/>
      <c r="AH16" s="521"/>
      <c r="AI16" s="522"/>
      <c r="AJ16" s="521"/>
      <c r="AK16" s="521"/>
      <c r="AL16" s="521"/>
      <c r="AM16" s="521"/>
      <c r="AN16" s="521"/>
      <c r="AO16" s="521"/>
      <c r="AP16" s="521"/>
      <c r="AQ16" s="521"/>
      <c r="AR16" s="521"/>
      <c r="AS16" s="521"/>
    </row>
    <row r="17" spans="2:99" s="662" customFormat="1" ht="24" hidden="1" customHeight="1">
      <c r="B17" s="747"/>
      <c r="C17" s="551" t="s">
        <v>194</v>
      </c>
      <c r="D17" s="557"/>
      <c r="E17" s="649"/>
      <c r="F17" s="650"/>
      <c r="G17" s="648"/>
      <c r="H17" s="559"/>
      <c r="I17" s="559"/>
      <c r="J17" s="560"/>
      <c r="K17" s="560"/>
      <c r="L17" s="561"/>
      <c r="M17" s="531"/>
      <c r="N17" s="521"/>
      <c r="O17" s="521"/>
      <c r="P17" s="521"/>
      <c r="Q17" s="521"/>
      <c r="R17" s="521"/>
      <c r="S17" s="521"/>
      <c r="T17" s="521"/>
      <c r="U17" s="521"/>
      <c r="V17" s="521"/>
      <c r="W17" s="521"/>
      <c r="X17" s="521"/>
      <c r="Y17" s="521"/>
      <c r="Z17" s="521"/>
      <c r="AA17" s="521"/>
      <c r="AB17" s="521"/>
      <c r="AC17" s="521"/>
      <c r="AD17" s="521"/>
      <c r="AE17" s="521"/>
      <c r="AF17" s="521"/>
      <c r="AG17" s="521"/>
      <c r="AH17" s="521"/>
      <c r="AI17" s="522"/>
      <c r="AJ17" s="521"/>
      <c r="AK17" s="521"/>
      <c r="AL17" s="521"/>
      <c r="AM17" s="521"/>
      <c r="AN17" s="521"/>
      <c r="AO17" s="521"/>
      <c r="AP17" s="521"/>
      <c r="AQ17" s="521"/>
      <c r="AR17" s="521"/>
      <c r="AS17" s="521"/>
    </row>
    <row r="18" spans="2:99" s="662" customFormat="1" ht="24" hidden="1" customHeight="1">
      <c r="B18" s="747"/>
      <c r="C18" s="551" t="s">
        <v>195</v>
      </c>
      <c r="D18" s="557"/>
      <c r="E18" s="649"/>
      <c r="F18" s="650"/>
      <c r="G18" s="648"/>
      <c r="H18" s="559"/>
      <c r="I18" s="559"/>
      <c r="J18" s="560"/>
      <c r="K18" s="560"/>
      <c r="L18" s="561"/>
      <c r="M18" s="531"/>
      <c r="N18" s="521"/>
      <c r="O18" s="523"/>
      <c r="P18" s="523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2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</row>
    <row r="19" spans="2:99" s="662" customFormat="1" ht="27.75" customHeight="1">
      <c r="B19" s="744"/>
      <c r="C19" s="536" t="s">
        <v>196</v>
      </c>
      <c r="D19" s="562">
        <v>78</v>
      </c>
      <c r="E19" s="651"/>
      <c r="F19" s="714">
        <v>0.77013888888888893</v>
      </c>
      <c r="G19" s="648"/>
      <c r="H19" s="448">
        <v>9</v>
      </c>
      <c r="I19" s="685">
        <f>IF(OR(F20="",F19=""),"",IF(F20&gt;=F19,(F20-F19)*24*60,(1+F20-F19)*24*60))</f>
        <v>8.999999999999968</v>
      </c>
      <c r="J19" s="585" t="s">
        <v>197</v>
      </c>
      <c r="K19" s="448">
        <v>520</v>
      </c>
      <c r="L19" s="564"/>
      <c r="M19" s="531"/>
      <c r="N19" s="521"/>
      <c r="O19" s="521"/>
      <c r="P19" s="521"/>
      <c r="Q19" s="521"/>
      <c r="R19" s="521"/>
      <c r="S19" s="521"/>
      <c r="T19" s="521">
        <f>K19*H19/60</f>
        <v>78</v>
      </c>
      <c r="U19" s="521"/>
      <c r="V19" s="521">
        <f>9/60</f>
        <v>0.15</v>
      </c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2"/>
      <c r="AJ19" s="521"/>
      <c r="AK19" s="521"/>
      <c r="AL19" s="965" t="s">
        <v>198</v>
      </c>
      <c r="AM19" s="965"/>
      <c r="AN19" s="965"/>
      <c r="AO19" s="521"/>
      <c r="AP19" s="521"/>
      <c r="AQ19" s="521"/>
      <c r="AR19" s="521"/>
      <c r="AS19" s="521"/>
      <c r="AU19" s="726" t="s">
        <v>142</v>
      </c>
      <c r="AV19" s="727" t="s">
        <v>199</v>
      </c>
      <c r="AW19" s="727" t="s">
        <v>200</v>
      </c>
      <c r="AX19" s="728" t="s">
        <v>201</v>
      </c>
      <c r="AY19" s="728" t="s">
        <v>202</v>
      </c>
      <c r="AZ19" s="728" t="s">
        <v>203</v>
      </c>
      <c r="BA19" s="728" t="s">
        <v>204</v>
      </c>
      <c r="BB19" s="727" t="s">
        <v>205</v>
      </c>
      <c r="BC19" s="728" t="s">
        <v>206</v>
      </c>
      <c r="BD19" s="729" t="s">
        <v>207</v>
      </c>
      <c r="BE19" s="729" t="s">
        <v>208</v>
      </c>
      <c r="BF19" s="728" t="s">
        <v>209</v>
      </c>
      <c r="BG19" s="727" t="s">
        <v>210</v>
      </c>
      <c r="BH19" s="727" t="s">
        <v>211</v>
      </c>
      <c r="BI19" s="727" t="s">
        <v>212</v>
      </c>
      <c r="BJ19" s="727" t="s">
        <v>213</v>
      </c>
      <c r="BK19" s="727" t="s">
        <v>214</v>
      </c>
      <c r="BL19" s="727" t="s">
        <v>215</v>
      </c>
      <c r="BM19" s="727" t="s">
        <v>216</v>
      </c>
      <c r="BN19" s="727" t="s">
        <v>217</v>
      </c>
      <c r="BO19" s="727" t="s">
        <v>218</v>
      </c>
      <c r="BP19" s="730" t="s">
        <v>219</v>
      </c>
      <c r="BQ19" s="727" t="s">
        <v>220</v>
      </c>
      <c r="BR19" s="727" t="s">
        <v>221</v>
      </c>
      <c r="BS19" s="727" t="s">
        <v>222</v>
      </c>
      <c r="BT19" s="730" t="s">
        <v>223</v>
      </c>
      <c r="BU19" s="730" t="s">
        <v>224</v>
      </c>
      <c r="BV19" s="730" t="s">
        <v>225</v>
      </c>
      <c r="BW19" s="727" t="s">
        <v>226</v>
      </c>
      <c r="BX19" s="730" t="s">
        <v>227</v>
      </c>
      <c r="BY19" s="730" t="s">
        <v>228</v>
      </c>
      <c r="BZ19" s="730"/>
      <c r="CA19" s="731" t="s">
        <v>229</v>
      </c>
      <c r="CB19" s="728" t="s">
        <v>209</v>
      </c>
      <c r="CC19" s="727" t="s">
        <v>230</v>
      </c>
      <c r="CD19" s="730" t="s">
        <v>231</v>
      </c>
      <c r="CE19" s="730" t="s">
        <v>232</v>
      </c>
      <c r="CF19" s="730" t="s">
        <v>233</v>
      </c>
      <c r="CG19" s="727" t="s">
        <v>234</v>
      </c>
      <c r="CH19" s="727" t="s">
        <v>235</v>
      </c>
      <c r="CI19" s="727" t="s">
        <v>229</v>
      </c>
      <c r="CJ19" s="727" t="s">
        <v>236</v>
      </c>
      <c r="CK19" s="732" t="s">
        <v>237</v>
      </c>
      <c r="CL19" s="732" t="s">
        <v>238</v>
      </c>
      <c r="CM19" s="732" t="s">
        <v>239</v>
      </c>
      <c r="CN19" s="733" t="s">
        <v>240</v>
      </c>
      <c r="CO19" s="727" t="s">
        <v>241</v>
      </c>
      <c r="CR19" s="841" t="s">
        <v>242</v>
      </c>
      <c r="CU19" s="842" t="s">
        <v>243</v>
      </c>
    </row>
    <row r="20" spans="2:99" s="662" customFormat="1" ht="23.25" customHeight="1">
      <c r="B20" s="744"/>
      <c r="C20" s="566" t="s">
        <v>244</v>
      </c>
      <c r="D20" s="448"/>
      <c r="E20" s="652">
        <v>79.7</v>
      </c>
      <c r="F20" s="714">
        <v>0.77638888888888891</v>
      </c>
      <c r="G20" s="648">
        <f>IF(ISBLANK(F20),"",F20+TIME(0,H20,0))</f>
        <v>0.78333333333333333</v>
      </c>
      <c r="H20" s="479">
        <v>10</v>
      </c>
      <c r="I20" s="685">
        <f>IF(OR(F21="",F20=""),"",IF(F21&gt;=F20,(F21-F20)*24*60,(1+F21-F20)*24*60))</f>
        <v>9.9999999999999645</v>
      </c>
      <c r="J20" s="539" t="s">
        <v>245</v>
      </c>
      <c r="K20" s="583" t="s">
        <v>246</v>
      </c>
      <c r="L20" s="564"/>
      <c r="M20" s="567" t="s">
        <v>247</v>
      </c>
      <c r="N20" s="521"/>
      <c r="O20" s="521"/>
      <c r="P20" s="521"/>
      <c r="Q20" s="521"/>
      <c r="R20" s="521"/>
      <c r="S20" s="521"/>
      <c r="T20" s="521"/>
      <c r="U20" s="521"/>
      <c r="V20" s="521" t="e">
        <f>V16/V19</f>
        <v>#REF!</v>
      </c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2"/>
      <c r="AJ20" s="521"/>
      <c r="AK20" s="521"/>
      <c r="AL20" s="521">
        <v>96</v>
      </c>
      <c r="AM20" s="521">
        <f>K9*100+D9</f>
        <v>9450</v>
      </c>
      <c r="AN20" s="521" t="e">
        <f>(AL20*AM20+AL21*AM21)/(AM20+AM21)</f>
        <v>#VALUE!</v>
      </c>
      <c r="AO20" s="521"/>
      <c r="AP20" s="521"/>
      <c r="AQ20" s="521"/>
      <c r="AR20" s="521"/>
      <c r="AS20" s="521"/>
      <c r="AU20" s="734">
        <f>E8</f>
        <v>1</v>
      </c>
      <c r="AV20" s="735" t="str">
        <f>"BUD"&amp;RIGHT(H3,3)</f>
        <v>BUD028</v>
      </c>
      <c r="AW20" s="734">
        <f>E9</f>
        <v>3953</v>
      </c>
      <c r="AX20" s="736">
        <v>0.80700000000000005</v>
      </c>
      <c r="AY20" s="736">
        <v>4.4699999999999997E-2</v>
      </c>
      <c r="AZ20" s="736"/>
      <c r="BA20" s="736">
        <v>0.3</v>
      </c>
      <c r="BB20" s="734">
        <f>E10</f>
        <v>1754</v>
      </c>
      <c r="BC20" s="736">
        <v>0.8</v>
      </c>
      <c r="BD20" s="736">
        <f>AW20/(AW20+BB20)</f>
        <v>0.69265813912738738</v>
      </c>
      <c r="BE20" s="736">
        <f>BB20/(AW20+BB20)</f>
        <v>0.30734186087261256</v>
      </c>
      <c r="BF20" s="734">
        <f>(AW20-AZ20-0)*AX20*(100%-AY20)+AZ20*BA20+(BB20+0)*BC20</f>
        <v>4450.6748263000009</v>
      </c>
      <c r="BG20" s="737">
        <f>D16</f>
        <v>3</v>
      </c>
      <c r="BH20" s="737">
        <f>D38</f>
        <v>4</v>
      </c>
      <c r="BI20" s="737">
        <f>D74</f>
        <v>2.5</v>
      </c>
      <c r="BJ20" s="738"/>
      <c r="BK20" s="738">
        <f>D75</f>
        <v>2.48</v>
      </c>
      <c r="BL20" s="735"/>
      <c r="BM20" s="738">
        <f>D76</f>
        <v>2.2000000000000002</v>
      </c>
      <c r="BN20" s="738">
        <f>D77</f>
        <v>2.41</v>
      </c>
      <c r="BO20" s="737">
        <f>D82</f>
        <v>2.1</v>
      </c>
      <c r="BP20" s="737">
        <f>D83</f>
        <v>152</v>
      </c>
      <c r="BQ20" s="734">
        <f>E98</f>
        <v>229</v>
      </c>
      <c r="BR20" s="737">
        <f>E100</f>
        <v>3.3</v>
      </c>
      <c r="BS20" s="734">
        <f>E85</f>
        <v>-2</v>
      </c>
      <c r="BT20" s="735">
        <f>L55</f>
        <v>22.2</v>
      </c>
      <c r="BU20" s="735">
        <f>L96</f>
        <v>18.100000000000001</v>
      </c>
      <c r="BV20" s="738">
        <f>K91</f>
        <v>18.3</v>
      </c>
      <c r="BW20" s="735" t="str">
        <f>C3</f>
        <v>Hưng</v>
      </c>
      <c r="BX20" s="735">
        <f>L97</f>
        <v>5.25</v>
      </c>
      <c r="BY20" s="735"/>
      <c r="BZ20" s="735"/>
      <c r="CA20" s="735">
        <f>IF(BU20="","",+BU20*(1+(BU20-0.4644)/238.4)-0.02)</f>
        <v>19.41894446308725</v>
      </c>
      <c r="CB20" s="735">
        <f>IF(OR(CA20="",BQ20=""),"",BQ20*CA20)</f>
        <v>4446.93828204698</v>
      </c>
      <c r="CC20" s="734">
        <f>E66</f>
        <v>270</v>
      </c>
      <c r="CD20" s="735">
        <f>L63</f>
        <v>2.41</v>
      </c>
      <c r="CE20" s="735">
        <f>L64</f>
        <v>0.76</v>
      </c>
      <c r="CF20" s="734">
        <f>E61</f>
        <v>75</v>
      </c>
      <c r="CG20" s="735"/>
      <c r="CH20" s="735"/>
      <c r="CI20" s="735"/>
      <c r="CJ20" s="735"/>
      <c r="CK20" s="734">
        <f>K30</f>
        <v>214</v>
      </c>
      <c r="CL20" s="735">
        <f>K48</f>
        <v>229</v>
      </c>
      <c r="CM20" s="734">
        <f>K86</f>
        <v>2799</v>
      </c>
      <c r="CN20" s="734">
        <f>BF20-CB20-CJ20</f>
        <v>3.7365442530208384</v>
      </c>
      <c r="CO20" s="738">
        <f>IF(BV20="","",CN20/BF20%)</f>
        <v>8.3954555182076882E-2</v>
      </c>
      <c r="CR20" s="736">
        <f>(CC20-BQ20-BS20-10.5)/CC20</f>
        <v>0.12037037037037036</v>
      </c>
      <c r="CU20" s="734">
        <f>SUM(CK20:CM20)</f>
        <v>3242</v>
      </c>
    </row>
    <row r="21" spans="2:99" s="662" customFormat="1" ht="26.25" customHeight="1">
      <c r="B21" s="744"/>
      <c r="C21" s="536" t="s">
        <v>248</v>
      </c>
      <c r="D21" s="562">
        <v>95</v>
      </c>
      <c r="E21" s="816"/>
      <c r="F21" s="680">
        <f>G20</f>
        <v>0.78333333333333333</v>
      </c>
      <c r="G21" s="648"/>
      <c r="H21" s="448">
        <v>9</v>
      </c>
      <c r="I21" s="685">
        <f>IF(OR(F22="",F21=""),"",IF(F22&gt;=F21,(F22-F21)*24*60,(1+F22-F21)*24*60))</f>
        <v>8.999999999999968</v>
      </c>
      <c r="J21" s="585" t="s">
        <v>197</v>
      </c>
      <c r="K21" s="448">
        <v>520</v>
      </c>
      <c r="L21" s="564"/>
      <c r="M21" s="568"/>
      <c r="N21" s="521"/>
      <c r="O21" s="521"/>
      <c r="P21" s="521"/>
      <c r="Q21" s="521"/>
      <c r="R21" s="521"/>
      <c r="S21" s="521"/>
      <c r="T21" s="521">
        <f>K21*H21/60</f>
        <v>78</v>
      </c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2"/>
      <c r="AJ21" s="521"/>
      <c r="AK21" s="521"/>
      <c r="AL21" s="521">
        <v>44</v>
      </c>
      <c r="AM21" s="521" t="e">
        <f>K8*100+D8</f>
        <v>#VALUE!</v>
      </c>
      <c r="AN21" s="521"/>
      <c r="AO21" s="521"/>
      <c r="AP21" s="521"/>
      <c r="AQ21" s="521"/>
      <c r="AR21" s="521"/>
      <c r="AS21" s="521"/>
    </row>
    <row r="22" spans="2:99" s="662" customFormat="1" ht="21.75" customHeight="1">
      <c r="B22" s="744"/>
      <c r="C22" s="566" t="s">
        <v>249</v>
      </c>
      <c r="D22" s="448"/>
      <c r="E22" s="652">
        <v>96.4</v>
      </c>
      <c r="F22" s="714">
        <v>0.7895833333333333</v>
      </c>
      <c r="G22" s="648">
        <f>IF(ISBLANK(F22),"",F22+TIME(0,H22,0))</f>
        <v>0.79097222222222219</v>
      </c>
      <c r="H22" s="479">
        <v>2</v>
      </c>
      <c r="I22" s="685">
        <f>IF(OR(F30="",F22=""),"",IF(F30&gt;=F22,(F30-F22)*24*60,(1+F30-F22)*24*60))</f>
        <v>1.9999999999999929</v>
      </c>
      <c r="J22" s="539" t="s">
        <v>245</v>
      </c>
      <c r="K22" s="583" t="s">
        <v>246</v>
      </c>
      <c r="L22" s="564"/>
      <c r="M22" s="570"/>
      <c r="N22" s="521"/>
      <c r="O22" s="523"/>
      <c r="P22" s="523"/>
      <c r="Q22" s="521"/>
      <c r="R22" s="521"/>
      <c r="S22" s="521"/>
      <c r="T22" s="521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2"/>
      <c r="AJ22" s="521"/>
      <c r="AK22" s="521"/>
      <c r="AL22" s="521"/>
      <c r="AM22" s="521"/>
      <c r="AN22" s="521"/>
      <c r="AO22" s="521"/>
      <c r="AP22" s="521"/>
      <c r="AQ22" s="521"/>
      <c r="AR22" s="521"/>
      <c r="AS22" s="521"/>
    </row>
    <row r="23" spans="2:99" s="662" customFormat="1" ht="21.75" hidden="1" customHeight="1">
      <c r="B23" s="744"/>
      <c r="C23" s="536" t="s">
        <v>250</v>
      </c>
      <c r="D23" s="448"/>
      <c r="E23" s="646"/>
      <c r="F23" s="715"/>
      <c r="G23" s="648"/>
      <c r="H23" s="565"/>
      <c r="I23" s="685" t="str">
        <f t="shared" ref="I23:I29" si="0">IF(OR(F24="",F23=""),"",IF(F24&gt;F23,(F24-F23)*24*60,(1+F24-F23)*24*60))</f>
        <v/>
      </c>
      <c r="J23" s="571" t="s">
        <v>251</v>
      </c>
      <c r="K23" s="572"/>
      <c r="L23" s="564"/>
      <c r="M23" s="568"/>
      <c r="N23" s="521"/>
      <c r="O23" s="521"/>
      <c r="P23" s="521"/>
      <c r="Q23" s="521"/>
      <c r="R23" s="521"/>
      <c r="S23" s="521"/>
      <c r="T23" s="521"/>
      <c r="U23" s="521"/>
      <c r="V23" s="521"/>
      <c r="W23" s="521"/>
      <c r="X23" s="521"/>
      <c r="Y23" s="521"/>
      <c r="Z23" s="521"/>
      <c r="AA23" s="521"/>
      <c r="AB23" s="521"/>
      <c r="AC23" s="521"/>
      <c r="AD23" s="521"/>
      <c r="AE23" s="521"/>
      <c r="AF23" s="521"/>
      <c r="AG23" s="521"/>
      <c r="AH23" s="521"/>
      <c r="AI23" s="522"/>
      <c r="AJ23" s="521"/>
      <c r="AK23" s="521"/>
      <c r="AL23" s="521"/>
      <c r="AM23" s="521"/>
      <c r="AN23" s="521"/>
      <c r="AO23" s="521"/>
      <c r="AP23" s="521"/>
      <c r="AQ23" s="521"/>
      <c r="AR23" s="521"/>
      <c r="AS23" s="521"/>
    </row>
    <row r="24" spans="2:99" s="662" customFormat="1" ht="15" hidden="1" customHeight="1">
      <c r="B24" s="744"/>
      <c r="C24" s="573" t="s">
        <v>252</v>
      </c>
      <c r="D24" s="448"/>
      <c r="E24" s="646"/>
      <c r="F24" s="715"/>
      <c r="G24" s="648"/>
      <c r="H24" s="565"/>
      <c r="I24" s="685" t="str">
        <f t="shared" si="0"/>
        <v/>
      </c>
      <c r="J24" s="559"/>
      <c r="K24" s="559"/>
      <c r="L24" s="564"/>
      <c r="M24" s="531"/>
      <c r="N24" s="521"/>
      <c r="O24" s="521"/>
      <c r="P24" s="521"/>
      <c r="Q24" s="521"/>
      <c r="R24" s="521"/>
      <c r="S24" s="521"/>
      <c r="T24" s="521"/>
      <c r="U24" s="521"/>
      <c r="V24" s="521"/>
      <c r="W24" s="521"/>
      <c r="X24" s="521"/>
      <c r="Y24" s="521"/>
      <c r="Z24" s="521"/>
      <c r="AA24" s="521"/>
      <c r="AB24" s="521"/>
      <c r="AC24" s="521"/>
      <c r="AD24" s="521"/>
      <c r="AE24" s="521"/>
      <c r="AF24" s="521"/>
      <c r="AG24" s="521"/>
      <c r="AH24" s="521"/>
      <c r="AI24" s="522"/>
      <c r="AJ24" s="521"/>
      <c r="AK24" s="521"/>
      <c r="AL24" s="521"/>
      <c r="AM24" s="521"/>
      <c r="AN24" s="521"/>
      <c r="AO24" s="521"/>
      <c r="AP24" s="521"/>
      <c r="AQ24" s="521"/>
      <c r="AR24" s="521"/>
      <c r="AS24" s="521"/>
    </row>
    <row r="25" spans="2:99" s="662" customFormat="1" ht="22.5" hidden="1" customHeight="1">
      <c r="B25" s="744"/>
      <c r="C25" s="551" t="s">
        <v>253</v>
      </c>
      <c r="D25" s="448"/>
      <c r="E25" s="646"/>
      <c r="F25" s="715"/>
      <c r="G25" s="648"/>
      <c r="H25" s="565"/>
      <c r="I25" s="685" t="str">
        <f t="shared" si="0"/>
        <v/>
      </c>
      <c r="J25" s="559"/>
      <c r="K25" s="559"/>
      <c r="L25" s="564"/>
      <c r="M25" s="531"/>
      <c r="N25" s="521"/>
      <c r="O25" s="521"/>
      <c r="P25" s="521"/>
      <c r="Q25" s="521"/>
      <c r="R25" s="521"/>
      <c r="S25" s="521"/>
      <c r="T25" s="521"/>
      <c r="U25" s="521"/>
      <c r="V25" s="521"/>
      <c r="W25" s="521"/>
      <c r="X25" s="521"/>
      <c r="Y25" s="521"/>
      <c r="Z25" s="521"/>
      <c r="AA25" s="521"/>
      <c r="AB25" s="521"/>
      <c r="AC25" s="521"/>
      <c r="AD25" s="521"/>
      <c r="AE25" s="521"/>
      <c r="AF25" s="521"/>
      <c r="AG25" s="521"/>
      <c r="AH25" s="521"/>
      <c r="AI25" s="522"/>
      <c r="AJ25" s="521"/>
      <c r="AK25" s="521"/>
      <c r="AL25" s="521"/>
      <c r="AM25" s="521"/>
      <c r="AN25" s="521"/>
      <c r="AO25" s="521"/>
      <c r="AP25" s="521"/>
      <c r="AQ25" s="521"/>
      <c r="AR25" s="521"/>
      <c r="AS25" s="521"/>
    </row>
    <row r="26" spans="2:99" s="662" customFormat="1" ht="14.25" hidden="1" customHeight="1">
      <c r="B26" s="744"/>
      <c r="C26" s="573" t="s">
        <v>254</v>
      </c>
      <c r="D26" s="448"/>
      <c r="E26" s="646"/>
      <c r="F26" s="715"/>
      <c r="G26" s="648"/>
      <c r="H26" s="565"/>
      <c r="I26" s="685" t="str">
        <f t="shared" si="0"/>
        <v/>
      </c>
      <c r="J26" s="559"/>
      <c r="K26" s="559"/>
      <c r="L26" s="564"/>
      <c r="M26" s="531"/>
      <c r="N26" s="521"/>
      <c r="O26" s="521"/>
      <c r="P26" s="521"/>
      <c r="Q26" s="521"/>
      <c r="R26" s="521"/>
      <c r="S26" s="521"/>
      <c r="T26" s="521"/>
      <c r="U26" s="521"/>
      <c r="V26" s="521"/>
      <c r="W26" s="521"/>
      <c r="X26" s="521"/>
      <c r="Y26" s="521"/>
      <c r="Z26" s="521"/>
      <c r="AA26" s="521"/>
      <c r="AB26" s="521"/>
      <c r="AC26" s="521"/>
      <c r="AD26" s="521"/>
      <c r="AE26" s="521"/>
      <c r="AF26" s="521"/>
      <c r="AG26" s="521"/>
      <c r="AH26" s="521"/>
      <c r="AI26" s="522"/>
      <c r="AJ26" s="521"/>
      <c r="AK26" s="521"/>
      <c r="AL26" s="521"/>
      <c r="AM26" s="521"/>
      <c r="AN26" s="521"/>
      <c r="AO26" s="521"/>
      <c r="AP26" s="521"/>
      <c r="AQ26" s="521"/>
      <c r="AR26" s="521"/>
      <c r="AS26" s="521"/>
    </row>
    <row r="27" spans="2:99" s="662" customFormat="1" ht="17.25" hidden="1" customHeight="1">
      <c r="B27" s="744"/>
      <c r="C27" s="536" t="s">
        <v>255</v>
      </c>
      <c r="D27" s="448"/>
      <c r="E27" s="646"/>
      <c r="F27" s="715"/>
      <c r="G27" s="648"/>
      <c r="H27" s="565"/>
      <c r="I27" s="685" t="str">
        <f t="shared" si="0"/>
        <v/>
      </c>
      <c r="J27" s="559"/>
      <c r="K27" s="559"/>
      <c r="L27" s="564"/>
      <c r="M27" s="531"/>
      <c r="N27" s="521"/>
      <c r="O27" s="521"/>
      <c r="P27" s="521"/>
      <c r="Q27" s="521"/>
      <c r="R27" s="521"/>
      <c r="S27" s="521"/>
      <c r="T27" s="521"/>
      <c r="U27" s="521"/>
      <c r="V27" s="521"/>
      <c r="W27" s="521"/>
      <c r="X27" s="521"/>
      <c r="Y27" s="521"/>
      <c r="Z27" s="521"/>
      <c r="AA27" s="521"/>
      <c r="AB27" s="521"/>
      <c r="AC27" s="521"/>
      <c r="AD27" s="521"/>
      <c r="AE27" s="521"/>
      <c r="AF27" s="521"/>
      <c r="AG27" s="521"/>
      <c r="AH27" s="521"/>
      <c r="AI27" s="522"/>
      <c r="AJ27" s="521"/>
      <c r="AK27" s="521"/>
      <c r="AL27" s="521"/>
      <c r="AM27" s="521"/>
      <c r="AN27" s="521"/>
      <c r="AO27" s="521"/>
      <c r="AP27" s="521"/>
      <c r="AQ27" s="521"/>
      <c r="AR27" s="521"/>
      <c r="AS27" s="521"/>
    </row>
    <row r="28" spans="2:99" s="662" customFormat="1" ht="15.75" hidden="1" customHeight="1">
      <c r="B28" s="744"/>
      <c r="C28" s="573" t="s">
        <v>256</v>
      </c>
      <c r="D28" s="448"/>
      <c r="E28" s="646"/>
      <c r="F28" s="715"/>
      <c r="G28" s="648"/>
      <c r="H28" s="565"/>
      <c r="I28" s="685" t="str">
        <f t="shared" si="0"/>
        <v/>
      </c>
      <c r="J28" s="559"/>
      <c r="K28" s="559"/>
      <c r="L28" s="564"/>
      <c r="M28" s="531"/>
      <c r="N28" s="521"/>
      <c r="O28" s="521"/>
      <c r="P28" s="521"/>
      <c r="Q28" s="521"/>
      <c r="R28" s="521"/>
      <c r="S28" s="521"/>
      <c r="T28" s="521"/>
      <c r="U28" s="521"/>
      <c r="V28" s="521"/>
      <c r="W28" s="521"/>
      <c r="X28" s="521"/>
      <c r="Y28" s="521"/>
      <c r="Z28" s="521"/>
      <c r="AA28" s="521"/>
      <c r="AB28" s="521"/>
      <c r="AC28" s="521"/>
      <c r="AD28" s="521"/>
      <c r="AE28" s="521"/>
      <c r="AF28" s="521"/>
      <c r="AG28" s="521"/>
      <c r="AH28" s="521"/>
      <c r="AI28" s="522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</row>
    <row r="29" spans="2:99" s="662" customFormat="1" ht="23.25" hidden="1" customHeight="1">
      <c r="B29" s="748"/>
      <c r="C29" s="536" t="s">
        <v>257</v>
      </c>
      <c r="D29" s="448"/>
      <c r="E29" s="646"/>
      <c r="F29" s="715"/>
      <c r="G29" s="648"/>
      <c r="H29" s="537"/>
      <c r="I29" s="685" t="str">
        <f t="shared" si="0"/>
        <v/>
      </c>
      <c r="J29" s="571" t="s">
        <v>251</v>
      </c>
      <c r="K29" s="572"/>
      <c r="L29" s="564"/>
      <c r="M29" s="568"/>
      <c r="N29" s="521"/>
      <c r="O29" s="521"/>
      <c r="P29" s="521"/>
      <c r="Q29" s="521"/>
      <c r="R29" s="521"/>
      <c r="S29" s="521"/>
      <c r="T29" s="521"/>
      <c r="U29" s="521"/>
      <c r="V29" s="521"/>
      <c r="W29" s="521"/>
      <c r="X29" s="521"/>
      <c r="Y29" s="521"/>
      <c r="Z29" s="521"/>
      <c r="AA29" s="521"/>
      <c r="AB29" s="521"/>
      <c r="AC29" s="521"/>
      <c r="AD29" s="521"/>
      <c r="AE29" s="521"/>
      <c r="AF29" s="521"/>
      <c r="AG29" s="521"/>
      <c r="AH29" s="521"/>
      <c r="AI29" s="522"/>
      <c r="AJ29" s="521"/>
      <c r="AK29" s="521"/>
      <c r="AL29" s="521"/>
      <c r="AM29" s="521"/>
      <c r="AN29" s="521"/>
      <c r="AO29" s="521"/>
      <c r="AP29" s="521"/>
      <c r="AQ29" s="521"/>
      <c r="AR29" s="521"/>
      <c r="AS29" s="521"/>
    </row>
    <row r="30" spans="2:99" s="662" customFormat="1" ht="24.75" customHeight="1" collapsed="1">
      <c r="B30" s="744"/>
      <c r="C30" s="536" t="s">
        <v>258</v>
      </c>
      <c r="D30" s="448"/>
      <c r="E30" s="651"/>
      <c r="F30" s="714">
        <f>G40</f>
        <v>0.79097222222222219</v>
      </c>
      <c r="G30" s="648"/>
      <c r="H30" s="448">
        <v>7</v>
      </c>
      <c r="I30" s="685">
        <f>IF(OR(F31="",F30=""),"",IF(F31&gt;=F30,(F31-F30)*24*60,(1+F31-F30)*24*60))</f>
        <v>4.0000000000001457</v>
      </c>
      <c r="J30" s="574" t="s">
        <v>259</v>
      </c>
      <c r="K30" s="537">
        <v>214</v>
      </c>
      <c r="L30" s="569"/>
      <c r="M30" s="531"/>
      <c r="N30" s="521"/>
      <c r="O30" s="521"/>
      <c r="P30" s="521"/>
      <c r="Q30" s="521"/>
      <c r="R30" s="521"/>
      <c r="S30" s="521"/>
      <c r="T30" s="521"/>
      <c r="U30" s="521"/>
      <c r="V30" s="521"/>
      <c r="W30" s="521"/>
      <c r="X30" s="521"/>
      <c r="Y30" s="521"/>
      <c r="Z30" s="521"/>
      <c r="AA30" s="521"/>
      <c r="AB30" s="521"/>
      <c r="AC30" s="521"/>
      <c r="AD30" s="521"/>
      <c r="AE30" s="521"/>
      <c r="AF30" s="521"/>
      <c r="AG30" s="521"/>
      <c r="AH30" s="521"/>
      <c r="AI30" s="522"/>
      <c r="AJ30" s="521"/>
      <c r="AK30" s="521"/>
      <c r="AL30" s="521"/>
      <c r="AM30" s="535" t="s">
        <v>260</v>
      </c>
      <c r="AN30" s="535" t="s">
        <v>261</v>
      </c>
      <c r="AO30" s="535" t="s">
        <v>199</v>
      </c>
      <c r="AP30" s="535" t="s">
        <v>262</v>
      </c>
      <c r="AQ30" s="535" t="s">
        <v>263</v>
      </c>
      <c r="AR30" s="575" t="s">
        <v>264</v>
      </c>
      <c r="AS30" s="521"/>
    </row>
    <row r="31" spans="2:99" s="662" customFormat="1" ht="24.75" customHeight="1">
      <c r="B31" s="744"/>
      <c r="C31" s="536" t="s">
        <v>265</v>
      </c>
      <c r="D31" s="448">
        <v>7</v>
      </c>
      <c r="E31" s="651"/>
      <c r="F31" s="714">
        <v>0.79375000000000007</v>
      </c>
      <c r="G31" s="648">
        <f>IF(F42="","",F42)</f>
        <v>0.7944444444444444</v>
      </c>
      <c r="H31" s="448">
        <v>1</v>
      </c>
      <c r="I31" s="685">
        <f>IF(OR(G31="",F31=""),"",IF(G31&gt;=F31,(G31-F31)*24*60,(1+G31-F31)*24*60))</f>
        <v>0.99999999999983658</v>
      </c>
      <c r="J31" s="539"/>
      <c r="K31" s="539"/>
      <c r="L31" s="641"/>
      <c r="M31" s="554"/>
      <c r="N31" s="521"/>
      <c r="O31" s="521"/>
      <c r="P31" s="521"/>
      <c r="Q31" s="521"/>
      <c r="R31" s="521"/>
      <c r="S31" s="521"/>
      <c r="T31" s="521"/>
      <c r="U31" s="521"/>
      <c r="V31" s="521"/>
      <c r="W31" s="521"/>
      <c r="X31" s="521"/>
      <c r="Y31" s="521"/>
      <c r="Z31" s="521"/>
      <c r="AA31" s="521"/>
      <c r="AB31" s="521"/>
      <c r="AC31" s="521"/>
      <c r="AD31" s="521"/>
      <c r="AE31" s="521"/>
      <c r="AF31" s="521"/>
      <c r="AG31" s="521"/>
      <c r="AH31" s="521"/>
      <c r="AI31" s="522"/>
      <c r="AJ31" s="521"/>
      <c r="AK31" s="521"/>
      <c r="AL31" s="521"/>
      <c r="AM31" s="535"/>
      <c r="AN31" s="535">
        <v>80</v>
      </c>
      <c r="AO31" s="535">
        <v>30</v>
      </c>
      <c r="AP31" s="535">
        <v>60</v>
      </c>
      <c r="AQ31" s="535">
        <v>180</v>
      </c>
      <c r="AR31" s="575">
        <f>AQ31*AO32</f>
        <v>72</v>
      </c>
      <c r="AS31" s="521"/>
    </row>
    <row r="32" spans="2:99" s="662" customFormat="1" ht="24.75" customHeight="1">
      <c r="B32" s="744"/>
      <c r="C32" s="536" t="s">
        <v>266</v>
      </c>
      <c r="D32" s="448">
        <v>2</v>
      </c>
      <c r="E32" s="651"/>
      <c r="F32" s="651"/>
      <c r="G32" s="651"/>
      <c r="H32" s="448">
        <v>0</v>
      </c>
      <c r="I32" s="448"/>
      <c r="J32" s="539"/>
      <c r="K32" s="539"/>
      <c r="L32" s="641"/>
      <c r="M32" s="554"/>
      <c r="N32" s="521"/>
      <c r="O32" s="521"/>
      <c r="P32" s="521"/>
      <c r="Q32" s="521"/>
      <c r="R32" s="521"/>
      <c r="S32" s="521"/>
      <c r="T32" s="521"/>
      <c r="U32" s="521"/>
      <c r="V32" s="521"/>
      <c r="W32" s="521"/>
      <c r="X32" s="521"/>
      <c r="Y32" s="521"/>
      <c r="Z32" s="521"/>
      <c r="AA32" s="521"/>
      <c r="AB32" s="521"/>
      <c r="AC32" s="521"/>
      <c r="AD32" s="521"/>
      <c r="AE32" s="521"/>
      <c r="AF32" s="521"/>
      <c r="AG32" s="521"/>
      <c r="AH32" s="521"/>
      <c r="AI32" s="522"/>
      <c r="AJ32" s="521"/>
      <c r="AK32" s="521"/>
      <c r="AL32" s="521"/>
      <c r="AM32" s="535"/>
      <c r="AN32" s="535">
        <v>0.6</v>
      </c>
      <c r="AO32" s="535">
        <f>1-AN32</f>
        <v>0.4</v>
      </c>
      <c r="AP32" s="576">
        <f>AN31*AN32+AO31*AO32</f>
        <v>60</v>
      </c>
      <c r="AQ32" s="535"/>
      <c r="AR32" s="535"/>
      <c r="AS32" s="521"/>
    </row>
    <row r="33" spans="2:45" s="662" customFormat="1" ht="22.5" customHeight="1" thickBot="1">
      <c r="B33" s="745"/>
      <c r="C33" s="779" t="s">
        <v>267</v>
      </c>
      <c r="D33" s="882"/>
      <c r="E33" s="882"/>
      <c r="F33" s="882"/>
      <c r="G33" s="882"/>
      <c r="H33" s="882">
        <f>SUM(H12:H32)</f>
        <v>56.066666666666663</v>
      </c>
      <c r="I33" s="882">
        <f>IF(OR(G31="",F13=""),"",IF(G31&gt;=F13,(G31-F13)*24*60,(G31+1-F13)*24*60))</f>
        <v>51.999999999999972</v>
      </c>
      <c r="J33" s="543"/>
      <c r="K33" s="543"/>
      <c r="L33" s="643"/>
      <c r="M33" s="580"/>
      <c r="N33" s="521"/>
      <c r="O33" s="521"/>
      <c r="P33" s="521"/>
      <c r="Q33" s="521"/>
      <c r="R33" s="521"/>
      <c r="S33" s="521"/>
      <c r="T33" s="521"/>
      <c r="U33" s="521"/>
      <c r="V33" s="521"/>
      <c r="W33" s="521"/>
      <c r="X33" s="521"/>
      <c r="Y33" s="521"/>
      <c r="Z33" s="521"/>
      <c r="AA33" s="521"/>
      <c r="AB33" s="521"/>
      <c r="AC33" s="521"/>
      <c r="AD33" s="521"/>
      <c r="AE33" s="521"/>
      <c r="AF33" s="521"/>
      <c r="AG33" s="521"/>
      <c r="AH33" s="521"/>
      <c r="AI33" s="522"/>
      <c r="AJ33" s="521"/>
      <c r="AK33" s="521"/>
      <c r="AL33" s="521"/>
      <c r="AM33" s="521"/>
      <c r="AN33" s="521"/>
      <c r="AO33" s="521"/>
      <c r="AP33" s="521"/>
      <c r="AQ33" s="521"/>
      <c r="AR33" s="521"/>
      <c r="AS33" s="521"/>
    </row>
    <row r="34" spans="2:45" s="662" customFormat="1" ht="15" customHeight="1" thickBot="1">
      <c r="B34" s="770"/>
      <c r="C34" s="941" t="s">
        <v>268</v>
      </c>
      <c r="D34" s="942"/>
      <c r="E34" s="942"/>
      <c r="F34" s="942"/>
      <c r="G34" s="942"/>
      <c r="H34" s="942"/>
      <c r="I34" s="942"/>
      <c r="J34" s="942"/>
      <c r="K34" s="942"/>
      <c r="L34" s="943"/>
      <c r="M34" s="582"/>
      <c r="N34" s="521"/>
      <c r="O34" s="521"/>
      <c r="P34" s="521"/>
      <c r="Q34" s="521"/>
      <c r="R34" s="521"/>
      <c r="S34" s="521"/>
      <c r="T34" s="521"/>
      <c r="U34" s="521"/>
      <c r="V34" s="521"/>
      <c r="W34" s="521"/>
      <c r="X34" s="521"/>
      <c r="Y34" s="521"/>
      <c r="Z34" s="521"/>
      <c r="AA34" s="521"/>
      <c r="AB34" s="521"/>
      <c r="AC34" s="521"/>
      <c r="AD34" s="521"/>
      <c r="AE34" s="521"/>
      <c r="AF34" s="521"/>
      <c r="AG34" s="521"/>
      <c r="AH34" s="521"/>
      <c r="AI34" s="522"/>
      <c r="AJ34" s="521"/>
      <c r="AK34" s="521"/>
      <c r="AL34" s="521"/>
      <c r="AM34" s="521"/>
      <c r="AN34" s="521"/>
      <c r="AO34" s="521"/>
      <c r="AP34" s="521"/>
      <c r="AQ34" s="521"/>
      <c r="AR34" s="521"/>
      <c r="AS34" s="521"/>
    </row>
    <row r="35" spans="2:45" s="662" customFormat="1" ht="24.75" customHeight="1">
      <c r="B35" s="745"/>
      <c r="C35" s="594" t="s">
        <v>269</v>
      </c>
      <c r="D35" s="882">
        <v>10</v>
      </c>
      <c r="E35" s="647"/>
      <c r="F35" s="775"/>
      <c r="G35" s="775"/>
      <c r="H35" s="882">
        <v>2</v>
      </c>
      <c r="I35" s="882"/>
      <c r="J35" s="790" t="s">
        <v>178</v>
      </c>
      <c r="K35" s="791">
        <v>225</v>
      </c>
      <c r="L35" s="713">
        <v>225</v>
      </c>
      <c r="M35" s="584"/>
      <c r="N35" s="521"/>
      <c r="O35" s="521"/>
      <c r="P35" s="521"/>
      <c r="Q35" s="521"/>
      <c r="R35" s="521"/>
      <c r="S35" s="521"/>
      <c r="T35" s="964" t="s">
        <v>270</v>
      </c>
      <c r="U35" s="964"/>
      <c r="V35" s="521" t="e">
        <f>(D8-K15)/H36*1.2</f>
        <v>#VALUE!</v>
      </c>
      <c r="W35" s="521"/>
      <c r="X35" s="521"/>
      <c r="Y35" s="521"/>
      <c r="Z35" s="521"/>
      <c r="AA35" s="521"/>
      <c r="AB35" s="521"/>
      <c r="AC35" s="521"/>
      <c r="AD35" s="521"/>
      <c r="AE35" s="521"/>
      <c r="AF35" s="521"/>
      <c r="AG35" s="521"/>
      <c r="AH35" s="521"/>
      <c r="AI35" s="522"/>
      <c r="AJ35" s="521"/>
      <c r="AK35" s="521"/>
      <c r="AL35" s="521"/>
      <c r="AM35" s="535" t="s">
        <v>271</v>
      </c>
      <c r="AN35" s="535" t="s">
        <v>261</v>
      </c>
      <c r="AO35" s="535" t="s">
        <v>199</v>
      </c>
      <c r="AP35" s="535" t="s">
        <v>272</v>
      </c>
      <c r="AQ35" s="535" t="s">
        <v>273</v>
      </c>
      <c r="AR35" s="575" t="s">
        <v>264</v>
      </c>
      <c r="AS35" s="521"/>
    </row>
    <row r="36" spans="2:45" s="663" customFormat="1" ht="24" customHeight="1">
      <c r="B36" s="744"/>
      <c r="C36" s="536" t="s">
        <v>274</v>
      </c>
      <c r="D36" s="448">
        <v>80</v>
      </c>
      <c r="E36" s="646">
        <v>81</v>
      </c>
      <c r="F36" s="648">
        <f>IF(F19="","",F19)</f>
        <v>0.77013888888888893</v>
      </c>
      <c r="G36" s="648"/>
      <c r="H36" s="448">
        <f>D36/K35*60</f>
        <v>21.333333333333336</v>
      </c>
      <c r="I36" s="685">
        <f>IF(OR(F37="",F36=""),"",IF(F37&gt;=F36,(F37-F36)*24*60,(1+F37-F36)*24*60))</f>
        <v>22.000000000000082</v>
      </c>
      <c r="J36" s="585" t="s">
        <v>275</v>
      </c>
      <c r="K36" s="583">
        <v>43.8</v>
      </c>
      <c r="L36" s="561">
        <f ca="1">43.8+RANDBETWEEN(-2,2)/10</f>
        <v>44</v>
      </c>
      <c r="M36" s="586"/>
      <c r="N36" s="523"/>
      <c r="O36" s="523"/>
      <c r="P36" s="523"/>
      <c r="Q36" s="523"/>
      <c r="R36" s="523"/>
      <c r="S36" s="523"/>
      <c r="T36" s="555" t="s">
        <v>184</v>
      </c>
      <c r="U36" s="523"/>
      <c r="V36" s="587" t="e">
        <f>(K8)/(D8-K15)*100</f>
        <v>#VALUE!</v>
      </c>
      <c r="W36" s="523"/>
      <c r="X36" s="523"/>
      <c r="Y36" s="523"/>
      <c r="Z36" s="523"/>
      <c r="AA36" s="523"/>
      <c r="AB36" s="523"/>
      <c r="AC36" s="523"/>
      <c r="AD36" s="523"/>
      <c r="AE36" s="523"/>
      <c r="AF36" s="523"/>
      <c r="AG36" s="523"/>
      <c r="AH36" s="523"/>
      <c r="AI36" s="524"/>
      <c r="AJ36" s="523"/>
      <c r="AK36" s="523"/>
      <c r="AL36" s="523"/>
      <c r="AM36" s="588"/>
      <c r="AN36" s="535">
        <v>80</v>
      </c>
      <c r="AO36" s="535">
        <v>30</v>
      </c>
      <c r="AP36" s="535">
        <v>41</v>
      </c>
      <c r="AQ36" s="535">
        <v>240</v>
      </c>
      <c r="AR36" s="575">
        <f>AQ36*AO37</f>
        <v>187.20000000000002</v>
      </c>
      <c r="AS36" s="523"/>
    </row>
    <row r="37" spans="2:45" s="663" customFormat="1" ht="24" customHeight="1">
      <c r="B37" s="744"/>
      <c r="C37" s="536" t="s">
        <v>276</v>
      </c>
      <c r="D37" s="448">
        <v>14</v>
      </c>
      <c r="E37" s="646">
        <v>13</v>
      </c>
      <c r="F37" s="714">
        <v>0.78541666666666676</v>
      </c>
      <c r="G37" s="648"/>
      <c r="H37" s="448">
        <f>D37/280*60</f>
        <v>3</v>
      </c>
      <c r="I37" s="685">
        <f>IF(OR(F40="",F37=""),"",IF(F40&gt;=F37,(F40-F37)*24*60,(1+F40-F37)*24*60))</f>
        <v>2.9999999999998295</v>
      </c>
      <c r="J37" s="552" t="s">
        <v>187</v>
      </c>
      <c r="K37" s="583">
        <v>46.5</v>
      </c>
      <c r="L37" s="561">
        <f ca="1">46.7+RANDBETWEEN(-1,3)/10</f>
        <v>46.7</v>
      </c>
      <c r="M37" s="586"/>
      <c r="N37" s="523"/>
      <c r="O37" s="523"/>
      <c r="P37" s="523"/>
      <c r="Q37" s="523"/>
      <c r="R37" s="523"/>
      <c r="S37" s="523"/>
      <c r="T37" s="555"/>
      <c r="U37" s="523"/>
      <c r="V37" s="587"/>
      <c r="W37" s="523"/>
      <c r="X37" s="523"/>
      <c r="Y37" s="523"/>
      <c r="Z37" s="523"/>
      <c r="AA37" s="523"/>
      <c r="AB37" s="523"/>
      <c r="AC37" s="523"/>
      <c r="AD37" s="523"/>
      <c r="AE37" s="523"/>
      <c r="AF37" s="523"/>
      <c r="AG37" s="523"/>
      <c r="AH37" s="523"/>
      <c r="AI37" s="524"/>
      <c r="AJ37" s="523"/>
      <c r="AK37" s="523"/>
      <c r="AL37" s="523"/>
      <c r="AM37" s="588"/>
      <c r="AN37" s="535">
        <v>0.22</v>
      </c>
      <c r="AO37" s="535">
        <f>1-AN37</f>
        <v>0.78</v>
      </c>
      <c r="AP37" s="576">
        <f>AN36*AN37+AO36*AO37</f>
        <v>41</v>
      </c>
      <c r="AQ37" s="535"/>
      <c r="AR37" s="535"/>
      <c r="AS37" s="523"/>
    </row>
    <row r="38" spans="2:45" s="662" customFormat="1" ht="24" customHeight="1">
      <c r="B38" s="744"/>
      <c r="C38" s="536" t="s">
        <v>193</v>
      </c>
      <c r="D38" s="557">
        <v>4</v>
      </c>
      <c r="E38" s="646"/>
      <c r="F38" s="648"/>
      <c r="G38" s="648"/>
      <c r="H38" s="448"/>
      <c r="I38" s="448"/>
      <c r="J38" s="585"/>
      <c r="K38" s="557"/>
      <c r="L38" s="589"/>
      <c r="M38" s="590"/>
      <c r="N38" s="521"/>
      <c r="O38" s="521"/>
      <c r="P38" s="521"/>
      <c r="Q38" s="521"/>
      <c r="R38" s="521"/>
      <c r="S38" s="521"/>
      <c r="T38" s="521"/>
      <c r="U38" s="521"/>
      <c r="V38" s="521"/>
      <c r="W38" s="521"/>
      <c r="X38" s="521"/>
      <c r="Y38" s="521"/>
      <c r="Z38" s="521"/>
      <c r="AA38" s="521"/>
      <c r="AB38" s="521"/>
      <c r="AC38" s="521"/>
      <c r="AD38" s="521"/>
      <c r="AE38" s="521"/>
      <c r="AF38" s="521"/>
      <c r="AG38" s="521"/>
      <c r="AH38" s="521"/>
      <c r="AI38" s="522"/>
      <c r="AJ38" s="521"/>
      <c r="AK38" s="521"/>
      <c r="AL38" s="521"/>
      <c r="AM38" s="521"/>
      <c r="AN38" s="521"/>
      <c r="AO38" s="521"/>
      <c r="AP38" s="521"/>
      <c r="AQ38" s="521"/>
      <c r="AR38" s="521"/>
      <c r="AS38" s="521"/>
    </row>
    <row r="39" spans="2:45" s="662" customFormat="1" ht="20.25" customHeight="1">
      <c r="B39" s="747"/>
      <c r="C39" s="536" t="s">
        <v>277</v>
      </c>
      <c r="D39" s="557"/>
      <c r="E39" s="651"/>
      <c r="F39" s="715"/>
      <c r="G39" s="648"/>
      <c r="H39" s="448"/>
      <c r="I39" s="448"/>
      <c r="J39" s="563"/>
      <c r="K39" s="557"/>
      <c r="L39" s="540"/>
      <c r="M39" s="586"/>
      <c r="N39" s="521"/>
      <c r="O39" s="521"/>
      <c r="P39" s="521"/>
      <c r="Q39" s="521"/>
      <c r="R39" s="521"/>
      <c r="S39" s="521"/>
      <c r="T39" s="521"/>
      <c r="U39" s="521"/>
      <c r="V39" s="521"/>
      <c r="W39" s="521"/>
      <c r="X39" s="521"/>
      <c r="Y39" s="521"/>
      <c r="Z39" s="521"/>
      <c r="AA39" s="521"/>
      <c r="AB39" s="521"/>
      <c r="AC39" s="521"/>
      <c r="AD39" s="521"/>
      <c r="AE39" s="521"/>
      <c r="AF39" s="521"/>
      <c r="AG39" s="521"/>
      <c r="AH39" s="521"/>
      <c r="AI39" s="522"/>
      <c r="AJ39" s="521"/>
      <c r="AK39" s="521"/>
      <c r="AL39" s="521"/>
      <c r="AM39" s="521"/>
      <c r="AN39" s="521"/>
      <c r="AO39" s="521"/>
      <c r="AP39" s="521"/>
      <c r="AQ39" s="521"/>
      <c r="AR39" s="521"/>
      <c r="AS39" s="521"/>
    </row>
    <row r="40" spans="2:45" s="662" customFormat="1" ht="24" customHeight="1">
      <c r="B40" s="747"/>
      <c r="C40" s="563" t="s">
        <v>278</v>
      </c>
      <c r="D40" s="557"/>
      <c r="E40" s="652">
        <v>47</v>
      </c>
      <c r="F40" s="714">
        <v>0.78749999999999998</v>
      </c>
      <c r="G40" s="648">
        <f>IF(ISBLANK(F40),"",F40+TIME(0,H40,0))</f>
        <v>0.79097222222222219</v>
      </c>
      <c r="H40" s="479">
        <v>5</v>
      </c>
      <c r="I40" s="685">
        <f t="shared" ref="I40:I48" si="1">IF(OR(F41="",F40=""),"",IF(F41&gt;=F40,(F41-F40)*24*60,(1+F41-F40)*24*60))</f>
        <v>4.9999999999999822</v>
      </c>
      <c r="J40" s="566"/>
      <c r="K40" s="557"/>
      <c r="L40" s="540"/>
      <c r="M40" s="586"/>
      <c r="N40" s="521"/>
      <c r="O40" s="521"/>
      <c r="P40" s="521"/>
      <c r="Q40" s="521"/>
      <c r="R40" s="521"/>
      <c r="S40" s="521"/>
      <c r="T40" s="521"/>
      <c r="U40" s="521"/>
      <c r="V40" s="521"/>
      <c r="W40" s="521"/>
      <c r="X40" s="521"/>
      <c r="Y40" s="521"/>
      <c r="Z40" s="521"/>
      <c r="AA40" s="521"/>
      <c r="AB40" s="521"/>
      <c r="AC40" s="521"/>
      <c r="AD40" s="521"/>
      <c r="AE40" s="521"/>
      <c r="AF40" s="521"/>
      <c r="AG40" s="521"/>
      <c r="AH40" s="521"/>
      <c r="AI40" s="522"/>
      <c r="AJ40" s="521"/>
      <c r="AK40" s="521"/>
      <c r="AL40" s="521"/>
      <c r="AM40" s="535" t="s">
        <v>279</v>
      </c>
      <c r="AN40" s="535" t="s">
        <v>261</v>
      </c>
      <c r="AO40" s="535" t="s">
        <v>199</v>
      </c>
      <c r="AP40" s="535" t="s">
        <v>280</v>
      </c>
      <c r="AQ40" s="535" t="s">
        <v>263</v>
      </c>
      <c r="AR40" s="575" t="s">
        <v>264</v>
      </c>
      <c r="AS40" s="521"/>
    </row>
    <row r="41" spans="2:45" s="662" customFormat="1" ht="24" customHeight="1">
      <c r="B41" s="744"/>
      <c r="C41" s="536" t="s">
        <v>281</v>
      </c>
      <c r="D41" s="557"/>
      <c r="E41" s="653"/>
      <c r="F41" s="680">
        <f>IF(F30="","",F30)</f>
        <v>0.79097222222222219</v>
      </c>
      <c r="G41" s="648"/>
      <c r="H41" s="448">
        <f>SUM(H30,H31)</f>
        <v>8</v>
      </c>
      <c r="I41" s="685">
        <f t="shared" si="1"/>
        <v>4.9999999999999822</v>
      </c>
      <c r="J41" s="574" t="s">
        <v>282</v>
      </c>
      <c r="K41" s="681">
        <v>64</v>
      </c>
      <c r="L41" s="558"/>
      <c r="M41" s="586"/>
      <c r="N41" s="521"/>
      <c r="O41" s="521"/>
      <c r="P41" s="521"/>
      <c r="Q41" s="521"/>
      <c r="R41" s="521"/>
      <c r="S41" s="521"/>
      <c r="T41" s="521"/>
      <c r="U41" s="521"/>
      <c r="V41" s="521"/>
      <c r="W41" s="521"/>
      <c r="X41" s="521"/>
      <c r="Y41" s="521"/>
      <c r="Z41" s="521"/>
      <c r="AA41" s="521"/>
      <c r="AB41" s="521"/>
      <c r="AC41" s="521"/>
      <c r="AD41" s="521"/>
      <c r="AE41" s="521"/>
      <c r="AF41" s="521"/>
      <c r="AG41" s="521"/>
      <c r="AH41" s="521"/>
      <c r="AI41" s="522"/>
      <c r="AJ41" s="521"/>
      <c r="AK41" s="521"/>
      <c r="AL41" s="521"/>
      <c r="AM41" s="588"/>
      <c r="AN41" s="535">
        <v>80</v>
      </c>
      <c r="AO41" s="535">
        <v>30</v>
      </c>
      <c r="AP41" s="535">
        <v>80</v>
      </c>
      <c r="AQ41" s="535">
        <v>220</v>
      </c>
      <c r="AR41" s="575">
        <f>AQ41*AO42</f>
        <v>0</v>
      </c>
      <c r="AS41" s="521"/>
    </row>
    <row r="42" spans="2:45" s="662" customFormat="1" ht="24" customHeight="1">
      <c r="B42" s="744"/>
      <c r="C42" s="536" t="s">
        <v>283</v>
      </c>
      <c r="D42" s="448"/>
      <c r="E42" s="651"/>
      <c r="F42" s="714">
        <v>0.7944444444444444</v>
      </c>
      <c r="G42" s="648"/>
      <c r="H42" s="448">
        <v>0</v>
      </c>
      <c r="I42" s="685">
        <f t="shared" si="1"/>
        <v>0</v>
      </c>
      <c r="J42" s="539" t="s">
        <v>259</v>
      </c>
      <c r="K42" s="591">
        <v>0</v>
      </c>
      <c r="L42" s="558"/>
      <c r="M42" s="586"/>
      <c r="N42" s="521"/>
      <c r="O42" s="521"/>
      <c r="P42" s="521"/>
      <c r="Q42" s="521"/>
      <c r="R42" s="521"/>
      <c r="S42" s="521"/>
      <c r="T42" s="555" t="s">
        <v>184</v>
      </c>
      <c r="U42" s="521"/>
      <c r="V42" s="556" t="e">
        <f>(K8+K9+D15)/(D8+D9)*100</f>
        <v>#VALUE!</v>
      </c>
      <c r="W42" s="521"/>
      <c r="X42" s="549" t="s">
        <v>284</v>
      </c>
      <c r="Y42" s="550" t="e">
        <f>D8+D9+(K8+K9+D15+D31)*100</f>
        <v>#VALUE!</v>
      </c>
      <c r="Z42" s="521"/>
      <c r="AA42" s="521"/>
      <c r="AB42" s="521"/>
      <c r="AC42" s="521"/>
      <c r="AD42" s="521"/>
      <c r="AE42" s="521"/>
      <c r="AF42" s="521"/>
      <c r="AG42" s="521"/>
      <c r="AH42" s="521"/>
      <c r="AI42" s="522"/>
      <c r="AJ42" s="521"/>
      <c r="AK42" s="521"/>
      <c r="AL42" s="521"/>
      <c r="AM42" s="588"/>
      <c r="AN42" s="535">
        <v>1</v>
      </c>
      <c r="AO42" s="535">
        <f>1-AN42</f>
        <v>0</v>
      </c>
      <c r="AP42" s="576">
        <f>AN41*AN42+AO41*AO42</f>
        <v>80</v>
      </c>
      <c r="AQ42" s="535"/>
      <c r="AR42" s="535"/>
      <c r="AS42" s="521"/>
    </row>
    <row r="43" spans="2:45" s="662" customFormat="1" ht="25.5" customHeight="1">
      <c r="B43" s="744"/>
      <c r="C43" s="566" t="s">
        <v>285</v>
      </c>
      <c r="D43" s="562">
        <v>65.5</v>
      </c>
      <c r="E43" s="652">
        <v>65.599999999999994</v>
      </c>
      <c r="F43" s="714">
        <v>0.7944444444444444</v>
      </c>
      <c r="G43" s="648">
        <f>IF(ISBLANK(F43),"",F43+TIME(0,H43,0))</f>
        <v>0.82916666666666661</v>
      </c>
      <c r="H43" s="479">
        <v>50</v>
      </c>
      <c r="I43" s="685">
        <f t="shared" si="1"/>
        <v>49.999999999999986</v>
      </c>
      <c r="J43" s="539" t="s">
        <v>286</v>
      </c>
      <c r="K43" s="583" t="s">
        <v>287</v>
      </c>
      <c r="L43" s="708"/>
      <c r="M43" s="567"/>
      <c r="N43" s="521"/>
      <c r="O43" s="521"/>
      <c r="P43" s="521"/>
      <c r="Q43" s="521"/>
      <c r="R43" s="521"/>
      <c r="S43" s="521"/>
      <c r="T43" s="521"/>
      <c r="U43" s="521"/>
      <c r="V43" s="521"/>
      <c r="W43" s="521"/>
      <c r="X43" s="521"/>
      <c r="Y43" s="521"/>
      <c r="Z43" s="521"/>
      <c r="AA43" s="521"/>
      <c r="AB43" s="521"/>
      <c r="AC43" s="521"/>
      <c r="AD43" s="521"/>
      <c r="AE43" s="521"/>
      <c r="AF43" s="521"/>
      <c r="AG43" s="521"/>
      <c r="AH43" s="521"/>
      <c r="AI43" s="522"/>
      <c r="AJ43" s="521"/>
      <c r="AK43" s="521"/>
      <c r="AL43" s="521"/>
      <c r="AM43" s="521"/>
      <c r="AN43" s="521"/>
      <c r="AO43" s="521"/>
      <c r="AP43" s="521"/>
      <c r="AQ43" s="521"/>
      <c r="AR43" s="521"/>
      <c r="AS43" s="521"/>
    </row>
    <row r="44" spans="2:45" s="662" customFormat="1" ht="25.5" customHeight="1">
      <c r="B44" s="747"/>
      <c r="C44" s="536" t="s">
        <v>288</v>
      </c>
      <c r="D44" s="448"/>
      <c r="E44" s="651"/>
      <c r="F44" s="680">
        <f>G43</f>
        <v>0.82916666666666661</v>
      </c>
      <c r="G44" s="648"/>
      <c r="H44" s="448">
        <v>7</v>
      </c>
      <c r="I44" s="685">
        <f t="shared" si="1"/>
        <v>9.0000000000001279</v>
      </c>
      <c r="J44" s="566" t="s">
        <v>289</v>
      </c>
      <c r="K44" s="553" t="s">
        <v>290</v>
      </c>
      <c r="L44" s="708"/>
      <c r="M44" s="531"/>
      <c r="N44" s="521"/>
      <c r="O44" s="521"/>
      <c r="P44" s="521"/>
      <c r="Q44" s="521"/>
      <c r="R44" s="521"/>
      <c r="S44" s="521"/>
      <c r="T44" s="521"/>
      <c r="U44" s="521"/>
      <c r="V44" s="521"/>
      <c r="W44" s="521"/>
      <c r="X44" s="521"/>
      <c r="Y44" s="521"/>
      <c r="Z44" s="521"/>
      <c r="AA44" s="521"/>
      <c r="AB44" s="521"/>
      <c r="AC44" s="521"/>
      <c r="AD44" s="521"/>
      <c r="AE44" s="521"/>
      <c r="AF44" s="521"/>
      <c r="AG44" s="521"/>
      <c r="AH44" s="521"/>
      <c r="AI44" s="522"/>
      <c r="AJ44" s="521"/>
      <c r="AK44" s="521"/>
      <c r="AL44" s="521"/>
      <c r="AM44" s="535" t="s">
        <v>291</v>
      </c>
      <c r="AN44" s="535" t="s">
        <v>261</v>
      </c>
      <c r="AO44" s="535" t="s">
        <v>199</v>
      </c>
      <c r="AP44" s="535" t="s">
        <v>272</v>
      </c>
      <c r="AQ44" s="535" t="s">
        <v>263</v>
      </c>
      <c r="AR44" s="575" t="s">
        <v>264</v>
      </c>
      <c r="AS44" s="521"/>
    </row>
    <row r="45" spans="2:45" s="662" customFormat="1" ht="25.5" customHeight="1">
      <c r="B45" s="747"/>
      <c r="C45" s="566" t="s">
        <v>292</v>
      </c>
      <c r="D45" s="448"/>
      <c r="E45" s="652">
        <v>71.599999999999994</v>
      </c>
      <c r="F45" s="714">
        <v>0.8354166666666667</v>
      </c>
      <c r="G45" s="648">
        <f>IF(ISBLANK(F45),"",F45+TIME(0,H45,0))</f>
        <v>0.84236111111111112</v>
      </c>
      <c r="H45" s="479">
        <v>10</v>
      </c>
      <c r="I45" s="685">
        <f t="shared" si="1"/>
        <v>9.9999999999999645</v>
      </c>
      <c r="J45" s="566"/>
      <c r="K45" s="553"/>
      <c r="L45" s="708"/>
      <c r="M45" s="531"/>
      <c r="N45" s="521"/>
      <c r="O45" s="521"/>
      <c r="P45" s="521"/>
      <c r="Q45" s="521"/>
      <c r="R45" s="521"/>
      <c r="S45" s="521"/>
      <c r="T45" s="521"/>
      <c r="U45" s="521"/>
      <c r="V45" s="521"/>
      <c r="W45" s="521"/>
      <c r="X45" s="521"/>
      <c r="Y45" s="521"/>
      <c r="Z45" s="521"/>
      <c r="AA45" s="521"/>
      <c r="AB45" s="521"/>
      <c r="AC45" s="521"/>
      <c r="AD45" s="521"/>
      <c r="AE45" s="521"/>
      <c r="AF45" s="521"/>
      <c r="AG45" s="521"/>
      <c r="AH45" s="521"/>
      <c r="AI45" s="522"/>
      <c r="AJ45" s="521"/>
      <c r="AK45" s="521"/>
      <c r="AL45" s="521"/>
      <c r="AM45" s="535"/>
      <c r="AN45" s="535"/>
      <c r="AO45" s="535"/>
      <c r="AP45" s="535"/>
      <c r="AQ45" s="535"/>
      <c r="AR45" s="575"/>
      <c r="AS45" s="521"/>
    </row>
    <row r="46" spans="2:45" s="662" customFormat="1" ht="25.5" customHeight="1">
      <c r="B46" s="747"/>
      <c r="C46" s="536" t="s">
        <v>293</v>
      </c>
      <c r="D46" s="448"/>
      <c r="E46" s="651"/>
      <c r="F46" s="680">
        <f>G45</f>
        <v>0.84236111111111112</v>
      </c>
      <c r="G46" s="648"/>
      <c r="H46" s="448">
        <v>5</v>
      </c>
      <c r="I46" s="685">
        <f t="shared" si="1"/>
        <v>5.9999999999999787</v>
      </c>
      <c r="J46" s="566"/>
      <c r="K46" s="553"/>
      <c r="L46" s="708"/>
      <c r="M46" s="531"/>
      <c r="N46" s="521"/>
      <c r="O46" s="521"/>
      <c r="P46" s="521"/>
      <c r="Q46" s="521"/>
      <c r="R46" s="521"/>
      <c r="S46" s="521"/>
      <c r="T46" s="521"/>
      <c r="U46" s="521"/>
      <c r="V46" s="521"/>
      <c r="W46" s="521"/>
      <c r="X46" s="521"/>
      <c r="Y46" s="521"/>
      <c r="Z46" s="521"/>
      <c r="AA46" s="521"/>
      <c r="AB46" s="521"/>
      <c r="AC46" s="521"/>
      <c r="AD46" s="521"/>
      <c r="AE46" s="521"/>
      <c r="AF46" s="521"/>
      <c r="AG46" s="521"/>
      <c r="AH46" s="521"/>
      <c r="AI46" s="522"/>
      <c r="AJ46" s="521"/>
      <c r="AK46" s="521"/>
      <c r="AL46" s="521"/>
      <c r="AM46" s="535"/>
      <c r="AN46" s="535"/>
      <c r="AO46" s="535"/>
      <c r="AP46" s="535"/>
      <c r="AQ46" s="535"/>
      <c r="AR46" s="575"/>
      <c r="AS46" s="521"/>
    </row>
    <row r="47" spans="2:45" s="662" customFormat="1" ht="24" customHeight="1">
      <c r="B47" s="744"/>
      <c r="C47" s="536" t="s">
        <v>294</v>
      </c>
      <c r="D47" s="448"/>
      <c r="E47" s="652">
        <v>76</v>
      </c>
      <c r="F47" s="714">
        <v>0.84652777777777777</v>
      </c>
      <c r="G47" s="648"/>
      <c r="H47" s="448">
        <v>0</v>
      </c>
      <c r="I47" s="685">
        <f t="shared" si="1"/>
        <v>0</v>
      </c>
      <c r="J47" s="539" t="s">
        <v>245</v>
      </c>
      <c r="K47" s="583" t="s">
        <v>246</v>
      </c>
      <c r="L47" s="642"/>
      <c r="M47" s="568"/>
      <c r="N47" s="521"/>
      <c r="O47" s="521"/>
      <c r="P47" s="521"/>
      <c r="Q47" s="521"/>
      <c r="R47" s="521"/>
      <c r="S47" s="521"/>
      <c r="T47" s="521"/>
      <c r="U47" s="521"/>
      <c r="V47" s="521"/>
      <c r="W47" s="521"/>
      <c r="X47" s="521"/>
      <c r="Y47" s="521"/>
      <c r="Z47" s="521"/>
      <c r="AA47" s="521"/>
      <c r="AB47" s="521"/>
      <c r="AC47" s="521"/>
      <c r="AD47" s="521"/>
      <c r="AE47" s="521"/>
      <c r="AF47" s="521"/>
      <c r="AG47" s="521"/>
      <c r="AH47" s="521"/>
      <c r="AI47" s="522"/>
      <c r="AJ47" s="521"/>
      <c r="AK47" s="521"/>
      <c r="AL47" s="521"/>
      <c r="AM47" s="588"/>
      <c r="AN47" s="535">
        <v>0.88</v>
      </c>
      <c r="AO47" s="535">
        <f>1-AN47</f>
        <v>0.12</v>
      </c>
      <c r="AP47" s="576" t="e">
        <f>#REF!*AN47+#REF!*AO47</f>
        <v>#REF!</v>
      </c>
      <c r="AQ47" s="535"/>
      <c r="AR47" s="535"/>
      <c r="AS47" s="521"/>
    </row>
    <row r="48" spans="2:45" s="663" customFormat="1" ht="22.5" customHeight="1">
      <c r="B48" s="746"/>
      <c r="C48" s="573" t="s">
        <v>295</v>
      </c>
      <c r="D48" s="479"/>
      <c r="E48" s="651"/>
      <c r="F48" s="714">
        <v>0.84652777777777777</v>
      </c>
      <c r="G48" s="648"/>
      <c r="H48" s="479">
        <v>8</v>
      </c>
      <c r="I48" s="685">
        <f t="shared" si="1"/>
        <v>7.9999999999999716</v>
      </c>
      <c r="J48" s="539" t="s">
        <v>259</v>
      </c>
      <c r="K48" s="591">
        <v>229</v>
      </c>
      <c r="L48" s="592"/>
      <c r="M48" s="593"/>
      <c r="N48" s="523"/>
      <c r="O48" s="523"/>
      <c r="P48" s="523"/>
      <c r="Q48" s="523"/>
      <c r="R48" s="523"/>
      <c r="S48" s="523"/>
      <c r="T48" s="523"/>
      <c r="U48" s="523"/>
      <c r="V48" s="523"/>
      <c r="W48" s="523"/>
      <c r="X48" s="523"/>
      <c r="Y48" s="523"/>
      <c r="Z48" s="523"/>
      <c r="AA48" s="523"/>
      <c r="AB48" s="523"/>
      <c r="AC48" s="523"/>
      <c r="AD48" s="523"/>
      <c r="AE48" s="523"/>
      <c r="AF48" s="523"/>
      <c r="AG48" s="523"/>
      <c r="AH48" s="523"/>
      <c r="AI48" s="524"/>
      <c r="AJ48" s="523"/>
      <c r="AK48" s="523"/>
      <c r="AL48" s="523"/>
      <c r="AM48" s="523"/>
      <c r="AN48" s="523"/>
      <c r="AO48" s="523"/>
      <c r="AP48" s="523"/>
      <c r="AQ48" s="523"/>
      <c r="AR48" s="523"/>
      <c r="AS48" s="523" t="s">
        <v>296</v>
      </c>
    </row>
    <row r="49" spans="2:46" s="662" customFormat="1" ht="20.25" customHeight="1">
      <c r="B49" s="745"/>
      <c r="C49" s="594" t="s">
        <v>297</v>
      </c>
      <c r="D49" s="882">
        <v>10</v>
      </c>
      <c r="E49" s="647"/>
      <c r="F49" s="714">
        <v>0.8520833333333333</v>
      </c>
      <c r="G49" s="648">
        <f>IF(F57="","",F57)</f>
        <v>0.8534722222222223</v>
      </c>
      <c r="H49" s="882">
        <v>2</v>
      </c>
      <c r="I49" s="685">
        <f>IF(OR(G49="",F49=""),"",IF(G49&gt;=F49,(G49-F49)*24*60,(1+G49-F49)*24*60))</f>
        <v>2.0000000000001528</v>
      </c>
      <c r="J49" s="543"/>
      <c r="K49" s="543"/>
      <c r="L49" s="643"/>
      <c r="M49" s="548"/>
      <c r="N49" s="521"/>
      <c r="O49" s="521"/>
      <c r="P49" s="521"/>
      <c r="Q49" s="521"/>
      <c r="R49" s="521"/>
      <c r="S49" s="521"/>
      <c r="T49" s="521"/>
      <c r="U49" s="521"/>
      <c r="V49" s="521"/>
      <c r="W49" s="521"/>
      <c r="X49" s="521"/>
      <c r="Y49" s="521"/>
      <c r="Z49" s="521"/>
      <c r="AA49" s="521"/>
      <c r="AB49" s="521"/>
      <c r="AC49" s="521"/>
      <c r="AD49" s="521"/>
      <c r="AE49" s="521"/>
      <c r="AF49" s="521"/>
      <c r="AG49" s="521"/>
      <c r="AH49" s="521"/>
      <c r="AI49" s="522"/>
      <c r="AJ49" s="521"/>
      <c r="AK49" s="521"/>
      <c r="AL49" s="521"/>
      <c r="AM49" s="521"/>
      <c r="AN49" s="521"/>
      <c r="AO49" s="521"/>
      <c r="AP49" s="521" t="s">
        <v>298</v>
      </c>
      <c r="AQ49" s="521">
        <v>6</v>
      </c>
      <c r="AR49" s="521" t="e">
        <f>#REF!</f>
        <v>#REF!</v>
      </c>
      <c r="AS49" s="521" t="e">
        <f>(AQ49*AR49+AQ50*AR50)/(AR49+AR50)</f>
        <v>#REF!</v>
      </c>
    </row>
    <row r="50" spans="2:46" s="662" customFormat="1" ht="20.25" customHeight="1">
      <c r="B50" s="744"/>
      <c r="C50" s="536" t="s">
        <v>266</v>
      </c>
      <c r="D50" s="448">
        <v>2</v>
      </c>
      <c r="E50" s="651"/>
      <c r="F50" s="648"/>
      <c r="G50" s="648"/>
      <c r="H50" s="448">
        <v>1</v>
      </c>
      <c r="I50" s="448"/>
      <c r="J50" s="539"/>
      <c r="K50" s="539"/>
      <c r="L50" s="641"/>
      <c r="M50" s="554"/>
      <c r="N50" s="521"/>
      <c r="O50" s="521"/>
      <c r="P50" s="521"/>
      <c r="Q50" s="521"/>
      <c r="R50" s="521"/>
      <c r="S50" s="521"/>
      <c r="T50" s="521"/>
      <c r="U50" s="521"/>
      <c r="V50" s="521"/>
      <c r="W50" s="521"/>
      <c r="X50" s="521"/>
      <c r="Y50" s="521"/>
      <c r="Z50" s="521"/>
      <c r="AA50" s="521"/>
      <c r="AB50" s="521"/>
      <c r="AC50" s="521"/>
      <c r="AD50" s="521"/>
      <c r="AE50" s="521"/>
      <c r="AF50" s="521"/>
      <c r="AG50" s="521"/>
      <c r="AH50" s="521"/>
      <c r="AI50" s="522"/>
      <c r="AJ50" s="521"/>
      <c r="AK50" s="521"/>
      <c r="AL50" s="521"/>
      <c r="AM50" s="521"/>
      <c r="AN50" s="521"/>
      <c r="AO50" s="521"/>
      <c r="AP50" s="521" t="s">
        <v>299</v>
      </c>
      <c r="AQ50" s="521">
        <v>6.4</v>
      </c>
      <c r="AR50" s="521" t="e">
        <f>#REF!-AR49</f>
        <v>#REF!</v>
      </c>
      <c r="AS50" s="521"/>
    </row>
    <row r="51" spans="2:46" s="662" customFormat="1" ht="22.5" customHeight="1" thickBot="1">
      <c r="B51" s="749"/>
      <c r="C51" s="595" t="s">
        <v>300</v>
      </c>
      <c r="D51" s="596"/>
      <c r="E51" s="654"/>
      <c r="F51" s="596"/>
      <c r="G51" s="654"/>
      <c r="H51" s="596">
        <f>SUM(H35:H50)</f>
        <v>122.33333333333334</v>
      </c>
      <c r="I51" s="596">
        <f>IF(OR(G49="",F36=""),"",IF(G49&gt;=F36,(G49-F36)*24*60,(G49+1-F36)*24*60))</f>
        <v>120.00000000000006</v>
      </c>
      <c r="J51" s="597"/>
      <c r="K51" s="597"/>
      <c r="L51" s="644"/>
      <c r="M51" s="598"/>
      <c r="N51" s="521"/>
      <c r="O51" s="521"/>
      <c r="P51" s="521"/>
      <c r="Q51" s="521"/>
      <c r="R51" s="521"/>
      <c r="S51" s="521"/>
      <c r="T51" s="521"/>
      <c r="U51" s="521"/>
      <c r="V51" s="521"/>
      <c r="W51" s="521"/>
      <c r="X51" s="521"/>
      <c r="Y51" s="521"/>
      <c r="Z51" s="521"/>
      <c r="AA51" s="521"/>
      <c r="AB51" s="521"/>
      <c r="AC51" s="521"/>
      <c r="AD51" s="521"/>
      <c r="AE51" s="521"/>
      <c r="AF51" s="521"/>
      <c r="AG51" s="521"/>
      <c r="AH51" s="521"/>
      <c r="AI51" s="522"/>
      <c r="AJ51" s="521"/>
      <c r="AK51" s="521"/>
      <c r="AL51" s="521"/>
      <c r="AM51" s="521"/>
      <c r="AN51" s="521"/>
      <c r="AO51" s="521"/>
      <c r="AP51" s="521"/>
      <c r="AQ51" s="521"/>
      <c r="AR51" s="521"/>
      <c r="AS51" s="521"/>
    </row>
    <row r="52" spans="2:46" s="662" customFormat="1" ht="22.5" hidden="1" customHeight="1" thickBot="1">
      <c r="B52" s="749"/>
      <c r="C52" s="835"/>
      <c r="D52" s="836"/>
      <c r="E52" s="837"/>
      <c r="F52" s="836"/>
      <c r="G52" s="837"/>
      <c r="H52" s="836"/>
      <c r="I52" s="836"/>
      <c r="J52" s="838"/>
      <c r="K52" s="838"/>
      <c r="L52" s="839"/>
      <c r="M52" s="548"/>
      <c r="N52" s="521"/>
      <c r="O52" s="521"/>
      <c r="P52" s="521"/>
      <c r="Q52" s="521"/>
      <c r="R52" s="521"/>
      <c r="S52" s="521"/>
      <c r="T52" s="521"/>
      <c r="U52" s="521"/>
      <c r="V52" s="521"/>
      <c r="W52" s="521"/>
      <c r="X52" s="521"/>
      <c r="Y52" s="521"/>
      <c r="Z52" s="521"/>
      <c r="AA52" s="521"/>
      <c r="AB52" s="521"/>
      <c r="AC52" s="521"/>
      <c r="AD52" s="521"/>
      <c r="AE52" s="521"/>
      <c r="AF52" s="521"/>
      <c r="AG52" s="521"/>
      <c r="AH52" s="521"/>
      <c r="AI52" s="522"/>
      <c r="AJ52" s="521"/>
      <c r="AK52" s="521"/>
      <c r="AL52" s="521"/>
      <c r="AM52" s="521"/>
      <c r="AN52" s="521"/>
      <c r="AO52" s="521"/>
      <c r="AP52" s="521"/>
      <c r="AQ52" s="521"/>
      <c r="AR52" s="521"/>
      <c r="AS52" s="521"/>
    </row>
    <row r="53" spans="2:46" s="662" customFormat="1" ht="15" customHeight="1" thickBot="1">
      <c r="B53" s="770"/>
      <c r="C53" s="941" t="s">
        <v>301</v>
      </c>
      <c r="D53" s="942"/>
      <c r="E53" s="942"/>
      <c r="F53" s="942"/>
      <c r="G53" s="942"/>
      <c r="H53" s="942"/>
      <c r="I53" s="942"/>
      <c r="J53" s="942"/>
      <c r="K53" s="942"/>
      <c r="L53" s="943"/>
      <c r="M53" s="599"/>
      <c r="N53" s="521"/>
      <c r="O53" s="521"/>
      <c r="P53" s="521"/>
      <c r="Q53" s="521"/>
      <c r="R53" s="521"/>
      <c r="S53" s="521"/>
      <c r="T53" s="521"/>
      <c r="U53" s="521"/>
      <c r="V53" s="521"/>
      <c r="W53" s="521"/>
      <c r="X53" s="521"/>
      <c r="Y53" s="521"/>
      <c r="Z53" s="521"/>
      <c r="AA53" s="521"/>
      <c r="AB53" s="521"/>
      <c r="AC53" s="521"/>
      <c r="AD53" s="521"/>
      <c r="AE53" s="521"/>
      <c r="AF53" s="521"/>
      <c r="AG53" s="521"/>
      <c r="AH53" s="521"/>
      <c r="AI53" s="522"/>
      <c r="AJ53" s="521"/>
      <c r="AK53" s="521"/>
      <c r="AL53" s="521"/>
      <c r="AM53" s="521"/>
      <c r="AN53" s="521"/>
      <c r="AO53" s="521"/>
      <c r="AP53" s="521"/>
      <c r="AQ53" s="521"/>
      <c r="AR53" s="521"/>
      <c r="AS53" s="521"/>
    </row>
    <row r="54" spans="2:46" s="662" customFormat="1" ht="22.5" customHeight="1">
      <c r="B54" s="745"/>
      <c r="C54" s="594" t="s">
        <v>302</v>
      </c>
      <c r="D54" s="882">
        <v>12</v>
      </c>
      <c r="E54" s="647"/>
      <c r="F54" s="775"/>
      <c r="G54" s="775"/>
      <c r="H54" s="882">
        <v>2</v>
      </c>
      <c r="I54" s="764" t="str">
        <f>IF(OR(G54="",F54=""),"",IF(G54&gt;=F54,(G54-F54)*24*60,(1+G54-F54)*24*60))</f>
        <v/>
      </c>
      <c r="J54" s="543" t="s">
        <v>303</v>
      </c>
      <c r="K54" s="787">
        <v>200</v>
      </c>
      <c r="L54" s="788">
        <v>200</v>
      </c>
      <c r="M54" s="600"/>
      <c r="N54" s="532">
        <f>K8+K9+D15+D31+D49+D54</f>
        <v>192</v>
      </c>
      <c r="O54" s="521"/>
      <c r="P54" s="521"/>
      <c r="Q54" s="521"/>
      <c r="R54" s="521"/>
      <c r="S54" s="521"/>
      <c r="T54" s="521"/>
      <c r="U54" s="521"/>
      <c r="V54" s="521"/>
      <c r="W54" s="521"/>
      <c r="X54" s="521"/>
      <c r="Y54" s="521"/>
      <c r="Z54" s="521"/>
      <c r="AA54" s="521"/>
      <c r="AB54" s="521"/>
      <c r="AC54" s="521"/>
      <c r="AD54" s="521"/>
      <c r="AE54" s="521"/>
      <c r="AF54" s="521"/>
      <c r="AG54" s="521"/>
      <c r="AH54" s="521"/>
      <c r="AI54" s="522"/>
      <c r="AJ54" s="521"/>
      <c r="AK54" s="521"/>
      <c r="AL54" s="521"/>
      <c r="AM54" s="521"/>
      <c r="AN54" s="521"/>
      <c r="AO54" s="521"/>
      <c r="AP54" s="523"/>
      <c r="AQ54" s="523"/>
      <c r="AR54" s="523"/>
      <c r="AS54" s="523" t="s">
        <v>296</v>
      </c>
    </row>
    <row r="55" spans="2:46" s="662" customFormat="1" ht="21" customHeight="1">
      <c r="B55" s="744"/>
      <c r="C55" s="536" t="s">
        <v>304</v>
      </c>
      <c r="D55" s="448"/>
      <c r="E55" s="651"/>
      <c r="F55" s="680">
        <f>IF(F48="","",F48)</f>
        <v>0.84652777777777777</v>
      </c>
      <c r="G55" s="648"/>
      <c r="H55" s="448">
        <f>H48</f>
        <v>8</v>
      </c>
      <c r="I55" s="685">
        <f>IF(OR(F57="",F55=""),"",IF(F57&gt;=F55,(F57-F55)*24*60,(1+F57-F55)*24*60))</f>
        <v>10.000000000000124</v>
      </c>
      <c r="J55" s="539" t="s">
        <v>305</v>
      </c>
      <c r="K55" s="562" t="s">
        <v>306</v>
      </c>
      <c r="L55" s="722">
        <v>22.2</v>
      </c>
      <c r="M55" s="601"/>
      <c r="N55" s="521" t="e">
        <f>#REF!/N54</f>
        <v>#REF!</v>
      </c>
      <c r="O55" s="521"/>
      <c r="P55" s="521"/>
      <c r="Q55" s="521"/>
      <c r="R55" s="521"/>
      <c r="S55" s="521"/>
      <c r="T55" s="521"/>
      <c r="U55" s="521"/>
      <c r="V55" s="521"/>
      <c r="W55" s="521"/>
      <c r="X55" s="521"/>
      <c r="Y55" s="521"/>
      <c r="Z55" s="521"/>
      <c r="AA55" s="521"/>
      <c r="AB55" s="521"/>
      <c r="AC55" s="521"/>
      <c r="AD55" s="521"/>
      <c r="AE55" s="521"/>
      <c r="AF55" s="521"/>
      <c r="AG55" s="521"/>
      <c r="AH55" s="521"/>
      <c r="AI55" s="522"/>
      <c r="AJ55" s="521"/>
      <c r="AK55" s="521"/>
      <c r="AL55" s="521"/>
      <c r="AM55" s="521"/>
      <c r="AN55" s="521"/>
      <c r="AO55" s="521"/>
      <c r="AP55" s="521" t="s">
        <v>307</v>
      </c>
      <c r="AQ55" s="521">
        <v>6</v>
      </c>
      <c r="AR55" s="521">
        <v>21.999999999999996</v>
      </c>
      <c r="AS55" s="521">
        <f>(AQ55*AR55+AQ56*AR56)/(AR55+AR56)</f>
        <v>6.36</v>
      </c>
    </row>
    <row r="56" spans="2:46" s="662" customFormat="1" ht="20.25" customHeight="1">
      <c r="B56" s="744"/>
      <c r="C56" s="536" t="s">
        <v>308</v>
      </c>
      <c r="D56" s="448"/>
      <c r="E56" s="651"/>
      <c r="F56" s="648">
        <f>IF(F49="","",F49)</f>
        <v>0.8520833333333333</v>
      </c>
      <c r="G56" s="648"/>
      <c r="H56" s="448">
        <v>2</v>
      </c>
      <c r="I56" s="448"/>
      <c r="J56" s="539" t="s">
        <v>309</v>
      </c>
      <c r="K56" s="448">
        <v>80</v>
      </c>
      <c r="L56" s="741">
        <f ca="1">80+RANDBETWEEN(-3,3)/10</f>
        <v>80.2</v>
      </c>
      <c r="M56" s="602"/>
      <c r="N56" s="521"/>
      <c r="O56" s="521"/>
      <c r="P56" s="521"/>
      <c r="Q56" s="521"/>
      <c r="R56" s="521"/>
      <c r="S56" s="521"/>
      <c r="T56" s="521"/>
      <c r="U56" s="521"/>
      <c r="V56" s="521"/>
      <c r="W56" s="521">
        <v>2100</v>
      </c>
      <c r="X56" s="521"/>
      <c r="Y56" s="521"/>
      <c r="Z56" s="521"/>
      <c r="AA56" s="521"/>
      <c r="AB56" s="521"/>
      <c r="AC56" s="521"/>
      <c r="AD56" s="521"/>
      <c r="AE56" s="521"/>
      <c r="AF56" s="521"/>
      <c r="AG56" s="521"/>
      <c r="AH56" s="521"/>
      <c r="AI56" s="522"/>
      <c r="AJ56" s="521"/>
      <c r="AK56" s="521"/>
      <c r="AL56" s="521"/>
      <c r="AM56" s="521"/>
      <c r="AN56" s="521"/>
      <c r="AO56" s="521"/>
      <c r="AP56" s="521" t="s">
        <v>299</v>
      </c>
      <c r="AQ56" s="521">
        <v>6.4</v>
      </c>
      <c r="AR56" s="521">
        <v>198</v>
      </c>
      <c r="AS56" s="521"/>
    </row>
    <row r="57" spans="2:46" s="662" customFormat="1" ht="23.25" customHeight="1">
      <c r="B57" s="744"/>
      <c r="C57" s="536" t="s">
        <v>310</v>
      </c>
      <c r="D57" s="479" t="s">
        <v>311</v>
      </c>
      <c r="E57" s="652">
        <v>10.6</v>
      </c>
      <c r="F57" s="714">
        <v>0.8534722222222223</v>
      </c>
      <c r="G57" s="648"/>
      <c r="H57" s="448">
        <v>7</v>
      </c>
      <c r="I57" s="685">
        <f>IF(OR(F58="",F57=""),"",IF(F58&gt;=F57,(F58-F57)*24*60,(1+F58-F57)*24*60))</f>
        <v>7.9999999999999716</v>
      </c>
      <c r="J57" s="539" t="s">
        <v>312</v>
      </c>
      <c r="K57" s="583">
        <v>210</v>
      </c>
      <c r="L57" s="708">
        <v>210</v>
      </c>
      <c r="M57" s="531"/>
      <c r="N57" s="521"/>
      <c r="O57" s="521"/>
      <c r="P57" s="521"/>
      <c r="Q57" s="521"/>
      <c r="R57" s="521"/>
      <c r="S57" s="521"/>
      <c r="T57" s="521"/>
      <c r="U57" s="532"/>
      <c r="V57" s="521"/>
      <c r="W57" s="521">
        <v>1106</v>
      </c>
      <c r="X57" s="521"/>
      <c r="Y57" s="521"/>
      <c r="Z57" s="521"/>
      <c r="AA57" s="521"/>
      <c r="AB57" s="521"/>
      <c r="AC57" s="521"/>
      <c r="AD57" s="521"/>
      <c r="AE57" s="521"/>
      <c r="AF57" s="521"/>
      <c r="AG57" s="521"/>
      <c r="AH57" s="521"/>
      <c r="AI57" s="522"/>
      <c r="AJ57" s="521"/>
      <c r="AK57" s="521"/>
      <c r="AL57" s="521"/>
      <c r="AM57" s="521"/>
      <c r="AN57" s="521"/>
      <c r="AO57" s="521"/>
      <c r="AP57" s="521"/>
      <c r="AQ57" s="521"/>
      <c r="AR57" s="521"/>
      <c r="AS57" s="521"/>
    </row>
    <row r="58" spans="2:46" s="662" customFormat="1" ht="24" customHeight="1">
      <c r="B58" s="744"/>
      <c r="C58" s="539" t="s">
        <v>313</v>
      </c>
      <c r="D58" s="303">
        <v>136</v>
      </c>
      <c r="E58" s="646">
        <v>142</v>
      </c>
      <c r="F58" s="714">
        <v>0.85902777777777783</v>
      </c>
      <c r="G58" s="648"/>
      <c r="H58" s="448">
        <f>D58/K54*60</f>
        <v>40.800000000000004</v>
      </c>
      <c r="I58" s="685">
        <f>IF(OR(F59="",F58=""),"",IF(F59&gt;=F58,(F59-F58)*24*60,(1+F59-F58)*24*60))</f>
        <v>59.999999999999943</v>
      </c>
      <c r="J58" s="539" t="s">
        <v>314</v>
      </c>
      <c r="K58" s="603" t="s">
        <v>315</v>
      </c>
      <c r="L58" s="686" t="s">
        <v>316</v>
      </c>
      <c r="M58" s="604"/>
      <c r="N58" s="521"/>
      <c r="O58" s="521"/>
      <c r="P58" s="521"/>
      <c r="Q58" s="521"/>
      <c r="R58" s="521"/>
      <c r="S58" s="521"/>
      <c r="T58" s="532">
        <f>170-D58</f>
        <v>34</v>
      </c>
      <c r="U58" s="532">
        <f>K8+K9+D15+D31+D49+D54</f>
        <v>192</v>
      </c>
      <c r="V58" s="521"/>
      <c r="W58" s="521">
        <f>W56-W57</f>
        <v>994</v>
      </c>
      <c r="X58" s="521"/>
      <c r="Y58" s="521"/>
      <c r="Z58" s="521"/>
      <c r="AA58" s="521"/>
      <c r="AB58" s="521"/>
      <c r="AC58" s="521"/>
      <c r="AD58" s="521"/>
      <c r="AE58" s="521"/>
      <c r="AF58" s="521"/>
      <c r="AG58" s="521"/>
      <c r="AH58" s="521"/>
      <c r="AI58" s="522"/>
      <c r="AJ58" s="521"/>
      <c r="AK58" s="521"/>
      <c r="AL58" s="521"/>
      <c r="AM58" s="521"/>
      <c r="AN58" s="521"/>
      <c r="AO58" s="521"/>
      <c r="AP58" s="521"/>
      <c r="AQ58" s="521"/>
      <c r="AR58" s="521"/>
      <c r="AS58" s="521"/>
    </row>
    <row r="59" spans="2:46" s="662" customFormat="1" ht="24" customHeight="1">
      <c r="B59" s="744"/>
      <c r="C59" s="539" t="s">
        <v>317</v>
      </c>
      <c r="D59" s="479">
        <v>257</v>
      </c>
      <c r="E59" s="646">
        <v>264</v>
      </c>
      <c r="F59" s="714">
        <v>0.90069444444444446</v>
      </c>
      <c r="G59" s="648"/>
      <c r="H59" s="448">
        <f>(D59-D58)/K57*60</f>
        <v>34.571428571428569</v>
      </c>
      <c r="I59" s="685">
        <f>IF(OR(F61="",F59=""),"",IF(F61&gt;=F59,(F61-F59)*24*60,(1+F61-F59)*24*60))</f>
        <v>30.000000000000053</v>
      </c>
      <c r="J59" s="539" t="s">
        <v>314</v>
      </c>
      <c r="K59" s="603" t="s">
        <v>315</v>
      </c>
      <c r="L59" s="686" t="s">
        <v>316</v>
      </c>
      <c r="M59" s="605"/>
      <c r="N59" s="532"/>
      <c r="O59" s="521"/>
      <c r="P59" s="521"/>
      <c r="Q59" s="521"/>
      <c r="R59" s="521"/>
      <c r="S59" s="521"/>
      <c r="T59" s="521">
        <f>T58/K57*60</f>
        <v>9.7142857142857153</v>
      </c>
      <c r="U59" s="532" t="e">
        <f>U58+K61-D60</f>
        <v>#VALUE!</v>
      </c>
      <c r="V59" s="532"/>
      <c r="W59" s="521">
        <f>W58/1000</f>
        <v>0.99399999999999999</v>
      </c>
      <c r="X59" s="521">
        <f>4400/1000</f>
        <v>4.4000000000000004</v>
      </c>
      <c r="Y59" s="521"/>
      <c r="Z59" s="521"/>
      <c r="AA59" s="521"/>
      <c r="AB59" s="521"/>
      <c r="AC59" s="521"/>
      <c r="AD59" s="521"/>
      <c r="AE59" s="521"/>
      <c r="AF59" s="521"/>
      <c r="AG59" s="521"/>
      <c r="AH59" s="521"/>
      <c r="AI59" s="522"/>
      <c r="AJ59" s="521"/>
      <c r="AK59" s="521"/>
      <c r="AL59" s="521"/>
      <c r="AM59" s="521"/>
      <c r="AN59" s="532"/>
      <c r="AO59" s="532"/>
      <c r="AP59" s="521"/>
      <c r="AQ59" s="521"/>
      <c r="AR59" s="521"/>
      <c r="AS59" s="521"/>
    </row>
    <row r="60" spans="2:46" s="662" customFormat="1" ht="24" customHeight="1">
      <c r="B60" s="744"/>
      <c r="C60" s="536" t="s">
        <v>318</v>
      </c>
      <c r="D60" s="479" t="s">
        <v>319</v>
      </c>
      <c r="E60" s="646">
        <v>1</v>
      </c>
      <c r="F60" s="648"/>
      <c r="G60" s="648"/>
      <c r="H60" s="448">
        <f>E60*5.5</f>
        <v>5.5</v>
      </c>
      <c r="I60" s="448"/>
      <c r="J60" s="539" t="s">
        <v>320</v>
      </c>
      <c r="K60" s="448">
        <v>17</v>
      </c>
      <c r="L60" s="722">
        <f ca="1">16+RANDBETWEEN(23,62)/100</f>
        <v>16.440000000000001</v>
      </c>
      <c r="M60" s="605"/>
      <c r="N60" s="532"/>
      <c r="O60" s="521"/>
      <c r="P60" s="521"/>
      <c r="Q60" s="521"/>
      <c r="R60" s="521"/>
      <c r="S60" s="521"/>
      <c r="T60" s="532">
        <f>T59+H58</f>
        <v>50.51428571428572</v>
      </c>
      <c r="U60" s="532"/>
      <c r="V60" s="532"/>
      <c r="W60" s="521">
        <f>PI()*(X59/2)^2*W59</f>
        <v>15.114076592714353</v>
      </c>
      <c r="X60" s="521"/>
      <c r="Y60" s="521"/>
      <c r="Z60" s="521"/>
      <c r="AA60" s="521"/>
      <c r="AB60" s="521"/>
      <c r="AC60" s="521"/>
      <c r="AD60" s="521"/>
      <c r="AE60" s="521"/>
      <c r="AF60" s="521"/>
      <c r="AG60" s="521"/>
      <c r="AH60" s="521"/>
      <c r="AI60" s="522"/>
      <c r="AJ60" s="521"/>
      <c r="AK60" s="521"/>
      <c r="AL60" s="521"/>
      <c r="AM60" s="521"/>
      <c r="AN60" s="521"/>
      <c r="AO60" s="521"/>
      <c r="AP60" s="521"/>
      <c r="AQ60" s="521"/>
      <c r="AR60" s="521"/>
      <c r="AS60" s="521"/>
      <c r="AT60" s="725"/>
    </row>
    <row r="61" spans="2:46" s="662" customFormat="1" ht="21.75" customHeight="1">
      <c r="B61" s="744"/>
      <c r="C61" s="536" t="s">
        <v>321</v>
      </c>
      <c r="D61" s="479">
        <v>75</v>
      </c>
      <c r="E61" s="646">
        <v>75</v>
      </c>
      <c r="F61" s="714">
        <v>0.92152777777777783</v>
      </c>
      <c r="G61" s="648">
        <f>IF(ISBLANK(F61),"",F61+TIME(0,E61/220*60,0))</f>
        <v>0.93541666666666667</v>
      </c>
      <c r="H61" s="448">
        <f>D61/K57*60</f>
        <v>21.428571428571431</v>
      </c>
      <c r="I61" s="685">
        <f>IF(OR(G61="",F61=""),"",IF(G61&gt;=F61,(G61-F61)*24*60,(1+G61-F61)*24*60))</f>
        <v>19.999999999999929</v>
      </c>
      <c r="J61" s="539" t="s">
        <v>322</v>
      </c>
      <c r="K61" s="448">
        <v>135</v>
      </c>
      <c r="L61" s="709">
        <v>135</v>
      </c>
      <c r="M61" s="606"/>
      <c r="N61" s="521"/>
      <c r="O61" s="521"/>
      <c r="P61" s="521"/>
      <c r="Q61" s="521"/>
      <c r="R61" s="521"/>
      <c r="S61" s="521"/>
      <c r="T61" s="532" t="e">
        <f>D61-D60</f>
        <v>#VALUE!</v>
      </c>
      <c r="U61" s="532"/>
      <c r="V61" s="521"/>
      <c r="W61" s="521"/>
      <c r="X61" s="521"/>
      <c r="Y61" s="521"/>
      <c r="Z61" s="521"/>
      <c r="AA61" s="521"/>
      <c r="AB61" s="521"/>
      <c r="AC61" s="521"/>
      <c r="AD61" s="521"/>
      <c r="AE61" s="521"/>
      <c r="AF61" s="521"/>
      <c r="AG61" s="521"/>
      <c r="AH61" s="521"/>
      <c r="AI61" s="522"/>
      <c r="AJ61" s="521"/>
      <c r="AK61" s="521"/>
      <c r="AL61" s="521"/>
      <c r="AM61" s="521"/>
      <c r="AN61" s="521"/>
      <c r="AO61" s="521"/>
      <c r="AP61" s="521"/>
      <c r="AQ61" s="521"/>
      <c r="AR61" s="521"/>
      <c r="AS61" s="521"/>
    </row>
    <row r="62" spans="2:46" s="662" customFormat="1" ht="18.75" customHeight="1">
      <c r="B62" s="744"/>
      <c r="C62" s="536" t="s">
        <v>323</v>
      </c>
      <c r="D62" s="448"/>
      <c r="E62" s="651"/>
      <c r="F62" s="648"/>
      <c r="G62" s="648"/>
      <c r="H62" s="448">
        <v>10</v>
      </c>
      <c r="I62" s="448"/>
      <c r="J62" s="539" t="s">
        <v>324</v>
      </c>
      <c r="K62" s="448">
        <v>35</v>
      </c>
      <c r="L62" s="708">
        <v>35</v>
      </c>
      <c r="M62" s="531"/>
      <c r="N62" s="521"/>
      <c r="O62" s="521"/>
      <c r="P62" s="521"/>
      <c r="Q62" s="521"/>
      <c r="R62" s="521"/>
      <c r="S62" s="521"/>
      <c r="T62" s="521"/>
      <c r="U62" s="521"/>
      <c r="V62" s="521"/>
      <c r="W62" s="521"/>
      <c r="X62" s="521"/>
      <c r="Y62" s="521"/>
      <c r="Z62" s="521"/>
      <c r="AA62" s="521"/>
      <c r="AB62" s="521"/>
      <c r="AC62" s="521"/>
      <c r="AD62" s="521"/>
      <c r="AE62" s="521"/>
      <c r="AF62" s="521"/>
      <c r="AG62" s="521"/>
      <c r="AH62" s="521"/>
      <c r="AI62" s="522"/>
      <c r="AJ62" s="521"/>
      <c r="AK62" s="521"/>
      <c r="AL62" s="521"/>
      <c r="AM62" s="521"/>
      <c r="AN62" s="521"/>
      <c r="AO62" s="521"/>
      <c r="AP62" s="521"/>
      <c r="AQ62" s="521"/>
      <c r="AR62" s="521"/>
      <c r="AS62" s="521"/>
    </row>
    <row r="63" spans="2:46" s="662" customFormat="1" ht="20.149999999999999" customHeight="1">
      <c r="B63" s="744"/>
      <c r="C63" s="536" t="s">
        <v>325</v>
      </c>
      <c r="D63" s="448"/>
      <c r="E63" s="651"/>
      <c r="F63" s="648"/>
      <c r="G63" s="648"/>
      <c r="H63" s="448">
        <v>3</v>
      </c>
      <c r="I63" s="448"/>
      <c r="J63" s="539" t="s">
        <v>326</v>
      </c>
      <c r="K63" s="583" t="s">
        <v>327</v>
      </c>
      <c r="L63" s="561">
        <v>2.41</v>
      </c>
      <c r="M63" s="531"/>
      <c r="N63" s="521"/>
      <c r="O63" s="521"/>
      <c r="P63" s="521"/>
      <c r="Q63" s="521"/>
      <c r="R63" s="521"/>
      <c r="S63" s="521"/>
      <c r="T63" s="521"/>
      <c r="U63" s="521"/>
      <c r="V63" s="521"/>
      <c r="W63" s="521"/>
      <c r="X63" s="521"/>
      <c r="Y63" s="521"/>
      <c r="Z63" s="521"/>
      <c r="AA63" s="521"/>
      <c r="AB63" s="521"/>
      <c r="AC63" s="521"/>
      <c r="AD63" s="521"/>
      <c r="AE63" s="521"/>
      <c r="AF63" s="521"/>
      <c r="AG63" s="521"/>
      <c r="AH63" s="521"/>
      <c r="AI63" s="522"/>
      <c r="AJ63" s="521"/>
      <c r="AK63" s="521"/>
      <c r="AL63" s="521"/>
      <c r="AM63" s="521"/>
      <c r="AN63" s="521"/>
      <c r="AO63" s="521"/>
      <c r="AP63" s="521"/>
      <c r="AQ63" s="521"/>
      <c r="AR63" s="521"/>
      <c r="AS63" s="521"/>
    </row>
    <row r="64" spans="2:46" s="662" customFormat="1" ht="20.149999999999999" customHeight="1" thickBot="1">
      <c r="B64" s="755"/>
      <c r="C64" s="756" t="s">
        <v>328</v>
      </c>
      <c r="D64" s="882"/>
      <c r="E64" s="647"/>
      <c r="F64" s="647"/>
      <c r="G64" s="647"/>
      <c r="H64" s="882">
        <f>SUM(H54:H63)</f>
        <v>134.30000000000001</v>
      </c>
      <c r="I64" s="882">
        <f>IF(OR(G61="",F55=""),"",IF(G61&gt;=F55,(G61-F55)*24*60,(G61+1-F55)*24*60))</f>
        <v>128.00000000000003</v>
      </c>
      <c r="J64" s="780" t="s">
        <v>329</v>
      </c>
      <c r="K64" s="781" t="s">
        <v>330</v>
      </c>
      <c r="L64" s="713">
        <v>0.76</v>
      </c>
      <c r="M64" s="531"/>
      <c r="N64" s="521"/>
      <c r="O64" s="521"/>
      <c r="P64" s="521"/>
      <c r="Q64" s="521"/>
      <c r="R64" s="521"/>
      <c r="S64" s="521"/>
      <c r="T64" s="521"/>
      <c r="U64" s="521"/>
      <c r="V64" s="521"/>
      <c r="W64" s="521"/>
      <c r="X64" s="521"/>
      <c r="Y64" s="521"/>
      <c r="Z64" s="521"/>
      <c r="AA64" s="521"/>
      <c r="AB64" s="521"/>
      <c r="AC64" s="521"/>
      <c r="AD64" s="521"/>
      <c r="AE64" s="521"/>
      <c r="AF64" s="521"/>
      <c r="AG64" s="521"/>
      <c r="AH64" s="521"/>
      <c r="AI64" s="522"/>
      <c r="AJ64" s="521"/>
      <c r="AK64" s="521"/>
      <c r="AL64" s="521"/>
      <c r="AM64" s="521"/>
      <c r="AN64" s="521"/>
      <c r="AO64" s="521"/>
      <c r="AP64" s="521"/>
      <c r="AQ64" s="521"/>
      <c r="AR64" s="521"/>
      <c r="AS64" s="521"/>
    </row>
    <row r="65" spans="2:45" s="662" customFormat="1" ht="12" thickBot="1">
      <c r="B65" s="770"/>
      <c r="C65" s="941" t="s">
        <v>331</v>
      </c>
      <c r="D65" s="942"/>
      <c r="E65" s="942"/>
      <c r="F65" s="942"/>
      <c r="G65" s="942"/>
      <c r="H65" s="942"/>
      <c r="I65" s="942"/>
      <c r="J65" s="942"/>
      <c r="K65" s="942"/>
      <c r="L65" s="943"/>
      <c r="M65" s="582"/>
      <c r="N65" s="521"/>
      <c r="O65" s="521"/>
      <c r="P65" s="521"/>
      <c r="Q65" s="521"/>
      <c r="R65" s="521"/>
      <c r="S65" s="521"/>
      <c r="T65" s="521"/>
      <c r="U65" s="521"/>
      <c r="V65" s="521"/>
      <c r="W65" s="521"/>
      <c r="X65" s="521"/>
      <c r="Y65" s="521"/>
      <c r="Z65" s="521"/>
      <c r="AA65" s="521"/>
      <c r="AB65" s="521"/>
      <c r="AC65" s="521"/>
      <c r="AD65" s="521"/>
      <c r="AE65" s="521"/>
      <c r="AF65" s="521"/>
      <c r="AG65" s="521"/>
      <c r="AH65" s="521"/>
      <c r="AI65" s="522"/>
      <c r="AJ65" s="521"/>
      <c r="AK65" s="521"/>
      <c r="AL65" s="521"/>
      <c r="AM65" s="521"/>
      <c r="AN65" s="521"/>
      <c r="AO65" s="521"/>
      <c r="AP65" s="521"/>
      <c r="AQ65" s="521"/>
      <c r="AR65" s="521"/>
      <c r="AS65" s="521"/>
    </row>
    <row r="66" spans="2:45" s="662" customFormat="1" ht="17.25" customHeight="1">
      <c r="B66" s="782"/>
      <c r="C66" s="783" t="s">
        <v>332</v>
      </c>
      <c r="D66" s="884">
        <f>D59</f>
        <v>257</v>
      </c>
      <c r="E66" s="895">
        <v>270</v>
      </c>
      <c r="F66" s="888"/>
      <c r="G66" s="888"/>
      <c r="H66" s="769">
        <f>H58+H59</f>
        <v>75.371428571428567</v>
      </c>
      <c r="I66" s="769"/>
      <c r="J66" s="784" t="s">
        <v>333</v>
      </c>
      <c r="K66" s="785">
        <v>72</v>
      </c>
      <c r="L66" s="786"/>
      <c r="M66" s="607"/>
      <c r="N66" s="521"/>
      <c r="O66" s="521"/>
      <c r="P66" s="521"/>
      <c r="Q66" s="521"/>
      <c r="R66" s="521"/>
      <c r="S66" s="521"/>
      <c r="T66" s="521"/>
      <c r="U66" s="521"/>
      <c r="V66" s="521"/>
      <c r="W66" s="521"/>
      <c r="X66" s="521"/>
      <c r="Y66" s="521"/>
      <c r="Z66" s="521"/>
      <c r="AA66" s="521"/>
      <c r="AB66" s="521"/>
      <c r="AC66" s="521"/>
      <c r="AD66" s="521"/>
      <c r="AE66" s="521"/>
      <c r="AF66" s="521"/>
      <c r="AG66" s="521"/>
      <c r="AH66" s="521"/>
      <c r="AI66" s="522"/>
      <c r="AJ66" s="521"/>
      <c r="AK66" s="521"/>
      <c r="AL66" s="521"/>
      <c r="AM66" s="521"/>
      <c r="AN66" s="521"/>
      <c r="AO66" s="521"/>
      <c r="AP66" s="521"/>
      <c r="AQ66" s="521"/>
      <c r="AR66" s="521"/>
      <c r="AS66" s="521"/>
    </row>
    <row r="67" spans="2:45" s="662" customFormat="1" ht="23">
      <c r="B67" s="744"/>
      <c r="C67" s="136" t="s">
        <v>334</v>
      </c>
      <c r="D67" s="479">
        <v>115</v>
      </c>
      <c r="E67" s="651"/>
      <c r="F67" s="899" t="s">
        <v>335</v>
      </c>
      <c r="G67" s="448">
        <v>300</v>
      </c>
      <c r="H67" s="448"/>
      <c r="I67" s="448"/>
      <c r="J67" s="566" t="s">
        <v>336</v>
      </c>
      <c r="K67" s="553">
        <v>88</v>
      </c>
      <c r="L67" s="638"/>
      <c r="M67" s="608"/>
      <c r="N67" s="521"/>
      <c r="O67" s="521"/>
      <c r="P67" s="521"/>
      <c r="Q67" s="521"/>
      <c r="R67" s="521"/>
      <c r="S67" s="521"/>
      <c r="T67" s="521"/>
      <c r="U67" s="521"/>
      <c r="V67" s="521"/>
      <c r="W67" s="521"/>
      <c r="X67" s="521"/>
      <c r="Y67" s="521"/>
      <c r="Z67" s="521"/>
      <c r="AA67" s="521"/>
      <c r="AB67" s="521"/>
      <c r="AC67" s="521"/>
      <c r="AD67" s="521"/>
      <c r="AE67" s="521"/>
      <c r="AF67" s="521"/>
      <c r="AG67" s="521"/>
      <c r="AH67" s="521"/>
      <c r="AI67" s="522"/>
      <c r="AJ67" s="521"/>
      <c r="AK67" s="521"/>
      <c r="AL67" s="521"/>
      <c r="AM67" s="521"/>
      <c r="AN67" s="521"/>
      <c r="AO67" s="521"/>
      <c r="AP67" s="521"/>
      <c r="AQ67" s="521"/>
      <c r="AR67" s="521"/>
      <c r="AS67" s="521"/>
    </row>
    <row r="68" spans="2:45" s="662" customFormat="1" ht="13.5" thickBot="1">
      <c r="B68" s="751"/>
      <c r="C68" s="613" t="s">
        <v>337</v>
      </c>
      <c r="D68" s="883">
        <v>3</v>
      </c>
      <c r="E68" s="887"/>
      <c r="F68" s="887"/>
      <c r="G68" s="887"/>
      <c r="H68" s="538">
        <v>2</v>
      </c>
      <c r="I68" s="538"/>
      <c r="J68" s="771" t="s">
        <v>338</v>
      </c>
      <c r="K68" s="772">
        <v>92</v>
      </c>
      <c r="L68" s="773"/>
      <c r="M68" s="608"/>
      <c r="N68" s="521"/>
      <c r="O68" s="521"/>
      <c r="P68" s="521"/>
      <c r="Q68" s="521"/>
      <c r="R68" s="521"/>
      <c r="S68" s="521"/>
      <c r="T68" s="521"/>
      <c r="U68" s="521"/>
      <c r="V68" s="521"/>
      <c r="W68" s="521"/>
      <c r="X68" s="521"/>
      <c r="Y68" s="521"/>
      <c r="Z68" s="521"/>
      <c r="AA68" s="521"/>
      <c r="AB68" s="521"/>
      <c r="AC68" s="521"/>
      <c r="AD68" s="521"/>
      <c r="AE68" s="521"/>
      <c r="AF68" s="521"/>
      <c r="AG68" s="521"/>
      <c r="AH68" s="521"/>
      <c r="AI68" s="522"/>
      <c r="AJ68" s="521"/>
      <c r="AK68" s="521"/>
      <c r="AL68" s="521"/>
      <c r="AM68" s="521"/>
      <c r="AN68" s="521"/>
      <c r="AO68" s="521"/>
      <c r="AP68" s="521"/>
      <c r="AQ68" s="521"/>
      <c r="AR68" s="521"/>
      <c r="AS68" s="521"/>
    </row>
    <row r="69" spans="2:45" s="662" customFormat="1" ht="12" thickBot="1">
      <c r="B69" s="778"/>
      <c r="C69" s="941" t="s">
        <v>339</v>
      </c>
      <c r="D69" s="942"/>
      <c r="E69" s="942"/>
      <c r="F69" s="942"/>
      <c r="G69" s="942"/>
      <c r="H69" s="942"/>
      <c r="I69" s="942"/>
      <c r="J69" s="942"/>
      <c r="K69" s="942"/>
      <c r="L69" s="943"/>
      <c r="M69" s="582"/>
      <c r="N69" s="521"/>
      <c r="O69" s="521"/>
      <c r="P69" s="521"/>
      <c r="Q69" s="521"/>
      <c r="R69" s="521"/>
      <c r="S69" s="521"/>
      <c r="T69" s="521"/>
      <c r="U69" s="521"/>
      <c r="V69" s="521"/>
      <c r="W69" s="521"/>
      <c r="X69" s="521"/>
      <c r="Y69" s="521"/>
      <c r="Z69" s="521"/>
      <c r="AA69" s="521"/>
      <c r="AB69" s="521"/>
      <c r="AC69" s="521"/>
      <c r="AD69" s="521"/>
      <c r="AE69" s="521"/>
      <c r="AF69" s="521"/>
      <c r="AG69" s="521"/>
      <c r="AH69" s="521"/>
      <c r="AI69" s="522"/>
      <c r="AJ69" s="521"/>
      <c r="AK69" s="521"/>
      <c r="AL69" s="521"/>
      <c r="AM69" s="521"/>
      <c r="AN69" s="521"/>
      <c r="AO69" s="521"/>
      <c r="AP69" s="521"/>
      <c r="AQ69" s="521"/>
      <c r="AR69" s="521"/>
      <c r="AS69" s="521"/>
    </row>
    <row r="70" spans="2:45" s="662" customFormat="1" ht="24" customHeight="1">
      <c r="B70" s="745"/>
      <c r="C70" s="594" t="s">
        <v>340</v>
      </c>
      <c r="D70" s="544">
        <v>65</v>
      </c>
      <c r="E70" s="647"/>
      <c r="F70" s="774">
        <v>0.88958333333333339</v>
      </c>
      <c r="G70" s="775"/>
      <c r="H70" s="882">
        <f>(D70)/G67*60</f>
        <v>13</v>
      </c>
      <c r="I70" s="764">
        <f>IF(OR(F71="",F70=""),"",IF(F71&gt;=F70,(F71-F70)*24*60,(1+F71-F70)*24*60))</f>
        <v>12.999999999999954</v>
      </c>
      <c r="J70" s="776" t="s">
        <v>341</v>
      </c>
      <c r="K70" s="769">
        <v>2400</v>
      </c>
      <c r="L70" s="777" t="s">
        <v>342</v>
      </c>
      <c r="M70" s="531"/>
      <c r="N70" s="521"/>
      <c r="O70" s="521"/>
      <c r="P70" s="521"/>
      <c r="Q70" s="521"/>
      <c r="R70" s="521"/>
      <c r="S70" s="521"/>
      <c r="T70" s="521"/>
      <c r="U70" s="521"/>
      <c r="V70" s="521"/>
      <c r="W70" s="521"/>
      <c r="X70" s="521"/>
      <c r="Y70" s="521"/>
      <c r="Z70" s="521"/>
      <c r="AA70" s="521"/>
      <c r="AB70" s="521"/>
      <c r="AC70" s="521"/>
      <c r="AD70" s="521"/>
      <c r="AE70" s="521"/>
      <c r="AF70" s="521"/>
      <c r="AG70" s="521"/>
      <c r="AH70" s="521"/>
      <c r="AI70" s="522"/>
      <c r="AJ70" s="521"/>
      <c r="AK70" s="521"/>
      <c r="AL70" s="521"/>
      <c r="AM70" s="521"/>
      <c r="AN70" s="521"/>
      <c r="AO70" s="521"/>
      <c r="AP70" s="521"/>
      <c r="AQ70" s="521"/>
      <c r="AR70" s="521"/>
      <c r="AS70" s="521"/>
    </row>
    <row r="71" spans="2:45" s="662" customFormat="1" ht="24" customHeight="1">
      <c r="B71" s="744"/>
      <c r="C71" s="536" t="s">
        <v>343</v>
      </c>
      <c r="D71" s="448"/>
      <c r="E71" s="651"/>
      <c r="F71" s="648">
        <f>IF(ISBLANK(F70),"",F70+TIME(0,H70,0))</f>
        <v>0.89861111111111114</v>
      </c>
      <c r="G71" s="648"/>
      <c r="H71" s="448">
        <f>(180-D70)/G67*60</f>
        <v>23</v>
      </c>
      <c r="I71" s="685">
        <f>IF(OR(F72="",F71=""),"",IF(F72&gt;=F71,(F72-F71)*24*60,(1+F72-F71)*24*60))</f>
        <v>21.999999999999922</v>
      </c>
      <c r="J71" s="539" t="s">
        <v>341</v>
      </c>
      <c r="K71" s="610">
        <v>1100</v>
      </c>
      <c r="L71" s="609" t="s">
        <v>344</v>
      </c>
      <c r="M71" s="531"/>
      <c r="N71" s="521"/>
      <c r="O71" s="521">
        <f>K71*4/60</f>
        <v>73.333333333333329</v>
      </c>
      <c r="P71" s="521"/>
      <c r="Q71" s="521">
        <v>734</v>
      </c>
      <c r="R71" s="521"/>
      <c r="S71" s="521"/>
      <c r="T71" s="521"/>
      <c r="U71" s="521"/>
      <c r="V71" s="521"/>
      <c r="W71" s="521"/>
      <c r="X71" s="521"/>
      <c r="Y71" s="521"/>
      <c r="Z71" s="521"/>
      <c r="AA71" s="521"/>
      <c r="AB71" s="521"/>
      <c r="AC71" s="521"/>
      <c r="AD71" s="521"/>
      <c r="AE71" s="521"/>
      <c r="AF71" s="521"/>
      <c r="AG71" s="521"/>
      <c r="AH71" s="521"/>
      <c r="AI71" s="522"/>
      <c r="AJ71" s="521"/>
      <c r="AK71" s="521"/>
      <c r="AL71" s="521"/>
      <c r="AM71" s="521"/>
      <c r="AN71" s="521"/>
      <c r="AO71" s="521"/>
      <c r="AP71" s="521"/>
      <c r="AQ71" s="521"/>
      <c r="AR71" s="521"/>
      <c r="AS71" s="521"/>
    </row>
    <row r="72" spans="2:45" s="662" customFormat="1" ht="16" customHeight="1">
      <c r="B72" s="885"/>
      <c r="C72" s="949" t="s">
        <v>345</v>
      </c>
      <c r="D72" s="951" t="s">
        <v>346</v>
      </c>
      <c r="E72" s="960">
        <v>180</v>
      </c>
      <c r="F72" s="962">
        <v>0.91388888888888886</v>
      </c>
      <c r="G72" s="955">
        <f>IF(ISBLANK($F$72),"",F72+TIME(0,H72,0))</f>
        <v>0.93472222222222223</v>
      </c>
      <c r="H72" s="951">
        <v>30</v>
      </c>
      <c r="I72" s="947">
        <f>IF(ISBLANK($F$72),"",(G72-F72)*24*60)</f>
        <v>30.000000000000053</v>
      </c>
      <c r="J72" s="566" t="s">
        <v>347</v>
      </c>
      <c r="K72" s="479">
        <v>1700</v>
      </c>
      <c r="L72" s="611"/>
      <c r="M72" s="593"/>
      <c r="N72" s="521"/>
      <c r="O72" s="521">
        <f>K72*H72/60</f>
        <v>850</v>
      </c>
      <c r="P72" s="521"/>
      <c r="Q72" s="521">
        <v>1763</v>
      </c>
      <c r="R72" s="521"/>
      <c r="S72" s="521"/>
      <c r="T72" s="521"/>
      <c r="U72" s="521"/>
      <c r="V72" s="521"/>
      <c r="W72" s="521"/>
      <c r="X72" s="521"/>
      <c r="Y72" s="521"/>
      <c r="Z72" s="521"/>
      <c r="AA72" s="521"/>
      <c r="AB72" s="521"/>
      <c r="AC72" s="521"/>
      <c r="AD72" s="521"/>
      <c r="AE72" s="521"/>
      <c r="AF72" s="521"/>
      <c r="AG72" s="521"/>
      <c r="AH72" s="521"/>
      <c r="AI72" s="522"/>
      <c r="AJ72" s="521"/>
      <c r="AK72" s="521"/>
      <c r="AL72" s="521"/>
      <c r="AM72" s="521"/>
      <c r="AN72" s="521"/>
      <c r="AO72" s="521"/>
      <c r="AP72" s="521"/>
      <c r="AQ72" s="521"/>
      <c r="AR72" s="521"/>
      <c r="AS72" s="521"/>
    </row>
    <row r="73" spans="2:45" s="662" customFormat="1" ht="16" customHeight="1">
      <c r="B73" s="886"/>
      <c r="C73" s="950"/>
      <c r="D73" s="952"/>
      <c r="E73" s="961"/>
      <c r="F73" s="963"/>
      <c r="G73" s="956"/>
      <c r="H73" s="952"/>
      <c r="I73" s="948"/>
      <c r="J73" s="566" t="s">
        <v>348</v>
      </c>
      <c r="K73" s="883">
        <v>1100</v>
      </c>
      <c r="L73" s="611"/>
      <c r="M73" s="612"/>
      <c r="N73" s="521"/>
      <c r="O73" s="521"/>
      <c r="P73" s="521"/>
      <c r="Q73" s="521"/>
      <c r="R73" s="521"/>
      <c r="S73" s="521"/>
      <c r="T73" s="521"/>
      <c r="U73" s="521"/>
      <c r="V73" s="521"/>
      <c r="W73" s="521"/>
      <c r="X73" s="521"/>
      <c r="Y73" s="521"/>
      <c r="Z73" s="521"/>
      <c r="AA73" s="521"/>
      <c r="AB73" s="521"/>
      <c r="AC73" s="521"/>
      <c r="AD73" s="521"/>
      <c r="AE73" s="521"/>
      <c r="AF73" s="521"/>
      <c r="AG73" s="521"/>
      <c r="AH73" s="521"/>
      <c r="AI73" s="522"/>
      <c r="AJ73" s="521"/>
      <c r="AK73" s="521"/>
      <c r="AL73" s="521"/>
      <c r="AM73" s="521"/>
      <c r="AN73" s="521"/>
      <c r="AO73" s="521"/>
      <c r="AP73" s="521"/>
      <c r="AQ73" s="521"/>
      <c r="AR73" s="521"/>
      <c r="AS73" s="521"/>
    </row>
    <row r="74" spans="2:45" s="662" customFormat="1" ht="20.149999999999999" customHeight="1">
      <c r="B74" s="751"/>
      <c r="C74" s="613" t="s">
        <v>349</v>
      </c>
      <c r="D74" s="614">
        <v>2.5</v>
      </c>
      <c r="E74" s="656"/>
      <c r="F74" s="889" t="s">
        <v>350</v>
      </c>
      <c r="G74" s="890"/>
      <c r="H74" s="891"/>
      <c r="I74" s="682">
        <v>5</v>
      </c>
      <c r="J74" s="574" t="s">
        <v>351</v>
      </c>
      <c r="K74" s="639">
        <v>344</v>
      </c>
      <c r="L74" s="645"/>
      <c r="M74" s="615"/>
      <c r="N74" s="521"/>
      <c r="O74" s="521"/>
      <c r="P74" s="521"/>
      <c r="Q74" s="521"/>
      <c r="R74" s="521"/>
      <c r="S74" s="521"/>
      <c r="T74" s="521"/>
      <c r="U74" s="521"/>
      <c r="V74" s="521"/>
      <c r="W74" s="521"/>
      <c r="X74" s="521"/>
      <c r="Y74" s="521"/>
      <c r="Z74" s="521"/>
      <c r="AA74" s="521"/>
      <c r="AB74" s="521"/>
      <c r="AC74" s="521"/>
      <c r="AD74" s="521"/>
      <c r="AE74" s="521"/>
      <c r="AF74" s="521"/>
      <c r="AG74" s="521"/>
      <c r="AH74" s="521"/>
      <c r="AI74" s="522"/>
      <c r="AJ74" s="521"/>
      <c r="AK74" s="521"/>
      <c r="AL74" s="521"/>
      <c r="AM74" s="521"/>
      <c r="AN74" s="521"/>
      <c r="AO74" s="521"/>
      <c r="AP74" s="521"/>
      <c r="AQ74" s="521"/>
      <c r="AR74" s="521"/>
      <c r="AS74" s="521"/>
    </row>
    <row r="75" spans="2:45" s="662" customFormat="1" ht="20.149999999999999" customHeight="1">
      <c r="B75" s="744"/>
      <c r="C75" s="536" t="str">
        <f>'10027'!C75</f>
        <v>Hop pellet Herkules 12.8% aa, kg</v>
      </c>
      <c r="D75" s="637">
        <f>'10027'!D75</f>
        <v>2.48</v>
      </c>
      <c r="E75" s="657"/>
      <c r="F75" s="892" t="s">
        <v>353</v>
      </c>
      <c r="G75" s="893"/>
      <c r="H75" s="894"/>
      <c r="I75" s="682">
        <v>10</v>
      </c>
      <c r="J75" s="716" t="s">
        <v>354</v>
      </c>
      <c r="K75" s="639">
        <v>1099</v>
      </c>
      <c r="L75" s="540"/>
      <c r="M75" s="615"/>
      <c r="N75" s="521"/>
      <c r="O75" s="521"/>
      <c r="P75" s="521"/>
      <c r="Q75" s="521"/>
      <c r="R75" s="521"/>
      <c r="S75" s="521"/>
      <c r="T75" s="521"/>
      <c r="U75" s="521"/>
      <c r="V75" s="521"/>
      <c r="W75" s="521"/>
      <c r="X75" s="521"/>
      <c r="Y75" s="521"/>
      <c r="Z75" s="521"/>
      <c r="AA75" s="521"/>
      <c r="AB75" s="521"/>
      <c r="AC75" s="521"/>
      <c r="AD75" s="521"/>
      <c r="AE75" s="521"/>
      <c r="AF75" s="521"/>
      <c r="AG75" s="521"/>
      <c r="AH75" s="521"/>
      <c r="AI75" s="522"/>
      <c r="AJ75" s="521" t="e">
        <v>#N/A</v>
      </c>
      <c r="AK75" s="521" t="e">
        <v>#N/A</v>
      </c>
      <c r="AL75" s="521"/>
      <c r="AM75" s="521" t="s">
        <v>355</v>
      </c>
      <c r="AN75" s="521"/>
      <c r="AO75" s="521"/>
      <c r="AP75" s="521"/>
      <c r="AQ75" s="521"/>
      <c r="AR75" s="521"/>
      <c r="AS75" s="521"/>
    </row>
    <row r="76" spans="2:45" s="662" customFormat="1" ht="20.149999999999999" customHeight="1">
      <c r="B76" s="744"/>
      <c r="C76" s="536" t="str">
        <f>'10027'!C76</f>
        <v>Hop Rainer 7.1% aa, kg</v>
      </c>
      <c r="D76" s="637">
        <f>'10027'!D76</f>
        <v>2.2000000000000002</v>
      </c>
      <c r="E76" s="657"/>
      <c r="F76" s="892" t="s">
        <v>357</v>
      </c>
      <c r="G76" s="894"/>
      <c r="H76" s="538">
        <v>0</v>
      </c>
      <c r="I76" s="682">
        <v>0</v>
      </c>
      <c r="J76" s="539" t="s">
        <v>358</v>
      </c>
      <c r="K76" s="583" t="s">
        <v>359</v>
      </c>
      <c r="L76" s="723"/>
      <c r="M76" s="615"/>
      <c r="N76" s="521"/>
      <c r="O76" s="521"/>
      <c r="P76" s="521"/>
      <c r="Q76" s="521"/>
      <c r="R76" s="521"/>
      <c r="S76" s="521"/>
      <c r="T76" s="521"/>
      <c r="U76" s="521"/>
      <c r="V76" s="521"/>
      <c r="W76" s="521"/>
      <c r="X76" s="521"/>
      <c r="Y76" s="521"/>
      <c r="Z76" s="521"/>
      <c r="AA76" s="521"/>
      <c r="AB76" s="521"/>
      <c r="AC76" s="521"/>
      <c r="AD76" s="521"/>
      <c r="AE76" s="521"/>
      <c r="AF76" s="521"/>
      <c r="AG76" s="521"/>
      <c r="AH76" s="521"/>
      <c r="AI76" s="522"/>
      <c r="AJ76" s="521"/>
      <c r="AK76" s="521"/>
      <c r="AL76" s="521"/>
      <c r="AM76" s="521"/>
      <c r="AN76" s="521"/>
      <c r="AO76" s="521"/>
      <c r="AP76" s="521"/>
      <c r="AQ76" s="521"/>
      <c r="AR76" s="521"/>
      <c r="AS76" s="521"/>
    </row>
    <row r="77" spans="2:45" s="662" customFormat="1" ht="20.149999999999999" customHeight="1">
      <c r="B77" s="744"/>
      <c r="C77" s="536" t="str">
        <f>'10027'!C77</f>
        <v>Hop pellet Opal 8.6% aa, kg</v>
      </c>
      <c r="D77" s="637">
        <f>'10027'!D77</f>
        <v>2.41</v>
      </c>
      <c r="E77" s="658"/>
      <c r="F77" s="892" t="s">
        <v>361</v>
      </c>
      <c r="G77" s="894"/>
      <c r="H77" s="538" t="s">
        <v>362</v>
      </c>
      <c r="I77" s="682">
        <f ca="1">101+RANDBETWEEN(-3,1)/10</f>
        <v>101.1</v>
      </c>
      <c r="J77" s="574" t="s">
        <v>363</v>
      </c>
      <c r="K77" s="562" t="s">
        <v>364</v>
      </c>
      <c r="L77" s="711">
        <f ca="1">101+RANDBETWEEN(-1,2)/10</f>
        <v>101.2</v>
      </c>
      <c r="M77" s="615"/>
      <c r="N77" s="521"/>
      <c r="O77" s="521"/>
      <c r="P77" s="521"/>
      <c r="Q77" s="521"/>
      <c r="R77" s="521"/>
      <c r="S77" s="521"/>
      <c r="T77" s="521"/>
      <c r="U77" s="521"/>
      <c r="V77" s="521"/>
      <c r="W77" s="521"/>
      <c r="X77" s="521"/>
      <c r="Y77" s="521"/>
      <c r="Z77" s="521"/>
      <c r="AA77" s="521"/>
      <c r="AB77" s="521"/>
      <c r="AC77" s="521"/>
      <c r="AD77" s="521"/>
      <c r="AE77" s="521"/>
      <c r="AF77" s="521"/>
      <c r="AG77" s="521"/>
      <c r="AH77" s="521"/>
      <c r="AI77" s="522"/>
      <c r="AJ77" s="521"/>
      <c r="AK77" s="521"/>
      <c r="AL77" s="521"/>
      <c r="AM77" s="521"/>
      <c r="AN77" s="521"/>
      <c r="AO77" s="521"/>
      <c r="AP77" s="521"/>
      <c r="AQ77" s="521"/>
      <c r="AR77" s="521"/>
      <c r="AS77" s="521"/>
    </row>
    <row r="78" spans="2:45" s="662" customFormat="1" ht="16" customHeight="1">
      <c r="B78" s="885"/>
      <c r="C78" s="949" t="s">
        <v>365</v>
      </c>
      <c r="D78" s="951" t="s">
        <v>366</v>
      </c>
      <c r="E78" s="957">
        <f>E66</f>
        <v>270</v>
      </c>
      <c r="F78" s="955">
        <f>G72</f>
        <v>0.93472222222222223</v>
      </c>
      <c r="G78" s="955">
        <f>IF(ISBLANK($F$72),"",F78+TIME(0,H78,0))</f>
        <v>0.95208333333333339</v>
      </c>
      <c r="H78" s="951">
        <v>25</v>
      </c>
      <c r="I78" s="947">
        <f>IF(ISBLANK($F$72),"",(G78-F78)*24*60)</f>
        <v>25.000000000000071</v>
      </c>
      <c r="J78" s="566" t="s">
        <v>347</v>
      </c>
      <c r="K78" s="479">
        <v>750</v>
      </c>
      <c r="L78" s="558"/>
      <c r="M78" s="593"/>
      <c r="N78" s="521"/>
      <c r="O78" s="521">
        <f>K78*45/60</f>
        <v>562.5</v>
      </c>
      <c r="P78" s="521"/>
      <c r="Q78" s="521"/>
      <c r="R78" s="521"/>
      <c r="S78" s="521"/>
      <c r="T78" s="616"/>
      <c r="U78" s="521"/>
      <c r="V78" s="521"/>
      <c r="W78" s="521"/>
      <c r="X78" s="521"/>
      <c r="Y78" s="521"/>
      <c r="Z78" s="521"/>
      <c r="AA78" s="521"/>
      <c r="AB78" s="521"/>
      <c r="AC78" s="521"/>
      <c r="AD78" s="521"/>
      <c r="AE78" s="521"/>
      <c r="AF78" s="521"/>
      <c r="AG78" s="521"/>
      <c r="AH78" s="521"/>
      <c r="AI78" s="522"/>
      <c r="AJ78" s="521"/>
      <c r="AK78" s="521"/>
      <c r="AL78" s="521"/>
      <c r="AM78" s="521"/>
      <c r="AN78" s="521"/>
      <c r="AO78" s="433"/>
      <c r="AP78" s="433"/>
      <c r="AQ78" s="433"/>
      <c r="AR78" s="896"/>
      <c r="AS78" s="896"/>
    </row>
    <row r="79" spans="2:45" s="662" customFormat="1" ht="16" customHeight="1">
      <c r="B79" s="886"/>
      <c r="C79" s="950"/>
      <c r="D79" s="952"/>
      <c r="E79" s="958"/>
      <c r="F79" s="956"/>
      <c r="G79" s="956"/>
      <c r="H79" s="952"/>
      <c r="I79" s="948"/>
      <c r="J79" s="566" t="s">
        <v>348</v>
      </c>
      <c r="K79" s="479">
        <v>450</v>
      </c>
      <c r="L79" s="558"/>
      <c r="M79" s="593"/>
      <c r="N79" s="521"/>
      <c r="O79" s="521"/>
      <c r="P79" s="521"/>
      <c r="Q79" s="521"/>
      <c r="R79" s="521"/>
      <c r="S79" s="521"/>
      <c r="T79" s="616"/>
      <c r="U79" s="521"/>
      <c r="V79" s="521"/>
      <c r="W79" s="521"/>
      <c r="X79" s="521"/>
      <c r="Y79" s="521"/>
      <c r="Z79" s="521"/>
      <c r="AA79" s="521"/>
      <c r="AB79" s="521"/>
      <c r="AC79" s="521"/>
      <c r="AD79" s="521"/>
      <c r="AE79" s="521"/>
      <c r="AF79" s="521"/>
      <c r="AG79" s="521"/>
      <c r="AH79" s="521"/>
      <c r="AI79" s="522"/>
      <c r="AJ79" s="521"/>
      <c r="AK79" s="521"/>
      <c r="AL79" s="521"/>
      <c r="AM79" s="521">
        <v>17</v>
      </c>
      <c r="AN79" s="521">
        <v>8</v>
      </c>
      <c r="AO79" s="521"/>
      <c r="AP79" s="617"/>
      <c r="AQ79" s="617"/>
      <c r="AR79" s="618"/>
      <c r="AS79" s="521"/>
    </row>
    <row r="80" spans="2:45" s="662" customFormat="1" ht="16" customHeight="1">
      <c r="B80" s="885"/>
      <c r="C80" s="949" t="s">
        <v>367</v>
      </c>
      <c r="D80" s="951" t="s">
        <v>366</v>
      </c>
      <c r="E80" s="953"/>
      <c r="F80" s="955">
        <f>G78</f>
        <v>0.95208333333333339</v>
      </c>
      <c r="G80" s="955">
        <f>IF(ISBLANK($F$72),"",F80+TIME(0,H80,0))</f>
        <v>0.96597222222222223</v>
      </c>
      <c r="H80" s="951">
        <v>20</v>
      </c>
      <c r="I80" s="947">
        <f>IF(ISBLANK($F$72),"",(G80-F80)*24*60)</f>
        <v>19.999999999999929</v>
      </c>
      <c r="J80" s="566" t="s">
        <v>347</v>
      </c>
      <c r="K80" s="479">
        <v>1700</v>
      </c>
      <c r="L80" s="558"/>
      <c r="M80" s="593"/>
      <c r="N80" s="521"/>
      <c r="O80" s="521">
        <f>K80*45/60</f>
        <v>1275</v>
      </c>
      <c r="P80" s="521"/>
      <c r="Q80" s="521"/>
      <c r="R80" s="521"/>
      <c r="S80" s="521"/>
      <c r="T80" s="616"/>
      <c r="U80" s="521"/>
      <c r="V80" s="521"/>
      <c r="W80" s="521"/>
      <c r="X80" s="521"/>
      <c r="Y80" s="521"/>
      <c r="Z80" s="521"/>
      <c r="AA80" s="521"/>
      <c r="AB80" s="521"/>
      <c r="AC80" s="521"/>
      <c r="AD80" s="521"/>
      <c r="AE80" s="521"/>
      <c r="AF80" s="521"/>
      <c r="AG80" s="521"/>
      <c r="AH80" s="521"/>
      <c r="AI80" s="522"/>
      <c r="AJ80" s="521"/>
      <c r="AK80" s="521"/>
      <c r="AL80" s="521"/>
      <c r="AM80" s="521">
        <v>4</v>
      </c>
      <c r="AN80" s="521">
        <v>23</v>
      </c>
      <c r="AO80" s="433"/>
      <c r="AP80" s="433"/>
      <c r="AQ80" s="433"/>
      <c r="AR80" s="896"/>
      <c r="AS80" s="896"/>
    </row>
    <row r="81" spans="2:45" s="662" customFormat="1" ht="16" customHeight="1">
      <c r="B81" s="886"/>
      <c r="C81" s="950"/>
      <c r="D81" s="952"/>
      <c r="E81" s="954"/>
      <c r="F81" s="956"/>
      <c r="G81" s="956"/>
      <c r="H81" s="952"/>
      <c r="I81" s="948"/>
      <c r="J81" s="566" t="s">
        <v>348</v>
      </c>
      <c r="K81" s="479">
        <v>1100</v>
      </c>
      <c r="L81" s="558"/>
      <c r="M81" s="593"/>
      <c r="N81" s="521"/>
      <c r="O81" s="521"/>
      <c r="P81" s="521"/>
      <c r="Q81" s="521"/>
      <c r="R81" s="521"/>
      <c r="S81" s="521"/>
      <c r="T81" s="616"/>
      <c r="U81" s="521"/>
      <c r="V81" s="521"/>
      <c r="W81" s="521"/>
      <c r="X81" s="521"/>
      <c r="Y81" s="521"/>
      <c r="Z81" s="521"/>
      <c r="AA81" s="521"/>
      <c r="AB81" s="521"/>
      <c r="AC81" s="521"/>
      <c r="AD81" s="521"/>
      <c r="AE81" s="521"/>
      <c r="AF81" s="521"/>
      <c r="AG81" s="521"/>
      <c r="AH81" s="521"/>
      <c r="AI81" s="522"/>
      <c r="AJ81" s="521"/>
      <c r="AK81" s="521"/>
      <c r="AL81" s="521"/>
      <c r="AM81" s="521"/>
      <c r="AN81" s="521">
        <v>17</v>
      </c>
      <c r="AO81" s="521">
        <v>161</v>
      </c>
      <c r="AP81" s="617"/>
      <c r="AQ81" s="617"/>
      <c r="AR81" s="618"/>
      <c r="AS81" s="521"/>
    </row>
    <row r="82" spans="2:45" s="662" customFormat="1" ht="18.649999999999999" customHeight="1">
      <c r="B82" s="846"/>
      <c r="C82" s="613" t="s">
        <v>368</v>
      </c>
      <c r="D82" s="850">
        <f>'10027'!D82</f>
        <v>2.1</v>
      </c>
      <c r="E82" s="847"/>
      <c r="F82" s="848"/>
      <c r="G82" s="848"/>
      <c r="H82" s="849"/>
      <c r="I82" s="849"/>
      <c r="J82" s="883"/>
      <c r="K82" s="883"/>
      <c r="L82" s="611"/>
      <c r="M82" s="593"/>
      <c r="N82" s="521"/>
      <c r="O82" s="521"/>
      <c r="P82" s="521"/>
      <c r="Q82" s="521"/>
      <c r="R82" s="521"/>
      <c r="S82" s="521"/>
      <c r="T82" s="616"/>
      <c r="U82" s="521"/>
      <c r="V82" s="521"/>
      <c r="W82" s="521"/>
      <c r="X82" s="521"/>
      <c r="Y82" s="521"/>
      <c r="Z82" s="521"/>
      <c r="AA82" s="521"/>
      <c r="AB82" s="521"/>
      <c r="AC82" s="521"/>
      <c r="AD82" s="521"/>
      <c r="AE82" s="521"/>
      <c r="AF82" s="521"/>
      <c r="AG82" s="521"/>
      <c r="AH82" s="521"/>
      <c r="AI82" s="522"/>
      <c r="AJ82" s="521"/>
      <c r="AK82" s="521"/>
      <c r="AL82" s="521"/>
      <c r="AM82" s="521"/>
      <c r="AN82" s="521"/>
      <c r="AO82" s="521"/>
      <c r="AP82" s="617"/>
      <c r="AQ82" s="617"/>
      <c r="AR82" s="618"/>
      <c r="AS82" s="521"/>
    </row>
    <row r="83" spans="2:45" s="662" customFormat="1" ht="28" customHeight="1">
      <c r="B83" s="744"/>
      <c r="C83" s="536" t="s">
        <v>369</v>
      </c>
      <c r="D83" s="679">
        <f>'10027'!D83</f>
        <v>152</v>
      </c>
      <c r="E83" s="537"/>
      <c r="F83" s="683" t="s">
        <v>370</v>
      </c>
      <c r="G83" s="684" t="s">
        <v>371</v>
      </c>
      <c r="H83" s="897" t="s">
        <v>372</v>
      </c>
      <c r="I83" s="898" t="s">
        <v>373</v>
      </c>
      <c r="J83" s="716" t="s">
        <v>374</v>
      </c>
      <c r="K83" s="840">
        <f>IF(K86="","",K86-K75-K74)</f>
        <v>1356</v>
      </c>
      <c r="L83" s="645"/>
      <c r="M83" s="531"/>
      <c r="N83" s="521"/>
      <c r="O83" s="521"/>
      <c r="P83" s="521"/>
      <c r="Q83" s="521"/>
      <c r="R83" s="521"/>
      <c r="S83" s="521"/>
      <c r="T83" s="619"/>
      <c r="U83" s="521"/>
      <c r="V83" s="521"/>
      <c r="W83" s="521"/>
      <c r="X83" s="521"/>
      <c r="Y83" s="521"/>
      <c r="Z83" s="521"/>
      <c r="AA83" s="521"/>
      <c r="AB83" s="521"/>
      <c r="AC83" s="521"/>
      <c r="AD83" s="521"/>
      <c r="AE83" s="521"/>
      <c r="AF83" s="521"/>
      <c r="AG83" s="521"/>
      <c r="AH83" s="521"/>
      <c r="AI83" s="522">
        <f>82.3*1.1</f>
        <v>90.53</v>
      </c>
      <c r="AJ83" s="521"/>
      <c r="AK83" s="521"/>
      <c r="AL83" s="521">
        <f>AI84-AI83</f>
        <v>6.0499999999999972</v>
      </c>
      <c r="AM83" s="521"/>
      <c r="AN83" s="521">
        <v>23</v>
      </c>
      <c r="AO83" s="521">
        <v>50</v>
      </c>
      <c r="AP83" s="617"/>
      <c r="AQ83" s="617"/>
      <c r="AR83" s="618"/>
      <c r="AS83" s="521"/>
    </row>
    <row r="84" spans="2:45" s="662" customFormat="1" ht="25.5" customHeight="1">
      <c r="B84" s="744"/>
      <c r="C84" s="536" t="s">
        <v>375</v>
      </c>
      <c r="D84" s="620" t="s">
        <v>376</v>
      </c>
      <c r="E84" s="646">
        <v>247</v>
      </c>
      <c r="F84" s="648">
        <f>G80</f>
        <v>0.96597222222222223</v>
      </c>
      <c r="G84" s="648"/>
      <c r="H84" s="448">
        <v>9</v>
      </c>
      <c r="I84" s="685">
        <f>IF(ISBLANK($F$72),"",(F88-F84)*24*60)</f>
        <v>9.9999999999999645</v>
      </c>
      <c r="J84" s="539" t="s">
        <v>377</v>
      </c>
      <c r="K84" s="557">
        <v>18</v>
      </c>
      <c r="L84" s="742"/>
      <c r="M84" s="531"/>
      <c r="N84" s="521"/>
      <c r="O84" s="521"/>
      <c r="P84" s="521"/>
      <c r="Q84" s="521"/>
      <c r="R84" s="616"/>
      <c r="S84" s="521"/>
      <c r="T84" s="532"/>
      <c r="U84" s="521"/>
      <c r="V84" s="521"/>
      <c r="W84" s="521"/>
      <c r="X84" s="521"/>
      <c r="Y84" s="521"/>
      <c r="Z84" s="521"/>
      <c r="AA84" s="521"/>
      <c r="AB84" s="521"/>
      <c r="AC84" s="521"/>
      <c r="AD84" s="521"/>
      <c r="AE84" s="521"/>
      <c r="AF84" s="521"/>
      <c r="AG84" s="521"/>
      <c r="AH84" s="521"/>
      <c r="AI84" s="522">
        <f>87.8*1.1</f>
        <v>96.58</v>
      </c>
      <c r="AJ84" s="521"/>
      <c r="AK84" s="521"/>
      <c r="AL84" s="521">
        <f>AI85-AI84</f>
        <v>35.42</v>
      </c>
      <c r="AM84" s="521"/>
      <c r="AN84" s="521">
        <f>161/23</f>
        <v>7</v>
      </c>
      <c r="AO84" s="521"/>
      <c r="AP84" s="617"/>
      <c r="AQ84" s="617"/>
      <c r="AR84" s="618"/>
      <c r="AS84" s="521"/>
    </row>
    <row r="85" spans="2:45" s="662" customFormat="1" ht="24" customHeight="1">
      <c r="B85" s="744"/>
      <c r="C85" s="536" t="s">
        <v>378</v>
      </c>
      <c r="D85" s="448">
        <v>5</v>
      </c>
      <c r="E85" s="651">
        <v>-2</v>
      </c>
      <c r="F85" s="648"/>
      <c r="G85" s="648"/>
      <c r="H85" s="448">
        <v>1.1111111111111112</v>
      </c>
      <c r="I85" s="448"/>
      <c r="J85" s="566" t="s">
        <v>379</v>
      </c>
      <c r="K85" s="621" t="s">
        <v>380</v>
      </c>
      <c r="L85" s="743"/>
      <c r="M85" s="531"/>
      <c r="N85" s="521"/>
      <c r="O85" s="521"/>
      <c r="P85" s="521"/>
      <c r="Q85" s="521"/>
      <c r="R85" s="521"/>
      <c r="S85" s="521"/>
      <c r="T85" s="521"/>
      <c r="U85" s="521"/>
      <c r="V85" s="521"/>
      <c r="W85" s="521"/>
      <c r="X85" s="521"/>
      <c r="Y85" s="521"/>
      <c r="Z85" s="521"/>
      <c r="AA85" s="521"/>
      <c r="AB85" s="521"/>
      <c r="AC85" s="521"/>
      <c r="AD85" s="521"/>
      <c r="AE85" s="521"/>
      <c r="AF85" s="521"/>
      <c r="AG85" s="521"/>
      <c r="AH85" s="521"/>
      <c r="AI85" s="522">
        <f>120*1.1</f>
        <v>132</v>
      </c>
      <c r="AJ85" s="521"/>
      <c r="AK85" s="521"/>
      <c r="AL85" s="521">
        <f>AI86-AI85</f>
        <v>12.870000000000005</v>
      </c>
      <c r="AM85" s="521"/>
      <c r="AN85" s="521"/>
      <c r="AO85" s="521"/>
      <c r="AP85" s="617"/>
      <c r="AQ85" s="617"/>
      <c r="AR85" s="618"/>
      <c r="AS85" s="521"/>
    </row>
    <row r="86" spans="2:45" s="662" customFormat="1" ht="21.75" customHeight="1" thickBot="1">
      <c r="B86" s="755"/>
      <c r="C86" s="756" t="s">
        <v>381</v>
      </c>
      <c r="D86" s="882"/>
      <c r="E86" s="647"/>
      <c r="F86" s="647"/>
      <c r="G86" s="647"/>
      <c r="H86" s="882">
        <v>100.11111111111111</v>
      </c>
      <c r="I86" s="882"/>
      <c r="J86" s="757" t="s">
        <v>259</v>
      </c>
      <c r="K86" s="639">
        <v>2799</v>
      </c>
      <c r="L86" s="758"/>
      <c r="M86" s="531"/>
      <c r="N86" s="521"/>
      <c r="O86" s="521"/>
      <c r="P86" s="521"/>
      <c r="Q86" s="521"/>
      <c r="R86" s="521"/>
      <c r="S86" s="521"/>
      <c r="T86" s="521"/>
      <c r="U86" s="521"/>
      <c r="V86" s="521"/>
      <c r="W86" s="521"/>
      <c r="X86" s="521"/>
      <c r="Y86" s="521"/>
      <c r="Z86" s="521"/>
      <c r="AA86" s="521"/>
      <c r="AB86" s="521"/>
      <c r="AC86" s="521"/>
      <c r="AD86" s="521"/>
      <c r="AE86" s="521"/>
      <c r="AF86" s="521"/>
      <c r="AG86" s="521"/>
      <c r="AH86" s="521"/>
      <c r="AI86" s="522">
        <f>131.7*1.1</f>
        <v>144.87</v>
      </c>
      <c r="AJ86" s="521"/>
      <c r="AK86" s="521"/>
      <c r="AL86" s="521">
        <f>AI87-AI86</f>
        <v>-144.87</v>
      </c>
      <c r="AM86" s="521"/>
      <c r="AN86" s="521"/>
      <c r="AO86" s="523"/>
      <c r="AP86" s="521"/>
      <c r="AQ86" s="622"/>
      <c r="AR86" s="896"/>
      <c r="AS86" s="521"/>
    </row>
    <row r="87" spans="2:45" s="662" customFormat="1" ht="12" thickBot="1">
      <c r="B87" s="770"/>
      <c r="C87" s="941" t="s">
        <v>382</v>
      </c>
      <c r="D87" s="942"/>
      <c r="E87" s="942"/>
      <c r="F87" s="942"/>
      <c r="G87" s="942"/>
      <c r="H87" s="942"/>
      <c r="I87" s="942"/>
      <c r="J87" s="942"/>
      <c r="K87" s="942"/>
      <c r="L87" s="943"/>
      <c r="M87" s="582"/>
      <c r="N87" s="521"/>
      <c r="O87" s="521"/>
      <c r="P87" s="521"/>
      <c r="Q87" s="521"/>
      <c r="R87" s="521"/>
      <c r="S87" s="521"/>
      <c r="T87" s="521"/>
      <c r="U87" s="521"/>
      <c r="V87" s="521"/>
      <c r="W87" s="521"/>
      <c r="X87" s="521"/>
      <c r="Y87" s="521"/>
      <c r="Z87" s="521"/>
      <c r="AA87" s="521"/>
      <c r="AB87" s="521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  <c r="AP87" s="521"/>
      <c r="AQ87" s="521"/>
      <c r="AR87" s="521"/>
      <c r="AS87" s="521"/>
    </row>
    <row r="88" spans="2:45" s="662" customFormat="1" ht="23.25" customHeight="1">
      <c r="B88" s="745"/>
      <c r="C88" s="594" t="s">
        <v>383</v>
      </c>
      <c r="D88" s="882"/>
      <c r="E88" s="647"/>
      <c r="F88" s="888">
        <f>IF(ISBLANK(F72),"",F84+TIME(0,H84+H85,0))</f>
        <v>0.97291666666666665</v>
      </c>
      <c r="G88" s="888">
        <f>IF(ISBLANK($F$72),"",F88+TIME(0,H88,0))</f>
        <v>0.97986111111111107</v>
      </c>
      <c r="H88" s="544">
        <v>10</v>
      </c>
      <c r="I88" s="764">
        <f>IF(ISBLANK($F$72),"",(G88-F88)*24*60)</f>
        <v>9.9999999999999645</v>
      </c>
      <c r="J88" s="543"/>
      <c r="K88" s="765"/>
      <c r="L88" s="766"/>
      <c r="M88" s="531"/>
      <c r="N88" s="521"/>
      <c r="O88" s="521"/>
      <c r="P88" s="521"/>
      <c r="Q88" s="521"/>
      <c r="R88" s="521"/>
      <c r="S88" s="521"/>
      <c r="T88" s="521"/>
      <c r="U88" s="521"/>
      <c r="V88" s="521"/>
      <c r="W88" s="521"/>
      <c r="X88" s="521"/>
      <c r="Y88" s="521"/>
      <c r="Z88" s="521"/>
      <c r="AA88" s="521"/>
      <c r="AB88" s="521"/>
      <c r="AC88" s="521"/>
      <c r="AD88" s="521"/>
      <c r="AE88" s="521"/>
      <c r="AF88" s="521"/>
      <c r="AG88" s="521"/>
      <c r="AH88" s="521"/>
      <c r="AI88" s="522"/>
      <c r="AJ88" s="521"/>
      <c r="AK88" s="521"/>
      <c r="AL88" s="521"/>
      <c r="AM88" s="521"/>
      <c r="AN88" s="521"/>
      <c r="AO88" s="521"/>
      <c r="AP88" s="521"/>
      <c r="AQ88" s="521"/>
      <c r="AR88" s="521"/>
      <c r="AS88" s="521"/>
    </row>
    <row r="89" spans="2:45" s="662" customFormat="1" ht="19.5" customHeight="1">
      <c r="B89" s="744"/>
      <c r="C89" s="536" t="s">
        <v>384</v>
      </c>
      <c r="D89" s="448"/>
      <c r="E89" s="651"/>
      <c r="F89" s="648"/>
      <c r="G89" s="648"/>
      <c r="H89" s="448">
        <v>50</v>
      </c>
      <c r="I89" s="448"/>
      <c r="J89" s="539" t="s">
        <v>385</v>
      </c>
      <c r="K89" s="479">
        <v>269</v>
      </c>
      <c r="L89" s="540"/>
      <c r="M89" s="531"/>
      <c r="N89" s="521"/>
      <c r="O89" s="521"/>
      <c r="P89" s="521"/>
      <c r="Q89" s="521"/>
      <c r="R89" s="521"/>
      <c r="S89" s="521"/>
      <c r="T89" s="521"/>
      <c r="U89" s="521"/>
      <c r="V89" s="521"/>
      <c r="W89" s="521"/>
      <c r="X89" s="521"/>
      <c r="Y89" s="521"/>
      <c r="Z89" s="521"/>
      <c r="AA89" s="521"/>
      <c r="AB89" s="521"/>
      <c r="AC89" s="521"/>
      <c r="AD89" s="521"/>
      <c r="AE89" s="521"/>
      <c r="AF89" s="521"/>
      <c r="AG89" s="521"/>
      <c r="AH89" s="521"/>
      <c r="AI89" s="522"/>
      <c r="AJ89" s="521"/>
      <c r="AK89" s="521"/>
      <c r="AL89" s="521"/>
      <c r="AM89" s="521"/>
      <c r="AN89" s="521"/>
      <c r="AO89" s="521"/>
      <c r="AP89" s="521"/>
      <c r="AQ89" s="521"/>
      <c r="AR89" s="521"/>
      <c r="AS89" s="521"/>
    </row>
    <row r="90" spans="2:45" s="662" customFormat="1" ht="18.75" customHeight="1">
      <c r="B90" s="744"/>
      <c r="C90" s="539" t="s">
        <v>386</v>
      </c>
      <c r="D90" s="448"/>
      <c r="E90" s="651"/>
      <c r="F90" s="648"/>
      <c r="G90" s="648"/>
      <c r="H90" s="448">
        <v>15</v>
      </c>
      <c r="I90" s="448"/>
      <c r="J90" s="448"/>
      <c r="K90" s="448"/>
      <c r="L90" s="558"/>
      <c r="M90" s="531"/>
      <c r="N90" s="521"/>
      <c r="O90" s="521"/>
      <c r="P90" s="521"/>
      <c r="Q90" s="521"/>
      <c r="R90" s="521"/>
      <c r="S90" s="521"/>
      <c r="T90" s="521"/>
      <c r="U90" s="521"/>
      <c r="V90" s="521"/>
      <c r="W90" s="521"/>
      <c r="X90" s="521"/>
      <c r="Y90" s="521"/>
      <c r="Z90" s="521"/>
      <c r="AA90" s="521"/>
      <c r="AB90" s="521"/>
      <c r="AC90" s="521"/>
      <c r="AD90" s="521"/>
      <c r="AE90" s="521"/>
      <c r="AF90" s="521"/>
      <c r="AG90" s="521"/>
      <c r="AH90" s="521"/>
      <c r="AI90" s="522"/>
      <c r="AJ90" s="521"/>
      <c r="AK90" s="521"/>
      <c r="AL90" s="521"/>
      <c r="AM90" s="521"/>
      <c r="AN90" s="521"/>
      <c r="AO90" s="521"/>
      <c r="AP90" s="521"/>
      <c r="AQ90" s="521"/>
      <c r="AR90" s="521"/>
      <c r="AS90" s="521"/>
    </row>
    <row r="91" spans="2:45" s="662" customFormat="1" ht="17.25" customHeight="1">
      <c r="B91" s="744"/>
      <c r="C91" s="539" t="s">
        <v>387</v>
      </c>
      <c r="D91" s="448"/>
      <c r="E91" s="651"/>
      <c r="F91" s="648"/>
      <c r="G91" s="648"/>
      <c r="H91" s="448">
        <v>0</v>
      </c>
      <c r="I91" s="448"/>
      <c r="J91" s="623" t="s">
        <v>388</v>
      </c>
      <c r="K91" s="704">
        <v>18.3</v>
      </c>
      <c r="L91" s="558"/>
      <c r="M91" s="531"/>
      <c r="N91" s="521"/>
      <c r="O91" s="521"/>
      <c r="P91" s="521"/>
      <c r="Q91" s="521"/>
      <c r="R91" s="521"/>
      <c r="S91" s="521"/>
      <c r="T91" s="521"/>
      <c r="U91" s="521"/>
      <c r="V91" s="521"/>
      <c r="W91" s="521"/>
      <c r="X91" s="521"/>
      <c r="Y91" s="521"/>
      <c r="Z91" s="521"/>
      <c r="AA91" s="521"/>
      <c r="AB91" s="521"/>
      <c r="AC91" s="521"/>
      <c r="AD91" s="521"/>
      <c r="AE91" s="521"/>
      <c r="AF91" s="521"/>
      <c r="AG91" s="521"/>
      <c r="AH91" s="521"/>
      <c r="AI91" s="522"/>
      <c r="AJ91" s="521"/>
      <c r="AK91" s="521"/>
      <c r="AL91" s="521"/>
      <c r="AM91" s="521"/>
      <c r="AN91" s="521"/>
      <c r="AO91" s="521"/>
      <c r="AP91" s="521"/>
      <c r="AQ91" s="521"/>
      <c r="AR91" s="521"/>
      <c r="AS91" s="521"/>
    </row>
    <row r="92" spans="2:45" s="662" customFormat="1" ht="13.5" thickBot="1">
      <c r="B92" s="750"/>
      <c r="C92" s="577" t="s">
        <v>389</v>
      </c>
      <c r="D92" s="624"/>
      <c r="E92" s="659"/>
      <c r="F92" s="655"/>
      <c r="G92" s="655"/>
      <c r="H92" s="578">
        <f>SUM(H88:H91)</f>
        <v>75</v>
      </c>
      <c r="I92" s="578"/>
      <c r="J92" s="579"/>
      <c r="K92" s="448"/>
      <c r="L92" s="558"/>
      <c r="M92" s="531"/>
      <c r="N92" s="521"/>
      <c r="O92" s="521"/>
      <c r="P92" s="521"/>
      <c r="Q92" s="521"/>
      <c r="R92" s="521"/>
      <c r="S92" s="521"/>
      <c r="T92" s="521"/>
      <c r="U92" s="521"/>
      <c r="V92" s="521"/>
      <c r="W92" s="521"/>
      <c r="X92" s="521"/>
      <c r="Y92" s="521"/>
      <c r="Z92" s="521"/>
      <c r="AA92" s="521"/>
      <c r="AB92" s="521"/>
      <c r="AC92" s="521"/>
      <c r="AD92" s="521"/>
      <c r="AE92" s="521"/>
      <c r="AF92" s="521"/>
      <c r="AG92" s="521"/>
      <c r="AH92" s="521"/>
      <c r="AI92" s="522"/>
      <c r="AJ92" s="521"/>
      <c r="AK92" s="521"/>
      <c r="AL92" s="521"/>
      <c r="AM92" s="521"/>
      <c r="AN92" s="521"/>
      <c r="AO92" s="521"/>
      <c r="AP92" s="521"/>
      <c r="AQ92" s="521"/>
      <c r="AR92" s="521"/>
      <c r="AS92" s="521"/>
    </row>
    <row r="93" spans="2:45" s="662" customFormat="1" ht="12" hidden="1" thickBot="1">
      <c r="B93" s="525"/>
      <c r="C93" s="526" t="s">
        <v>390</v>
      </c>
      <c r="D93" s="527"/>
      <c r="E93" s="527"/>
      <c r="F93" s="527"/>
      <c r="G93" s="527"/>
      <c r="H93" s="527"/>
      <c r="I93" s="527"/>
      <c r="J93" s="528"/>
      <c r="K93" s="581"/>
      <c r="L93" s="529"/>
      <c r="M93" s="582"/>
      <c r="N93" s="521"/>
      <c r="O93" s="521"/>
      <c r="P93" s="521"/>
      <c r="Q93" s="521"/>
      <c r="R93" s="521"/>
      <c r="S93" s="521"/>
      <c r="T93" s="521"/>
      <c r="U93" s="521"/>
      <c r="V93" s="521"/>
      <c r="W93" s="521"/>
      <c r="X93" s="521"/>
      <c r="Y93" s="521"/>
      <c r="Z93" s="521"/>
      <c r="AA93" s="521"/>
      <c r="AB93" s="521"/>
      <c r="AC93" s="521"/>
      <c r="AD93" s="521"/>
      <c r="AE93" s="521"/>
      <c r="AF93" s="521"/>
      <c r="AG93" s="521"/>
      <c r="AH93" s="521"/>
      <c r="AI93" s="522"/>
      <c r="AJ93" s="521"/>
      <c r="AK93" s="521"/>
      <c r="AL93" s="521"/>
      <c r="AM93" s="521"/>
      <c r="AN93" s="521"/>
      <c r="AO93" s="521"/>
      <c r="AP93" s="521"/>
      <c r="AQ93" s="521"/>
      <c r="AR93" s="521"/>
      <c r="AS93" s="521"/>
    </row>
    <row r="94" spans="2:45" s="662" customFormat="1" ht="12" hidden="1" thickBot="1">
      <c r="B94" s="759"/>
      <c r="C94" s="760" t="s">
        <v>391</v>
      </c>
      <c r="D94" s="761"/>
      <c r="E94" s="761"/>
      <c r="F94" s="761"/>
      <c r="G94" s="761"/>
      <c r="H94" s="761"/>
      <c r="I94" s="761"/>
      <c r="J94" s="760"/>
      <c r="K94" s="762"/>
      <c r="L94" s="763"/>
      <c r="M94" s="582"/>
      <c r="N94" s="521"/>
      <c r="O94" s="521"/>
      <c r="P94" s="521"/>
      <c r="Q94" s="521"/>
      <c r="R94" s="521"/>
      <c r="S94" s="521"/>
      <c r="T94" s="521"/>
      <c r="U94" s="521"/>
      <c r="V94" s="521"/>
      <c r="W94" s="521"/>
      <c r="X94" s="521"/>
      <c r="Y94" s="521"/>
      <c r="Z94" s="521"/>
      <c r="AA94" s="521"/>
      <c r="AB94" s="521"/>
      <c r="AC94" s="521"/>
      <c r="AD94" s="521"/>
      <c r="AE94" s="521"/>
      <c r="AF94" s="521"/>
      <c r="AG94" s="521"/>
      <c r="AH94" s="521"/>
      <c r="AI94" s="522"/>
      <c r="AJ94" s="521"/>
      <c r="AK94" s="521"/>
      <c r="AL94" s="521"/>
      <c r="AM94" s="521"/>
      <c r="AN94" s="521"/>
      <c r="AO94" s="521"/>
      <c r="AP94" s="521"/>
      <c r="AQ94" s="521"/>
      <c r="AR94" s="521"/>
      <c r="AS94" s="521"/>
    </row>
    <row r="95" spans="2:45" s="662" customFormat="1" ht="12" thickBot="1">
      <c r="B95" s="770"/>
      <c r="C95" s="941" t="s">
        <v>392</v>
      </c>
      <c r="D95" s="942"/>
      <c r="E95" s="942"/>
      <c r="F95" s="942"/>
      <c r="G95" s="942"/>
      <c r="H95" s="942"/>
      <c r="I95" s="942"/>
      <c r="J95" s="942"/>
      <c r="K95" s="942"/>
      <c r="L95" s="943"/>
      <c r="M95" s="582"/>
      <c r="N95" s="521"/>
      <c r="O95" s="521"/>
      <c r="P95" s="521"/>
      <c r="Q95" s="521"/>
      <c r="R95" s="521"/>
      <c r="S95" s="521"/>
      <c r="T95" s="521"/>
      <c r="U95" s="521"/>
      <c r="V95" s="521"/>
      <c r="W95" s="521"/>
      <c r="X95" s="521"/>
      <c r="Y95" s="521"/>
      <c r="Z95" s="521"/>
      <c r="AA95" s="521"/>
      <c r="AB95" s="521"/>
      <c r="AC95" s="521"/>
      <c r="AD95" s="521"/>
      <c r="AE95" s="521"/>
      <c r="AF95" s="521"/>
      <c r="AG95" s="521"/>
      <c r="AH95" s="521"/>
      <c r="AI95" s="522"/>
      <c r="AJ95" s="521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2:45" s="662" customFormat="1" ht="21.75" customHeight="1">
      <c r="B96" s="767"/>
      <c r="C96" s="768" t="s">
        <v>393</v>
      </c>
      <c r="D96" s="882">
        <v>3</v>
      </c>
      <c r="E96" s="882"/>
      <c r="F96" s="944" t="s">
        <v>394</v>
      </c>
      <c r="G96" s="944"/>
      <c r="H96" s="944"/>
      <c r="I96" s="769"/>
      <c r="J96" s="543" t="s">
        <v>395</v>
      </c>
      <c r="K96" s="765" t="s">
        <v>396</v>
      </c>
      <c r="L96" s="743">
        <f>K91-0.2</f>
        <v>18.100000000000001</v>
      </c>
      <c r="M96" s="531"/>
      <c r="N96" s="521"/>
      <c r="O96" s="521"/>
      <c r="P96" s="521"/>
      <c r="Q96" s="521"/>
      <c r="R96" s="521"/>
      <c r="S96" s="521"/>
      <c r="T96" s="521"/>
      <c r="U96" s="521"/>
      <c r="V96" s="521"/>
      <c r="W96" s="521"/>
      <c r="X96" s="521"/>
      <c r="Y96" s="521"/>
      <c r="Z96" s="521"/>
      <c r="AA96" s="521"/>
      <c r="AB96" s="521"/>
      <c r="AC96" s="521"/>
      <c r="AD96" s="521"/>
      <c r="AE96" s="521"/>
      <c r="AF96" s="521"/>
      <c r="AG96" s="521"/>
      <c r="AH96" s="521"/>
      <c r="AI96" s="522"/>
      <c r="AJ96" s="521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2:48" s="662" customFormat="1" ht="19.5" customHeight="1">
      <c r="B97" s="744"/>
      <c r="C97" s="536" t="s">
        <v>397</v>
      </c>
      <c r="D97" s="448"/>
      <c r="E97" s="651"/>
      <c r="F97" s="648"/>
      <c r="G97" s="648"/>
      <c r="H97" s="448">
        <v>5</v>
      </c>
      <c r="I97" s="448"/>
      <c r="J97" s="539" t="s">
        <v>398</v>
      </c>
      <c r="K97" s="583" t="s">
        <v>399</v>
      </c>
      <c r="L97" s="722">
        <v>5.25</v>
      </c>
      <c r="M97" s="531"/>
      <c r="N97" s="521"/>
      <c r="O97" s="521"/>
      <c r="P97" s="521"/>
      <c r="Q97" s="521"/>
      <c r="R97" s="521"/>
      <c r="S97" s="521"/>
      <c r="T97" s="521" t="s">
        <v>400</v>
      </c>
      <c r="U97" s="521"/>
      <c r="V97" s="521"/>
      <c r="W97" s="521"/>
      <c r="X97" s="521"/>
      <c r="Y97" s="521"/>
      <c r="Z97" s="521"/>
      <c r="AA97" s="521"/>
      <c r="AB97" s="521"/>
      <c r="AC97" s="521"/>
      <c r="AD97" s="521"/>
      <c r="AE97" s="521"/>
      <c r="AF97" s="521"/>
      <c r="AG97" s="521"/>
      <c r="AH97" s="521"/>
      <c r="AI97" s="522"/>
      <c r="AJ97" s="521"/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2:48" s="662" customFormat="1" ht="21" customHeight="1">
      <c r="B98" s="744"/>
      <c r="C98" s="789" t="s">
        <v>401</v>
      </c>
      <c r="D98" s="479">
        <v>225</v>
      </c>
      <c r="E98" s="646">
        <v>229</v>
      </c>
      <c r="F98" s="648">
        <f>G88</f>
        <v>0.97986111111111107</v>
      </c>
      <c r="G98" s="648">
        <f>IF(ISBLANK($F$72),"",F98+TIME(0,H98,0))</f>
        <v>1.0152777777777777</v>
      </c>
      <c r="H98" s="448">
        <f>IF(E98="",50,IF((E98-D98)&lt;0,50-ROUND(ABS(E98-D98)/269*60+0.25,0),50+ROUND((E98-D98)/269*60+0.25,0)))</f>
        <v>51</v>
      </c>
      <c r="I98" s="685">
        <f>IF(ISBLANK($F$72),"",(G98-F98)*24*60)</f>
        <v>50.999999999999979</v>
      </c>
      <c r="J98" s="539" t="s">
        <v>402</v>
      </c>
      <c r="K98" s="625">
        <v>10.5</v>
      </c>
      <c r="L98" s="561">
        <v>10.6</v>
      </c>
      <c r="M98" s="531"/>
      <c r="N98" s="521"/>
      <c r="O98" s="521"/>
      <c r="P98" s="521"/>
      <c r="Q98" s="521"/>
      <c r="R98" s="521"/>
      <c r="S98" s="521"/>
      <c r="T98" s="521"/>
      <c r="U98" s="521"/>
      <c r="V98" s="521"/>
      <c r="W98" s="521"/>
      <c r="X98" s="521"/>
      <c r="Y98" s="521"/>
      <c r="Z98" s="521"/>
      <c r="AA98" s="521"/>
      <c r="AB98" s="521"/>
      <c r="AC98" s="521"/>
      <c r="AD98" s="521"/>
      <c r="AE98" s="521"/>
      <c r="AF98" s="521"/>
      <c r="AG98" s="521"/>
      <c r="AH98" s="521"/>
      <c r="AI98" s="522"/>
      <c r="AJ98" s="521"/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2:48" s="662" customFormat="1" ht="26.25" customHeight="1">
      <c r="B99" s="744"/>
      <c r="C99" s="536" t="s">
        <v>403</v>
      </c>
      <c r="D99" s="557" t="str">
        <f>'10027'!D99</f>
        <v>0.48 scfb</v>
      </c>
      <c r="E99" s="945" t="s">
        <v>405</v>
      </c>
      <c r="F99" s="946"/>
      <c r="G99" s="646">
        <f>'10027'!G99</f>
        <v>14</v>
      </c>
      <c r="H99" s="448"/>
      <c r="I99" s="448"/>
      <c r="J99" s="585" t="s">
        <v>406</v>
      </c>
      <c r="K99" s="625">
        <v>13</v>
      </c>
      <c r="L99" s="708"/>
      <c r="M99" s="531"/>
      <c r="N99" s="521"/>
      <c r="O99" s="521"/>
      <c r="P99" s="521"/>
      <c r="Q99" s="521"/>
      <c r="R99" s="521"/>
      <c r="S99" s="521"/>
      <c r="T99" s="521"/>
      <c r="U99" s="521"/>
      <c r="V99" s="521" t="s">
        <v>407</v>
      </c>
      <c r="W99" s="521" t="s">
        <v>408</v>
      </c>
      <c r="X99" s="521"/>
      <c r="Y99" s="521"/>
      <c r="Z99" s="521"/>
      <c r="AA99" s="521"/>
      <c r="AB99" s="521"/>
      <c r="AC99" s="521"/>
      <c r="AD99" s="521"/>
      <c r="AE99" s="521"/>
      <c r="AF99" s="521"/>
      <c r="AG99" s="521"/>
      <c r="AH99" s="521"/>
      <c r="AI99" s="522"/>
      <c r="AJ99" s="521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2:48" s="662" customFormat="1" ht="24.75" customHeight="1">
      <c r="B100" s="744"/>
      <c r="C100" s="536" t="s">
        <v>409</v>
      </c>
      <c r="D100" s="448">
        <v>5</v>
      </c>
      <c r="E100" s="717">
        <v>3.3</v>
      </c>
      <c r="F100" s="448"/>
      <c r="G100" s="448"/>
      <c r="H100" s="448"/>
      <c r="I100" s="448"/>
      <c r="J100" s="539" t="s">
        <v>410</v>
      </c>
      <c r="K100" s="583">
        <v>80</v>
      </c>
      <c r="L100" s="558"/>
      <c r="M100" s="531"/>
      <c r="N100" s="521"/>
      <c r="O100" s="521"/>
      <c r="P100" s="521"/>
      <c r="Q100" s="521"/>
      <c r="R100" s="521"/>
      <c r="S100" s="521"/>
      <c r="T100" s="521"/>
      <c r="U100" s="521"/>
      <c r="V100" s="521"/>
      <c r="W100" s="521"/>
      <c r="X100" s="521"/>
      <c r="Y100" s="521"/>
      <c r="Z100" s="521"/>
      <c r="AA100" s="521"/>
      <c r="AB100" s="521"/>
      <c r="AC100" s="521"/>
      <c r="AD100" s="521"/>
      <c r="AE100" s="521"/>
      <c r="AF100" s="521"/>
      <c r="AG100" s="521"/>
      <c r="AH100" s="521"/>
      <c r="AI100" s="522"/>
      <c r="AJ100" s="521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2:48" s="662" customFormat="1" ht="20.25" customHeight="1" thickBot="1">
      <c r="B101" s="749"/>
      <c r="C101" s="626" t="s">
        <v>411</v>
      </c>
      <c r="D101" s="596"/>
      <c r="E101" s="596"/>
      <c r="F101" s="596"/>
      <c r="G101" s="596"/>
      <c r="H101" s="596">
        <v>2</v>
      </c>
      <c r="I101" s="596"/>
      <c r="J101" s="597" t="s">
        <v>412</v>
      </c>
      <c r="K101" s="627" t="s">
        <v>413</v>
      </c>
      <c r="L101" s="628"/>
      <c r="M101" s="629"/>
      <c r="N101" s="521"/>
      <c r="O101" s="521"/>
      <c r="P101" s="521"/>
      <c r="Q101" s="521"/>
      <c r="R101" s="521"/>
      <c r="S101" s="521"/>
      <c r="T101" s="521" t="s">
        <v>414</v>
      </c>
      <c r="U101" s="521"/>
      <c r="V101" s="521"/>
      <c r="W101" s="521"/>
      <c r="X101" s="521"/>
      <c r="Y101" s="521"/>
      <c r="Z101" s="521"/>
      <c r="AA101" s="521"/>
      <c r="AB101" s="521"/>
      <c r="AC101" s="521"/>
      <c r="AD101" s="521"/>
      <c r="AE101" s="521"/>
      <c r="AF101" s="521"/>
      <c r="AG101" s="521"/>
      <c r="AH101" s="521"/>
      <c r="AI101" s="522"/>
      <c r="AJ101" s="521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2:48" s="662" customFormat="1" ht="16.5" customHeight="1" thickBot="1">
      <c r="B102" s="630" t="s">
        <v>415</v>
      </c>
      <c r="C102" s="631"/>
      <c r="D102" s="675">
        <f>'10027'!D102</f>
        <v>6</v>
      </c>
      <c r="E102" s="676" t="s">
        <v>416</v>
      </c>
      <c r="F102" s="632"/>
      <c r="G102" s="632"/>
      <c r="H102" s="753">
        <f>SUM(H13:H31,H42:H49,H57,(D67/200)*60,2*5,H70:H73,H78:H81,H84:H85,H88:H89)/60</f>
        <v>6.161296296296296</v>
      </c>
      <c r="I102" s="754">
        <f>IF(OR(F13="",G98=""),"",IF(G98&gt;=F13,(G98-F13)*24,(G98+1-F13)*24))</f>
        <v>6.1666666666666661</v>
      </c>
      <c r="J102" s="631" t="s">
        <v>417</v>
      </c>
      <c r="K102" s="829"/>
      <c r="L102" s="830"/>
      <c r="M102" s="633"/>
      <c r="N102" s="521"/>
      <c r="O102" s="521"/>
      <c r="P102" s="521"/>
      <c r="Q102" s="521"/>
      <c r="R102" s="521"/>
      <c r="S102" s="521"/>
      <c r="T102" s="521"/>
      <c r="U102" s="521"/>
      <c r="V102" s="521"/>
      <c r="W102" s="521"/>
      <c r="X102" s="521"/>
      <c r="Y102" s="521"/>
      <c r="Z102" s="521"/>
      <c r="AA102" s="521"/>
      <c r="AB102" s="521"/>
      <c r="AC102" s="521"/>
      <c r="AD102" s="521"/>
      <c r="AE102" s="521"/>
      <c r="AF102" s="521"/>
      <c r="AG102" s="521"/>
      <c r="AH102" s="521"/>
      <c r="AI102" s="522"/>
      <c r="AJ102" s="521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2:48" s="664" customFormat="1" ht="20.149999999999999" customHeight="1">
      <c r="B103" s="817" t="s">
        <v>418</v>
      </c>
      <c r="C103" s="818" t="s">
        <v>419</v>
      </c>
      <c r="D103" s="819" t="s">
        <v>420</v>
      </c>
      <c r="E103" s="819"/>
      <c r="F103" s="820"/>
      <c r="G103" s="820"/>
      <c r="H103" s="820"/>
      <c r="I103" s="820"/>
      <c r="J103" s="677" t="s">
        <v>421</v>
      </c>
      <c r="K103" s="740">
        <f>D102</f>
        <v>6</v>
      </c>
      <c r="L103" s="739">
        <f>IF(OR(F13="",G98=""),"",IF(G98&gt;=F13,(G98-F13)*24,(G98+1-F13)*24))</f>
        <v>6.1666666666666661</v>
      </c>
      <c r="M103" s="634"/>
      <c r="N103" s="634"/>
      <c r="O103" s="634"/>
      <c r="P103" s="634"/>
      <c r="Q103" s="634"/>
      <c r="R103" s="634"/>
      <c r="S103" s="634"/>
      <c r="T103" s="634"/>
      <c r="U103" s="634"/>
      <c r="V103" s="634"/>
      <c r="W103" s="634"/>
      <c r="X103" s="634"/>
      <c r="Y103" s="634"/>
      <c r="Z103" s="634"/>
      <c r="AA103" s="634"/>
      <c r="AB103" s="634"/>
      <c r="AC103" s="634"/>
      <c r="AD103" s="634"/>
      <c r="AE103" s="634"/>
      <c r="AF103" s="634"/>
      <c r="AG103" s="634"/>
      <c r="AH103" s="634"/>
      <c r="AI103" s="634"/>
      <c r="AJ103" s="634"/>
      <c r="AK103" s="634"/>
      <c r="AL103" s="634"/>
      <c r="AM103" s="634"/>
      <c r="AN103" s="634"/>
      <c r="AO103" s="634"/>
      <c r="AP103" s="634"/>
      <c r="AQ103" s="634"/>
      <c r="AR103" s="634"/>
      <c r="AS103" s="634"/>
    </row>
    <row r="104" spans="2:48" s="664" customFormat="1" ht="20.149999999999999" customHeight="1">
      <c r="B104" s="821" t="s">
        <v>422</v>
      </c>
      <c r="C104" s="822"/>
      <c r="D104" s="820"/>
      <c r="E104" s="820"/>
      <c r="F104" s="820"/>
      <c r="G104" s="820"/>
      <c r="H104" s="823"/>
      <c r="I104" s="820"/>
      <c r="J104" s="677" t="s">
        <v>423</v>
      </c>
      <c r="K104" s="678">
        <v>8</v>
      </c>
      <c r="L104" s="739">
        <f>IF(OR(ISBLANK(E84),ISBLANK(E66)),"",(1-E84/E66)*100)</f>
        <v>8.5185185185185137</v>
      </c>
      <c r="M104" s="635"/>
      <c r="N104" s="634"/>
      <c r="O104" s="634"/>
      <c r="P104" s="634"/>
      <c r="Q104" s="634"/>
      <c r="R104" s="634"/>
      <c r="S104" s="634"/>
      <c r="T104" s="634"/>
      <c r="U104" s="634"/>
      <c r="V104" s="634"/>
      <c r="W104" s="634"/>
      <c r="X104" s="634"/>
      <c r="Y104" s="634"/>
      <c r="Z104" s="634"/>
      <c r="AA104" s="634"/>
      <c r="AB104" s="634"/>
      <c r="AC104" s="634"/>
      <c r="AD104" s="634"/>
      <c r="AE104" s="634"/>
      <c r="AF104" s="634"/>
      <c r="AG104" s="634"/>
      <c r="AH104" s="634"/>
      <c r="AI104" s="634"/>
      <c r="AJ104" s="634"/>
      <c r="AK104" s="634"/>
      <c r="AL104" s="634"/>
      <c r="AM104" s="634"/>
      <c r="AN104" s="634"/>
      <c r="AO104" s="634"/>
      <c r="AP104" s="634"/>
      <c r="AQ104" s="634"/>
      <c r="AR104" s="634"/>
      <c r="AS104" s="634"/>
      <c r="AT104" s="900">
        <f>CR20</f>
        <v>0.12037037037037036</v>
      </c>
      <c r="AU104" s="662" t="s">
        <v>424</v>
      </c>
      <c r="AV104" s="662"/>
    </row>
    <row r="105" spans="2:48" s="664" customFormat="1" ht="20.149999999999999" customHeight="1">
      <c r="B105" s="804"/>
      <c r="C105" s="824"/>
      <c r="D105" s="825"/>
      <c r="E105" s="820"/>
      <c r="F105" s="820"/>
      <c r="G105" s="820"/>
      <c r="H105" s="826"/>
      <c r="I105" s="820"/>
      <c r="J105" s="677" t="s">
        <v>425</v>
      </c>
      <c r="K105" s="678">
        <v>230</v>
      </c>
      <c r="L105" s="739">
        <f>IF(OR(G98="",F58=""),"",IF(G98&gt;=F58,(G98-F58)*60*24,(G98+1-F58)*24*60))</f>
        <v>224.99999999999983</v>
      </c>
      <c r="M105" s="635"/>
      <c r="N105" s="634"/>
      <c r="O105" s="634"/>
      <c r="P105" s="634"/>
      <c r="Q105" s="634"/>
      <c r="R105" s="634"/>
      <c r="S105" s="634"/>
      <c r="T105" s="634"/>
      <c r="U105" s="634"/>
      <c r="V105" s="634"/>
      <c r="W105" s="634"/>
      <c r="X105" s="634"/>
      <c r="Y105" s="634"/>
      <c r="Z105" s="634"/>
      <c r="AA105" s="634"/>
      <c r="AB105" s="634"/>
      <c r="AC105" s="634"/>
      <c r="AD105" s="634"/>
      <c r="AE105" s="634"/>
      <c r="AF105" s="634"/>
      <c r="AG105" s="634"/>
      <c r="AH105" s="634"/>
      <c r="AI105" s="634"/>
      <c r="AJ105" s="634"/>
      <c r="AK105" s="634"/>
      <c r="AL105" s="634"/>
      <c r="AM105" s="634"/>
      <c r="AN105" s="634"/>
      <c r="AO105" s="634"/>
      <c r="AP105" s="634"/>
      <c r="AQ105" s="634"/>
      <c r="AR105" s="634"/>
      <c r="AS105" s="634"/>
      <c r="AT105" s="901">
        <f>IF(OR(G98="",F70=""),"",IF(G98&gt;=F70,(G98-F70)*60*24,(G98+1-F70)*24*60))</f>
        <v>180.99999999999983</v>
      </c>
      <c r="AU105" s="662" t="s">
        <v>426</v>
      </c>
      <c r="AV105" s="662"/>
    </row>
    <row r="106" spans="2:48" ht="20.149999999999999" customHeight="1">
      <c r="B106" s="804"/>
      <c r="C106" s="827"/>
      <c r="D106" s="827"/>
      <c r="E106" s="827"/>
      <c r="F106" s="828"/>
      <c r="G106" s="827"/>
      <c r="H106" s="827"/>
      <c r="I106" s="820"/>
      <c r="J106" s="677" t="s">
        <v>427</v>
      </c>
      <c r="K106" s="678">
        <v>300</v>
      </c>
      <c r="L106" s="739">
        <f>IF(OR(L105="",L104=""),"",ABS(L105-K105)*10+ABS(L104-K104)*100)</f>
        <v>101.85185185185307</v>
      </c>
      <c r="M106" s="636"/>
      <c r="N106" s="636"/>
      <c r="O106" s="636"/>
      <c r="P106" s="636"/>
      <c r="Q106" s="636"/>
      <c r="R106" s="636"/>
      <c r="S106" s="636"/>
      <c r="T106" s="636"/>
      <c r="U106" s="636"/>
      <c r="V106" s="636"/>
      <c r="W106" s="636"/>
      <c r="X106" s="636"/>
      <c r="Y106" s="636"/>
      <c r="Z106" s="636"/>
      <c r="AA106" s="636"/>
      <c r="AB106" s="636"/>
      <c r="AC106" s="636"/>
      <c r="AD106" s="636"/>
      <c r="AE106" s="636"/>
      <c r="AF106" s="636"/>
      <c r="AG106" s="636"/>
      <c r="AH106" s="636"/>
      <c r="AI106" s="519"/>
      <c r="AJ106" s="519"/>
      <c r="AK106" s="519"/>
      <c r="AL106" s="519"/>
      <c r="AM106" s="519"/>
      <c r="AN106" s="519"/>
      <c r="AO106" s="519"/>
      <c r="AP106" s="519"/>
      <c r="AQ106" s="519"/>
      <c r="AR106" s="519"/>
      <c r="AS106" s="519"/>
    </row>
    <row r="107" spans="2:48" ht="24.75" customHeight="1">
      <c r="M107" s="519"/>
      <c r="N107" s="519"/>
      <c r="O107" s="519"/>
      <c r="P107" s="519"/>
      <c r="Q107" s="519"/>
      <c r="R107" s="519"/>
      <c r="S107" s="519"/>
      <c r="T107" s="519"/>
      <c r="U107" s="519"/>
      <c r="V107" s="519"/>
      <c r="W107" s="519"/>
      <c r="X107" s="519"/>
      <c r="Y107" s="519"/>
      <c r="Z107" s="519"/>
      <c r="AA107" s="519"/>
      <c r="AB107" s="519"/>
      <c r="AC107" s="519"/>
      <c r="AD107" s="519"/>
      <c r="AE107" s="519"/>
      <c r="AF107" s="519"/>
      <c r="AG107" s="519"/>
      <c r="AH107" s="519"/>
      <c r="AI107" s="519"/>
      <c r="AJ107" s="519"/>
      <c r="AK107" s="519"/>
      <c r="AL107" s="519"/>
      <c r="AM107" s="519"/>
      <c r="AN107" s="519"/>
      <c r="AO107" s="519"/>
      <c r="AP107" s="519"/>
      <c r="AQ107" s="519"/>
      <c r="AR107" s="519"/>
      <c r="AS107" s="519"/>
    </row>
    <row r="108" spans="2:48" ht="24.75" customHeight="1">
      <c r="M108" s="519"/>
      <c r="N108" s="519"/>
      <c r="O108" s="519"/>
      <c r="P108" s="519"/>
      <c r="Q108" s="519"/>
      <c r="R108" s="519"/>
      <c r="S108" s="519"/>
      <c r="T108" s="519"/>
      <c r="U108" s="519"/>
      <c r="V108" s="519"/>
      <c r="W108" s="519"/>
      <c r="X108" s="519"/>
      <c r="Y108" s="519"/>
      <c r="Z108" s="519"/>
      <c r="AA108" s="519"/>
      <c r="AB108" s="519"/>
      <c r="AC108" s="519"/>
      <c r="AD108" s="519"/>
      <c r="AE108" s="519"/>
      <c r="AF108" s="519"/>
      <c r="AG108" s="519"/>
      <c r="AH108" s="519"/>
      <c r="AI108" s="519"/>
      <c r="AJ108" s="519"/>
      <c r="AK108" s="519"/>
      <c r="AL108" s="519"/>
      <c r="AM108" s="519"/>
      <c r="AN108" s="519"/>
      <c r="AO108" s="519"/>
      <c r="AP108" s="519"/>
      <c r="AQ108" s="519"/>
      <c r="AR108" s="519"/>
      <c r="AS108" s="519"/>
    </row>
    <row r="109" spans="2:48" ht="27.75" customHeight="1">
      <c r="M109" s="519"/>
      <c r="N109" s="519"/>
      <c r="O109" s="519"/>
      <c r="P109" s="519"/>
      <c r="Q109" s="519"/>
      <c r="R109" s="519"/>
      <c r="S109" s="519"/>
      <c r="T109" s="519"/>
      <c r="U109" s="519"/>
      <c r="V109" s="519"/>
      <c r="W109" s="519"/>
      <c r="X109" s="519"/>
      <c r="Y109" s="519"/>
      <c r="Z109" s="519"/>
      <c r="AA109" s="519"/>
      <c r="AB109" s="519"/>
      <c r="AC109" s="519"/>
      <c r="AD109" s="519"/>
      <c r="AE109" s="519"/>
      <c r="AF109" s="519"/>
      <c r="AG109" s="519"/>
      <c r="AH109" s="519"/>
      <c r="AI109" s="519"/>
      <c r="AJ109" s="519"/>
      <c r="AK109" s="519"/>
      <c r="AL109" s="519"/>
      <c r="AM109" s="519"/>
      <c r="AN109" s="519"/>
      <c r="AO109" s="519"/>
      <c r="AP109" s="519"/>
      <c r="AQ109" s="519"/>
      <c r="AR109" s="519"/>
      <c r="AS109" s="519"/>
    </row>
  </sheetData>
  <mergeCells count="142">
    <mergeCell ref="EI4:EI7"/>
    <mergeCell ref="EL4:EL7"/>
    <mergeCell ref="DG5:DG7"/>
    <mergeCell ref="DR5:DR7"/>
    <mergeCell ref="DZ5:DZ7"/>
    <mergeCell ref="EE5:EE7"/>
    <mergeCell ref="EK5:EK7"/>
    <mergeCell ref="EO5:EO7"/>
    <mergeCell ref="B1:M1"/>
    <mergeCell ref="BJ4:BJ7"/>
    <mergeCell ref="BU4:BU7"/>
    <mergeCell ref="CE4:CE7"/>
    <mergeCell ref="DH4:DH7"/>
    <mergeCell ref="DI4:DI7"/>
    <mergeCell ref="L5:L6"/>
    <mergeCell ref="M5:M6"/>
    <mergeCell ref="AU5:AU7"/>
    <mergeCell ref="AV5:AV7"/>
    <mergeCell ref="AX5:AX7"/>
    <mergeCell ref="AY5:AY7"/>
    <mergeCell ref="AZ5:AZ7"/>
    <mergeCell ref="BA5:BA7"/>
    <mergeCell ref="BB5:BB7"/>
    <mergeCell ref="BC5:BC7"/>
    <mergeCell ref="BD5:BD7"/>
    <mergeCell ref="BE5:BE7"/>
    <mergeCell ref="BF5:BF7"/>
    <mergeCell ref="BG5:BG7"/>
    <mergeCell ref="BH5:BH7"/>
    <mergeCell ref="B5:B6"/>
    <mergeCell ref="C5:C6"/>
    <mergeCell ref="D5:E5"/>
    <mergeCell ref="F5:I5"/>
    <mergeCell ref="J5:J6"/>
    <mergeCell ref="K5:K6"/>
    <mergeCell ref="AW5:AW7"/>
    <mergeCell ref="BL5:BL7"/>
    <mergeCell ref="BM5:BM7"/>
    <mergeCell ref="BN5:BN7"/>
    <mergeCell ref="BO5:BO7"/>
    <mergeCell ref="EF4:EF7"/>
    <mergeCell ref="DV5:DV7"/>
    <mergeCell ref="DW5:DW7"/>
    <mergeCell ref="DX5:DX7"/>
    <mergeCell ref="DJ4:DJ7"/>
    <mergeCell ref="DK4:DK7"/>
    <mergeCell ref="DL4:DL7"/>
    <mergeCell ref="DM4:DM7"/>
    <mergeCell ref="DN4:DN7"/>
    <mergeCell ref="DO4:DO7"/>
    <mergeCell ref="DS4:DS7"/>
    <mergeCell ref="DT4:DT7"/>
    <mergeCell ref="DP4:DP7"/>
    <mergeCell ref="DU4:DU7"/>
    <mergeCell ref="EA4:EA7"/>
    <mergeCell ref="EN5:EN7"/>
    <mergeCell ref="C7:L7"/>
    <mergeCell ref="DY5:DY7"/>
    <mergeCell ref="EB5:EB7"/>
    <mergeCell ref="EC5:EC7"/>
    <mergeCell ref="ED5:ED7"/>
    <mergeCell ref="DC5:DC7"/>
    <mergeCell ref="DD5:DD7"/>
    <mergeCell ref="DE5:DE7"/>
    <mergeCell ref="DF5:DF7"/>
    <mergeCell ref="DQ5:DQ7"/>
    <mergeCell ref="CW5:CW7"/>
    <mergeCell ref="CX5:CX7"/>
    <mergeCell ref="CY5:CY7"/>
    <mergeCell ref="CZ5:CZ7"/>
    <mergeCell ref="DA5:DA7"/>
    <mergeCell ref="DB5:DB7"/>
    <mergeCell ref="CC5:CC7"/>
    <mergeCell ref="CD5:CD7"/>
    <mergeCell ref="CF5:CF7"/>
    <mergeCell ref="EG4:EG7"/>
    <mergeCell ref="EH4:EH7"/>
    <mergeCell ref="BI5:BI7"/>
    <mergeCell ref="BK5:BK7"/>
    <mergeCell ref="F8:G8"/>
    <mergeCell ref="AI9:AL9"/>
    <mergeCell ref="AI10:AL10"/>
    <mergeCell ref="AV10:AV11"/>
    <mergeCell ref="AW10:AW11"/>
    <mergeCell ref="AX10:AX11"/>
    <mergeCell ref="EJ5:EJ7"/>
    <mergeCell ref="EM5:EM7"/>
    <mergeCell ref="CT5:CT7"/>
    <mergeCell ref="CU5:CU7"/>
    <mergeCell ref="CV5:CV7"/>
    <mergeCell ref="BW5:BW7"/>
    <mergeCell ref="BX5:BX7"/>
    <mergeCell ref="BY5:BY7"/>
    <mergeCell ref="BZ5:BZ7"/>
    <mergeCell ref="CA5:CA7"/>
    <mergeCell ref="CB5:CB7"/>
    <mergeCell ref="BP5:BP7"/>
    <mergeCell ref="BQ5:BQ7"/>
    <mergeCell ref="BR5:BR7"/>
    <mergeCell ref="BS5:BS7"/>
    <mergeCell ref="BT5:BT7"/>
    <mergeCell ref="BV5:BV7"/>
    <mergeCell ref="BE10:BE11"/>
    <mergeCell ref="BC10:BC11"/>
    <mergeCell ref="BD10:BD11"/>
    <mergeCell ref="C53:L53"/>
    <mergeCell ref="C65:L65"/>
    <mergeCell ref="C69:L69"/>
    <mergeCell ref="C72:C73"/>
    <mergeCell ref="D72:D73"/>
    <mergeCell ref="E72:E73"/>
    <mergeCell ref="F72:F73"/>
    <mergeCell ref="G72:G73"/>
    <mergeCell ref="H72:H73"/>
    <mergeCell ref="I72:I73"/>
    <mergeCell ref="C11:L11"/>
    <mergeCell ref="T12:U12"/>
    <mergeCell ref="AL19:AN19"/>
    <mergeCell ref="C34:L34"/>
    <mergeCell ref="T35:U35"/>
    <mergeCell ref="AY10:AY11"/>
    <mergeCell ref="AZ10:AZ11"/>
    <mergeCell ref="BA10:BA11"/>
    <mergeCell ref="BB10:BB11"/>
    <mergeCell ref="C87:L87"/>
    <mergeCell ref="C95:L95"/>
    <mergeCell ref="F96:H96"/>
    <mergeCell ref="E99:F99"/>
    <mergeCell ref="I78:I79"/>
    <mergeCell ref="C80:C81"/>
    <mergeCell ref="D80:D81"/>
    <mergeCell ref="E80:E81"/>
    <mergeCell ref="F80:F81"/>
    <mergeCell ref="G80:G81"/>
    <mergeCell ref="H80:H81"/>
    <mergeCell ref="I80:I81"/>
    <mergeCell ref="C78:C79"/>
    <mergeCell ref="D78:D79"/>
    <mergeCell ref="E78:E79"/>
    <mergeCell ref="F78:F79"/>
    <mergeCell ref="G78:G79"/>
    <mergeCell ref="H78:H79"/>
  </mergeCells>
  <conditionalFormatting sqref="I1:I6 I66:I68 I84:I86 I96:I1048576 I88:I94 I72 I54:I63 I12:I33 I35:I52 I78 I80">
    <cfRule type="cellIs" dxfId="154" priority="40" operator="lessThanOrEqual">
      <formula>0</formula>
    </cfRule>
  </conditionalFormatting>
  <conditionalFormatting sqref="I102">
    <cfRule type="cellIs" dxfId="153" priority="41" operator="lessThanOrEqual">
      <formula>0</formula>
    </cfRule>
    <cfRule type="cellIs" dxfId="152" priority="42" operator="between">
      <formula>$D$102-0.2</formula>
      <formula>$D$102+0.2</formula>
    </cfRule>
    <cfRule type="cellIs" dxfId="151" priority="43" operator="notBetween">
      <formula>$D$102-0.2</formula>
      <formula>$D$102+0.2</formula>
    </cfRule>
  </conditionalFormatting>
  <conditionalFormatting sqref="BU19">
    <cfRule type="cellIs" dxfId="150" priority="38" operator="between">
      <formula>16.25</formula>
      <formula>16.75</formula>
    </cfRule>
    <cfRule type="cellIs" dxfId="149" priority="39" operator="between">
      <formula>17.75</formula>
      <formula>18.25</formula>
    </cfRule>
  </conditionalFormatting>
  <conditionalFormatting sqref="CK19:CO19">
    <cfRule type="cellIs" dxfId="148" priority="37" operator="lessThan">
      <formula>230</formula>
    </cfRule>
  </conditionalFormatting>
  <conditionalFormatting sqref="CL19">
    <cfRule type="cellIs" dxfId="147" priority="36" operator="lessThan">
      <formula>270</formula>
    </cfRule>
  </conditionalFormatting>
  <conditionalFormatting sqref="CM19">
    <cfRule type="cellIs" dxfId="146" priority="35" operator="lessThan">
      <formula>2600</formula>
    </cfRule>
  </conditionalFormatting>
  <conditionalFormatting sqref="I83">
    <cfRule type="cellIs" dxfId="145" priority="34" operator="lessThanOrEqual">
      <formula>0</formula>
    </cfRule>
  </conditionalFormatting>
  <conditionalFormatting sqref="E10">
    <cfRule type="cellIs" dxfId="144" priority="33" operator="lessThanOrEqual">
      <formula>0</formula>
    </cfRule>
  </conditionalFormatting>
  <conditionalFormatting sqref="G10">
    <cfRule type="cellIs" dxfId="143" priority="32" operator="lessThanOrEqual">
      <formula>0</formula>
    </cfRule>
  </conditionalFormatting>
  <conditionalFormatting sqref="I9:I10">
    <cfRule type="cellIs" dxfId="142" priority="31" operator="lessThanOrEqual">
      <formula>0</formula>
    </cfRule>
  </conditionalFormatting>
  <conditionalFormatting sqref="E8">
    <cfRule type="cellIs" dxfId="141" priority="30" operator="lessThanOrEqual">
      <formula>0</formula>
    </cfRule>
  </conditionalFormatting>
  <conditionalFormatting sqref="L84">
    <cfRule type="cellIs" dxfId="140" priority="28" operator="notBetween">
      <formula>K84-0.25</formula>
      <formula>K84+0.25</formula>
    </cfRule>
    <cfRule type="cellIs" dxfId="139" priority="29" operator="between">
      <formula>K84-0.25</formula>
      <formula>K84+0.25</formula>
    </cfRule>
  </conditionalFormatting>
  <conditionalFormatting sqref="L85">
    <cfRule type="containsBlanks" dxfId="138" priority="25">
      <formula>LEN(TRIM(L85))=0</formula>
    </cfRule>
    <cfRule type="cellIs" dxfId="137" priority="26" operator="notBetween">
      <formula>VALUE(LEFT(K85,4))-0.2</formula>
      <formula>VALUE(LEFT(K85,4))+0.2</formula>
    </cfRule>
    <cfRule type="cellIs" dxfId="136" priority="27" operator="between">
      <formula>VALUE(LEFT(K85,4))-0.2</formula>
      <formula>VALUE(LEFT(K85,4))+0.2</formula>
    </cfRule>
  </conditionalFormatting>
  <conditionalFormatting sqref="L96">
    <cfRule type="cellIs" dxfId="135" priority="21" operator="notBetween">
      <formula>VALUE(LEFT(K96,5))</formula>
      <formula>VALUE(RIGHT(K96,5))</formula>
    </cfRule>
    <cfRule type="cellIs" dxfId="134" priority="22" operator="between">
      <formula>VALUE(LEFT(K96,5))</formula>
      <formula>VALUE(RIGHT(K96,5))</formula>
    </cfRule>
  </conditionalFormatting>
  <conditionalFormatting sqref="L96:L97">
    <cfRule type="containsBlanks" dxfId="133" priority="20">
      <formula>LEN(TRIM(L96))=0</formula>
    </cfRule>
  </conditionalFormatting>
  <conditionalFormatting sqref="L97">
    <cfRule type="cellIs" dxfId="132" priority="23" operator="between">
      <formula>VALUE(LEFT(K97,4))</formula>
      <formula>VALUE(RIGHT(K97,4))</formula>
    </cfRule>
    <cfRule type="cellIs" dxfId="131" priority="24" operator="notBetween">
      <formula>VALUE(LEFT(K97,4))</formula>
      <formula>VALUE(RIGHT(K97,4))</formula>
    </cfRule>
  </conditionalFormatting>
  <conditionalFormatting sqref="I70:I71">
    <cfRule type="cellIs" dxfId="130" priority="13" operator="lessThanOrEqual">
      <formula>0</formula>
    </cfRule>
  </conditionalFormatting>
  <conditionalFormatting sqref="L103">
    <cfRule type="cellIs" dxfId="129" priority="1" operator="notBetween">
      <formula>$K$103-0.2</formula>
      <formula>$K$103+0.2</formula>
    </cfRule>
    <cfRule type="cellIs" dxfId="128" priority="2" operator="between">
      <formula>$K$103-0.2</formula>
      <formula>$K$103+0.2</formula>
    </cfRule>
  </conditionalFormatting>
  <conditionalFormatting sqref="L105">
    <cfRule type="cellIs" dxfId="127" priority="5" operator="lessThan">
      <formula>$K$105+20</formula>
    </cfRule>
    <cfRule type="cellIs" dxfId="126" priority="6" operator="greaterThanOrEqual">
      <formula>$K$105+20</formula>
    </cfRule>
  </conditionalFormatting>
  <conditionalFormatting sqref="L106">
    <cfRule type="cellIs" dxfId="125" priority="3" operator="lessThan">
      <formula>$K$106</formula>
    </cfRule>
    <cfRule type="cellIs" dxfId="124" priority="4" operator="greaterThanOrEqual">
      <formula>$K$106</formula>
    </cfRule>
  </conditionalFormatting>
  <dataValidations count="2">
    <dataValidation type="list" allowBlank="1" showInputMessage="1" showErrorMessage="1" sqref="E8" xr:uid="{B2EF3446-23DB-483F-940B-8A8921D19FF0}">
      <formula1>$AU$1:$AU$4</formula1>
    </dataValidation>
    <dataValidation type="list" allowBlank="1" showInputMessage="1" showErrorMessage="1" sqref="C3" xr:uid="{2F389136-B9D2-460D-88EF-44211F266CFF}">
      <formula1>$AV$1:$AV$4</formula1>
    </dataValidation>
  </dataValidations>
  <printOptions horizontalCentered="1" verticalCentered="1"/>
  <pageMargins left="0.2" right="0" top="0" bottom="0" header="0" footer="0"/>
  <pageSetup paperSize="9" scale="81" orientation="portrait" r:id="rId1"/>
  <headerFooter alignWithMargins="0">
    <oddFooter>Page &amp;P</oddFooter>
  </headerFooter>
  <rowBreaks count="1" manualBreakCount="1">
    <brk id="5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985" r:id="rId4" name="Check Box 1">
              <controlPr defaultSize="0" autoFill="0" autoLine="0" autoPict="0">
                <anchor moveWithCells="1">
                  <from>
                    <xdr:col>4</xdr:col>
                    <xdr:colOff>139700</xdr:colOff>
                    <xdr:row>37</xdr:row>
                    <xdr:rowOff>50800</xdr:rowOff>
                  </from>
                  <to>
                    <xdr:col>4</xdr:col>
                    <xdr:colOff>349250</xdr:colOff>
                    <xdr:row>37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6" r:id="rId5" name="Check Box 2">
              <controlPr defaultSize="0" autoFill="0" autoLine="0" autoPict="0">
                <anchor moveWithCells="1">
                  <from>
                    <xdr:col>4</xdr:col>
                    <xdr:colOff>127000</xdr:colOff>
                    <xdr:row>15</xdr:row>
                    <xdr:rowOff>38100</xdr:rowOff>
                  </from>
                  <to>
                    <xdr:col>4</xdr:col>
                    <xdr:colOff>342900</xdr:colOff>
                    <xdr:row>15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7" r:id="rId6" name="Check Box 3">
              <controlPr defaultSize="0" autoFill="0" autoLine="0" autoPict="0">
                <anchor moveWithCells="1">
                  <from>
                    <xdr:col>4</xdr:col>
                    <xdr:colOff>139700</xdr:colOff>
                    <xdr:row>73</xdr:row>
                    <xdr:rowOff>44450</xdr:rowOff>
                  </from>
                  <to>
                    <xdr:col>4</xdr:col>
                    <xdr:colOff>349250</xdr:colOff>
                    <xdr:row>73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8" r:id="rId7" name="Check Box 4">
              <controlPr defaultSize="0" autoFill="0" autoLine="0" autoPict="0">
                <anchor moveWithCells="1">
                  <from>
                    <xdr:col>4</xdr:col>
                    <xdr:colOff>139700</xdr:colOff>
                    <xdr:row>74</xdr:row>
                    <xdr:rowOff>44450</xdr:rowOff>
                  </from>
                  <to>
                    <xdr:col>4</xdr:col>
                    <xdr:colOff>349250</xdr:colOff>
                    <xdr:row>74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9" r:id="rId8" name="Check Box 5">
              <controlPr defaultSize="0" autoFill="0" autoLine="0" autoPict="0">
                <anchor moveWithCells="1">
                  <from>
                    <xdr:col>4</xdr:col>
                    <xdr:colOff>139700</xdr:colOff>
                    <xdr:row>75</xdr:row>
                    <xdr:rowOff>44450</xdr:rowOff>
                  </from>
                  <to>
                    <xdr:col>4</xdr:col>
                    <xdr:colOff>349250</xdr:colOff>
                    <xdr:row>75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0" r:id="rId9" name="Check Box 6">
              <controlPr defaultSize="0" autoFill="0" autoLine="0" autoPict="0">
                <anchor moveWithCells="1">
                  <from>
                    <xdr:col>4</xdr:col>
                    <xdr:colOff>139700</xdr:colOff>
                    <xdr:row>76</xdr:row>
                    <xdr:rowOff>44450</xdr:rowOff>
                  </from>
                  <to>
                    <xdr:col>4</xdr:col>
                    <xdr:colOff>349250</xdr:colOff>
                    <xdr:row>76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1" r:id="rId10" name="Check Box 7">
              <controlPr defaultSize="0" autoFill="0" autoLine="0" autoPict="0">
                <anchor moveWithCells="1">
                  <from>
                    <xdr:col>4</xdr:col>
                    <xdr:colOff>139700</xdr:colOff>
                    <xdr:row>82</xdr:row>
                    <xdr:rowOff>88900</xdr:rowOff>
                  </from>
                  <to>
                    <xdr:col>4</xdr:col>
                    <xdr:colOff>349250</xdr:colOff>
                    <xdr:row>82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2" r:id="rId11" name="Check Box 8">
              <controlPr defaultSize="0" autoFill="0" autoLine="0" autoPict="0">
                <anchor moveWithCells="1">
                  <from>
                    <xdr:col>10</xdr:col>
                    <xdr:colOff>241300</xdr:colOff>
                    <xdr:row>9</xdr:row>
                    <xdr:rowOff>69850</xdr:rowOff>
                  </from>
                  <to>
                    <xdr:col>10</xdr:col>
                    <xdr:colOff>457200</xdr:colOff>
                    <xdr:row>9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3" r:id="rId12" name="Check Box 9">
              <controlPr defaultSize="0" autoFill="0" autoLine="0" autoPict="0">
                <anchor moveWithCells="1">
                  <from>
                    <xdr:col>10</xdr:col>
                    <xdr:colOff>450850</xdr:colOff>
                    <xdr:row>57</xdr:row>
                    <xdr:rowOff>63500</xdr:rowOff>
                  </from>
                  <to>
                    <xdr:col>10</xdr:col>
                    <xdr:colOff>673100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4" r:id="rId13" name="Check Box 10">
              <controlPr defaultSize="0" autoFill="0" autoLine="0" autoPict="0">
                <anchor moveWithCells="1">
                  <from>
                    <xdr:col>11</xdr:col>
                    <xdr:colOff>254000</xdr:colOff>
                    <xdr:row>57</xdr:row>
                    <xdr:rowOff>63500</xdr:rowOff>
                  </from>
                  <to>
                    <xdr:col>11</xdr:col>
                    <xdr:colOff>469900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5" r:id="rId14" name="Check Box 11">
              <controlPr defaultSize="0" autoFill="0" autoLine="0" autoPict="0">
                <anchor moveWithCells="1">
                  <from>
                    <xdr:col>10</xdr:col>
                    <xdr:colOff>450850</xdr:colOff>
                    <xdr:row>58</xdr:row>
                    <xdr:rowOff>63500</xdr:rowOff>
                  </from>
                  <to>
                    <xdr:col>10</xdr:col>
                    <xdr:colOff>673100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6" r:id="rId15" name="Check Box 12">
              <controlPr defaultSize="0" autoFill="0" autoLine="0" autoPict="0">
                <anchor moveWithCells="1">
                  <from>
                    <xdr:col>11</xdr:col>
                    <xdr:colOff>254000</xdr:colOff>
                    <xdr:row>58</xdr:row>
                    <xdr:rowOff>63500</xdr:rowOff>
                  </from>
                  <to>
                    <xdr:col>11</xdr:col>
                    <xdr:colOff>469900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7" r:id="rId16" name="Check Box 13">
              <controlPr defaultSize="0" autoFill="0" autoLine="0" autoPict="0">
                <anchor moveWithCells="1">
                  <from>
                    <xdr:col>4</xdr:col>
                    <xdr:colOff>139700</xdr:colOff>
                    <xdr:row>81</xdr:row>
                    <xdr:rowOff>44450</xdr:rowOff>
                  </from>
                  <to>
                    <xdr:col>4</xdr:col>
                    <xdr:colOff>349250</xdr:colOff>
                    <xdr:row>81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8" r:id="rId17" name="Check Box 14">
              <controlPr defaultSize="0" autoFill="0" autoLine="0" autoPict="0">
                <anchor moveWithCells="1">
                  <from>
                    <xdr:col>10</xdr:col>
                    <xdr:colOff>450850</xdr:colOff>
                    <xdr:row>57</xdr:row>
                    <xdr:rowOff>63500</xdr:rowOff>
                  </from>
                  <to>
                    <xdr:col>10</xdr:col>
                    <xdr:colOff>673100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9" r:id="rId18" name="Check Box 15">
              <controlPr defaultSize="0" autoFill="0" autoLine="0" autoPict="0">
                <anchor moveWithCells="1">
                  <from>
                    <xdr:col>11</xdr:col>
                    <xdr:colOff>254000</xdr:colOff>
                    <xdr:row>57</xdr:row>
                    <xdr:rowOff>63500</xdr:rowOff>
                  </from>
                  <to>
                    <xdr:col>11</xdr:col>
                    <xdr:colOff>469900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0" r:id="rId19" name="Check Box 16">
              <controlPr defaultSize="0" autoFill="0" autoLine="0" autoPict="0">
                <anchor moveWithCells="1">
                  <from>
                    <xdr:col>10</xdr:col>
                    <xdr:colOff>450850</xdr:colOff>
                    <xdr:row>58</xdr:row>
                    <xdr:rowOff>63500</xdr:rowOff>
                  </from>
                  <to>
                    <xdr:col>10</xdr:col>
                    <xdr:colOff>673100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1" r:id="rId20" name="Check Box 17">
              <controlPr defaultSize="0" autoFill="0" autoLine="0" autoPict="0">
                <anchor moveWithCells="1">
                  <from>
                    <xdr:col>11</xdr:col>
                    <xdr:colOff>254000</xdr:colOff>
                    <xdr:row>58</xdr:row>
                    <xdr:rowOff>63500</xdr:rowOff>
                  </from>
                  <to>
                    <xdr:col>11</xdr:col>
                    <xdr:colOff>469900</xdr:colOff>
                    <xdr:row>58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405B2-2471-4C98-9384-C0725EE83D7D}">
  <sheetPr>
    <tabColor rgb="FFFF0000"/>
  </sheetPr>
  <dimension ref="B1:ER109"/>
  <sheetViews>
    <sheetView topLeftCell="A4" zoomScaleNormal="100" workbookViewId="0">
      <pane xSplit="45" topLeftCell="AU1" activePane="topRight" state="frozen"/>
      <selection activeCell="H2" sqref="H2"/>
      <selection pane="topRight" activeCell="AU4" sqref="AU4:EO8"/>
    </sheetView>
  </sheetViews>
  <sheetFormatPr defaultColWidth="9.1796875" defaultRowHeight="12.5"/>
  <cols>
    <col min="1" max="1" width="2.1796875" style="661" customWidth="1"/>
    <col min="2" max="2" width="6.1796875" style="665" customWidth="1"/>
    <col min="3" max="3" width="31.81640625" style="666" customWidth="1"/>
    <col min="4" max="4" width="7.54296875" style="667" customWidth="1"/>
    <col min="5" max="5" width="7.1796875" style="667" customWidth="1"/>
    <col min="6" max="6" width="9.54296875" style="667" customWidth="1"/>
    <col min="7" max="7" width="9.453125" style="667" customWidth="1"/>
    <col min="8" max="8" width="7.81640625" style="667" customWidth="1"/>
    <col min="9" max="9" width="8.453125" style="667" customWidth="1"/>
    <col min="10" max="10" width="19.81640625" style="668" customWidth="1"/>
    <col min="11" max="11" width="10.54296875" style="669" customWidth="1"/>
    <col min="12" max="12" width="7.81640625" style="670" customWidth="1"/>
    <col min="13" max="13" width="7.453125" style="661" hidden="1" customWidth="1"/>
    <col min="14" max="19" width="8" style="661" hidden="1" customWidth="1"/>
    <col min="20" max="20" width="9.1796875" style="661" hidden="1" customWidth="1"/>
    <col min="21" max="21" width="11.1796875" style="661" hidden="1" customWidth="1"/>
    <col min="22" max="23" width="9.1796875" style="661" hidden="1" customWidth="1"/>
    <col min="24" max="24" width="9.1796875" style="661" hidden="1" customWidth="1" collapsed="1"/>
    <col min="25" max="34" width="9.1796875" style="661" hidden="1" customWidth="1"/>
    <col min="35" max="35" width="6.54296875" style="661" hidden="1" customWidth="1"/>
    <col min="36" max="37" width="9.1796875" style="661" hidden="1" customWidth="1"/>
    <col min="38" max="38" width="10.1796875" style="661" hidden="1" customWidth="1"/>
    <col min="39" max="39" width="13" style="661" hidden="1" customWidth="1"/>
    <col min="40" max="40" width="11.81640625" style="661" hidden="1" customWidth="1"/>
    <col min="41" max="41" width="14.1796875" style="661" hidden="1" customWidth="1"/>
    <col min="42" max="42" width="16.1796875" style="661" hidden="1" customWidth="1"/>
    <col min="43" max="43" width="13.81640625" style="661" hidden="1" customWidth="1"/>
    <col min="44" max="44" width="13" style="661" hidden="1" customWidth="1"/>
    <col min="45" max="45" width="9.1796875" style="661" hidden="1" customWidth="1"/>
    <col min="46" max="46" width="9.1796875" style="661" customWidth="1"/>
    <col min="47" max="47" width="5.54296875" style="661" customWidth="1"/>
    <col min="48" max="48" width="12" style="661" customWidth="1"/>
    <col min="49" max="49" width="11.54296875" style="661" customWidth="1"/>
    <col min="50" max="50" width="12.1796875" style="661" customWidth="1"/>
    <col min="51" max="51" width="6.1796875" style="661" customWidth="1"/>
    <col min="52" max="52" width="6.54296875" style="661" customWidth="1"/>
    <col min="53" max="53" width="10.1796875" style="661" customWidth="1"/>
    <col min="54" max="54" width="6.54296875" style="661" customWidth="1"/>
    <col min="55" max="55" width="7.81640625" style="661" customWidth="1"/>
    <col min="56" max="56" width="11.1796875" style="661" customWidth="1"/>
    <col min="57" max="57" width="11.54296875" style="661" bestFit="1" customWidth="1"/>
    <col min="58" max="58" width="5.54296875" style="661" customWidth="1"/>
    <col min="59" max="60" width="6.81640625" style="661" customWidth="1"/>
    <col min="61" max="61" width="8.54296875" style="661" customWidth="1"/>
    <col min="62" max="62" width="8.81640625" style="661" customWidth="1"/>
    <col min="63" max="65" width="9.1796875" style="661" customWidth="1"/>
    <col min="66" max="66" width="7.54296875" style="661" customWidth="1"/>
    <col min="67" max="67" width="7.1796875" style="661" customWidth="1"/>
    <col min="68" max="68" width="8.81640625" style="661" customWidth="1"/>
    <col min="69" max="69" width="7.54296875" style="661" customWidth="1"/>
    <col min="70" max="70" width="8.1796875" style="661" customWidth="1"/>
    <col min="71" max="71" width="7.1796875" style="661" customWidth="1"/>
    <col min="72" max="72" width="6.54296875" style="661" customWidth="1"/>
    <col min="73" max="73" width="9.1796875" style="661" customWidth="1"/>
    <col min="74" max="74" width="7.1796875" style="661" customWidth="1"/>
    <col min="75" max="75" width="5.81640625" style="661" customWidth="1"/>
    <col min="76" max="78" width="6.1796875" style="661" customWidth="1"/>
    <col min="79" max="80" width="9.1796875" style="661" customWidth="1"/>
    <col min="81" max="81" width="5.54296875" style="661" customWidth="1"/>
    <col min="82" max="82" width="6" style="661" customWidth="1"/>
    <col min="83" max="83" width="5.453125" style="661" customWidth="1"/>
    <col min="84" max="97" width="6.81640625" style="661" customWidth="1"/>
    <col min="98" max="98" width="7.54296875" style="661" customWidth="1"/>
    <col min="99" max="99" width="6.1796875" style="661" customWidth="1"/>
    <col min="100" max="100" width="6" style="661" customWidth="1"/>
    <col min="101" max="101" width="6.453125" style="661" customWidth="1"/>
    <col min="102" max="102" width="5.453125" style="661" customWidth="1"/>
    <col min="103" max="103" width="6.81640625" style="661" customWidth="1"/>
    <col min="104" max="104" width="6.453125" style="661" customWidth="1"/>
    <col min="105" max="105" width="11.54296875" style="661" customWidth="1"/>
    <col min="106" max="106" width="7.81640625" style="661" customWidth="1"/>
    <col min="107" max="107" width="7.453125" style="661" customWidth="1"/>
    <col min="108" max="108" width="6.1796875" style="661" customWidth="1"/>
    <col min="109" max="109" width="6.81640625" style="661" customWidth="1"/>
    <col min="110" max="110" width="5.1796875" style="661" customWidth="1"/>
    <col min="111" max="112" width="8" style="661" customWidth="1"/>
    <col min="113" max="113" width="7.453125" style="661" customWidth="1"/>
    <col min="114" max="116" width="6.1796875" style="661" customWidth="1"/>
    <col min="117" max="117" width="6.81640625" style="661" customWidth="1"/>
    <col min="118" max="118" width="10.1796875" style="661" customWidth="1"/>
    <col min="119" max="119" width="6" style="661" customWidth="1"/>
    <col min="120" max="120" width="6.81640625" style="661" customWidth="1"/>
    <col min="121" max="121" width="7" style="661" customWidth="1"/>
    <col min="122" max="122" width="7.54296875" style="661" customWidth="1"/>
    <col min="123" max="124" width="9.1796875" style="661" customWidth="1"/>
    <col min="125" max="125" width="6.1796875" style="661" customWidth="1"/>
    <col min="126" max="126" width="7.1796875" style="661" customWidth="1"/>
    <col min="127" max="127" width="6.54296875" style="661" customWidth="1"/>
    <col min="128" max="128" width="5.1796875" style="661" customWidth="1"/>
    <col min="129" max="129" width="6.81640625" style="661" customWidth="1"/>
    <col min="130" max="130" width="8.1796875" style="661" customWidth="1"/>
    <col min="131" max="131" width="7" style="661" customWidth="1"/>
    <col min="132" max="132" width="6.1796875" style="661" customWidth="1"/>
    <col min="133" max="133" width="7.1796875" style="661" customWidth="1"/>
    <col min="134" max="134" width="6.81640625" style="661" customWidth="1"/>
    <col min="135" max="135" width="7.1796875" style="661" customWidth="1"/>
    <col min="136" max="136" width="7.453125" style="661" customWidth="1"/>
    <col min="137" max="137" width="7.54296875" style="661" customWidth="1"/>
    <col min="138" max="138" width="6.1796875" style="661" customWidth="1"/>
    <col min="139" max="140" width="6.81640625" style="661" customWidth="1"/>
    <col min="141" max="141" width="6.54296875" style="661" customWidth="1"/>
    <col min="142" max="142" width="5.1796875" style="661" customWidth="1"/>
    <col min="143" max="143" width="7.81640625" style="661" customWidth="1"/>
    <col min="144" max="144" width="5.81640625" style="661" customWidth="1"/>
    <col min="145" max="145" width="5.54296875" style="661" customWidth="1"/>
    <col min="146" max="146" width="9.1796875" style="661" customWidth="1"/>
    <col min="147" max="16384" width="9.1796875" style="661"/>
  </cols>
  <sheetData>
    <row r="1" spans="2:148" s="660" customFormat="1" ht="33.75" customHeight="1" thickBot="1">
      <c r="B1" s="994" t="s">
        <v>24</v>
      </c>
      <c r="C1" s="994"/>
      <c r="D1" s="994"/>
      <c r="E1" s="994"/>
      <c r="F1" s="994"/>
      <c r="G1" s="994"/>
      <c r="H1" s="994"/>
      <c r="I1" s="994"/>
      <c r="J1" s="994"/>
      <c r="K1" s="994"/>
      <c r="L1" s="994"/>
      <c r="M1" s="994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3"/>
      <c r="AG1" s="233"/>
      <c r="AH1" s="233"/>
      <c r="AI1" s="233"/>
      <c r="AJ1" s="233"/>
      <c r="AK1" s="233"/>
      <c r="AL1" s="233"/>
      <c r="AM1" s="233"/>
      <c r="AN1" s="233"/>
      <c r="AO1" s="233"/>
      <c r="AP1" s="233"/>
      <c r="AQ1" s="233"/>
      <c r="AR1" s="233"/>
      <c r="AS1" s="233"/>
      <c r="AU1" s="720">
        <v>1</v>
      </c>
      <c r="AV1" s="721" t="s">
        <v>25</v>
      </c>
      <c r="AW1" s="672"/>
      <c r="AX1" s="672"/>
      <c r="AY1" s="672"/>
      <c r="AZ1" s="672"/>
      <c r="BA1" s="672"/>
      <c r="BB1" s="672"/>
      <c r="BC1" s="672"/>
      <c r="BD1" s="672"/>
      <c r="BE1" s="672"/>
      <c r="BF1" s="672"/>
      <c r="BG1" s="672"/>
      <c r="BH1" s="672"/>
      <c r="BI1" s="672"/>
      <c r="BJ1" s="672"/>
      <c r="BK1" s="672"/>
      <c r="BL1" s="672"/>
      <c r="BM1" s="672"/>
      <c r="BN1" s="672"/>
      <c r="BO1" s="672"/>
      <c r="BP1" s="672"/>
      <c r="BQ1" s="672"/>
      <c r="BR1" s="672"/>
      <c r="BS1" s="672"/>
      <c r="BT1" s="672"/>
      <c r="BU1" s="672"/>
      <c r="BV1" s="672"/>
      <c r="BW1" s="672"/>
      <c r="BX1" s="672"/>
      <c r="BY1" s="672"/>
      <c r="BZ1" s="672"/>
      <c r="CA1" s="672"/>
      <c r="CB1" s="672"/>
      <c r="CC1" s="672"/>
      <c r="CD1" s="672"/>
      <c r="CE1" s="672"/>
      <c r="CF1" s="672"/>
      <c r="CG1" s="672"/>
      <c r="CH1" s="672"/>
      <c r="CI1" s="672"/>
      <c r="CJ1" s="672"/>
      <c r="CK1" s="672"/>
      <c r="CL1" s="672"/>
      <c r="CM1" s="672"/>
      <c r="CN1" s="672"/>
      <c r="CO1" s="672"/>
      <c r="CP1" s="672"/>
      <c r="CQ1" s="672"/>
      <c r="CR1" s="672"/>
      <c r="CS1" s="672"/>
      <c r="CT1" s="672"/>
      <c r="CU1" s="672"/>
      <c r="CV1" s="672"/>
      <c r="CW1" s="672"/>
      <c r="CX1" s="672"/>
      <c r="CY1" s="672"/>
      <c r="CZ1" s="672"/>
      <c r="DA1" s="672"/>
      <c r="DB1" s="672"/>
      <c r="DC1" s="672"/>
      <c r="DD1" s="672"/>
      <c r="DE1" s="672"/>
      <c r="DF1" s="672"/>
      <c r="DG1" s="672"/>
      <c r="DH1" s="672"/>
      <c r="DI1" s="672"/>
      <c r="DJ1" s="672"/>
      <c r="DK1" s="672"/>
      <c r="DL1" s="672"/>
      <c r="DM1" s="672"/>
      <c r="DN1" s="672"/>
      <c r="DO1" s="672"/>
      <c r="DP1" s="672"/>
      <c r="DQ1" s="672"/>
      <c r="DR1" s="672"/>
      <c r="DS1" s="672"/>
      <c r="DT1" s="672"/>
      <c r="DU1" s="672"/>
      <c r="DV1" s="672"/>
      <c r="DW1" s="672"/>
      <c r="DX1" s="672"/>
      <c r="DY1" s="672"/>
      <c r="DZ1" s="672"/>
      <c r="EA1" s="672"/>
      <c r="EB1" s="672"/>
      <c r="EC1" s="672"/>
      <c r="ED1" s="672"/>
      <c r="EE1" s="672"/>
      <c r="EF1" s="672"/>
      <c r="EG1" s="672"/>
      <c r="EH1" s="672"/>
      <c r="EI1" s="672"/>
      <c r="EJ1" s="672"/>
      <c r="EK1" s="672"/>
      <c r="EL1" s="672"/>
      <c r="EM1" s="672"/>
      <c r="EN1" s="672"/>
      <c r="EO1" s="672"/>
      <c r="EP1" s="672"/>
      <c r="EQ1" s="671"/>
      <c r="ER1" s="671"/>
    </row>
    <row r="2" spans="2:148" s="660" customFormat="1" ht="14.5">
      <c r="B2" s="798"/>
      <c r="C2" s="798" t="s">
        <v>26</v>
      </c>
      <c r="D2" s="799" t="s">
        <v>27</v>
      </c>
      <c r="E2" s="752" t="s">
        <v>28</v>
      </c>
      <c r="F2" s="752"/>
      <c r="G2" s="799" t="s">
        <v>29</v>
      </c>
      <c r="H2" s="832">
        <v>29</v>
      </c>
      <c r="I2" s="798"/>
      <c r="J2" s="800"/>
      <c r="K2" s="801"/>
      <c r="L2" s="802"/>
      <c r="M2" s="803"/>
      <c r="N2" s="233"/>
      <c r="O2" s="233"/>
      <c r="P2" s="233"/>
      <c r="Q2" s="233"/>
      <c r="R2" s="233"/>
      <c r="S2" s="233"/>
      <c r="T2" s="233"/>
      <c r="U2" s="233"/>
      <c r="V2" s="233"/>
      <c r="W2" s="233"/>
      <c r="X2" s="233"/>
      <c r="Y2" s="233"/>
      <c r="Z2" s="233"/>
      <c r="AA2" s="233"/>
      <c r="AB2" s="233"/>
      <c r="AC2" s="233"/>
      <c r="AD2" s="233"/>
      <c r="AE2" s="233"/>
      <c r="AF2" s="233"/>
      <c r="AG2" s="233"/>
      <c r="AH2" s="233"/>
      <c r="AI2" s="233"/>
      <c r="AJ2" s="233"/>
      <c r="AK2" s="233"/>
      <c r="AL2" s="515" t="s">
        <v>30</v>
      </c>
      <c r="AM2" s="516" t="s">
        <v>31</v>
      </c>
      <c r="AN2" s="516" t="s">
        <v>32</v>
      </c>
      <c r="AO2" s="233"/>
      <c r="AP2" s="233"/>
      <c r="AQ2" s="233"/>
      <c r="AR2" s="233"/>
      <c r="AS2" s="233"/>
      <c r="AU2" s="720">
        <v>2</v>
      </c>
      <c r="AV2" s="721" t="s">
        <v>33</v>
      </c>
      <c r="AW2" s="672"/>
      <c r="AX2" s="672"/>
      <c r="AY2" s="673"/>
      <c r="AZ2" s="674"/>
      <c r="BA2" s="672"/>
      <c r="BB2" s="674"/>
      <c r="BC2" s="672"/>
      <c r="BD2" s="672"/>
      <c r="BE2" s="672"/>
      <c r="BF2" s="672"/>
      <c r="BG2" s="672"/>
      <c r="BH2" s="672"/>
      <c r="BI2" s="672"/>
      <c r="BJ2" s="672"/>
      <c r="BK2" s="672"/>
      <c r="BL2" s="672"/>
      <c r="BM2" s="672"/>
      <c r="BN2" s="672"/>
      <c r="BO2" s="672"/>
      <c r="BP2" s="672"/>
      <c r="BQ2" s="672"/>
      <c r="BR2" s="672"/>
      <c r="BS2" s="672"/>
      <c r="BT2" s="672"/>
      <c r="BU2" s="672"/>
      <c r="BV2" s="672"/>
      <c r="BW2" s="672"/>
      <c r="BX2" s="672"/>
      <c r="BY2" s="672"/>
      <c r="BZ2" s="672"/>
      <c r="CA2" s="672"/>
      <c r="CB2" s="672"/>
      <c r="CC2" s="672"/>
      <c r="CD2" s="672"/>
      <c r="CE2" s="672"/>
      <c r="CF2" s="672"/>
      <c r="CG2" s="672"/>
      <c r="CH2" s="672"/>
      <c r="CI2" s="672"/>
      <c r="CJ2" s="672"/>
      <c r="CK2" s="672"/>
      <c r="CL2" s="672"/>
      <c r="CM2" s="672"/>
      <c r="CN2" s="672"/>
      <c r="CO2" s="672"/>
      <c r="CP2" s="672"/>
      <c r="CQ2" s="672"/>
      <c r="CR2" s="672"/>
      <c r="CS2" s="672"/>
      <c r="CT2" s="672"/>
      <c r="CU2" s="672"/>
      <c r="CV2" s="672"/>
      <c r="CW2" s="672"/>
      <c r="CX2" s="672"/>
      <c r="CY2" s="672"/>
      <c r="CZ2" s="672"/>
      <c r="DA2" s="672"/>
      <c r="DB2" s="672"/>
      <c r="DC2" s="672"/>
      <c r="DD2" s="672"/>
      <c r="DE2" s="672"/>
      <c r="DF2" s="672"/>
      <c r="DG2" s="672"/>
      <c r="DH2" s="672"/>
      <c r="DI2" s="672"/>
      <c r="DJ2" s="672"/>
      <c r="DK2" s="672"/>
      <c r="DL2" s="672"/>
      <c r="DM2" s="672"/>
      <c r="DN2" s="672"/>
      <c r="DO2" s="672"/>
      <c r="DP2" s="672"/>
      <c r="DQ2" s="672"/>
      <c r="DR2" s="672"/>
      <c r="DS2" s="672"/>
      <c r="DT2" s="672"/>
      <c r="DU2" s="672"/>
      <c r="DV2" s="672"/>
      <c r="DW2" s="672"/>
      <c r="DX2" s="672"/>
      <c r="DY2" s="672"/>
      <c r="DZ2" s="672"/>
      <c r="EA2" s="672"/>
      <c r="EB2" s="672"/>
      <c r="EC2" s="672"/>
      <c r="ED2" s="672"/>
      <c r="EE2" s="672"/>
      <c r="EF2" s="672"/>
      <c r="EG2" s="672"/>
      <c r="EH2" s="672"/>
      <c r="EI2" s="672"/>
      <c r="EJ2" s="672"/>
      <c r="EK2" s="672"/>
      <c r="EL2" s="672"/>
      <c r="EM2" s="672"/>
      <c r="EN2" s="672"/>
      <c r="EO2" s="672"/>
      <c r="EP2" s="672"/>
      <c r="EQ2" s="671"/>
      <c r="ER2" s="671"/>
    </row>
    <row r="3" spans="2:148" s="660" customFormat="1" ht="15" thickBot="1">
      <c r="B3" s="798"/>
      <c r="C3" s="831" t="s">
        <v>33</v>
      </c>
      <c r="D3" s="801" t="s">
        <v>35</v>
      </c>
      <c r="E3" s="801">
        <v>10026</v>
      </c>
      <c r="F3" s="801"/>
      <c r="G3" s="800" t="s">
        <v>36</v>
      </c>
      <c r="H3" s="832">
        <f>10000+H2</f>
        <v>10029</v>
      </c>
      <c r="I3" s="800" t="s">
        <v>37</v>
      </c>
      <c r="J3" s="833">
        <v>46043</v>
      </c>
      <c r="K3" s="800" t="s">
        <v>38</v>
      </c>
      <c r="L3" s="834">
        <f>'10027'!L3</f>
        <v>14</v>
      </c>
      <c r="M3" s="798"/>
      <c r="N3" s="233"/>
      <c r="O3" s="233"/>
      <c r="P3" s="233">
        <f>36+5</f>
        <v>41</v>
      </c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517" t="e">
        <f>(K9)/(D9+K15)*100</f>
        <v>#VALUE!</v>
      </c>
      <c r="AM3" s="518" t="e">
        <f>(K8)/(D8-K15)*100</f>
        <v>#VALUE!</v>
      </c>
      <c r="AN3" s="518" t="e">
        <f>(K8+K9)/(D8+D9)*100</f>
        <v>#VALUE!</v>
      </c>
      <c r="AO3" s="233"/>
      <c r="AP3" s="233"/>
      <c r="AQ3" s="233"/>
      <c r="AR3" s="233"/>
      <c r="AS3" s="233"/>
      <c r="AU3" s="720">
        <v>3</v>
      </c>
      <c r="AV3" s="721" t="s">
        <v>34</v>
      </c>
    </row>
    <row r="4" spans="2:148" ht="15.75" customHeight="1" thickBot="1">
      <c r="B4" s="804"/>
      <c r="C4" s="805"/>
      <c r="D4" s="806"/>
      <c r="E4" s="806"/>
      <c r="F4" s="806"/>
      <c r="G4" s="806"/>
      <c r="H4" s="806"/>
      <c r="I4" s="806"/>
      <c r="J4" s="807"/>
      <c r="K4" s="808"/>
      <c r="L4" s="809"/>
      <c r="M4" s="810"/>
      <c r="N4" s="519"/>
      <c r="O4" s="519"/>
      <c r="P4" s="519">
        <f>P3+15</f>
        <v>56</v>
      </c>
      <c r="Q4" s="519"/>
      <c r="R4" s="519"/>
      <c r="S4" s="519"/>
      <c r="T4" s="520" t="s">
        <v>39</v>
      </c>
      <c r="U4" s="519"/>
      <c r="V4" s="519"/>
      <c r="W4" s="519"/>
      <c r="X4" s="519"/>
      <c r="Y4" s="519"/>
      <c r="Z4" s="519"/>
      <c r="AA4" s="519"/>
      <c r="AB4" s="519"/>
      <c r="AC4" s="519"/>
      <c r="AD4" s="519"/>
      <c r="AE4" s="519"/>
      <c r="AF4" s="519"/>
      <c r="AG4" s="519"/>
      <c r="AH4" s="519"/>
      <c r="AI4" s="519"/>
      <c r="AJ4" s="519"/>
      <c r="AK4" s="519"/>
      <c r="AL4" s="519"/>
      <c r="AM4" s="519"/>
      <c r="AN4" s="519"/>
      <c r="AO4" s="519"/>
      <c r="AP4" s="519"/>
      <c r="AQ4" s="519"/>
      <c r="AR4" s="519"/>
      <c r="AS4" s="519"/>
      <c r="AV4" s="811"/>
      <c r="BJ4" s="989" t="s">
        <v>40</v>
      </c>
      <c r="BU4" s="989" t="s">
        <v>41</v>
      </c>
      <c r="CE4" s="989" t="s">
        <v>42</v>
      </c>
      <c r="DH4" s="980" t="s">
        <v>43</v>
      </c>
      <c r="DI4" s="980" t="s">
        <v>44</v>
      </c>
      <c r="DJ4" s="980" t="s">
        <v>45</v>
      </c>
      <c r="DK4" s="980" t="s">
        <v>46</v>
      </c>
      <c r="DL4" s="980" t="s">
        <v>46</v>
      </c>
      <c r="DM4" s="980" t="s">
        <v>47</v>
      </c>
      <c r="DN4" s="981" t="s">
        <v>48</v>
      </c>
      <c r="DO4" s="980" t="s">
        <v>49</v>
      </c>
      <c r="DP4" s="980" t="s">
        <v>50</v>
      </c>
      <c r="DS4" s="980" t="s">
        <v>51</v>
      </c>
      <c r="DT4" s="980" t="s">
        <v>52</v>
      </c>
      <c r="DU4" s="980" t="s">
        <v>53</v>
      </c>
      <c r="EA4" s="980" t="s">
        <v>54</v>
      </c>
      <c r="EF4" s="980" t="s">
        <v>55</v>
      </c>
      <c r="EG4" s="980" t="s">
        <v>56</v>
      </c>
      <c r="EH4" s="980" t="s">
        <v>57</v>
      </c>
      <c r="EI4" s="980" t="s">
        <v>58</v>
      </c>
      <c r="EL4" s="989" t="s">
        <v>59</v>
      </c>
    </row>
    <row r="5" spans="2:148" s="695" customFormat="1" ht="15" customHeight="1">
      <c r="B5" s="982" t="s">
        <v>60</v>
      </c>
      <c r="C5" s="984" t="s">
        <v>61</v>
      </c>
      <c r="D5" s="986" t="s">
        <v>62</v>
      </c>
      <c r="E5" s="986"/>
      <c r="F5" s="986" t="s">
        <v>63</v>
      </c>
      <c r="G5" s="986"/>
      <c r="H5" s="986"/>
      <c r="I5" s="986"/>
      <c r="J5" s="984" t="s">
        <v>64</v>
      </c>
      <c r="K5" s="987" t="s">
        <v>65</v>
      </c>
      <c r="L5" s="995" t="s">
        <v>66</v>
      </c>
      <c r="M5" s="997" t="s">
        <v>67</v>
      </c>
      <c r="N5" s="693"/>
      <c r="O5" s="693"/>
      <c r="P5" s="693"/>
      <c r="Q5" s="693"/>
      <c r="R5" s="693"/>
      <c r="S5" s="693"/>
      <c r="T5" s="693"/>
      <c r="U5" s="693"/>
      <c r="V5" s="693"/>
      <c r="W5" s="693"/>
      <c r="X5" s="693"/>
      <c r="Y5" s="693"/>
      <c r="Z5" s="693"/>
      <c r="AA5" s="693"/>
      <c r="AB5" s="693"/>
      <c r="AC5" s="693"/>
      <c r="AD5" s="693"/>
      <c r="AE5" s="693"/>
      <c r="AF5" s="693"/>
      <c r="AG5" s="693"/>
      <c r="AH5" s="693"/>
      <c r="AI5" s="694"/>
      <c r="AJ5" s="693"/>
      <c r="AK5" s="693" t="s">
        <v>68</v>
      </c>
      <c r="AL5" s="693"/>
      <c r="AM5" s="693"/>
      <c r="AN5" s="693"/>
      <c r="AO5" s="693"/>
      <c r="AP5" s="693"/>
      <c r="AQ5" s="693"/>
      <c r="AR5" s="693"/>
      <c r="AS5" s="693"/>
      <c r="AU5" s="980" t="s">
        <v>69</v>
      </c>
      <c r="AV5" s="980" t="s">
        <v>70</v>
      </c>
      <c r="AW5" s="980" t="s">
        <v>71</v>
      </c>
      <c r="AX5" s="971" t="s">
        <v>72</v>
      </c>
      <c r="AY5" s="971" t="s">
        <v>73</v>
      </c>
      <c r="AZ5" s="980" t="s">
        <v>74</v>
      </c>
      <c r="BA5" s="980" t="s">
        <v>75</v>
      </c>
      <c r="BB5" s="980" t="s">
        <v>76</v>
      </c>
      <c r="BC5" s="971" t="s">
        <v>77</v>
      </c>
      <c r="BD5" s="971" t="s">
        <v>78</v>
      </c>
      <c r="BE5" s="971" t="s">
        <v>79</v>
      </c>
      <c r="BF5" s="971" t="s">
        <v>71</v>
      </c>
      <c r="BG5" s="971" t="s">
        <v>80</v>
      </c>
      <c r="BH5" s="971" t="s">
        <v>81</v>
      </c>
      <c r="BI5" s="971" t="s">
        <v>82</v>
      </c>
      <c r="BJ5" s="989"/>
      <c r="BK5" s="971" t="s">
        <v>83</v>
      </c>
      <c r="BL5" s="971" t="s">
        <v>84</v>
      </c>
      <c r="BM5" s="971" t="s">
        <v>85</v>
      </c>
      <c r="BN5" s="971" t="s">
        <v>74</v>
      </c>
      <c r="BO5" s="971" t="s">
        <v>86</v>
      </c>
      <c r="BP5" s="971" t="s">
        <v>87</v>
      </c>
      <c r="BQ5" s="971" t="s">
        <v>88</v>
      </c>
      <c r="BR5" s="971" t="s">
        <v>89</v>
      </c>
      <c r="BS5" s="971" t="s">
        <v>90</v>
      </c>
      <c r="BT5" s="971" t="s">
        <v>91</v>
      </c>
      <c r="BU5" s="989"/>
      <c r="BV5" s="971" t="s">
        <v>92</v>
      </c>
      <c r="BW5" s="971" t="s">
        <v>93</v>
      </c>
      <c r="BX5" s="971" t="s">
        <v>94</v>
      </c>
      <c r="BY5" s="971" t="s">
        <v>95</v>
      </c>
      <c r="BZ5" s="971" t="s">
        <v>96</v>
      </c>
      <c r="CA5" s="971" t="s">
        <v>97</v>
      </c>
      <c r="CB5" s="971" t="s">
        <v>98</v>
      </c>
      <c r="CC5" s="971" t="s">
        <v>99</v>
      </c>
      <c r="CD5" s="971" t="s">
        <v>100</v>
      </c>
      <c r="CE5" s="989"/>
      <c r="CF5" s="971" t="s">
        <v>101</v>
      </c>
      <c r="CG5" s="917"/>
      <c r="CH5" s="917"/>
      <c r="CI5" s="917"/>
      <c r="CJ5" s="917"/>
      <c r="CK5" s="917"/>
      <c r="CL5" s="917"/>
      <c r="CM5" s="917"/>
      <c r="CN5" s="917"/>
      <c r="CO5" s="917"/>
      <c r="CP5" s="917"/>
      <c r="CQ5" s="917"/>
      <c r="CR5" s="917"/>
      <c r="CS5" s="917"/>
      <c r="CT5" s="971" t="s">
        <v>102</v>
      </c>
      <c r="CU5" s="971" t="s">
        <v>103</v>
      </c>
      <c r="CV5" s="971" t="s">
        <v>104</v>
      </c>
      <c r="CW5" s="971" t="s">
        <v>105</v>
      </c>
      <c r="CX5" s="971" t="s">
        <v>105</v>
      </c>
      <c r="CY5" s="971" t="s">
        <v>106</v>
      </c>
      <c r="CZ5" s="971" t="s">
        <v>107</v>
      </c>
      <c r="DA5" s="971" t="s">
        <v>108</v>
      </c>
      <c r="DB5" s="971" t="s">
        <v>109</v>
      </c>
      <c r="DC5" s="971" t="s">
        <v>110</v>
      </c>
      <c r="DD5" s="971" t="s">
        <v>111</v>
      </c>
      <c r="DE5" s="971" t="s">
        <v>112</v>
      </c>
      <c r="DF5" s="971" t="s">
        <v>113</v>
      </c>
      <c r="DG5" s="977" t="s">
        <v>114</v>
      </c>
      <c r="DH5" s="980"/>
      <c r="DI5" s="980"/>
      <c r="DJ5" s="980"/>
      <c r="DK5" s="980"/>
      <c r="DL5" s="980"/>
      <c r="DM5" s="980"/>
      <c r="DN5" s="981"/>
      <c r="DO5" s="980"/>
      <c r="DP5" s="980"/>
      <c r="DQ5" s="991" t="s">
        <v>115</v>
      </c>
      <c r="DR5" s="977" t="s">
        <v>116</v>
      </c>
      <c r="DS5" s="980"/>
      <c r="DT5" s="980"/>
      <c r="DU5" s="980"/>
      <c r="DV5" s="971" t="s">
        <v>117</v>
      </c>
      <c r="DW5" s="971" t="s">
        <v>118</v>
      </c>
      <c r="DX5" s="971" t="s">
        <v>119</v>
      </c>
      <c r="DY5" s="971" t="s">
        <v>120</v>
      </c>
      <c r="DZ5" s="977" t="s">
        <v>121</v>
      </c>
      <c r="EA5" s="980"/>
      <c r="EB5" s="971" t="s">
        <v>122</v>
      </c>
      <c r="EC5" s="971" t="s">
        <v>123</v>
      </c>
      <c r="ED5" s="971" t="s">
        <v>124</v>
      </c>
      <c r="EE5" s="977" t="s">
        <v>125</v>
      </c>
      <c r="EF5" s="980"/>
      <c r="EG5" s="980"/>
      <c r="EH5" s="980"/>
      <c r="EI5" s="980"/>
      <c r="EJ5" s="991" t="s">
        <v>126</v>
      </c>
      <c r="EK5" s="971" t="s">
        <v>127</v>
      </c>
      <c r="EL5" s="989"/>
      <c r="EM5" s="971" t="s">
        <v>128</v>
      </c>
      <c r="EN5" s="971" t="s">
        <v>129</v>
      </c>
      <c r="EO5" s="971" t="s">
        <v>130</v>
      </c>
    </row>
    <row r="6" spans="2:148" s="698" customFormat="1" ht="12" thickBot="1">
      <c r="B6" s="983"/>
      <c r="C6" s="985"/>
      <c r="D6" s="794" t="s">
        <v>131</v>
      </c>
      <c r="E6" s="794" t="s">
        <v>66</v>
      </c>
      <c r="F6" s="794" t="s">
        <v>132</v>
      </c>
      <c r="G6" s="794" t="s">
        <v>133</v>
      </c>
      <c r="H6" s="794" t="s">
        <v>134</v>
      </c>
      <c r="I6" s="794" t="s">
        <v>66</v>
      </c>
      <c r="J6" s="985"/>
      <c r="K6" s="988"/>
      <c r="L6" s="996"/>
      <c r="M6" s="998"/>
      <c r="N6" s="696"/>
      <c r="O6" s="696"/>
      <c r="P6" s="696"/>
      <c r="Q6" s="696"/>
      <c r="R6" s="696"/>
      <c r="S6" s="696"/>
      <c r="T6" s="696" t="s">
        <v>135</v>
      </c>
      <c r="U6" s="696"/>
      <c r="V6" s="696"/>
      <c r="W6" s="696"/>
      <c r="X6" s="696"/>
      <c r="Y6" s="696"/>
      <c r="Z6" s="696"/>
      <c r="AA6" s="696"/>
      <c r="AB6" s="696"/>
      <c r="AC6" s="696"/>
      <c r="AD6" s="696"/>
      <c r="AE6" s="696"/>
      <c r="AF6" s="696"/>
      <c r="AG6" s="696"/>
      <c r="AH6" s="696"/>
      <c r="AI6" s="697"/>
      <c r="AJ6" s="696"/>
      <c r="AK6" s="696"/>
      <c r="AL6" s="696"/>
      <c r="AM6" s="696"/>
      <c r="AN6" s="696"/>
      <c r="AO6" s="696"/>
      <c r="AP6" s="696"/>
      <c r="AQ6" s="696"/>
      <c r="AR6" s="696"/>
      <c r="AS6" s="696"/>
      <c r="AU6" s="980"/>
      <c r="AV6" s="980"/>
      <c r="AW6" s="980"/>
      <c r="AX6" s="972"/>
      <c r="AY6" s="972"/>
      <c r="AZ6" s="980"/>
      <c r="BA6" s="980"/>
      <c r="BB6" s="980"/>
      <c r="BC6" s="972"/>
      <c r="BD6" s="972"/>
      <c r="BE6" s="972"/>
      <c r="BF6" s="972"/>
      <c r="BG6" s="972"/>
      <c r="BH6" s="972"/>
      <c r="BI6" s="972"/>
      <c r="BJ6" s="989"/>
      <c r="BK6" s="972"/>
      <c r="BL6" s="972"/>
      <c r="BM6" s="972"/>
      <c r="BN6" s="972"/>
      <c r="BO6" s="972"/>
      <c r="BP6" s="972"/>
      <c r="BQ6" s="972"/>
      <c r="BR6" s="972"/>
      <c r="BS6" s="972"/>
      <c r="BT6" s="972"/>
      <c r="BU6" s="989"/>
      <c r="BV6" s="972"/>
      <c r="BW6" s="972"/>
      <c r="BX6" s="972"/>
      <c r="BY6" s="972"/>
      <c r="BZ6" s="972"/>
      <c r="CA6" s="972"/>
      <c r="CB6" s="972"/>
      <c r="CC6" s="972"/>
      <c r="CD6" s="972"/>
      <c r="CE6" s="989"/>
      <c r="CF6" s="972"/>
      <c r="CG6" s="918"/>
      <c r="CH6" s="918"/>
      <c r="CI6" s="918"/>
      <c r="CJ6" s="918"/>
      <c r="CK6" s="918"/>
      <c r="CL6" s="918"/>
      <c r="CM6" s="918"/>
      <c r="CN6" s="918"/>
      <c r="CO6" s="918"/>
      <c r="CP6" s="918"/>
      <c r="CQ6" s="918"/>
      <c r="CR6" s="918"/>
      <c r="CS6" s="918"/>
      <c r="CT6" s="972"/>
      <c r="CU6" s="972"/>
      <c r="CV6" s="972"/>
      <c r="CW6" s="972"/>
      <c r="CX6" s="972"/>
      <c r="CY6" s="972"/>
      <c r="CZ6" s="972"/>
      <c r="DA6" s="972"/>
      <c r="DB6" s="972"/>
      <c r="DC6" s="972"/>
      <c r="DD6" s="972"/>
      <c r="DE6" s="972"/>
      <c r="DF6" s="972"/>
      <c r="DG6" s="978"/>
      <c r="DH6" s="980"/>
      <c r="DI6" s="980"/>
      <c r="DJ6" s="980"/>
      <c r="DK6" s="980"/>
      <c r="DL6" s="980"/>
      <c r="DM6" s="980"/>
      <c r="DN6" s="981"/>
      <c r="DO6" s="980"/>
      <c r="DP6" s="980"/>
      <c r="DQ6" s="992"/>
      <c r="DR6" s="978"/>
      <c r="DS6" s="980"/>
      <c r="DT6" s="980"/>
      <c r="DU6" s="980"/>
      <c r="DV6" s="972"/>
      <c r="DW6" s="972"/>
      <c r="DX6" s="972"/>
      <c r="DY6" s="972"/>
      <c r="DZ6" s="978"/>
      <c r="EA6" s="980"/>
      <c r="EB6" s="972"/>
      <c r="EC6" s="972"/>
      <c r="ED6" s="972"/>
      <c r="EE6" s="978"/>
      <c r="EF6" s="980"/>
      <c r="EG6" s="980"/>
      <c r="EH6" s="980"/>
      <c r="EI6" s="980"/>
      <c r="EJ6" s="992"/>
      <c r="EK6" s="972"/>
      <c r="EL6" s="989"/>
      <c r="EM6" s="972"/>
      <c r="EN6" s="972"/>
      <c r="EO6" s="972"/>
    </row>
    <row r="7" spans="2:148" s="695" customFormat="1" ht="12.75" customHeight="1" thickBot="1">
      <c r="B7" s="797"/>
      <c r="C7" s="974" t="s">
        <v>136</v>
      </c>
      <c r="D7" s="975"/>
      <c r="E7" s="975"/>
      <c r="F7" s="975"/>
      <c r="G7" s="975"/>
      <c r="H7" s="975"/>
      <c r="I7" s="975"/>
      <c r="J7" s="975"/>
      <c r="K7" s="975"/>
      <c r="L7" s="976"/>
      <c r="M7" s="699"/>
      <c r="N7" s="693"/>
      <c r="O7" s="693"/>
      <c r="P7" s="693"/>
      <c r="Q7" s="693"/>
      <c r="R7" s="693"/>
      <c r="S7" s="693"/>
      <c r="T7" s="693"/>
      <c r="U7" s="693"/>
      <c r="V7" s="700" t="s">
        <v>137</v>
      </c>
      <c r="W7" s="700" t="s">
        <v>138</v>
      </c>
      <c r="X7" s="693"/>
      <c r="Y7" s="693"/>
      <c r="Z7" s="693"/>
      <c r="AA7" s="693"/>
      <c r="AB7" s="693"/>
      <c r="AC7" s="693"/>
      <c r="AD7" s="693"/>
      <c r="AE7" s="693"/>
      <c r="AF7" s="693"/>
      <c r="AG7" s="693"/>
      <c r="AH7" s="693"/>
      <c r="AI7" s="694"/>
      <c r="AJ7" s="693"/>
      <c r="AK7" s="693"/>
      <c r="AL7" s="693"/>
      <c r="AM7" s="693"/>
      <c r="AN7" s="693"/>
      <c r="AO7" s="693"/>
      <c r="AP7" s="693"/>
      <c r="AQ7" s="701" t="s">
        <v>139</v>
      </c>
      <c r="AR7" s="701" t="s">
        <v>140</v>
      </c>
      <c r="AS7" s="701" t="s">
        <v>141</v>
      </c>
      <c r="AU7" s="980"/>
      <c r="AV7" s="980"/>
      <c r="AW7" s="980"/>
      <c r="AX7" s="973"/>
      <c r="AY7" s="973"/>
      <c r="AZ7" s="980"/>
      <c r="BA7" s="980"/>
      <c r="BB7" s="980"/>
      <c r="BC7" s="973"/>
      <c r="BD7" s="973"/>
      <c r="BE7" s="973"/>
      <c r="BF7" s="973"/>
      <c r="BG7" s="973"/>
      <c r="BH7" s="973"/>
      <c r="BI7" s="973"/>
      <c r="BJ7" s="990"/>
      <c r="BK7" s="973"/>
      <c r="BL7" s="973"/>
      <c r="BM7" s="973"/>
      <c r="BN7" s="973"/>
      <c r="BO7" s="973"/>
      <c r="BP7" s="973"/>
      <c r="BQ7" s="973"/>
      <c r="BR7" s="973"/>
      <c r="BS7" s="973"/>
      <c r="BT7" s="973"/>
      <c r="BU7" s="990"/>
      <c r="BV7" s="973"/>
      <c r="BW7" s="973"/>
      <c r="BX7" s="973"/>
      <c r="BY7" s="973"/>
      <c r="BZ7" s="973"/>
      <c r="CA7" s="973"/>
      <c r="CB7" s="973"/>
      <c r="CC7" s="973"/>
      <c r="CD7" s="973"/>
      <c r="CE7" s="990"/>
      <c r="CF7" s="973"/>
      <c r="CG7" s="919"/>
      <c r="CH7" s="919"/>
      <c r="CI7" s="919"/>
      <c r="CJ7" s="919"/>
      <c r="CK7" s="919"/>
      <c r="CL7" s="919"/>
      <c r="CM7" s="919"/>
      <c r="CN7" s="919"/>
      <c r="CO7" s="919"/>
      <c r="CP7" s="919"/>
      <c r="CQ7" s="919"/>
      <c r="CR7" s="919"/>
      <c r="CS7" s="919"/>
      <c r="CT7" s="973"/>
      <c r="CU7" s="973"/>
      <c r="CV7" s="973"/>
      <c r="CW7" s="973"/>
      <c r="CX7" s="973"/>
      <c r="CY7" s="973"/>
      <c r="CZ7" s="973"/>
      <c r="DA7" s="973"/>
      <c r="DB7" s="973"/>
      <c r="DC7" s="973"/>
      <c r="DD7" s="973"/>
      <c r="DE7" s="973"/>
      <c r="DF7" s="973"/>
      <c r="DG7" s="979"/>
      <c r="DH7" s="980"/>
      <c r="DI7" s="980"/>
      <c r="DJ7" s="980"/>
      <c r="DK7" s="980"/>
      <c r="DL7" s="980"/>
      <c r="DM7" s="980"/>
      <c r="DN7" s="981"/>
      <c r="DO7" s="980"/>
      <c r="DP7" s="980"/>
      <c r="DQ7" s="993"/>
      <c r="DR7" s="979"/>
      <c r="DS7" s="980"/>
      <c r="DT7" s="980"/>
      <c r="DU7" s="980"/>
      <c r="DV7" s="973"/>
      <c r="DW7" s="973"/>
      <c r="DX7" s="973"/>
      <c r="DY7" s="973"/>
      <c r="DZ7" s="979"/>
      <c r="EA7" s="980"/>
      <c r="EB7" s="973"/>
      <c r="EC7" s="973"/>
      <c r="ED7" s="973"/>
      <c r="EE7" s="979"/>
      <c r="EF7" s="980"/>
      <c r="EG7" s="980"/>
      <c r="EH7" s="980"/>
      <c r="EI7" s="980"/>
      <c r="EJ7" s="993"/>
      <c r="EK7" s="973"/>
      <c r="EL7" s="990"/>
      <c r="EM7" s="973"/>
      <c r="EN7" s="973"/>
      <c r="EO7" s="973"/>
    </row>
    <row r="8" spans="2:148" s="662" customFormat="1" ht="22.5" customHeight="1">
      <c r="B8" s="745"/>
      <c r="C8" s="813"/>
      <c r="D8" s="544" t="s">
        <v>142</v>
      </c>
      <c r="E8" s="795">
        <v>1</v>
      </c>
      <c r="F8" s="966" t="s">
        <v>143</v>
      </c>
      <c r="G8" s="967"/>
      <c r="H8" s="814">
        <f>IF(E9="",0,E9-D9)+IF(E10="",0,E10-D10)</f>
        <v>73</v>
      </c>
      <c r="I8" s="812" t="s">
        <v>144</v>
      </c>
      <c r="J8" s="543" t="s">
        <v>145</v>
      </c>
      <c r="K8" s="882">
        <f>D37+D36</f>
        <v>94</v>
      </c>
      <c r="L8" s="796">
        <f>E37+E36</f>
        <v>94</v>
      </c>
      <c r="M8" s="531"/>
      <c r="N8" s="521" t="e">
        <v>#VALUE!</v>
      </c>
      <c r="O8" s="521" t="e">
        <f>(D8-K15)/133+K8</f>
        <v>#VALUE!</v>
      </c>
      <c r="P8" s="521" t="s">
        <v>146</v>
      </c>
      <c r="Q8" s="521"/>
      <c r="R8" s="532" t="e">
        <f>D8/0.667</f>
        <v>#VALUE!</v>
      </c>
      <c r="S8" s="521"/>
      <c r="T8" s="521">
        <f>K8*100</f>
        <v>9400</v>
      </c>
      <c r="U8" s="521" t="e">
        <f>(D8-K15)*0.67</f>
        <v>#VALUE!</v>
      </c>
      <c r="V8" s="521" t="e">
        <f>T8+U8</f>
        <v>#VALUE!</v>
      </c>
      <c r="W8" s="521">
        <v>44</v>
      </c>
      <c r="X8" s="521" t="e">
        <f>V8*W8</f>
        <v>#VALUE!</v>
      </c>
      <c r="Y8" s="521" t="s">
        <v>147</v>
      </c>
      <c r="Z8" s="521"/>
      <c r="AA8" s="521" t="e">
        <f>V8/100</f>
        <v>#VALUE!</v>
      </c>
      <c r="AB8" s="521">
        <f>(235*0.67+800)</f>
        <v>957.45</v>
      </c>
      <c r="AC8" s="521">
        <f>AB8/100</f>
        <v>9.5745000000000005</v>
      </c>
      <c r="AD8" s="521" t="e">
        <f>AA8+AC8</f>
        <v>#VALUE!</v>
      </c>
      <c r="AE8" s="521"/>
      <c r="AF8" s="521"/>
      <c r="AG8" s="532"/>
      <c r="AH8" s="521">
        <f>98+47</f>
        <v>145</v>
      </c>
      <c r="AI8" s="522"/>
      <c r="AJ8" s="521"/>
      <c r="AK8" s="521"/>
      <c r="AL8" s="521"/>
      <c r="AM8" s="533" t="s">
        <v>148</v>
      </c>
      <c r="AN8" s="534" t="s">
        <v>149</v>
      </c>
      <c r="AO8" s="534" t="s">
        <v>150</v>
      </c>
      <c r="AP8" s="521"/>
      <c r="AQ8" s="535" t="s">
        <v>151</v>
      </c>
      <c r="AR8" s="535">
        <v>261</v>
      </c>
      <c r="AS8" s="705">
        <v>163</v>
      </c>
      <c r="AT8" s="706"/>
      <c r="AU8" s="688">
        <f>L15/E10%</f>
        <v>10.262008733624453</v>
      </c>
      <c r="AV8" s="690">
        <f>I13+I14</f>
        <v>13.000000000000114</v>
      </c>
      <c r="AW8" s="688">
        <f>L9/(L15+E10)%</f>
        <v>2.722772277227723</v>
      </c>
      <c r="AX8" s="689">
        <f>E20</f>
        <v>79.7</v>
      </c>
      <c r="AY8" s="690">
        <f>I20</f>
        <v>9.9999999999999645</v>
      </c>
      <c r="AZ8" s="689"/>
      <c r="BA8" s="690">
        <f>I22</f>
        <v>1.9999999999999929</v>
      </c>
      <c r="BB8" s="703">
        <f>E22</f>
        <v>96.4</v>
      </c>
      <c r="BC8" s="690">
        <f>I33</f>
        <v>52.999999999999972</v>
      </c>
      <c r="BD8" s="689">
        <f>SUM(I13:I15)</f>
        <v>17.000000000000099</v>
      </c>
      <c r="BE8" s="689">
        <f ca="1">L37</f>
        <v>46.800000000000004</v>
      </c>
      <c r="BF8" s="688">
        <f>L8/E9%</f>
        <v>2.3851814260340016</v>
      </c>
      <c r="BG8" s="689">
        <f>E40</f>
        <v>47</v>
      </c>
      <c r="BH8" s="690">
        <f>I40</f>
        <v>5.9999999999999787</v>
      </c>
      <c r="BI8" s="703">
        <f>K41</f>
        <v>64</v>
      </c>
      <c r="BJ8" s="690">
        <f>K42</f>
        <v>0</v>
      </c>
      <c r="BK8" s="689">
        <f>E43</f>
        <v>65.599999999999994</v>
      </c>
      <c r="BL8" s="690">
        <f>I43</f>
        <v>49.999999999999986</v>
      </c>
      <c r="BM8" s="690">
        <f>I45</f>
        <v>9.9999999999999645</v>
      </c>
      <c r="BN8" s="689"/>
      <c r="BO8" s="690">
        <f>E47</f>
        <v>76</v>
      </c>
      <c r="BP8" s="690">
        <f>I51</f>
        <v>117.9999999999999</v>
      </c>
      <c r="BQ8" s="690">
        <f>I57</f>
        <v>7.000000000000135</v>
      </c>
      <c r="BR8" s="703">
        <f>E57</f>
        <v>16.600000000000001</v>
      </c>
      <c r="BS8" s="689">
        <f>L55</f>
        <v>22.84</v>
      </c>
      <c r="BT8" s="689">
        <f>L63</f>
        <v>2.57</v>
      </c>
      <c r="BU8" s="689">
        <f>L64</f>
        <v>0.78</v>
      </c>
      <c r="BV8" s="690">
        <f>E61</f>
        <v>75</v>
      </c>
      <c r="BW8" s="690">
        <f>E60</f>
        <v>2</v>
      </c>
      <c r="BX8" s="690">
        <f>E58</f>
        <v>142</v>
      </c>
      <c r="BY8" s="690">
        <f>E59</f>
        <v>263</v>
      </c>
      <c r="BZ8" s="688">
        <f ca="1">L60</f>
        <v>16.38</v>
      </c>
      <c r="CA8" s="688">
        <f>BX8/(L8+L9+12)%</f>
        <v>88.198757763975152</v>
      </c>
      <c r="CB8" s="688">
        <f>BX8/BY8%</f>
        <v>53.99239543726236</v>
      </c>
      <c r="CC8" s="689"/>
      <c r="CD8" s="690">
        <f>I59+I58</f>
        <v>93.999999999999929</v>
      </c>
      <c r="CE8" s="690">
        <f>I64</f>
        <v>131</v>
      </c>
      <c r="CF8" s="689">
        <f ca="1">L56</f>
        <v>79.900000000000006</v>
      </c>
      <c r="CG8" s="689"/>
      <c r="CH8" s="689"/>
      <c r="CI8" s="689"/>
      <c r="CJ8" s="689"/>
      <c r="CK8" s="689"/>
      <c r="CL8" s="689"/>
      <c r="CM8" s="689"/>
      <c r="CN8" s="689"/>
      <c r="CO8" s="689"/>
      <c r="CP8" s="689"/>
      <c r="CQ8" s="689"/>
      <c r="CR8" s="689"/>
      <c r="CS8" s="689"/>
      <c r="CT8" s="689" t="s">
        <v>152</v>
      </c>
      <c r="CU8" s="689" t="s">
        <v>153</v>
      </c>
      <c r="CV8" s="690">
        <f>E72</f>
        <v>180</v>
      </c>
      <c r="CW8" s="689"/>
      <c r="CX8" s="689"/>
      <c r="CY8" s="690">
        <f>E78</f>
        <v>269</v>
      </c>
      <c r="CZ8" s="703">
        <f ca="1">I77</f>
        <v>101</v>
      </c>
      <c r="DA8" s="724"/>
      <c r="DB8" s="691">
        <f>I72</f>
        <v>29.999999999999993</v>
      </c>
      <c r="DC8" s="691">
        <f>I78+I80</f>
        <v>45</v>
      </c>
      <c r="DD8" s="691">
        <f>DB8+DC8</f>
        <v>75</v>
      </c>
      <c r="DE8" s="691">
        <f>DD8-75</f>
        <v>0</v>
      </c>
      <c r="DF8" s="687" t="s">
        <v>154</v>
      </c>
      <c r="DG8" s="691"/>
      <c r="DH8" s="691">
        <f>I74</f>
        <v>5</v>
      </c>
      <c r="DI8" s="691">
        <f>I75</f>
        <v>10</v>
      </c>
      <c r="DJ8" s="692" t="s">
        <v>155</v>
      </c>
      <c r="DK8" s="692">
        <f>(E78-E84)/E78%</f>
        <v>8.1784386617100377</v>
      </c>
      <c r="DL8" s="702"/>
      <c r="DM8" s="687"/>
      <c r="DN8" s="687"/>
      <c r="DO8" s="692">
        <f>(E66-E98-10.5)/E66%</f>
        <v>9.8513011152416361</v>
      </c>
      <c r="DP8" s="691">
        <f>I76</f>
        <v>0</v>
      </c>
      <c r="DQ8" s="712">
        <f ca="1">L77</f>
        <v>100.9</v>
      </c>
      <c r="DR8" s="687"/>
      <c r="DS8" s="687"/>
      <c r="DT8" s="687"/>
      <c r="DU8" s="691">
        <f>K83</f>
        <v>1347</v>
      </c>
      <c r="DV8" s="691">
        <f>K83+K75</f>
        <v>2281</v>
      </c>
      <c r="DW8" s="687"/>
      <c r="DX8" s="691">
        <f>I84</f>
        <v>10.000000000000004</v>
      </c>
      <c r="DY8" s="691">
        <f>I88</f>
        <v>10.000000000000004</v>
      </c>
      <c r="DZ8" s="691">
        <f>DY8-10</f>
        <v>0</v>
      </c>
      <c r="EA8" s="687"/>
      <c r="EB8" s="710">
        <f>D83/E98</f>
        <v>0.65517241379310343</v>
      </c>
      <c r="EC8" s="691">
        <f>I98</f>
        <v>51.999999999999993</v>
      </c>
      <c r="ED8" s="687">
        <f>L98</f>
        <v>10.5</v>
      </c>
      <c r="EE8" s="692">
        <f>E100</f>
        <v>3.4</v>
      </c>
      <c r="EF8" s="692">
        <f>EE8*1000/E98</f>
        <v>14.655172413793103</v>
      </c>
      <c r="EG8" s="687"/>
      <c r="EH8" s="691">
        <f>E98</f>
        <v>232</v>
      </c>
      <c r="EI8" s="691">
        <f>L105</f>
        <v>228</v>
      </c>
      <c r="EJ8" s="687">
        <f>ABS(L105-K105)</f>
        <v>2</v>
      </c>
      <c r="EK8" s="692">
        <f>L103</f>
        <v>6.1666666666666687</v>
      </c>
      <c r="EL8" s="687">
        <f>ABS(L103-K103)</f>
        <v>0.16666666666666874</v>
      </c>
      <c r="EM8" s="692">
        <f>L106</f>
        <v>37.84386617100413</v>
      </c>
      <c r="EN8" s="687">
        <f>L96</f>
        <v>17.939999999999998</v>
      </c>
      <c r="EO8" s="687">
        <f>L97</f>
        <v>5.25</v>
      </c>
    </row>
    <row r="9" spans="2:148" s="662" customFormat="1" ht="22.5" customHeight="1">
      <c r="B9" s="744"/>
      <c r="C9" s="536" t="s">
        <v>156</v>
      </c>
      <c r="D9" s="479">
        <v>3950</v>
      </c>
      <c r="E9" s="646">
        <v>3941</v>
      </c>
      <c r="F9" s="714"/>
      <c r="G9" s="714"/>
      <c r="H9" s="448" t="str">
        <f>IF(OR(F9="",G9=""),"",IF(G9&gt;=F9,(G9-F9)*24*60,(1+G9-F9)*24*60))</f>
        <v/>
      </c>
      <c r="I9" s="685" t="str">
        <f>IF(OR(F15="",G9=""),"",IF(F15&gt;=G9,(F15-G9)*24*60,(1+F15-G9)*24*60))</f>
        <v/>
      </c>
      <c r="J9" s="539" t="s">
        <v>157</v>
      </c>
      <c r="K9" s="448">
        <f>D14+D13+D15</f>
        <v>55</v>
      </c>
      <c r="L9" s="707">
        <f>E14+E13+E15</f>
        <v>55</v>
      </c>
      <c r="M9" s="531"/>
      <c r="N9" s="521">
        <v>2840</v>
      </c>
      <c r="O9" s="521" t="e">
        <f>(D9+K15)/133+K9+D15</f>
        <v>#VALUE!</v>
      </c>
      <c r="P9" s="521" t="s">
        <v>158</v>
      </c>
      <c r="Q9" s="521"/>
      <c r="R9" s="521">
        <f>52+15</f>
        <v>67</v>
      </c>
      <c r="S9" s="521">
        <v>236</v>
      </c>
      <c r="T9" s="521">
        <f>(D13+D15)*100</f>
        <v>5100</v>
      </c>
      <c r="U9" s="521" t="e">
        <f>D9*0.7+K15*0.67</f>
        <v>#VALUE!</v>
      </c>
      <c r="V9" s="521" t="e">
        <f>T9+U9</f>
        <v>#VALUE!</v>
      </c>
      <c r="W9" s="521">
        <v>100</v>
      </c>
      <c r="X9" s="521" t="e">
        <f>V9*W9</f>
        <v>#VALUE!</v>
      </c>
      <c r="Y9" s="521" t="s">
        <v>159</v>
      </c>
      <c r="Z9" s="521"/>
      <c r="AA9" s="521" t="e">
        <f>V9/100</f>
        <v>#VALUE!</v>
      </c>
      <c r="AB9" s="521"/>
      <c r="AC9" s="521"/>
      <c r="AD9" s="521"/>
      <c r="AE9" s="521"/>
      <c r="AF9" s="521"/>
      <c r="AG9" s="521"/>
      <c r="AH9" s="521">
        <f>AH8+10+2+16</f>
        <v>173</v>
      </c>
      <c r="AI9" s="968" t="s">
        <v>160</v>
      </c>
      <c r="AJ9" s="969"/>
      <c r="AK9" s="969"/>
      <c r="AL9" s="970"/>
      <c r="AM9" s="541">
        <v>44</v>
      </c>
      <c r="AN9" s="542">
        <v>44</v>
      </c>
      <c r="AO9" s="542">
        <v>20</v>
      </c>
      <c r="AP9" s="521"/>
      <c r="AQ9" s="535" t="s">
        <v>161</v>
      </c>
      <c r="AR9" s="535">
        <v>96</v>
      </c>
      <c r="AS9" s="535">
        <v>99</v>
      </c>
    </row>
    <row r="10" spans="2:148" s="662" customFormat="1" ht="24.75" customHeight="1" thickBot="1">
      <c r="B10" s="745"/>
      <c r="C10" s="536" t="s">
        <v>162</v>
      </c>
      <c r="D10" s="479">
        <v>1750</v>
      </c>
      <c r="E10" s="646">
        <v>1832</v>
      </c>
      <c r="F10" s="714"/>
      <c r="G10" s="714"/>
      <c r="H10" s="815" t="str">
        <f>IF(OR(F10="",G10=""),"",IF(G10&gt;=F10,(G10-F10)*24*60,(1+G10-F10)*24*60))</f>
        <v/>
      </c>
      <c r="I10" s="685" t="str">
        <f>IF(OR(F13="",G10=""),"",IF(F13&gt;=G10,(F13-G10)*24*60,(1+F13-G10)*24*60))</f>
        <v/>
      </c>
      <c r="J10" s="543" t="s">
        <v>163</v>
      </c>
      <c r="K10" s="792"/>
      <c r="L10" s="645"/>
      <c r="M10" s="545"/>
      <c r="N10" s="521"/>
      <c r="O10" s="521"/>
      <c r="P10" s="521"/>
      <c r="Q10" s="521"/>
      <c r="R10" s="521"/>
      <c r="S10" s="521"/>
      <c r="T10" s="521"/>
      <c r="U10" s="521"/>
      <c r="V10" s="521"/>
      <c r="W10" s="521"/>
      <c r="X10" s="521"/>
      <c r="Y10" s="521"/>
      <c r="Z10" s="521"/>
      <c r="AA10" s="521"/>
      <c r="AB10" s="521"/>
      <c r="AC10" s="521"/>
      <c r="AD10" s="521"/>
      <c r="AE10" s="521"/>
      <c r="AF10" s="521"/>
      <c r="AG10" s="521"/>
      <c r="AH10" s="521"/>
      <c r="AI10" s="968" t="s">
        <v>164</v>
      </c>
      <c r="AJ10" s="969"/>
      <c r="AK10" s="969"/>
      <c r="AL10" s="969"/>
      <c r="AM10" s="546">
        <f>(K8+K9+D31+D49+D54)-D58</f>
        <v>42</v>
      </c>
      <c r="AN10" s="546">
        <f>K61+AM10-(D59-D58)</f>
        <v>56</v>
      </c>
      <c r="AO10" s="546">
        <f>AN10+K62-D61</f>
        <v>16</v>
      </c>
      <c r="AP10" s="521"/>
      <c r="AQ10" s="535"/>
      <c r="AR10" s="535"/>
      <c r="AS10" s="535"/>
      <c r="AV10" s="959" t="s">
        <v>165</v>
      </c>
      <c r="AW10" s="959" t="s">
        <v>166</v>
      </c>
      <c r="AX10" s="959" t="s">
        <v>167</v>
      </c>
      <c r="AY10" s="959" t="s">
        <v>168</v>
      </c>
      <c r="AZ10" s="959" t="s">
        <v>169</v>
      </c>
      <c r="BA10" s="959" t="s">
        <v>170</v>
      </c>
      <c r="BB10" s="959" t="s">
        <v>171</v>
      </c>
      <c r="BC10" s="959" t="s">
        <v>172</v>
      </c>
      <c r="BD10" s="959" t="s">
        <v>173</v>
      </c>
      <c r="BE10" s="959" t="s">
        <v>174</v>
      </c>
    </row>
    <row r="11" spans="2:148" s="662" customFormat="1" ht="15" customHeight="1" thickBot="1">
      <c r="B11" s="770"/>
      <c r="C11" s="941" t="s">
        <v>175</v>
      </c>
      <c r="D11" s="942"/>
      <c r="E11" s="942"/>
      <c r="F11" s="942"/>
      <c r="G11" s="942"/>
      <c r="H11" s="942"/>
      <c r="I11" s="942"/>
      <c r="J11" s="942"/>
      <c r="K11" s="942"/>
      <c r="L11" s="943"/>
      <c r="M11" s="530"/>
      <c r="N11" s="521"/>
      <c r="O11" s="521">
        <v>47</v>
      </c>
      <c r="P11" s="521">
        <v>50</v>
      </c>
      <c r="Q11" s="521"/>
      <c r="R11" s="521"/>
      <c r="S11" s="521"/>
      <c r="T11" s="521"/>
      <c r="U11" s="521"/>
      <c r="V11" s="521"/>
      <c r="W11" s="547" t="e">
        <f>((O8*W8)+(O9*W9))/SUM(O8:O9)</f>
        <v>#VALUE!</v>
      </c>
      <c r="X11" s="521"/>
      <c r="Y11" s="521"/>
      <c r="Z11" s="521"/>
      <c r="AA11" s="521"/>
      <c r="AB11" s="521"/>
      <c r="AC11" s="521"/>
      <c r="AD11" s="521">
        <f>226</f>
        <v>226</v>
      </c>
      <c r="AE11" s="521"/>
      <c r="AF11" s="521"/>
      <c r="AG11" s="521"/>
      <c r="AH11" s="521"/>
      <c r="AI11" s="522"/>
      <c r="AJ11" s="521"/>
      <c r="AK11" s="521"/>
      <c r="AL11" s="521"/>
      <c r="AM11" s="521"/>
      <c r="AN11" s="521"/>
      <c r="AO11" s="521"/>
      <c r="AP11" s="521"/>
      <c r="AQ11" s="535" t="s">
        <v>176</v>
      </c>
      <c r="AR11" s="535">
        <v>45</v>
      </c>
      <c r="AS11" s="535">
        <v>30</v>
      </c>
      <c r="AV11" s="959"/>
      <c r="AW11" s="959"/>
      <c r="AX11" s="959"/>
      <c r="AY11" s="959"/>
      <c r="AZ11" s="959"/>
      <c r="BA11" s="959"/>
      <c r="BB11" s="959"/>
      <c r="BC11" s="959"/>
      <c r="BD11" s="959"/>
      <c r="BE11" s="959"/>
    </row>
    <row r="12" spans="2:148" s="662" customFormat="1" ht="23.25" customHeight="1">
      <c r="B12" s="767"/>
      <c r="C12" s="756" t="s">
        <v>177</v>
      </c>
      <c r="D12" s="882">
        <v>5</v>
      </c>
      <c r="E12" s="647"/>
      <c r="F12" s="775"/>
      <c r="G12" s="775"/>
      <c r="H12" s="882">
        <v>1</v>
      </c>
      <c r="I12" s="882"/>
      <c r="J12" s="790" t="s">
        <v>178</v>
      </c>
      <c r="K12" s="882">
        <v>180</v>
      </c>
      <c r="L12" s="793">
        <v>180</v>
      </c>
      <c r="M12" s="548"/>
      <c r="N12" s="521"/>
      <c r="O12" s="521"/>
      <c r="P12" s="521">
        <v>91</v>
      </c>
      <c r="Q12" s="521"/>
      <c r="R12" s="521"/>
      <c r="S12" s="521"/>
      <c r="T12" s="964" t="s">
        <v>179</v>
      </c>
      <c r="U12" s="964"/>
      <c r="V12" s="532">
        <f>D9/H13*1.2</f>
        <v>384.32432432432438</v>
      </c>
      <c r="W12" s="521"/>
      <c r="X12" s="549" t="s">
        <v>180</v>
      </c>
      <c r="Y12" s="550" t="e">
        <f>D9+K15+(K9+D15)*100</f>
        <v>#VALUE!</v>
      </c>
      <c r="Z12" s="521"/>
      <c r="AA12" s="521"/>
      <c r="AB12" s="521"/>
      <c r="AC12" s="521"/>
      <c r="AD12" s="521">
        <v>150</v>
      </c>
      <c r="AE12" s="521"/>
      <c r="AF12" s="521"/>
      <c r="AG12" s="532">
        <f>K8+K9+D15+D31+D49+D54</f>
        <v>192</v>
      </c>
      <c r="AH12" s="532">
        <f>AG12-59</f>
        <v>133</v>
      </c>
      <c r="AI12" s="522"/>
      <c r="AJ12" s="521"/>
      <c r="AK12" s="521"/>
      <c r="AL12" s="521"/>
      <c r="AM12" s="521"/>
      <c r="AN12" s="521"/>
      <c r="AO12" s="521"/>
      <c r="AP12" s="521"/>
      <c r="AQ12" s="535" t="s">
        <v>181</v>
      </c>
      <c r="AR12" s="535">
        <v>269</v>
      </c>
      <c r="AS12" s="535">
        <v>265</v>
      </c>
      <c r="AV12" s="724">
        <f>$J$3+F13</f>
        <v>46043.868055555555</v>
      </c>
      <c r="AW12" s="724">
        <f>IF(F58&gt;=F13,$J$3+F58,$J$3+1+F58)</f>
        <v>46043.966666666667</v>
      </c>
      <c r="AX12" s="724">
        <f>IF(F70&gt;=F13,$J$3+F70,$J$3+1+F70)</f>
        <v>46043.994444444441</v>
      </c>
      <c r="AY12" s="724">
        <f>IF(F72&gt;=F13,$J$3+F72,$J$3+1+F72)</f>
        <v>46044.022916666669</v>
      </c>
      <c r="AZ12" s="718"/>
      <c r="BA12" s="719">
        <f>E78</f>
        <v>269</v>
      </c>
      <c r="BB12" s="724">
        <f>IF(G80&gt;=F13,$J$3+G80,$J$3+1+G80)</f>
        <v>46044.074999999997</v>
      </c>
      <c r="BC12" s="718"/>
      <c r="BD12" s="719">
        <f>E84</f>
        <v>247</v>
      </c>
      <c r="BE12" s="724">
        <f>IF(G98&gt;=F13,$J$3+G98,$J$3+1+G98)</f>
        <v>46044.125</v>
      </c>
    </row>
    <row r="13" spans="2:148" s="662" customFormat="1" ht="28.5" customHeight="1">
      <c r="B13" s="746"/>
      <c r="C13" s="551" t="s">
        <v>182</v>
      </c>
      <c r="D13" s="448">
        <v>37</v>
      </c>
      <c r="E13" s="646">
        <v>37</v>
      </c>
      <c r="F13" s="714">
        <v>0.86805555555555547</v>
      </c>
      <c r="G13" s="648"/>
      <c r="H13" s="448">
        <f>D13/K12*60</f>
        <v>12.333333333333332</v>
      </c>
      <c r="I13" s="685">
        <f>IF(OR(F14="",F13=""),"",IF(F14&gt;=F13,(F14-F13)*24*60,(1+F14-F13)*24*60))</f>
        <v>12.000000000000277</v>
      </c>
      <c r="J13" s="552" t="s">
        <v>183</v>
      </c>
      <c r="K13" s="583">
        <v>61</v>
      </c>
      <c r="L13" s="561">
        <f ca="1">K13+RANDBETWEEN(-2,2)/10</f>
        <v>61</v>
      </c>
      <c r="M13" s="554"/>
      <c r="N13" s="521"/>
      <c r="O13" s="521"/>
      <c r="P13" s="521"/>
      <c r="Q13" s="521"/>
      <c r="R13" s="521"/>
      <c r="S13" s="521"/>
      <c r="T13" s="555" t="s">
        <v>184</v>
      </c>
      <c r="U13" s="521"/>
      <c r="V13" s="556" t="e">
        <f>(K9+D15)/(D9+K15)*100</f>
        <v>#VALUE!</v>
      </c>
      <c r="W13" s="521"/>
      <c r="X13" s="521"/>
      <c r="Y13" s="521"/>
      <c r="Z13" s="521"/>
      <c r="AA13" s="521"/>
      <c r="AB13" s="521"/>
      <c r="AC13" s="521"/>
      <c r="AD13" s="521">
        <f>AD11-AD12</f>
        <v>76</v>
      </c>
      <c r="AE13" s="521">
        <f>AD13/280*60</f>
        <v>16.285714285714285</v>
      </c>
      <c r="AF13" s="521"/>
      <c r="AG13" s="532">
        <f>AG12-35</f>
        <v>157</v>
      </c>
      <c r="AH13" s="521"/>
      <c r="AI13" s="522"/>
      <c r="AJ13" s="521"/>
      <c r="AK13" s="521"/>
      <c r="AL13" s="521"/>
      <c r="AM13" s="521"/>
      <c r="AN13" s="521"/>
      <c r="AO13" s="521"/>
      <c r="AP13" s="521"/>
      <c r="AQ13" s="535" t="s">
        <v>185</v>
      </c>
      <c r="AR13" s="535">
        <v>3.2</v>
      </c>
      <c r="AS13" s="535">
        <v>3.3</v>
      </c>
    </row>
    <row r="14" spans="2:148" s="662" customFormat="1" ht="20.25" customHeight="1">
      <c r="B14" s="746"/>
      <c r="C14" s="536" t="s">
        <v>186</v>
      </c>
      <c r="D14" s="448">
        <v>4</v>
      </c>
      <c r="E14" s="646">
        <v>4</v>
      </c>
      <c r="F14" s="714">
        <v>0.87638888888888899</v>
      </c>
      <c r="G14" s="648"/>
      <c r="H14" s="448">
        <v>1</v>
      </c>
      <c r="I14" s="685">
        <f>IF(OR(F15="",F14=""),"",IF(F15&gt;=F14,(F15-F14)*24*60,(1+F15-F14)*24*60))</f>
        <v>0.99999999999983658</v>
      </c>
      <c r="J14" s="552" t="s">
        <v>187</v>
      </c>
      <c r="K14" s="583">
        <v>60</v>
      </c>
      <c r="L14" s="561">
        <f ca="1">57+RANDBETWEEN(-5,5)/10</f>
        <v>56.9</v>
      </c>
      <c r="M14" s="554"/>
      <c r="N14" s="521"/>
      <c r="O14" s="521"/>
      <c r="P14" s="521"/>
      <c r="Q14" s="521"/>
      <c r="R14" s="521"/>
      <c r="S14" s="521"/>
      <c r="T14" s="555"/>
      <c r="U14" s="521"/>
      <c r="V14" s="556"/>
      <c r="W14" s="521"/>
      <c r="X14" s="521"/>
      <c r="Y14" s="521"/>
      <c r="Z14" s="521"/>
      <c r="AA14" s="521"/>
      <c r="AB14" s="521"/>
      <c r="AC14" s="521"/>
      <c r="AD14" s="521"/>
      <c r="AE14" s="521"/>
      <c r="AF14" s="521"/>
      <c r="AG14" s="532"/>
      <c r="AH14" s="521"/>
      <c r="AI14" s="522"/>
      <c r="AJ14" s="521"/>
      <c r="AK14" s="521"/>
      <c r="AL14" s="521"/>
      <c r="AM14" s="521"/>
      <c r="AN14" s="521"/>
      <c r="AO14" s="521"/>
      <c r="AP14" s="521"/>
      <c r="AQ14" s="535" t="s">
        <v>188</v>
      </c>
      <c r="AR14" s="535">
        <v>2.9</v>
      </c>
      <c r="AS14" s="535">
        <v>2.9</v>
      </c>
    </row>
    <row r="15" spans="2:148" s="663" customFormat="1" ht="33.75" customHeight="1">
      <c r="B15" s="744"/>
      <c r="C15" s="536" t="s">
        <v>189</v>
      </c>
      <c r="D15" s="448">
        <v>14</v>
      </c>
      <c r="E15" s="646">
        <v>14</v>
      </c>
      <c r="F15" s="714">
        <v>0.87708333333333333</v>
      </c>
      <c r="G15" s="648"/>
      <c r="H15" s="448">
        <f>D15/K35*60</f>
        <v>3.7333333333333334</v>
      </c>
      <c r="I15" s="685">
        <f>IF(OR(F19="",F15=""),"",IF(F19&gt;=F15,(F19-F15)*24*60,(1+F19-F15)*24*60))</f>
        <v>3.9999999999999858</v>
      </c>
      <c r="J15" s="539" t="s">
        <v>190</v>
      </c>
      <c r="K15" s="448" t="s">
        <v>191</v>
      </c>
      <c r="L15" s="640">
        <v>188</v>
      </c>
      <c r="M15" s="531">
        <v>270</v>
      </c>
      <c r="N15" s="523"/>
      <c r="O15" s="523"/>
      <c r="P15" s="523"/>
      <c r="Q15" s="523"/>
      <c r="R15" s="523"/>
      <c r="S15" s="523"/>
      <c r="T15" s="523"/>
      <c r="U15" s="523"/>
      <c r="V15" s="523"/>
      <c r="W15" s="523"/>
      <c r="X15" s="523">
        <v>109</v>
      </c>
      <c r="Y15" s="523"/>
      <c r="Z15" s="523"/>
      <c r="AA15" s="523"/>
      <c r="AB15" s="523"/>
      <c r="AC15" s="523"/>
      <c r="AD15" s="523">
        <f>150/240*60</f>
        <v>37.5</v>
      </c>
      <c r="AE15" s="523"/>
      <c r="AF15" s="523"/>
      <c r="AG15" s="523"/>
      <c r="AH15" s="523"/>
      <c r="AI15" s="524"/>
      <c r="AJ15" s="523"/>
      <c r="AK15" s="523"/>
      <c r="AL15" s="523"/>
      <c r="AM15" s="523"/>
      <c r="AN15" s="523"/>
      <c r="AO15" s="523"/>
      <c r="AP15" s="523"/>
      <c r="AQ15" s="535" t="s">
        <v>192</v>
      </c>
      <c r="AR15" s="535">
        <v>0.36</v>
      </c>
      <c r="AS15" s="535">
        <v>0.3</v>
      </c>
    </row>
    <row r="16" spans="2:148" s="662" customFormat="1" ht="20.25" customHeight="1">
      <c r="B16" s="744"/>
      <c r="C16" s="536" t="s">
        <v>193</v>
      </c>
      <c r="D16" s="557">
        <v>3</v>
      </c>
      <c r="E16" s="646"/>
      <c r="F16" s="648"/>
      <c r="G16" s="648"/>
      <c r="H16" s="448"/>
      <c r="I16" s="448"/>
      <c r="J16" s="448"/>
      <c r="K16" s="448"/>
      <c r="L16" s="558"/>
      <c r="M16" s="531"/>
      <c r="N16" s="521"/>
      <c r="O16" s="521"/>
      <c r="P16" s="521"/>
      <c r="Q16" s="521"/>
      <c r="R16" s="521"/>
      <c r="S16" s="521"/>
      <c r="T16" s="521"/>
      <c r="U16" s="521"/>
      <c r="V16" s="521" t="e">
        <f>#REF!/100</f>
        <v>#REF!</v>
      </c>
      <c r="W16" s="521"/>
      <c r="X16" s="521"/>
      <c r="Y16" s="521"/>
      <c r="Z16" s="521"/>
      <c r="AA16" s="521"/>
      <c r="AB16" s="521"/>
      <c r="AC16" s="521"/>
      <c r="AD16" s="521">
        <f>AD15+AE13</f>
        <v>53.785714285714285</v>
      </c>
      <c r="AE16" s="521"/>
      <c r="AF16" s="521"/>
      <c r="AG16" s="521"/>
      <c r="AH16" s="521"/>
      <c r="AI16" s="522"/>
      <c r="AJ16" s="521"/>
      <c r="AK16" s="521"/>
      <c r="AL16" s="521"/>
      <c r="AM16" s="521"/>
      <c r="AN16" s="521"/>
      <c r="AO16" s="521"/>
      <c r="AP16" s="521"/>
      <c r="AQ16" s="521"/>
      <c r="AR16" s="521"/>
      <c r="AS16" s="521"/>
    </row>
    <row r="17" spans="2:99" s="662" customFormat="1" ht="24" hidden="1" customHeight="1">
      <c r="B17" s="747"/>
      <c r="C17" s="551" t="s">
        <v>194</v>
      </c>
      <c r="D17" s="557"/>
      <c r="E17" s="649"/>
      <c r="F17" s="650"/>
      <c r="G17" s="648"/>
      <c r="H17" s="559"/>
      <c r="I17" s="559"/>
      <c r="J17" s="560"/>
      <c r="K17" s="560"/>
      <c r="L17" s="561"/>
      <c r="M17" s="531"/>
      <c r="N17" s="521"/>
      <c r="O17" s="521"/>
      <c r="P17" s="521"/>
      <c r="Q17" s="521"/>
      <c r="R17" s="521"/>
      <c r="S17" s="521"/>
      <c r="T17" s="521"/>
      <c r="U17" s="521"/>
      <c r="V17" s="521"/>
      <c r="W17" s="521"/>
      <c r="X17" s="521"/>
      <c r="Y17" s="521"/>
      <c r="Z17" s="521"/>
      <c r="AA17" s="521"/>
      <c r="AB17" s="521"/>
      <c r="AC17" s="521"/>
      <c r="AD17" s="521"/>
      <c r="AE17" s="521"/>
      <c r="AF17" s="521"/>
      <c r="AG17" s="521"/>
      <c r="AH17" s="521"/>
      <c r="AI17" s="522"/>
      <c r="AJ17" s="521"/>
      <c r="AK17" s="521"/>
      <c r="AL17" s="521"/>
      <c r="AM17" s="521"/>
      <c r="AN17" s="521"/>
      <c r="AO17" s="521"/>
      <c r="AP17" s="521"/>
      <c r="AQ17" s="521"/>
      <c r="AR17" s="521"/>
      <c r="AS17" s="521"/>
    </row>
    <row r="18" spans="2:99" s="662" customFormat="1" ht="24" hidden="1" customHeight="1">
      <c r="B18" s="747"/>
      <c r="C18" s="551" t="s">
        <v>195</v>
      </c>
      <c r="D18" s="557"/>
      <c r="E18" s="649"/>
      <c r="F18" s="650"/>
      <c r="G18" s="648"/>
      <c r="H18" s="559"/>
      <c r="I18" s="559"/>
      <c r="J18" s="560"/>
      <c r="K18" s="560"/>
      <c r="L18" s="561"/>
      <c r="M18" s="531"/>
      <c r="N18" s="521"/>
      <c r="O18" s="523"/>
      <c r="P18" s="523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2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</row>
    <row r="19" spans="2:99" s="662" customFormat="1" ht="27.75" customHeight="1">
      <c r="B19" s="744"/>
      <c r="C19" s="536" t="s">
        <v>196</v>
      </c>
      <c r="D19" s="562">
        <v>78</v>
      </c>
      <c r="E19" s="651"/>
      <c r="F19" s="714">
        <v>0.87986111111111109</v>
      </c>
      <c r="G19" s="648"/>
      <c r="H19" s="448">
        <v>9</v>
      </c>
      <c r="I19" s="685">
        <f>IF(OR(F20="",F19=""),"",IF(F20&gt;=F19,(F20-F19)*24*60,(1+F20-F19)*24*60))</f>
        <v>8.999999999999968</v>
      </c>
      <c r="J19" s="585" t="s">
        <v>197</v>
      </c>
      <c r="K19" s="448">
        <v>520</v>
      </c>
      <c r="L19" s="564"/>
      <c r="M19" s="531"/>
      <c r="N19" s="521"/>
      <c r="O19" s="521"/>
      <c r="P19" s="521"/>
      <c r="Q19" s="521"/>
      <c r="R19" s="521"/>
      <c r="S19" s="521"/>
      <c r="T19" s="521">
        <f>K19*H19/60</f>
        <v>78</v>
      </c>
      <c r="U19" s="521"/>
      <c r="V19" s="521">
        <f>9/60</f>
        <v>0.15</v>
      </c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2"/>
      <c r="AJ19" s="521"/>
      <c r="AK19" s="521"/>
      <c r="AL19" s="965" t="s">
        <v>198</v>
      </c>
      <c r="AM19" s="965"/>
      <c r="AN19" s="965"/>
      <c r="AO19" s="521"/>
      <c r="AP19" s="521"/>
      <c r="AQ19" s="521"/>
      <c r="AR19" s="521"/>
      <c r="AS19" s="521"/>
      <c r="AU19" s="726" t="s">
        <v>142</v>
      </c>
      <c r="AV19" s="727" t="s">
        <v>199</v>
      </c>
      <c r="AW19" s="727" t="s">
        <v>200</v>
      </c>
      <c r="AX19" s="728" t="s">
        <v>201</v>
      </c>
      <c r="AY19" s="728" t="s">
        <v>202</v>
      </c>
      <c r="AZ19" s="728" t="s">
        <v>203</v>
      </c>
      <c r="BA19" s="728" t="s">
        <v>204</v>
      </c>
      <c r="BB19" s="727" t="s">
        <v>205</v>
      </c>
      <c r="BC19" s="728" t="s">
        <v>206</v>
      </c>
      <c r="BD19" s="729" t="s">
        <v>207</v>
      </c>
      <c r="BE19" s="729" t="s">
        <v>208</v>
      </c>
      <c r="BF19" s="728" t="s">
        <v>209</v>
      </c>
      <c r="BG19" s="727" t="s">
        <v>210</v>
      </c>
      <c r="BH19" s="727" t="s">
        <v>211</v>
      </c>
      <c r="BI19" s="727" t="s">
        <v>212</v>
      </c>
      <c r="BJ19" s="727" t="s">
        <v>213</v>
      </c>
      <c r="BK19" s="727" t="s">
        <v>214</v>
      </c>
      <c r="BL19" s="727" t="s">
        <v>215</v>
      </c>
      <c r="BM19" s="727" t="s">
        <v>216</v>
      </c>
      <c r="BN19" s="727" t="s">
        <v>217</v>
      </c>
      <c r="BO19" s="727" t="s">
        <v>218</v>
      </c>
      <c r="BP19" s="730" t="s">
        <v>219</v>
      </c>
      <c r="BQ19" s="727" t="s">
        <v>220</v>
      </c>
      <c r="BR19" s="727" t="s">
        <v>221</v>
      </c>
      <c r="BS19" s="727" t="s">
        <v>222</v>
      </c>
      <c r="BT19" s="730" t="s">
        <v>223</v>
      </c>
      <c r="BU19" s="730" t="s">
        <v>224</v>
      </c>
      <c r="BV19" s="730" t="s">
        <v>225</v>
      </c>
      <c r="BW19" s="727" t="s">
        <v>226</v>
      </c>
      <c r="BX19" s="730" t="s">
        <v>227</v>
      </c>
      <c r="BY19" s="730" t="s">
        <v>228</v>
      </c>
      <c r="BZ19" s="730"/>
      <c r="CA19" s="731" t="s">
        <v>229</v>
      </c>
      <c r="CB19" s="728" t="s">
        <v>209</v>
      </c>
      <c r="CC19" s="727" t="s">
        <v>230</v>
      </c>
      <c r="CD19" s="730" t="s">
        <v>231</v>
      </c>
      <c r="CE19" s="730" t="s">
        <v>232</v>
      </c>
      <c r="CF19" s="730" t="s">
        <v>233</v>
      </c>
      <c r="CG19" s="727" t="s">
        <v>234</v>
      </c>
      <c r="CH19" s="727" t="s">
        <v>235</v>
      </c>
      <c r="CI19" s="727" t="s">
        <v>229</v>
      </c>
      <c r="CJ19" s="727" t="s">
        <v>236</v>
      </c>
      <c r="CK19" s="732" t="s">
        <v>237</v>
      </c>
      <c r="CL19" s="732" t="s">
        <v>238</v>
      </c>
      <c r="CM19" s="732" t="s">
        <v>239</v>
      </c>
      <c r="CN19" s="733" t="s">
        <v>240</v>
      </c>
      <c r="CO19" s="727" t="s">
        <v>241</v>
      </c>
      <c r="CR19" s="841" t="s">
        <v>242</v>
      </c>
      <c r="CU19" s="842" t="s">
        <v>243</v>
      </c>
    </row>
    <row r="20" spans="2:99" s="662" customFormat="1" ht="23.25" customHeight="1">
      <c r="B20" s="744"/>
      <c r="C20" s="566" t="s">
        <v>244</v>
      </c>
      <c r="D20" s="448"/>
      <c r="E20" s="652">
        <v>79.7</v>
      </c>
      <c r="F20" s="714">
        <v>0.88611111111111107</v>
      </c>
      <c r="G20" s="648">
        <f>IF(ISBLANK(F20),"",F20+TIME(0,H20,0))</f>
        <v>0.89305555555555549</v>
      </c>
      <c r="H20" s="479">
        <v>10</v>
      </c>
      <c r="I20" s="685">
        <f>IF(OR(F21="",F20=""),"",IF(F21&gt;=F20,(F21-F20)*24*60,(1+F21-F20)*24*60))</f>
        <v>9.9999999999999645</v>
      </c>
      <c r="J20" s="539" t="s">
        <v>245</v>
      </c>
      <c r="K20" s="583" t="s">
        <v>246</v>
      </c>
      <c r="L20" s="564"/>
      <c r="M20" s="567" t="s">
        <v>247</v>
      </c>
      <c r="N20" s="521"/>
      <c r="O20" s="521"/>
      <c r="P20" s="521"/>
      <c r="Q20" s="521"/>
      <c r="R20" s="521"/>
      <c r="S20" s="521"/>
      <c r="T20" s="521"/>
      <c r="U20" s="521"/>
      <c r="V20" s="521" t="e">
        <f>V16/V19</f>
        <v>#REF!</v>
      </c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2"/>
      <c r="AJ20" s="521"/>
      <c r="AK20" s="521"/>
      <c r="AL20" s="521">
        <v>96</v>
      </c>
      <c r="AM20" s="521">
        <f>K9*100+D9</f>
        <v>9450</v>
      </c>
      <c r="AN20" s="521" t="e">
        <f>(AL20*AM20+AL21*AM21)/(AM20+AM21)</f>
        <v>#VALUE!</v>
      </c>
      <c r="AO20" s="521"/>
      <c r="AP20" s="521"/>
      <c r="AQ20" s="521"/>
      <c r="AR20" s="521"/>
      <c r="AS20" s="521"/>
      <c r="AU20" s="734">
        <f>E8</f>
        <v>1</v>
      </c>
      <c r="AV20" s="735" t="str">
        <f>"BUD"&amp;RIGHT(H3,3)</f>
        <v>BUD029</v>
      </c>
      <c r="AW20" s="734">
        <f>E9</f>
        <v>3941</v>
      </c>
      <c r="AX20" s="736">
        <v>0.80700000000000005</v>
      </c>
      <c r="AY20" s="736">
        <v>4.4699999999999997E-2</v>
      </c>
      <c r="AZ20" s="736"/>
      <c r="BA20" s="736">
        <v>0.3</v>
      </c>
      <c r="BB20" s="734">
        <f>E10</f>
        <v>1832</v>
      </c>
      <c r="BC20" s="736">
        <v>0.8</v>
      </c>
      <c r="BD20" s="736">
        <f>AW20/(AW20+BB20)</f>
        <v>0.68266066170102202</v>
      </c>
      <c r="BE20" s="736">
        <f>BB20/(AW20+BB20)</f>
        <v>0.31733933829897798</v>
      </c>
      <c r="BF20" s="734">
        <f>(AW20-AZ20-0)*AX20*(100%-AY20)+AZ20*BA20+(BB20+0)*BC20</f>
        <v>4503.8237011000001</v>
      </c>
      <c r="BG20" s="737">
        <f>D16</f>
        <v>3</v>
      </c>
      <c r="BH20" s="737">
        <f>D38</f>
        <v>4</v>
      </c>
      <c r="BI20" s="737">
        <f>D74</f>
        <v>2.5</v>
      </c>
      <c r="BJ20" s="738"/>
      <c r="BK20" s="738">
        <f>D75</f>
        <v>2.48</v>
      </c>
      <c r="BL20" s="735"/>
      <c r="BM20" s="738">
        <f>D76</f>
        <v>2.2000000000000002</v>
      </c>
      <c r="BN20" s="738">
        <f>D77</f>
        <v>2.41</v>
      </c>
      <c r="BO20" s="737">
        <f>D82</f>
        <v>2.1</v>
      </c>
      <c r="BP20" s="737">
        <f>D83</f>
        <v>152</v>
      </c>
      <c r="BQ20" s="734">
        <f>E98</f>
        <v>232</v>
      </c>
      <c r="BR20" s="737">
        <f>E100</f>
        <v>3.4</v>
      </c>
      <c r="BS20" s="734">
        <f>E85</f>
        <v>0</v>
      </c>
      <c r="BT20" s="735">
        <f>L55</f>
        <v>22.84</v>
      </c>
      <c r="BU20" s="735">
        <f>L96</f>
        <v>17.939999999999998</v>
      </c>
      <c r="BV20" s="738">
        <f>K91</f>
        <v>18.11</v>
      </c>
      <c r="BW20" s="735" t="str">
        <f>C3</f>
        <v>Hưng</v>
      </c>
      <c r="BX20" s="735">
        <f>L97</f>
        <v>5.25</v>
      </c>
      <c r="BY20" s="735"/>
      <c r="BZ20" s="735"/>
      <c r="CA20" s="735">
        <f>IF(BU20="","",+BU20*(1+(BU20-0.4644)/238.4)-0.02)</f>
        <v>19.235068221476507</v>
      </c>
      <c r="CB20" s="735">
        <f>IF(OR(CA20="",BQ20=""),"",BQ20*CA20)</f>
        <v>4462.5358273825495</v>
      </c>
      <c r="CC20" s="734">
        <f>E66</f>
        <v>269</v>
      </c>
      <c r="CD20" s="735">
        <f>L63</f>
        <v>2.57</v>
      </c>
      <c r="CE20" s="735">
        <f>L64</f>
        <v>0.78</v>
      </c>
      <c r="CF20" s="734">
        <f>E61</f>
        <v>75</v>
      </c>
      <c r="CG20" s="735"/>
      <c r="CH20" s="735"/>
      <c r="CI20" s="735"/>
      <c r="CJ20" s="735"/>
      <c r="CK20" s="734">
        <f>K30</f>
        <v>211</v>
      </c>
      <c r="CL20" s="735">
        <f>K48</f>
        <v>227</v>
      </c>
      <c r="CM20" s="734">
        <f>K86</f>
        <v>2659</v>
      </c>
      <c r="CN20" s="734">
        <f>BF20-CB20-CJ20</f>
        <v>41.287873717450566</v>
      </c>
      <c r="CO20" s="738">
        <f>IF(BV20="","",CN20/BF20%)</f>
        <v>0.91672934949399865</v>
      </c>
      <c r="CR20" s="736">
        <f>(CC20-BQ20-BS20-10.5)/CC20</f>
        <v>9.8513011152416355E-2</v>
      </c>
      <c r="CU20" s="734">
        <f>SUM(CK20:CM20)</f>
        <v>3097</v>
      </c>
    </row>
    <row r="21" spans="2:99" s="662" customFormat="1" ht="26.25" customHeight="1">
      <c r="B21" s="744"/>
      <c r="C21" s="536" t="s">
        <v>248</v>
      </c>
      <c r="D21" s="562">
        <v>95</v>
      </c>
      <c r="E21" s="816"/>
      <c r="F21" s="680">
        <f>G20</f>
        <v>0.89305555555555549</v>
      </c>
      <c r="G21" s="648"/>
      <c r="H21" s="448">
        <v>9</v>
      </c>
      <c r="I21" s="685">
        <f>IF(OR(F22="",F21=""),"",IF(F22&gt;=F21,(F22-F21)*24*60,(1+F22-F21)*24*60))</f>
        <v>8.999999999999968</v>
      </c>
      <c r="J21" s="585" t="s">
        <v>197</v>
      </c>
      <c r="K21" s="448">
        <v>520</v>
      </c>
      <c r="L21" s="564"/>
      <c r="M21" s="568"/>
      <c r="N21" s="521"/>
      <c r="O21" s="521"/>
      <c r="P21" s="521"/>
      <c r="Q21" s="521"/>
      <c r="R21" s="521"/>
      <c r="S21" s="521"/>
      <c r="T21" s="521">
        <f>K21*H21/60</f>
        <v>78</v>
      </c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2"/>
      <c r="AJ21" s="521"/>
      <c r="AK21" s="521"/>
      <c r="AL21" s="521">
        <v>44</v>
      </c>
      <c r="AM21" s="521" t="e">
        <f>K8*100+D8</f>
        <v>#VALUE!</v>
      </c>
      <c r="AN21" s="521"/>
      <c r="AO21" s="521"/>
      <c r="AP21" s="521"/>
      <c r="AQ21" s="521"/>
      <c r="AR21" s="521"/>
      <c r="AS21" s="521"/>
    </row>
    <row r="22" spans="2:99" s="662" customFormat="1" ht="21.75" customHeight="1">
      <c r="B22" s="744"/>
      <c r="C22" s="566" t="s">
        <v>249</v>
      </c>
      <c r="D22" s="448"/>
      <c r="E22" s="652">
        <v>96.4</v>
      </c>
      <c r="F22" s="714">
        <v>0.89930555555555547</v>
      </c>
      <c r="G22" s="648">
        <f>IF(ISBLANK(F22),"",F22+TIME(0,H22,0))</f>
        <v>0.90069444444444435</v>
      </c>
      <c r="H22" s="479">
        <v>2</v>
      </c>
      <c r="I22" s="685">
        <f>IF(OR(F30="",F22=""),"",IF(F30&gt;=F22,(F30-F22)*24*60,(1+F30-F22)*24*60))</f>
        <v>1.9999999999999929</v>
      </c>
      <c r="J22" s="539" t="s">
        <v>245</v>
      </c>
      <c r="K22" s="583" t="s">
        <v>246</v>
      </c>
      <c r="L22" s="564"/>
      <c r="M22" s="570"/>
      <c r="N22" s="521"/>
      <c r="O22" s="523"/>
      <c r="P22" s="523"/>
      <c r="Q22" s="521"/>
      <c r="R22" s="521"/>
      <c r="S22" s="521"/>
      <c r="T22" s="521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2"/>
      <c r="AJ22" s="521"/>
      <c r="AK22" s="521"/>
      <c r="AL22" s="521"/>
      <c r="AM22" s="521"/>
      <c r="AN22" s="521"/>
      <c r="AO22" s="521"/>
      <c r="AP22" s="521"/>
      <c r="AQ22" s="521"/>
      <c r="AR22" s="521"/>
      <c r="AS22" s="521"/>
    </row>
    <row r="23" spans="2:99" s="662" customFormat="1" ht="21.75" hidden="1" customHeight="1">
      <c r="B23" s="744"/>
      <c r="C23" s="536" t="s">
        <v>250</v>
      </c>
      <c r="D23" s="448"/>
      <c r="E23" s="646"/>
      <c r="F23" s="715"/>
      <c r="G23" s="648"/>
      <c r="H23" s="565"/>
      <c r="I23" s="685" t="str">
        <f t="shared" ref="I23:I29" si="0">IF(OR(F24="",F23=""),"",IF(F24&gt;F23,(F24-F23)*24*60,(1+F24-F23)*24*60))</f>
        <v/>
      </c>
      <c r="J23" s="571" t="s">
        <v>251</v>
      </c>
      <c r="K23" s="572"/>
      <c r="L23" s="564"/>
      <c r="M23" s="568"/>
      <c r="N23" s="521"/>
      <c r="O23" s="521"/>
      <c r="P23" s="521"/>
      <c r="Q23" s="521"/>
      <c r="R23" s="521"/>
      <c r="S23" s="521"/>
      <c r="T23" s="521"/>
      <c r="U23" s="521"/>
      <c r="V23" s="521"/>
      <c r="W23" s="521"/>
      <c r="X23" s="521"/>
      <c r="Y23" s="521"/>
      <c r="Z23" s="521"/>
      <c r="AA23" s="521"/>
      <c r="AB23" s="521"/>
      <c r="AC23" s="521"/>
      <c r="AD23" s="521"/>
      <c r="AE23" s="521"/>
      <c r="AF23" s="521"/>
      <c r="AG23" s="521"/>
      <c r="AH23" s="521"/>
      <c r="AI23" s="522"/>
      <c r="AJ23" s="521"/>
      <c r="AK23" s="521"/>
      <c r="AL23" s="521"/>
      <c r="AM23" s="521"/>
      <c r="AN23" s="521"/>
      <c r="AO23" s="521"/>
      <c r="AP23" s="521"/>
      <c r="AQ23" s="521"/>
      <c r="AR23" s="521"/>
      <c r="AS23" s="521"/>
    </row>
    <row r="24" spans="2:99" s="662" customFormat="1" ht="15" hidden="1" customHeight="1">
      <c r="B24" s="744"/>
      <c r="C24" s="573" t="s">
        <v>252</v>
      </c>
      <c r="D24" s="448"/>
      <c r="E24" s="646"/>
      <c r="F24" s="715"/>
      <c r="G24" s="648"/>
      <c r="H24" s="565"/>
      <c r="I24" s="685" t="str">
        <f t="shared" si="0"/>
        <v/>
      </c>
      <c r="J24" s="559"/>
      <c r="K24" s="559"/>
      <c r="L24" s="564"/>
      <c r="M24" s="531"/>
      <c r="N24" s="521"/>
      <c r="O24" s="521"/>
      <c r="P24" s="521"/>
      <c r="Q24" s="521"/>
      <c r="R24" s="521"/>
      <c r="S24" s="521"/>
      <c r="T24" s="521"/>
      <c r="U24" s="521"/>
      <c r="V24" s="521"/>
      <c r="W24" s="521"/>
      <c r="X24" s="521"/>
      <c r="Y24" s="521"/>
      <c r="Z24" s="521"/>
      <c r="AA24" s="521"/>
      <c r="AB24" s="521"/>
      <c r="AC24" s="521"/>
      <c r="AD24" s="521"/>
      <c r="AE24" s="521"/>
      <c r="AF24" s="521"/>
      <c r="AG24" s="521"/>
      <c r="AH24" s="521"/>
      <c r="AI24" s="522"/>
      <c r="AJ24" s="521"/>
      <c r="AK24" s="521"/>
      <c r="AL24" s="521"/>
      <c r="AM24" s="521"/>
      <c r="AN24" s="521"/>
      <c r="AO24" s="521"/>
      <c r="AP24" s="521"/>
      <c r="AQ24" s="521"/>
      <c r="AR24" s="521"/>
      <c r="AS24" s="521"/>
    </row>
    <row r="25" spans="2:99" s="662" customFormat="1" ht="22.5" hidden="1" customHeight="1">
      <c r="B25" s="744"/>
      <c r="C25" s="551" t="s">
        <v>253</v>
      </c>
      <c r="D25" s="448"/>
      <c r="E25" s="646"/>
      <c r="F25" s="715"/>
      <c r="G25" s="648"/>
      <c r="H25" s="565"/>
      <c r="I25" s="685" t="str">
        <f t="shared" si="0"/>
        <v/>
      </c>
      <c r="J25" s="559"/>
      <c r="K25" s="559"/>
      <c r="L25" s="564"/>
      <c r="M25" s="531"/>
      <c r="N25" s="521"/>
      <c r="O25" s="521"/>
      <c r="P25" s="521"/>
      <c r="Q25" s="521"/>
      <c r="R25" s="521"/>
      <c r="S25" s="521"/>
      <c r="T25" s="521"/>
      <c r="U25" s="521"/>
      <c r="V25" s="521"/>
      <c r="W25" s="521"/>
      <c r="X25" s="521"/>
      <c r="Y25" s="521"/>
      <c r="Z25" s="521"/>
      <c r="AA25" s="521"/>
      <c r="AB25" s="521"/>
      <c r="AC25" s="521"/>
      <c r="AD25" s="521"/>
      <c r="AE25" s="521"/>
      <c r="AF25" s="521"/>
      <c r="AG25" s="521"/>
      <c r="AH25" s="521"/>
      <c r="AI25" s="522"/>
      <c r="AJ25" s="521"/>
      <c r="AK25" s="521"/>
      <c r="AL25" s="521"/>
      <c r="AM25" s="521"/>
      <c r="AN25" s="521"/>
      <c r="AO25" s="521"/>
      <c r="AP25" s="521"/>
      <c r="AQ25" s="521"/>
      <c r="AR25" s="521"/>
      <c r="AS25" s="521"/>
    </row>
    <row r="26" spans="2:99" s="662" customFormat="1" ht="14.25" hidden="1" customHeight="1">
      <c r="B26" s="744"/>
      <c r="C26" s="573" t="s">
        <v>254</v>
      </c>
      <c r="D26" s="448"/>
      <c r="E26" s="646"/>
      <c r="F26" s="715"/>
      <c r="G26" s="648"/>
      <c r="H26" s="565"/>
      <c r="I26" s="685" t="str">
        <f t="shared" si="0"/>
        <v/>
      </c>
      <c r="J26" s="559"/>
      <c r="K26" s="559"/>
      <c r="L26" s="564"/>
      <c r="M26" s="531"/>
      <c r="N26" s="521"/>
      <c r="O26" s="521"/>
      <c r="P26" s="521"/>
      <c r="Q26" s="521"/>
      <c r="R26" s="521"/>
      <c r="S26" s="521"/>
      <c r="T26" s="521"/>
      <c r="U26" s="521"/>
      <c r="V26" s="521"/>
      <c r="W26" s="521"/>
      <c r="X26" s="521"/>
      <c r="Y26" s="521"/>
      <c r="Z26" s="521"/>
      <c r="AA26" s="521"/>
      <c r="AB26" s="521"/>
      <c r="AC26" s="521"/>
      <c r="AD26" s="521"/>
      <c r="AE26" s="521"/>
      <c r="AF26" s="521"/>
      <c r="AG26" s="521"/>
      <c r="AH26" s="521"/>
      <c r="AI26" s="522"/>
      <c r="AJ26" s="521"/>
      <c r="AK26" s="521"/>
      <c r="AL26" s="521"/>
      <c r="AM26" s="521"/>
      <c r="AN26" s="521"/>
      <c r="AO26" s="521"/>
      <c r="AP26" s="521"/>
      <c r="AQ26" s="521"/>
      <c r="AR26" s="521"/>
      <c r="AS26" s="521"/>
    </row>
    <row r="27" spans="2:99" s="662" customFormat="1" ht="17.25" hidden="1" customHeight="1">
      <c r="B27" s="744"/>
      <c r="C27" s="536" t="s">
        <v>255</v>
      </c>
      <c r="D27" s="448"/>
      <c r="E27" s="646"/>
      <c r="F27" s="715"/>
      <c r="G27" s="648"/>
      <c r="H27" s="565"/>
      <c r="I27" s="685" t="str">
        <f t="shared" si="0"/>
        <v/>
      </c>
      <c r="J27" s="559"/>
      <c r="K27" s="559"/>
      <c r="L27" s="564"/>
      <c r="M27" s="531"/>
      <c r="N27" s="521"/>
      <c r="O27" s="521"/>
      <c r="P27" s="521"/>
      <c r="Q27" s="521"/>
      <c r="R27" s="521"/>
      <c r="S27" s="521"/>
      <c r="T27" s="521"/>
      <c r="U27" s="521"/>
      <c r="V27" s="521"/>
      <c r="W27" s="521"/>
      <c r="X27" s="521"/>
      <c r="Y27" s="521"/>
      <c r="Z27" s="521"/>
      <c r="AA27" s="521"/>
      <c r="AB27" s="521"/>
      <c r="AC27" s="521"/>
      <c r="AD27" s="521"/>
      <c r="AE27" s="521"/>
      <c r="AF27" s="521"/>
      <c r="AG27" s="521"/>
      <c r="AH27" s="521"/>
      <c r="AI27" s="522"/>
      <c r="AJ27" s="521"/>
      <c r="AK27" s="521"/>
      <c r="AL27" s="521"/>
      <c r="AM27" s="521"/>
      <c r="AN27" s="521"/>
      <c r="AO27" s="521"/>
      <c r="AP27" s="521"/>
      <c r="AQ27" s="521"/>
      <c r="AR27" s="521"/>
      <c r="AS27" s="521"/>
    </row>
    <row r="28" spans="2:99" s="662" customFormat="1" ht="15.75" hidden="1" customHeight="1">
      <c r="B28" s="744"/>
      <c r="C28" s="573" t="s">
        <v>256</v>
      </c>
      <c r="D28" s="448"/>
      <c r="E28" s="646"/>
      <c r="F28" s="715"/>
      <c r="G28" s="648"/>
      <c r="H28" s="565"/>
      <c r="I28" s="685" t="str">
        <f t="shared" si="0"/>
        <v/>
      </c>
      <c r="J28" s="559"/>
      <c r="K28" s="559"/>
      <c r="L28" s="564"/>
      <c r="M28" s="531"/>
      <c r="N28" s="521"/>
      <c r="O28" s="521"/>
      <c r="P28" s="521"/>
      <c r="Q28" s="521"/>
      <c r="R28" s="521"/>
      <c r="S28" s="521"/>
      <c r="T28" s="521"/>
      <c r="U28" s="521"/>
      <c r="V28" s="521"/>
      <c r="W28" s="521"/>
      <c r="X28" s="521"/>
      <c r="Y28" s="521"/>
      <c r="Z28" s="521"/>
      <c r="AA28" s="521"/>
      <c r="AB28" s="521"/>
      <c r="AC28" s="521"/>
      <c r="AD28" s="521"/>
      <c r="AE28" s="521"/>
      <c r="AF28" s="521"/>
      <c r="AG28" s="521"/>
      <c r="AH28" s="521"/>
      <c r="AI28" s="522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</row>
    <row r="29" spans="2:99" s="662" customFormat="1" ht="23.25" hidden="1" customHeight="1">
      <c r="B29" s="748"/>
      <c r="C29" s="536" t="s">
        <v>257</v>
      </c>
      <c r="D29" s="448"/>
      <c r="E29" s="646"/>
      <c r="F29" s="715"/>
      <c r="G29" s="648"/>
      <c r="H29" s="537"/>
      <c r="I29" s="685" t="str">
        <f t="shared" si="0"/>
        <v/>
      </c>
      <c r="J29" s="571" t="s">
        <v>251</v>
      </c>
      <c r="K29" s="572"/>
      <c r="L29" s="564"/>
      <c r="M29" s="568"/>
      <c r="N29" s="521"/>
      <c r="O29" s="521"/>
      <c r="P29" s="521"/>
      <c r="Q29" s="521"/>
      <c r="R29" s="521"/>
      <c r="S29" s="521"/>
      <c r="T29" s="521"/>
      <c r="U29" s="521"/>
      <c r="V29" s="521"/>
      <c r="W29" s="521"/>
      <c r="X29" s="521"/>
      <c r="Y29" s="521"/>
      <c r="Z29" s="521"/>
      <c r="AA29" s="521"/>
      <c r="AB29" s="521"/>
      <c r="AC29" s="521"/>
      <c r="AD29" s="521"/>
      <c r="AE29" s="521"/>
      <c r="AF29" s="521"/>
      <c r="AG29" s="521"/>
      <c r="AH29" s="521"/>
      <c r="AI29" s="522"/>
      <c r="AJ29" s="521"/>
      <c r="AK29" s="521"/>
      <c r="AL29" s="521"/>
      <c r="AM29" s="521"/>
      <c r="AN29" s="521"/>
      <c r="AO29" s="521"/>
      <c r="AP29" s="521"/>
      <c r="AQ29" s="521"/>
      <c r="AR29" s="521"/>
      <c r="AS29" s="521"/>
    </row>
    <row r="30" spans="2:99" s="662" customFormat="1" ht="24.75" customHeight="1" collapsed="1">
      <c r="B30" s="744"/>
      <c r="C30" s="536" t="s">
        <v>258</v>
      </c>
      <c r="D30" s="448"/>
      <c r="E30" s="651"/>
      <c r="F30" s="714">
        <f>G22</f>
        <v>0.90069444444444435</v>
      </c>
      <c r="G30" s="648"/>
      <c r="H30" s="448">
        <v>7</v>
      </c>
      <c r="I30" s="685">
        <f>IF(OR(F31="",F30=""),"",IF(F31&gt;=F30,(F31-F30)*24*60,(1+F31-F30)*24*60))</f>
        <v>5.0000000000001421</v>
      </c>
      <c r="J30" s="574" t="s">
        <v>259</v>
      </c>
      <c r="K30" s="537">
        <v>211</v>
      </c>
      <c r="L30" s="569"/>
      <c r="M30" s="531"/>
      <c r="N30" s="521"/>
      <c r="O30" s="521"/>
      <c r="P30" s="521"/>
      <c r="Q30" s="521"/>
      <c r="R30" s="521"/>
      <c r="S30" s="521"/>
      <c r="T30" s="521"/>
      <c r="U30" s="521"/>
      <c r="V30" s="521"/>
      <c r="W30" s="521"/>
      <c r="X30" s="521"/>
      <c r="Y30" s="521"/>
      <c r="Z30" s="521"/>
      <c r="AA30" s="521"/>
      <c r="AB30" s="521"/>
      <c r="AC30" s="521"/>
      <c r="AD30" s="521"/>
      <c r="AE30" s="521"/>
      <c r="AF30" s="521"/>
      <c r="AG30" s="521"/>
      <c r="AH30" s="521"/>
      <c r="AI30" s="522"/>
      <c r="AJ30" s="521"/>
      <c r="AK30" s="521"/>
      <c r="AL30" s="521"/>
      <c r="AM30" s="535" t="s">
        <v>260</v>
      </c>
      <c r="AN30" s="535" t="s">
        <v>261</v>
      </c>
      <c r="AO30" s="535" t="s">
        <v>199</v>
      </c>
      <c r="AP30" s="535" t="s">
        <v>262</v>
      </c>
      <c r="AQ30" s="535" t="s">
        <v>263</v>
      </c>
      <c r="AR30" s="575" t="s">
        <v>264</v>
      </c>
      <c r="AS30" s="521"/>
    </row>
    <row r="31" spans="2:99" s="662" customFormat="1" ht="24.75" customHeight="1">
      <c r="B31" s="744"/>
      <c r="C31" s="536" t="s">
        <v>265</v>
      </c>
      <c r="D31" s="448">
        <v>7</v>
      </c>
      <c r="E31" s="651"/>
      <c r="F31" s="714">
        <v>0.90416666666666667</v>
      </c>
      <c r="G31" s="648">
        <f>IF(F42="","",F42)</f>
        <v>0.90486111111111101</v>
      </c>
      <c r="H31" s="448">
        <v>1</v>
      </c>
      <c r="I31" s="685">
        <f>IF(OR(G31="",F31=""),"",IF(G31&gt;=F31,(G31-F31)*24*60,(1+G31-F31)*24*60))</f>
        <v>0.99999999999983658</v>
      </c>
      <c r="J31" s="539"/>
      <c r="K31" s="539"/>
      <c r="L31" s="641"/>
      <c r="M31" s="554"/>
      <c r="N31" s="521"/>
      <c r="O31" s="521"/>
      <c r="P31" s="521"/>
      <c r="Q31" s="521"/>
      <c r="R31" s="521"/>
      <c r="S31" s="521"/>
      <c r="T31" s="521"/>
      <c r="U31" s="521"/>
      <c r="V31" s="521"/>
      <c r="W31" s="521"/>
      <c r="X31" s="521"/>
      <c r="Y31" s="521"/>
      <c r="Z31" s="521"/>
      <c r="AA31" s="521"/>
      <c r="AB31" s="521"/>
      <c r="AC31" s="521"/>
      <c r="AD31" s="521"/>
      <c r="AE31" s="521"/>
      <c r="AF31" s="521"/>
      <c r="AG31" s="521"/>
      <c r="AH31" s="521"/>
      <c r="AI31" s="522"/>
      <c r="AJ31" s="521"/>
      <c r="AK31" s="521"/>
      <c r="AL31" s="521"/>
      <c r="AM31" s="535"/>
      <c r="AN31" s="535">
        <v>80</v>
      </c>
      <c r="AO31" s="535">
        <v>30</v>
      </c>
      <c r="AP31" s="535">
        <v>60</v>
      </c>
      <c r="AQ31" s="535">
        <v>180</v>
      </c>
      <c r="AR31" s="575">
        <f>AQ31*AO32</f>
        <v>72</v>
      </c>
      <c r="AS31" s="521"/>
    </row>
    <row r="32" spans="2:99" s="662" customFormat="1" ht="24.75" customHeight="1">
      <c r="B32" s="744"/>
      <c r="C32" s="536" t="s">
        <v>266</v>
      </c>
      <c r="D32" s="448">
        <v>2</v>
      </c>
      <c r="E32" s="651"/>
      <c r="F32" s="651"/>
      <c r="G32" s="651"/>
      <c r="H32" s="448">
        <v>0</v>
      </c>
      <c r="I32" s="448"/>
      <c r="J32" s="539"/>
      <c r="K32" s="539"/>
      <c r="L32" s="641"/>
      <c r="M32" s="554"/>
      <c r="N32" s="521"/>
      <c r="O32" s="521"/>
      <c r="P32" s="521"/>
      <c r="Q32" s="521"/>
      <c r="R32" s="521"/>
      <c r="S32" s="521"/>
      <c r="T32" s="521"/>
      <c r="U32" s="521"/>
      <c r="V32" s="521"/>
      <c r="W32" s="521"/>
      <c r="X32" s="521"/>
      <c r="Y32" s="521"/>
      <c r="Z32" s="521"/>
      <c r="AA32" s="521"/>
      <c r="AB32" s="521"/>
      <c r="AC32" s="521"/>
      <c r="AD32" s="521"/>
      <c r="AE32" s="521"/>
      <c r="AF32" s="521"/>
      <c r="AG32" s="521"/>
      <c r="AH32" s="521"/>
      <c r="AI32" s="522"/>
      <c r="AJ32" s="521"/>
      <c r="AK32" s="521"/>
      <c r="AL32" s="521"/>
      <c r="AM32" s="535"/>
      <c r="AN32" s="535">
        <v>0.6</v>
      </c>
      <c r="AO32" s="535">
        <f>1-AN32</f>
        <v>0.4</v>
      </c>
      <c r="AP32" s="576">
        <f>AN31*AN32+AO31*AO32</f>
        <v>60</v>
      </c>
      <c r="AQ32" s="535"/>
      <c r="AR32" s="535"/>
      <c r="AS32" s="521"/>
    </row>
    <row r="33" spans="2:45" s="662" customFormat="1" ht="22.5" customHeight="1" thickBot="1">
      <c r="B33" s="745"/>
      <c r="C33" s="779" t="s">
        <v>267</v>
      </c>
      <c r="D33" s="882"/>
      <c r="E33" s="882"/>
      <c r="F33" s="882"/>
      <c r="G33" s="882"/>
      <c r="H33" s="882">
        <f>SUM(H12:H32)</f>
        <v>56.066666666666663</v>
      </c>
      <c r="I33" s="882">
        <f>IF(OR(G31="",F13=""),"",IF(G31&gt;=F13,(G31-F13)*24*60,(G31+1-F13)*24*60))</f>
        <v>52.999999999999972</v>
      </c>
      <c r="J33" s="543"/>
      <c r="K33" s="543"/>
      <c r="L33" s="643"/>
      <c r="M33" s="580"/>
      <c r="N33" s="521"/>
      <c r="O33" s="521"/>
      <c r="P33" s="521"/>
      <c r="Q33" s="521"/>
      <c r="R33" s="521"/>
      <c r="S33" s="521"/>
      <c r="T33" s="521"/>
      <c r="U33" s="521"/>
      <c r="V33" s="521"/>
      <c r="W33" s="521"/>
      <c r="X33" s="521"/>
      <c r="Y33" s="521"/>
      <c r="Z33" s="521"/>
      <c r="AA33" s="521"/>
      <c r="AB33" s="521"/>
      <c r="AC33" s="521"/>
      <c r="AD33" s="521"/>
      <c r="AE33" s="521"/>
      <c r="AF33" s="521"/>
      <c r="AG33" s="521"/>
      <c r="AH33" s="521"/>
      <c r="AI33" s="522"/>
      <c r="AJ33" s="521"/>
      <c r="AK33" s="521"/>
      <c r="AL33" s="521"/>
      <c r="AM33" s="521"/>
      <c r="AN33" s="521"/>
      <c r="AO33" s="521"/>
      <c r="AP33" s="521"/>
      <c r="AQ33" s="521"/>
      <c r="AR33" s="521"/>
      <c r="AS33" s="521"/>
    </row>
    <row r="34" spans="2:45" s="662" customFormat="1" ht="15" customHeight="1" thickBot="1">
      <c r="B34" s="770"/>
      <c r="C34" s="941" t="s">
        <v>268</v>
      </c>
      <c r="D34" s="942"/>
      <c r="E34" s="942"/>
      <c r="F34" s="942"/>
      <c r="G34" s="942"/>
      <c r="H34" s="942"/>
      <c r="I34" s="942"/>
      <c r="J34" s="942"/>
      <c r="K34" s="942"/>
      <c r="L34" s="943"/>
      <c r="M34" s="582"/>
      <c r="N34" s="521"/>
      <c r="O34" s="521"/>
      <c r="P34" s="521"/>
      <c r="Q34" s="521"/>
      <c r="R34" s="521"/>
      <c r="S34" s="521"/>
      <c r="T34" s="521"/>
      <c r="U34" s="521"/>
      <c r="V34" s="521"/>
      <c r="W34" s="521"/>
      <c r="X34" s="521"/>
      <c r="Y34" s="521"/>
      <c r="Z34" s="521"/>
      <c r="AA34" s="521"/>
      <c r="AB34" s="521"/>
      <c r="AC34" s="521"/>
      <c r="AD34" s="521"/>
      <c r="AE34" s="521"/>
      <c r="AF34" s="521"/>
      <c r="AG34" s="521"/>
      <c r="AH34" s="521"/>
      <c r="AI34" s="522"/>
      <c r="AJ34" s="521"/>
      <c r="AK34" s="521"/>
      <c r="AL34" s="521"/>
      <c r="AM34" s="521"/>
      <c r="AN34" s="521"/>
      <c r="AO34" s="521"/>
      <c r="AP34" s="521"/>
      <c r="AQ34" s="521"/>
      <c r="AR34" s="521"/>
      <c r="AS34" s="521"/>
    </row>
    <row r="35" spans="2:45" s="662" customFormat="1" ht="24.75" customHeight="1">
      <c r="B35" s="745"/>
      <c r="C35" s="594" t="s">
        <v>269</v>
      </c>
      <c r="D35" s="882">
        <v>10</v>
      </c>
      <c r="E35" s="647"/>
      <c r="F35" s="775"/>
      <c r="G35" s="775"/>
      <c r="H35" s="882">
        <v>2</v>
      </c>
      <c r="I35" s="882"/>
      <c r="J35" s="790" t="s">
        <v>178</v>
      </c>
      <c r="K35" s="791">
        <v>225</v>
      </c>
      <c r="L35" s="713">
        <v>225</v>
      </c>
      <c r="M35" s="584"/>
      <c r="N35" s="521"/>
      <c r="O35" s="521"/>
      <c r="P35" s="521"/>
      <c r="Q35" s="521"/>
      <c r="R35" s="521"/>
      <c r="S35" s="521"/>
      <c r="T35" s="964" t="s">
        <v>270</v>
      </c>
      <c r="U35" s="964"/>
      <c r="V35" s="521" t="e">
        <f>(D8-K15)/H36*1.2</f>
        <v>#VALUE!</v>
      </c>
      <c r="W35" s="521"/>
      <c r="X35" s="521"/>
      <c r="Y35" s="521"/>
      <c r="Z35" s="521"/>
      <c r="AA35" s="521"/>
      <c r="AB35" s="521"/>
      <c r="AC35" s="521"/>
      <c r="AD35" s="521"/>
      <c r="AE35" s="521"/>
      <c r="AF35" s="521"/>
      <c r="AG35" s="521"/>
      <c r="AH35" s="521"/>
      <c r="AI35" s="522"/>
      <c r="AJ35" s="521"/>
      <c r="AK35" s="521"/>
      <c r="AL35" s="521"/>
      <c r="AM35" s="535" t="s">
        <v>271</v>
      </c>
      <c r="AN35" s="535" t="s">
        <v>261</v>
      </c>
      <c r="AO35" s="535" t="s">
        <v>199</v>
      </c>
      <c r="AP35" s="535" t="s">
        <v>272</v>
      </c>
      <c r="AQ35" s="535" t="s">
        <v>273</v>
      </c>
      <c r="AR35" s="575" t="s">
        <v>264</v>
      </c>
      <c r="AS35" s="521"/>
    </row>
    <row r="36" spans="2:45" s="663" customFormat="1" ht="24" customHeight="1">
      <c r="B36" s="744"/>
      <c r="C36" s="536" t="s">
        <v>274</v>
      </c>
      <c r="D36" s="448">
        <v>80</v>
      </c>
      <c r="E36" s="646">
        <v>80</v>
      </c>
      <c r="F36" s="648">
        <f>IF(F19="","",F19)</f>
        <v>0.87986111111111109</v>
      </c>
      <c r="G36" s="648"/>
      <c r="H36" s="448">
        <f>D36/K35*60</f>
        <v>21.333333333333336</v>
      </c>
      <c r="I36" s="685">
        <f>IF(OR(F37="",F36=""),"",IF(F37&gt;=F36,(F37-F36)*24*60,(1+F37-F36)*24*60))</f>
        <v>20.999999999999925</v>
      </c>
      <c r="J36" s="585" t="s">
        <v>275</v>
      </c>
      <c r="K36" s="583">
        <v>43.8</v>
      </c>
      <c r="L36" s="561">
        <f ca="1">43.8+RANDBETWEEN(-2,2)/10</f>
        <v>43.699999999999996</v>
      </c>
      <c r="M36" s="586"/>
      <c r="N36" s="523"/>
      <c r="O36" s="523"/>
      <c r="P36" s="523"/>
      <c r="Q36" s="523"/>
      <c r="R36" s="523"/>
      <c r="S36" s="523"/>
      <c r="T36" s="555" t="s">
        <v>184</v>
      </c>
      <c r="U36" s="523"/>
      <c r="V36" s="587" t="e">
        <f>(K8)/(D8-K15)*100</f>
        <v>#VALUE!</v>
      </c>
      <c r="W36" s="523"/>
      <c r="X36" s="523"/>
      <c r="Y36" s="523"/>
      <c r="Z36" s="523"/>
      <c r="AA36" s="523"/>
      <c r="AB36" s="523"/>
      <c r="AC36" s="523"/>
      <c r="AD36" s="523"/>
      <c r="AE36" s="523"/>
      <c r="AF36" s="523"/>
      <c r="AG36" s="523"/>
      <c r="AH36" s="523"/>
      <c r="AI36" s="524"/>
      <c r="AJ36" s="523"/>
      <c r="AK36" s="523"/>
      <c r="AL36" s="523"/>
      <c r="AM36" s="588"/>
      <c r="AN36" s="535">
        <v>80</v>
      </c>
      <c r="AO36" s="535">
        <v>30</v>
      </c>
      <c r="AP36" s="535">
        <v>41</v>
      </c>
      <c r="AQ36" s="535">
        <v>240</v>
      </c>
      <c r="AR36" s="575">
        <f>AQ36*AO37</f>
        <v>187.20000000000002</v>
      </c>
      <c r="AS36" s="523"/>
    </row>
    <row r="37" spans="2:45" s="663" customFormat="1" ht="24" customHeight="1">
      <c r="B37" s="744"/>
      <c r="C37" s="536" t="s">
        <v>276</v>
      </c>
      <c r="D37" s="448">
        <v>14</v>
      </c>
      <c r="E37" s="646">
        <v>14</v>
      </c>
      <c r="F37" s="714">
        <v>0.89444444444444438</v>
      </c>
      <c r="G37" s="648"/>
      <c r="H37" s="448">
        <f>D37/280*60</f>
        <v>3</v>
      </c>
      <c r="I37" s="685">
        <f>IF(OR(F40="",F37=""),"",IF(F40&gt;=F37,(F40-F37)*24*60,(1+F40-F37)*24*60))</f>
        <v>2.9999999999999893</v>
      </c>
      <c r="J37" s="552" t="s">
        <v>187</v>
      </c>
      <c r="K37" s="583">
        <v>46.5</v>
      </c>
      <c r="L37" s="561">
        <f ca="1">46.7+RANDBETWEEN(-1,3)/10</f>
        <v>46.800000000000004</v>
      </c>
      <c r="M37" s="586"/>
      <c r="N37" s="523"/>
      <c r="O37" s="523"/>
      <c r="P37" s="523"/>
      <c r="Q37" s="523"/>
      <c r="R37" s="523"/>
      <c r="S37" s="523"/>
      <c r="T37" s="555"/>
      <c r="U37" s="523"/>
      <c r="V37" s="587"/>
      <c r="W37" s="523"/>
      <c r="X37" s="523"/>
      <c r="Y37" s="523"/>
      <c r="Z37" s="523"/>
      <c r="AA37" s="523"/>
      <c r="AB37" s="523"/>
      <c r="AC37" s="523"/>
      <c r="AD37" s="523"/>
      <c r="AE37" s="523"/>
      <c r="AF37" s="523"/>
      <c r="AG37" s="523"/>
      <c r="AH37" s="523"/>
      <c r="AI37" s="524"/>
      <c r="AJ37" s="523"/>
      <c r="AK37" s="523"/>
      <c r="AL37" s="523"/>
      <c r="AM37" s="588"/>
      <c r="AN37" s="535">
        <v>0.22</v>
      </c>
      <c r="AO37" s="535">
        <f>1-AN37</f>
        <v>0.78</v>
      </c>
      <c r="AP37" s="576">
        <f>AN36*AN37+AO36*AO37</f>
        <v>41</v>
      </c>
      <c r="AQ37" s="535"/>
      <c r="AR37" s="535"/>
      <c r="AS37" s="523"/>
    </row>
    <row r="38" spans="2:45" s="662" customFormat="1" ht="24" customHeight="1">
      <c r="B38" s="744"/>
      <c r="C38" s="536" t="s">
        <v>193</v>
      </c>
      <c r="D38" s="557">
        <v>4</v>
      </c>
      <c r="E38" s="646"/>
      <c r="F38" s="648"/>
      <c r="G38" s="648"/>
      <c r="H38" s="448"/>
      <c r="I38" s="448"/>
      <c r="J38" s="585"/>
      <c r="K38" s="557"/>
      <c r="L38" s="589"/>
      <c r="M38" s="590"/>
      <c r="N38" s="521"/>
      <c r="O38" s="521"/>
      <c r="P38" s="521"/>
      <c r="Q38" s="521"/>
      <c r="R38" s="521"/>
      <c r="S38" s="521"/>
      <c r="T38" s="521"/>
      <c r="U38" s="521"/>
      <c r="V38" s="521"/>
      <c r="W38" s="521"/>
      <c r="X38" s="521"/>
      <c r="Y38" s="521"/>
      <c r="Z38" s="521"/>
      <c r="AA38" s="521"/>
      <c r="AB38" s="521"/>
      <c r="AC38" s="521"/>
      <c r="AD38" s="521"/>
      <c r="AE38" s="521"/>
      <c r="AF38" s="521"/>
      <c r="AG38" s="521"/>
      <c r="AH38" s="521"/>
      <c r="AI38" s="522"/>
      <c r="AJ38" s="521"/>
      <c r="AK38" s="521"/>
      <c r="AL38" s="521"/>
      <c r="AM38" s="521"/>
      <c r="AN38" s="521"/>
      <c r="AO38" s="521"/>
      <c r="AP38" s="521"/>
      <c r="AQ38" s="521"/>
      <c r="AR38" s="521"/>
      <c r="AS38" s="521"/>
    </row>
    <row r="39" spans="2:45" s="662" customFormat="1" ht="20.25" customHeight="1">
      <c r="B39" s="747"/>
      <c r="C39" s="536" t="s">
        <v>277</v>
      </c>
      <c r="D39" s="557"/>
      <c r="E39" s="651"/>
      <c r="F39" s="715"/>
      <c r="G39" s="648"/>
      <c r="H39" s="448"/>
      <c r="I39" s="448"/>
      <c r="J39" s="563"/>
      <c r="K39" s="557"/>
      <c r="L39" s="540"/>
      <c r="M39" s="586"/>
      <c r="N39" s="521"/>
      <c r="O39" s="521"/>
      <c r="P39" s="521"/>
      <c r="Q39" s="521"/>
      <c r="R39" s="521"/>
      <c r="S39" s="521"/>
      <c r="T39" s="521"/>
      <c r="U39" s="521"/>
      <c r="V39" s="521"/>
      <c r="W39" s="521"/>
      <c r="X39" s="521"/>
      <c r="Y39" s="521"/>
      <c r="Z39" s="521"/>
      <c r="AA39" s="521"/>
      <c r="AB39" s="521"/>
      <c r="AC39" s="521"/>
      <c r="AD39" s="521"/>
      <c r="AE39" s="521"/>
      <c r="AF39" s="521"/>
      <c r="AG39" s="521"/>
      <c r="AH39" s="521"/>
      <c r="AI39" s="522"/>
      <c r="AJ39" s="521"/>
      <c r="AK39" s="521"/>
      <c r="AL39" s="521"/>
      <c r="AM39" s="521"/>
      <c r="AN39" s="521"/>
      <c r="AO39" s="521"/>
      <c r="AP39" s="521"/>
      <c r="AQ39" s="521"/>
      <c r="AR39" s="521"/>
      <c r="AS39" s="521"/>
    </row>
    <row r="40" spans="2:45" s="662" customFormat="1" ht="24" customHeight="1">
      <c r="B40" s="747"/>
      <c r="C40" s="563" t="s">
        <v>278</v>
      </c>
      <c r="D40" s="557"/>
      <c r="E40" s="652">
        <v>47</v>
      </c>
      <c r="F40" s="714">
        <v>0.8965277777777777</v>
      </c>
      <c r="G40" s="648">
        <f>IF(ISBLANK(F40),"",F40+TIME(0,H40,0))</f>
        <v>0.89999999999999991</v>
      </c>
      <c r="H40" s="479">
        <v>5</v>
      </c>
      <c r="I40" s="685">
        <f t="shared" ref="I40:I48" si="1">IF(OR(F41="",F40=""),"",IF(F41&gt;=F40,(F41-F40)*24*60,(1+F41-F40)*24*60))</f>
        <v>5.9999999999999787</v>
      </c>
      <c r="J40" s="566"/>
      <c r="K40" s="557"/>
      <c r="L40" s="540"/>
      <c r="M40" s="586"/>
      <c r="N40" s="521"/>
      <c r="O40" s="521"/>
      <c r="P40" s="521"/>
      <c r="Q40" s="521"/>
      <c r="R40" s="521"/>
      <c r="S40" s="521"/>
      <c r="T40" s="521"/>
      <c r="U40" s="521"/>
      <c r="V40" s="521"/>
      <c r="W40" s="521"/>
      <c r="X40" s="521"/>
      <c r="Y40" s="521"/>
      <c r="Z40" s="521"/>
      <c r="AA40" s="521"/>
      <c r="AB40" s="521"/>
      <c r="AC40" s="521"/>
      <c r="AD40" s="521"/>
      <c r="AE40" s="521"/>
      <c r="AF40" s="521"/>
      <c r="AG40" s="521"/>
      <c r="AH40" s="521"/>
      <c r="AI40" s="522"/>
      <c r="AJ40" s="521"/>
      <c r="AK40" s="521"/>
      <c r="AL40" s="521"/>
      <c r="AM40" s="535" t="s">
        <v>279</v>
      </c>
      <c r="AN40" s="535" t="s">
        <v>261</v>
      </c>
      <c r="AO40" s="535" t="s">
        <v>199</v>
      </c>
      <c r="AP40" s="535" t="s">
        <v>280</v>
      </c>
      <c r="AQ40" s="535" t="s">
        <v>263</v>
      </c>
      <c r="AR40" s="575" t="s">
        <v>264</v>
      </c>
      <c r="AS40" s="521"/>
    </row>
    <row r="41" spans="2:45" s="662" customFormat="1" ht="24" customHeight="1">
      <c r="B41" s="744"/>
      <c r="C41" s="536" t="s">
        <v>281</v>
      </c>
      <c r="D41" s="557"/>
      <c r="E41" s="653"/>
      <c r="F41" s="680">
        <f>IF(F30="","",F30)</f>
        <v>0.90069444444444435</v>
      </c>
      <c r="G41" s="648"/>
      <c r="H41" s="448">
        <f>SUM(H30,H31)</f>
        <v>8</v>
      </c>
      <c r="I41" s="685">
        <f t="shared" si="1"/>
        <v>5.9999999999999787</v>
      </c>
      <c r="J41" s="574" t="s">
        <v>282</v>
      </c>
      <c r="K41" s="681">
        <v>64</v>
      </c>
      <c r="L41" s="558"/>
      <c r="M41" s="586"/>
      <c r="N41" s="521"/>
      <c r="O41" s="521"/>
      <c r="P41" s="521"/>
      <c r="Q41" s="521"/>
      <c r="R41" s="521"/>
      <c r="S41" s="521"/>
      <c r="T41" s="521"/>
      <c r="U41" s="521"/>
      <c r="V41" s="521"/>
      <c r="W41" s="521"/>
      <c r="X41" s="521"/>
      <c r="Y41" s="521"/>
      <c r="Z41" s="521"/>
      <c r="AA41" s="521"/>
      <c r="AB41" s="521"/>
      <c r="AC41" s="521"/>
      <c r="AD41" s="521"/>
      <c r="AE41" s="521"/>
      <c r="AF41" s="521"/>
      <c r="AG41" s="521"/>
      <c r="AH41" s="521"/>
      <c r="AI41" s="522"/>
      <c r="AJ41" s="521"/>
      <c r="AK41" s="521"/>
      <c r="AL41" s="521"/>
      <c r="AM41" s="588"/>
      <c r="AN41" s="535">
        <v>80</v>
      </c>
      <c r="AO41" s="535">
        <v>30</v>
      </c>
      <c r="AP41" s="535">
        <v>80</v>
      </c>
      <c r="AQ41" s="535">
        <v>220</v>
      </c>
      <c r="AR41" s="575">
        <f>AQ41*AO42</f>
        <v>0</v>
      </c>
      <c r="AS41" s="521"/>
    </row>
    <row r="42" spans="2:45" s="662" customFormat="1" ht="24" customHeight="1">
      <c r="B42" s="744"/>
      <c r="C42" s="536" t="s">
        <v>283</v>
      </c>
      <c r="D42" s="448"/>
      <c r="E42" s="651"/>
      <c r="F42" s="714">
        <v>0.90486111111111101</v>
      </c>
      <c r="G42" s="648"/>
      <c r="H42" s="448">
        <v>0</v>
      </c>
      <c r="I42" s="685">
        <f t="shared" si="1"/>
        <v>0</v>
      </c>
      <c r="J42" s="539" t="s">
        <v>259</v>
      </c>
      <c r="K42" s="591">
        <v>0</v>
      </c>
      <c r="L42" s="558"/>
      <c r="M42" s="586"/>
      <c r="N42" s="521"/>
      <c r="O42" s="521"/>
      <c r="P42" s="521"/>
      <c r="Q42" s="521"/>
      <c r="R42" s="521"/>
      <c r="S42" s="521"/>
      <c r="T42" s="555" t="s">
        <v>184</v>
      </c>
      <c r="U42" s="521"/>
      <c r="V42" s="556" t="e">
        <f>(K8+K9+D15)/(D8+D9)*100</f>
        <v>#VALUE!</v>
      </c>
      <c r="W42" s="521"/>
      <c r="X42" s="549" t="s">
        <v>284</v>
      </c>
      <c r="Y42" s="550" t="e">
        <f>D8+D9+(K8+K9+D15+D31)*100</f>
        <v>#VALUE!</v>
      </c>
      <c r="Z42" s="521"/>
      <c r="AA42" s="521"/>
      <c r="AB42" s="521"/>
      <c r="AC42" s="521"/>
      <c r="AD42" s="521"/>
      <c r="AE42" s="521"/>
      <c r="AF42" s="521"/>
      <c r="AG42" s="521"/>
      <c r="AH42" s="521"/>
      <c r="AI42" s="522"/>
      <c r="AJ42" s="521"/>
      <c r="AK42" s="521"/>
      <c r="AL42" s="521"/>
      <c r="AM42" s="588"/>
      <c r="AN42" s="535">
        <v>1</v>
      </c>
      <c r="AO42" s="535">
        <f>1-AN42</f>
        <v>0</v>
      </c>
      <c r="AP42" s="576">
        <f>AN41*AN42+AO41*AO42</f>
        <v>80</v>
      </c>
      <c r="AQ42" s="535"/>
      <c r="AR42" s="535"/>
      <c r="AS42" s="521"/>
    </row>
    <row r="43" spans="2:45" s="662" customFormat="1" ht="25.5" customHeight="1">
      <c r="B43" s="744"/>
      <c r="C43" s="566" t="s">
        <v>285</v>
      </c>
      <c r="D43" s="562">
        <v>65.5</v>
      </c>
      <c r="E43" s="652">
        <v>65.599999999999994</v>
      </c>
      <c r="F43" s="714">
        <v>0.90486111111111101</v>
      </c>
      <c r="G43" s="648">
        <f>IF(ISBLANK(F43),"",F43+TIME(0,H43,0))</f>
        <v>0.93958333333333321</v>
      </c>
      <c r="H43" s="479">
        <v>50</v>
      </c>
      <c r="I43" s="685">
        <f t="shared" si="1"/>
        <v>49.999999999999986</v>
      </c>
      <c r="J43" s="539" t="s">
        <v>286</v>
      </c>
      <c r="K43" s="583" t="s">
        <v>287</v>
      </c>
      <c r="L43" s="708"/>
      <c r="M43" s="567"/>
      <c r="N43" s="521"/>
      <c r="O43" s="521"/>
      <c r="P43" s="521"/>
      <c r="Q43" s="521"/>
      <c r="R43" s="521"/>
      <c r="S43" s="521"/>
      <c r="T43" s="521"/>
      <c r="U43" s="521"/>
      <c r="V43" s="521"/>
      <c r="W43" s="521"/>
      <c r="X43" s="521"/>
      <c r="Y43" s="521"/>
      <c r="Z43" s="521"/>
      <c r="AA43" s="521"/>
      <c r="AB43" s="521"/>
      <c r="AC43" s="521"/>
      <c r="AD43" s="521"/>
      <c r="AE43" s="521"/>
      <c r="AF43" s="521"/>
      <c r="AG43" s="521"/>
      <c r="AH43" s="521"/>
      <c r="AI43" s="522"/>
      <c r="AJ43" s="521"/>
      <c r="AK43" s="521"/>
      <c r="AL43" s="521"/>
      <c r="AM43" s="521"/>
      <c r="AN43" s="521"/>
      <c r="AO43" s="521"/>
      <c r="AP43" s="521"/>
      <c r="AQ43" s="521"/>
      <c r="AR43" s="521"/>
      <c r="AS43" s="521"/>
    </row>
    <row r="44" spans="2:45" s="662" customFormat="1" ht="25.5" customHeight="1">
      <c r="B44" s="747"/>
      <c r="C44" s="536" t="s">
        <v>288</v>
      </c>
      <c r="D44" s="448"/>
      <c r="E44" s="651"/>
      <c r="F44" s="680">
        <f>G43</f>
        <v>0.93958333333333321</v>
      </c>
      <c r="G44" s="648"/>
      <c r="H44" s="448">
        <v>7</v>
      </c>
      <c r="I44" s="685">
        <f t="shared" si="1"/>
        <v>8.0000000000001315</v>
      </c>
      <c r="J44" s="566" t="s">
        <v>289</v>
      </c>
      <c r="K44" s="553" t="s">
        <v>290</v>
      </c>
      <c r="L44" s="708"/>
      <c r="M44" s="531"/>
      <c r="N44" s="521"/>
      <c r="O44" s="521"/>
      <c r="P44" s="521"/>
      <c r="Q44" s="521"/>
      <c r="R44" s="521"/>
      <c r="S44" s="521"/>
      <c r="T44" s="521"/>
      <c r="U44" s="521"/>
      <c r="V44" s="521"/>
      <c r="W44" s="521"/>
      <c r="X44" s="521"/>
      <c r="Y44" s="521"/>
      <c r="Z44" s="521"/>
      <c r="AA44" s="521"/>
      <c r="AB44" s="521"/>
      <c r="AC44" s="521"/>
      <c r="AD44" s="521"/>
      <c r="AE44" s="521"/>
      <c r="AF44" s="521"/>
      <c r="AG44" s="521"/>
      <c r="AH44" s="521"/>
      <c r="AI44" s="522"/>
      <c r="AJ44" s="521"/>
      <c r="AK44" s="521"/>
      <c r="AL44" s="521"/>
      <c r="AM44" s="535" t="s">
        <v>291</v>
      </c>
      <c r="AN44" s="535" t="s">
        <v>261</v>
      </c>
      <c r="AO44" s="535" t="s">
        <v>199</v>
      </c>
      <c r="AP44" s="535" t="s">
        <v>272</v>
      </c>
      <c r="AQ44" s="535" t="s">
        <v>263</v>
      </c>
      <c r="AR44" s="575" t="s">
        <v>264</v>
      </c>
      <c r="AS44" s="521"/>
    </row>
    <row r="45" spans="2:45" s="662" customFormat="1" ht="25.5" customHeight="1">
      <c r="B45" s="747"/>
      <c r="C45" s="566" t="s">
        <v>292</v>
      </c>
      <c r="D45" s="448"/>
      <c r="E45" s="652">
        <v>71.599999999999994</v>
      </c>
      <c r="F45" s="714">
        <v>0.94513888888888886</v>
      </c>
      <c r="G45" s="648">
        <f>IF(ISBLANK(F45),"",F45+TIME(0,H45,0))</f>
        <v>0.95208333333333328</v>
      </c>
      <c r="H45" s="479">
        <v>10</v>
      </c>
      <c r="I45" s="685">
        <f t="shared" si="1"/>
        <v>9.9999999999999645</v>
      </c>
      <c r="J45" s="566"/>
      <c r="K45" s="553"/>
      <c r="L45" s="708"/>
      <c r="M45" s="531"/>
      <c r="N45" s="521"/>
      <c r="O45" s="521"/>
      <c r="P45" s="521"/>
      <c r="Q45" s="521"/>
      <c r="R45" s="521"/>
      <c r="S45" s="521"/>
      <c r="T45" s="521"/>
      <c r="U45" s="521"/>
      <c r="V45" s="521"/>
      <c r="W45" s="521"/>
      <c r="X45" s="521"/>
      <c r="Y45" s="521"/>
      <c r="Z45" s="521"/>
      <c r="AA45" s="521"/>
      <c r="AB45" s="521"/>
      <c r="AC45" s="521"/>
      <c r="AD45" s="521"/>
      <c r="AE45" s="521"/>
      <c r="AF45" s="521"/>
      <c r="AG45" s="521"/>
      <c r="AH45" s="521"/>
      <c r="AI45" s="522"/>
      <c r="AJ45" s="521"/>
      <c r="AK45" s="521"/>
      <c r="AL45" s="521"/>
      <c r="AM45" s="535"/>
      <c r="AN45" s="535"/>
      <c r="AO45" s="535"/>
      <c r="AP45" s="535"/>
      <c r="AQ45" s="535"/>
      <c r="AR45" s="575"/>
      <c r="AS45" s="521"/>
    </row>
    <row r="46" spans="2:45" s="662" customFormat="1" ht="25.5" customHeight="1">
      <c r="B46" s="747"/>
      <c r="C46" s="536" t="s">
        <v>293</v>
      </c>
      <c r="D46" s="448"/>
      <c r="E46" s="651"/>
      <c r="F46" s="680">
        <f>G45</f>
        <v>0.95208333333333328</v>
      </c>
      <c r="G46" s="648"/>
      <c r="H46" s="448">
        <v>5</v>
      </c>
      <c r="I46" s="685">
        <f t="shared" si="1"/>
        <v>4.0000000000001457</v>
      </c>
      <c r="J46" s="566"/>
      <c r="K46" s="553"/>
      <c r="L46" s="708"/>
      <c r="M46" s="531"/>
      <c r="N46" s="521"/>
      <c r="O46" s="521"/>
      <c r="P46" s="521"/>
      <c r="Q46" s="521"/>
      <c r="R46" s="521"/>
      <c r="S46" s="521"/>
      <c r="T46" s="521"/>
      <c r="U46" s="521"/>
      <c r="V46" s="521"/>
      <c r="W46" s="521"/>
      <c r="X46" s="521"/>
      <c r="Y46" s="521"/>
      <c r="Z46" s="521"/>
      <c r="AA46" s="521"/>
      <c r="AB46" s="521"/>
      <c r="AC46" s="521"/>
      <c r="AD46" s="521"/>
      <c r="AE46" s="521"/>
      <c r="AF46" s="521"/>
      <c r="AG46" s="521"/>
      <c r="AH46" s="521"/>
      <c r="AI46" s="522"/>
      <c r="AJ46" s="521"/>
      <c r="AK46" s="521"/>
      <c r="AL46" s="521"/>
      <c r="AM46" s="535"/>
      <c r="AN46" s="535"/>
      <c r="AO46" s="535"/>
      <c r="AP46" s="535"/>
      <c r="AQ46" s="535"/>
      <c r="AR46" s="575"/>
      <c r="AS46" s="521"/>
    </row>
    <row r="47" spans="2:45" s="662" customFormat="1" ht="24" customHeight="1">
      <c r="B47" s="744"/>
      <c r="C47" s="536" t="s">
        <v>294</v>
      </c>
      <c r="D47" s="448"/>
      <c r="E47" s="652">
        <v>76</v>
      </c>
      <c r="F47" s="714">
        <v>0.95486111111111116</v>
      </c>
      <c r="G47" s="648"/>
      <c r="H47" s="448">
        <v>0</v>
      </c>
      <c r="I47" s="685">
        <f t="shared" si="1"/>
        <v>0</v>
      </c>
      <c r="J47" s="539" t="s">
        <v>245</v>
      </c>
      <c r="K47" s="583" t="s">
        <v>246</v>
      </c>
      <c r="L47" s="642"/>
      <c r="M47" s="568"/>
      <c r="N47" s="521"/>
      <c r="O47" s="521"/>
      <c r="P47" s="521"/>
      <c r="Q47" s="521"/>
      <c r="R47" s="521"/>
      <c r="S47" s="521"/>
      <c r="T47" s="521"/>
      <c r="U47" s="521"/>
      <c r="V47" s="521"/>
      <c r="W47" s="521"/>
      <c r="X47" s="521"/>
      <c r="Y47" s="521"/>
      <c r="Z47" s="521"/>
      <c r="AA47" s="521"/>
      <c r="AB47" s="521"/>
      <c r="AC47" s="521"/>
      <c r="AD47" s="521"/>
      <c r="AE47" s="521"/>
      <c r="AF47" s="521"/>
      <c r="AG47" s="521"/>
      <c r="AH47" s="521"/>
      <c r="AI47" s="522"/>
      <c r="AJ47" s="521"/>
      <c r="AK47" s="521"/>
      <c r="AL47" s="521"/>
      <c r="AM47" s="588"/>
      <c r="AN47" s="535">
        <v>0.88</v>
      </c>
      <c r="AO47" s="535">
        <f>1-AN47</f>
        <v>0.12</v>
      </c>
      <c r="AP47" s="576" t="e">
        <f>#REF!*AN47+#REF!*AO47</f>
        <v>#REF!</v>
      </c>
      <c r="AQ47" s="535"/>
      <c r="AR47" s="535"/>
      <c r="AS47" s="521"/>
    </row>
    <row r="48" spans="2:45" s="663" customFormat="1" ht="22.5" customHeight="1">
      <c r="B48" s="746"/>
      <c r="C48" s="573" t="s">
        <v>295</v>
      </c>
      <c r="D48" s="479"/>
      <c r="E48" s="651"/>
      <c r="F48" s="714">
        <v>0.95486111111111116</v>
      </c>
      <c r="G48" s="648"/>
      <c r="H48" s="479">
        <v>8</v>
      </c>
      <c r="I48" s="685">
        <f t="shared" si="1"/>
        <v>7.9999999999999716</v>
      </c>
      <c r="J48" s="539" t="s">
        <v>259</v>
      </c>
      <c r="K48" s="591">
        <v>227</v>
      </c>
      <c r="L48" s="592"/>
      <c r="M48" s="593"/>
      <c r="N48" s="523"/>
      <c r="O48" s="523"/>
      <c r="P48" s="523"/>
      <c r="Q48" s="523"/>
      <c r="R48" s="523"/>
      <c r="S48" s="523"/>
      <c r="T48" s="523"/>
      <c r="U48" s="523"/>
      <c r="V48" s="523"/>
      <c r="W48" s="523"/>
      <c r="X48" s="523"/>
      <c r="Y48" s="523"/>
      <c r="Z48" s="523"/>
      <c r="AA48" s="523"/>
      <c r="AB48" s="523"/>
      <c r="AC48" s="523"/>
      <c r="AD48" s="523"/>
      <c r="AE48" s="523"/>
      <c r="AF48" s="523"/>
      <c r="AG48" s="523"/>
      <c r="AH48" s="523"/>
      <c r="AI48" s="524"/>
      <c r="AJ48" s="523"/>
      <c r="AK48" s="523"/>
      <c r="AL48" s="523"/>
      <c r="AM48" s="523"/>
      <c r="AN48" s="523"/>
      <c r="AO48" s="523"/>
      <c r="AP48" s="523"/>
      <c r="AQ48" s="523"/>
      <c r="AR48" s="523"/>
      <c r="AS48" s="523" t="s">
        <v>296</v>
      </c>
    </row>
    <row r="49" spans="2:46" s="662" customFormat="1" ht="20.25" customHeight="1">
      <c r="B49" s="745"/>
      <c r="C49" s="594" t="s">
        <v>297</v>
      </c>
      <c r="D49" s="882">
        <v>10</v>
      </c>
      <c r="E49" s="647"/>
      <c r="F49" s="714">
        <v>0.9604166666666667</v>
      </c>
      <c r="G49" s="648">
        <f>IF(F57="","",F57)</f>
        <v>0.96180555555555547</v>
      </c>
      <c r="H49" s="882">
        <v>2</v>
      </c>
      <c r="I49" s="685">
        <f>IF(OR(G49="",F49=""),"",IF(G49&gt;=F49,(G49-F49)*24*60,(1+G49-F49)*24*60))</f>
        <v>1.999999999999833</v>
      </c>
      <c r="J49" s="543"/>
      <c r="K49" s="543"/>
      <c r="L49" s="643"/>
      <c r="M49" s="548"/>
      <c r="N49" s="521"/>
      <c r="O49" s="521"/>
      <c r="P49" s="521"/>
      <c r="Q49" s="521"/>
      <c r="R49" s="521"/>
      <c r="S49" s="521"/>
      <c r="T49" s="521"/>
      <c r="U49" s="521"/>
      <c r="V49" s="521"/>
      <c r="W49" s="521"/>
      <c r="X49" s="521"/>
      <c r="Y49" s="521"/>
      <c r="Z49" s="521"/>
      <c r="AA49" s="521"/>
      <c r="AB49" s="521"/>
      <c r="AC49" s="521"/>
      <c r="AD49" s="521"/>
      <c r="AE49" s="521"/>
      <c r="AF49" s="521"/>
      <c r="AG49" s="521"/>
      <c r="AH49" s="521"/>
      <c r="AI49" s="522"/>
      <c r="AJ49" s="521"/>
      <c r="AK49" s="521"/>
      <c r="AL49" s="521"/>
      <c r="AM49" s="521"/>
      <c r="AN49" s="521"/>
      <c r="AO49" s="521"/>
      <c r="AP49" s="521" t="s">
        <v>298</v>
      </c>
      <c r="AQ49" s="521">
        <v>6</v>
      </c>
      <c r="AR49" s="521" t="e">
        <f>#REF!</f>
        <v>#REF!</v>
      </c>
      <c r="AS49" s="521" t="e">
        <f>(AQ49*AR49+AQ50*AR50)/(AR49+AR50)</f>
        <v>#REF!</v>
      </c>
    </row>
    <row r="50" spans="2:46" s="662" customFormat="1" ht="20.25" customHeight="1">
      <c r="B50" s="744"/>
      <c r="C50" s="536" t="s">
        <v>266</v>
      </c>
      <c r="D50" s="448">
        <v>2</v>
      </c>
      <c r="E50" s="651"/>
      <c r="F50" s="648"/>
      <c r="G50" s="648"/>
      <c r="H50" s="448">
        <v>1</v>
      </c>
      <c r="I50" s="448"/>
      <c r="J50" s="539"/>
      <c r="K50" s="539"/>
      <c r="L50" s="641"/>
      <c r="M50" s="554"/>
      <c r="N50" s="521"/>
      <c r="O50" s="521"/>
      <c r="P50" s="521"/>
      <c r="Q50" s="521"/>
      <c r="R50" s="521"/>
      <c r="S50" s="521"/>
      <c r="T50" s="521"/>
      <c r="U50" s="521"/>
      <c r="V50" s="521"/>
      <c r="W50" s="521"/>
      <c r="X50" s="521"/>
      <c r="Y50" s="521"/>
      <c r="Z50" s="521"/>
      <c r="AA50" s="521"/>
      <c r="AB50" s="521"/>
      <c r="AC50" s="521"/>
      <c r="AD50" s="521"/>
      <c r="AE50" s="521"/>
      <c r="AF50" s="521"/>
      <c r="AG50" s="521"/>
      <c r="AH50" s="521"/>
      <c r="AI50" s="522"/>
      <c r="AJ50" s="521"/>
      <c r="AK50" s="521"/>
      <c r="AL50" s="521"/>
      <c r="AM50" s="521"/>
      <c r="AN50" s="521"/>
      <c r="AO50" s="521"/>
      <c r="AP50" s="521" t="s">
        <v>299</v>
      </c>
      <c r="AQ50" s="521">
        <v>6.4</v>
      </c>
      <c r="AR50" s="521" t="e">
        <f>#REF!-AR49</f>
        <v>#REF!</v>
      </c>
      <c r="AS50" s="521"/>
    </row>
    <row r="51" spans="2:46" s="662" customFormat="1" ht="22.5" customHeight="1" thickBot="1">
      <c r="B51" s="749"/>
      <c r="C51" s="595" t="s">
        <v>300</v>
      </c>
      <c r="D51" s="596"/>
      <c r="E51" s="654"/>
      <c r="F51" s="596"/>
      <c r="G51" s="654"/>
      <c r="H51" s="596">
        <f>SUM(H35:H50)</f>
        <v>122.33333333333334</v>
      </c>
      <c r="I51" s="596">
        <f>IF(OR(G49="",F36=""),"",IF(G49&gt;=F36,(G49-F36)*24*60,(G49+1-F36)*24*60))</f>
        <v>117.9999999999999</v>
      </c>
      <c r="J51" s="597"/>
      <c r="K51" s="597"/>
      <c r="L51" s="644"/>
      <c r="M51" s="598"/>
      <c r="N51" s="521"/>
      <c r="O51" s="521"/>
      <c r="P51" s="521"/>
      <c r="Q51" s="521"/>
      <c r="R51" s="521"/>
      <c r="S51" s="521"/>
      <c r="T51" s="521"/>
      <c r="U51" s="521"/>
      <c r="V51" s="521"/>
      <c r="W51" s="521"/>
      <c r="X51" s="521"/>
      <c r="Y51" s="521"/>
      <c r="Z51" s="521"/>
      <c r="AA51" s="521"/>
      <c r="AB51" s="521"/>
      <c r="AC51" s="521"/>
      <c r="AD51" s="521"/>
      <c r="AE51" s="521"/>
      <c r="AF51" s="521"/>
      <c r="AG51" s="521"/>
      <c r="AH51" s="521"/>
      <c r="AI51" s="522"/>
      <c r="AJ51" s="521"/>
      <c r="AK51" s="521"/>
      <c r="AL51" s="521"/>
      <c r="AM51" s="521"/>
      <c r="AN51" s="521"/>
      <c r="AO51" s="521"/>
      <c r="AP51" s="521"/>
      <c r="AQ51" s="521"/>
      <c r="AR51" s="521"/>
      <c r="AS51" s="521"/>
    </row>
    <row r="52" spans="2:46" s="662" customFormat="1" ht="22.5" hidden="1" customHeight="1" thickBot="1">
      <c r="B52" s="749"/>
      <c r="C52" s="835"/>
      <c r="D52" s="836"/>
      <c r="E52" s="837"/>
      <c r="F52" s="836"/>
      <c r="G52" s="837"/>
      <c r="H52" s="836"/>
      <c r="I52" s="836"/>
      <c r="J52" s="838"/>
      <c r="K52" s="838"/>
      <c r="L52" s="839"/>
      <c r="M52" s="548"/>
      <c r="N52" s="521"/>
      <c r="O52" s="521"/>
      <c r="P52" s="521"/>
      <c r="Q52" s="521"/>
      <c r="R52" s="521"/>
      <c r="S52" s="521"/>
      <c r="T52" s="521"/>
      <c r="U52" s="521"/>
      <c r="V52" s="521"/>
      <c r="W52" s="521"/>
      <c r="X52" s="521"/>
      <c r="Y52" s="521"/>
      <c r="Z52" s="521"/>
      <c r="AA52" s="521"/>
      <c r="AB52" s="521"/>
      <c r="AC52" s="521"/>
      <c r="AD52" s="521"/>
      <c r="AE52" s="521"/>
      <c r="AF52" s="521"/>
      <c r="AG52" s="521"/>
      <c r="AH52" s="521"/>
      <c r="AI52" s="522"/>
      <c r="AJ52" s="521"/>
      <c r="AK52" s="521"/>
      <c r="AL52" s="521"/>
      <c r="AM52" s="521"/>
      <c r="AN52" s="521"/>
      <c r="AO52" s="521"/>
      <c r="AP52" s="521"/>
      <c r="AQ52" s="521"/>
      <c r="AR52" s="521"/>
      <c r="AS52" s="521"/>
    </row>
    <row r="53" spans="2:46" s="662" customFormat="1" ht="15" customHeight="1" thickBot="1">
      <c r="B53" s="770"/>
      <c r="C53" s="941" t="s">
        <v>301</v>
      </c>
      <c r="D53" s="942"/>
      <c r="E53" s="942"/>
      <c r="F53" s="942"/>
      <c r="G53" s="942"/>
      <c r="H53" s="942"/>
      <c r="I53" s="942"/>
      <c r="J53" s="942"/>
      <c r="K53" s="942"/>
      <c r="L53" s="943"/>
      <c r="M53" s="599"/>
      <c r="N53" s="521"/>
      <c r="O53" s="521"/>
      <c r="P53" s="521"/>
      <c r="Q53" s="521"/>
      <c r="R53" s="521"/>
      <c r="S53" s="521"/>
      <c r="T53" s="521"/>
      <c r="U53" s="521"/>
      <c r="V53" s="521"/>
      <c r="W53" s="521"/>
      <c r="X53" s="521"/>
      <c r="Y53" s="521"/>
      <c r="Z53" s="521"/>
      <c r="AA53" s="521"/>
      <c r="AB53" s="521"/>
      <c r="AC53" s="521"/>
      <c r="AD53" s="521"/>
      <c r="AE53" s="521"/>
      <c r="AF53" s="521"/>
      <c r="AG53" s="521"/>
      <c r="AH53" s="521"/>
      <c r="AI53" s="522"/>
      <c r="AJ53" s="521"/>
      <c r="AK53" s="521"/>
      <c r="AL53" s="521"/>
      <c r="AM53" s="521"/>
      <c r="AN53" s="521"/>
      <c r="AO53" s="521"/>
      <c r="AP53" s="521"/>
      <c r="AQ53" s="521"/>
      <c r="AR53" s="521"/>
      <c r="AS53" s="521"/>
    </row>
    <row r="54" spans="2:46" s="662" customFormat="1" ht="22.5" customHeight="1">
      <c r="B54" s="745"/>
      <c r="C54" s="594" t="s">
        <v>302</v>
      </c>
      <c r="D54" s="882">
        <v>12</v>
      </c>
      <c r="E54" s="647"/>
      <c r="F54" s="775"/>
      <c r="G54" s="775"/>
      <c r="H54" s="882">
        <v>2</v>
      </c>
      <c r="I54" s="764" t="str">
        <f>IF(OR(G54="",F54=""),"",IF(G54&gt;=F54,(G54-F54)*24*60,(1+G54-F54)*24*60))</f>
        <v/>
      </c>
      <c r="J54" s="543" t="s">
        <v>303</v>
      </c>
      <c r="K54" s="787">
        <v>200</v>
      </c>
      <c r="L54" s="788">
        <v>200</v>
      </c>
      <c r="M54" s="600"/>
      <c r="N54" s="532">
        <f>K8+K9+D15+D31+D49+D54</f>
        <v>192</v>
      </c>
      <c r="O54" s="521"/>
      <c r="P54" s="521"/>
      <c r="Q54" s="521"/>
      <c r="R54" s="521"/>
      <c r="S54" s="521"/>
      <c r="T54" s="521"/>
      <c r="U54" s="521"/>
      <c r="V54" s="521"/>
      <c r="W54" s="521"/>
      <c r="X54" s="521"/>
      <c r="Y54" s="521"/>
      <c r="Z54" s="521"/>
      <c r="AA54" s="521"/>
      <c r="AB54" s="521"/>
      <c r="AC54" s="521"/>
      <c r="AD54" s="521"/>
      <c r="AE54" s="521"/>
      <c r="AF54" s="521"/>
      <c r="AG54" s="521"/>
      <c r="AH54" s="521"/>
      <c r="AI54" s="522"/>
      <c r="AJ54" s="521"/>
      <c r="AK54" s="521"/>
      <c r="AL54" s="521"/>
      <c r="AM54" s="521"/>
      <c r="AN54" s="521"/>
      <c r="AO54" s="521"/>
      <c r="AP54" s="523"/>
      <c r="AQ54" s="523"/>
      <c r="AR54" s="523"/>
      <c r="AS54" s="523" t="s">
        <v>296</v>
      </c>
    </row>
    <row r="55" spans="2:46" s="662" customFormat="1" ht="21" customHeight="1">
      <c r="B55" s="744"/>
      <c r="C55" s="536" t="s">
        <v>304</v>
      </c>
      <c r="D55" s="448"/>
      <c r="E55" s="651"/>
      <c r="F55" s="680">
        <f>IF(F48="","",F48)</f>
        <v>0.95486111111111116</v>
      </c>
      <c r="G55" s="648"/>
      <c r="H55" s="448">
        <f>H48</f>
        <v>8</v>
      </c>
      <c r="I55" s="685">
        <f>IF(OR(F57="",F55=""),"",IF(F57&gt;=F55,(F57-F55)*24*60,(1+F57-F55)*24*60))</f>
        <v>9.9999999999998046</v>
      </c>
      <c r="J55" s="539" t="s">
        <v>305</v>
      </c>
      <c r="K55" s="562" t="s">
        <v>306</v>
      </c>
      <c r="L55" s="722">
        <v>22.84</v>
      </c>
      <c r="M55" s="601"/>
      <c r="N55" s="521" t="e">
        <f>#REF!/N54</f>
        <v>#REF!</v>
      </c>
      <c r="O55" s="521"/>
      <c r="P55" s="521"/>
      <c r="Q55" s="521"/>
      <c r="R55" s="521"/>
      <c r="S55" s="521"/>
      <c r="T55" s="521"/>
      <c r="U55" s="521"/>
      <c r="V55" s="521"/>
      <c r="W55" s="521"/>
      <c r="X55" s="521"/>
      <c r="Y55" s="521"/>
      <c r="Z55" s="521"/>
      <c r="AA55" s="521"/>
      <c r="AB55" s="521"/>
      <c r="AC55" s="521"/>
      <c r="AD55" s="521"/>
      <c r="AE55" s="521"/>
      <c r="AF55" s="521"/>
      <c r="AG55" s="521"/>
      <c r="AH55" s="521"/>
      <c r="AI55" s="522"/>
      <c r="AJ55" s="521"/>
      <c r="AK55" s="521"/>
      <c r="AL55" s="521"/>
      <c r="AM55" s="521"/>
      <c r="AN55" s="521"/>
      <c r="AO55" s="521"/>
      <c r="AP55" s="521" t="s">
        <v>307</v>
      </c>
      <c r="AQ55" s="521">
        <v>6</v>
      </c>
      <c r="AR55" s="521">
        <v>21.999999999999996</v>
      </c>
      <c r="AS55" s="521">
        <f>(AQ55*AR55+AQ56*AR56)/(AR55+AR56)</f>
        <v>6.36</v>
      </c>
    </row>
    <row r="56" spans="2:46" s="662" customFormat="1" ht="20.25" customHeight="1">
      <c r="B56" s="744"/>
      <c r="C56" s="536" t="s">
        <v>308</v>
      </c>
      <c r="D56" s="448"/>
      <c r="E56" s="651"/>
      <c r="F56" s="648">
        <f>IF(F49="","",F49)</f>
        <v>0.9604166666666667</v>
      </c>
      <c r="G56" s="648"/>
      <c r="H56" s="448">
        <v>2</v>
      </c>
      <c r="I56" s="448"/>
      <c r="J56" s="539" t="s">
        <v>309</v>
      </c>
      <c r="K56" s="448">
        <v>80</v>
      </c>
      <c r="L56" s="741">
        <f ca="1">80+RANDBETWEEN(-3,3)/10</f>
        <v>79.900000000000006</v>
      </c>
      <c r="M56" s="602"/>
      <c r="N56" s="521"/>
      <c r="O56" s="521"/>
      <c r="P56" s="521"/>
      <c r="Q56" s="521"/>
      <c r="R56" s="521"/>
      <c r="S56" s="521"/>
      <c r="T56" s="521"/>
      <c r="U56" s="521"/>
      <c r="V56" s="521"/>
      <c r="W56" s="521">
        <v>2100</v>
      </c>
      <c r="X56" s="521"/>
      <c r="Y56" s="521"/>
      <c r="Z56" s="521"/>
      <c r="AA56" s="521"/>
      <c r="AB56" s="521"/>
      <c r="AC56" s="521"/>
      <c r="AD56" s="521"/>
      <c r="AE56" s="521"/>
      <c r="AF56" s="521"/>
      <c r="AG56" s="521"/>
      <c r="AH56" s="521"/>
      <c r="AI56" s="522"/>
      <c r="AJ56" s="521"/>
      <c r="AK56" s="521"/>
      <c r="AL56" s="521"/>
      <c r="AM56" s="521"/>
      <c r="AN56" s="521"/>
      <c r="AO56" s="521"/>
      <c r="AP56" s="521" t="s">
        <v>299</v>
      </c>
      <c r="AQ56" s="521">
        <v>6.4</v>
      </c>
      <c r="AR56" s="521">
        <v>198</v>
      </c>
      <c r="AS56" s="521"/>
    </row>
    <row r="57" spans="2:46" s="662" customFormat="1" ht="23.25" customHeight="1">
      <c r="B57" s="744"/>
      <c r="C57" s="536" t="s">
        <v>310</v>
      </c>
      <c r="D57" s="479" t="s">
        <v>311</v>
      </c>
      <c r="E57" s="652">
        <v>16.600000000000001</v>
      </c>
      <c r="F57" s="714">
        <v>0.96180555555555547</v>
      </c>
      <c r="G57" s="648"/>
      <c r="H57" s="448">
        <v>7</v>
      </c>
      <c r="I57" s="685">
        <f>IF(OR(F58="",F57=""),"",IF(F58&gt;=F57,(F58-F57)*24*60,(1+F58-F57)*24*60))</f>
        <v>7.000000000000135</v>
      </c>
      <c r="J57" s="539" t="s">
        <v>312</v>
      </c>
      <c r="K57" s="583">
        <v>210</v>
      </c>
      <c r="L57" s="708">
        <v>210</v>
      </c>
      <c r="M57" s="531"/>
      <c r="N57" s="521"/>
      <c r="O57" s="521"/>
      <c r="P57" s="521"/>
      <c r="Q57" s="521"/>
      <c r="R57" s="521"/>
      <c r="S57" s="521"/>
      <c r="T57" s="521"/>
      <c r="U57" s="532"/>
      <c r="V57" s="521"/>
      <c r="W57" s="521">
        <v>1106</v>
      </c>
      <c r="X57" s="521"/>
      <c r="Y57" s="521"/>
      <c r="Z57" s="521"/>
      <c r="AA57" s="521"/>
      <c r="AB57" s="521"/>
      <c r="AC57" s="521"/>
      <c r="AD57" s="521"/>
      <c r="AE57" s="521"/>
      <c r="AF57" s="521"/>
      <c r="AG57" s="521"/>
      <c r="AH57" s="521"/>
      <c r="AI57" s="522"/>
      <c r="AJ57" s="521"/>
      <c r="AK57" s="521"/>
      <c r="AL57" s="521"/>
      <c r="AM57" s="521"/>
      <c r="AN57" s="521"/>
      <c r="AO57" s="521"/>
      <c r="AP57" s="521"/>
      <c r="AQ57" s="521"/>
      <c r="AR57" s="521"/>
      <c r="AS57" s="521"/>
    </row>
    <row r="58" spans="2:46" s="662" customFormat="1" ht="24" customHeight="1">
      <c r="B58" s="744"/>
      <c r="C58" s="539" t="s">
        <v>313</v>
      </c>
      <c r="D58" s="303">
        <v>136</v>
      </c>
      <c r="E58" s="646">
        <v>142</v>
      </c>
      <c r="F58" s="714">
        <v>0.96666666666666667</v>
      </c>
      <c r="G58" s="648"/>
      <c r="H58" s="448">
        <f>D58/K54*60</f>
        <v>40.800000000000004</v>
      </c>
      <c r="I58" s="685">
        <f>IF(OR(F59="",F58=""),"",IF(F59&gt;=F58,(F59-F58)*24*60,(1+F59-F58)*24*60))</f>
        <v>63.999999999999929</v>
      </c>
      <c r="J58" s="539" t="s">
        <v>314</v>
      </c>
      <c r="K58" s="603" t="s">
        <v>315</v>
      </c>
      <c r="L58" s="686" t="s">
        <v>316</v>
      </c>
      <c r="M58" s="604"/>
      <c r="N58" s="521"/>
      <c r="O58" s="521"/>
      <c r="P58" s="521"/>
      <c r="Q58" s="521"/>
      <c r="R58" s="521"/>
      <c r="S58" s="521"/>
      <c r="T58" s="532">
        <f>170-D58</f>
        <v>34</v>
      </c>
      <c r="U58" s="532">
        <f>K8+K9+D15+D31+D49+D54</f>
        <v>192</v>
      </c>
      <c r="V58" s="521"/>
      <c r="W58" s="521">
        <f>W56-W57</f>
        <v>994</v>
      </c>
      <c r="X58" s="521"/>
      <c r="Y58" s="521"/>
      <c r="Z58" s="521"/>
      <c r="AA58" s="521"/>
      <c r="AB58" s="521"/>
      <c r="AC58" s="521"/>
      <c r="AD58" s="521"/>
      <c r="AE58" s="521"/>
      <c r="AF58" s="521"/>
      <c r="AG58" s="521"/>
      <c r="AH58" s="521"/>
      <c r="AI58" s="522"/>
      <c r="AJ58" s="521"/>
      <c r="AK58" s="521"/>
      <c r="AL58" s="521"/>
      <c r="AM58" s="521"/>
      <c r="AN58" s="521"/>
      <c r="AO58" s="521"/>
      <c r="AP58" s="521"/>
      <c r="AQ58" s="521"/>
      <c r="AR58" s="521"/>
      <c r="AS58" s="521"/>
    </row>
    <row r="59" spans="2:46" s="662" customFormat="1" ht="24" customHeight="1">
      <c r="B59" s="744"/>
      <c r="C59" s="539" t="s">
        <v>317</v>
      </c>
      <c r="D59" s="479">
        <v>257</v>
      </c>
      <c r="E59" s="646">
        <v>263</v>
      </c>
      <c r="F59" s="714">
        <v>1.1111111111111112E-2</v>
      </c>
      <c r="G59" s="648"/>
      <c r="H59" s="448">
        <f>(D59-D58)/K57*60</f>
        <v>34.571428571428569</v>
      </c>
      <c r="I59" s="685">
        <f>IF(OR(F61="",F59=""),"",IF(F61&gt;=F59,(F61-F59)*24*60,(1+F61-F59)*24*60))</f>
        <v>30</v>
      </c>
      <c r="J59" s="539" t="s">
        <v>314</v>
      </c>
      <c r="K59" s="603" t="s">
        <v>315</v>
      </c>
      <c r="L59" s="686" t="s">
        <v>316</v>
      </c>
      <c r="M59" s="605"/>
      <c r="N59" s="532"/>
      <c r="O59" s="521"/>
      <c r="P59" s="521"/>
      <c r="Q59" s="521"/>
      <c r="R59" s="521"/>
      <c r="S59" s="521"/>
      <c r="T59" s="521">
        <f>T58/K57*60</f>
        <v>9.7142857142857153</v>
      </c>
      <c r="U59" s="532" t="e">
        <f>U58+K61-D60</f>
        <v>#VALUE!</v>
      </c>
      <c r="V59" s="532"/>
      <c r="W59" s="521">
        <f>W58/1000</f>
        <v>0.99399999999999999</v>
      </c>
      <c r="X59" s="521">
        <f>4400/1000</f>
        <v>4.4000000000000004</v>
      </c>
      <c r="Y59" s="521"/>
      <c r="Z59" s="521"/>
      <c r="AA59" s="521"/>
      <c r="AB59" s="521"/>
      <c r="AC59" s="521"/>
      <c r="AD59" s="521"/>
      <c r="AE59" s="521"/>
      <c r="AF59" s="521"/>
      <c r="AG59" s="521"/>
      <c r="AH59" s="521"/>
      <c r="AI59" s="522"/>
      <c r="AJ59" s="521"/>
      <c r="AK59" s="521"/>
      <c r="AL59" s="521"/>
      <c r="AM59" s="521"/>
      <c r="AN59" s="532"/>
      <c r="AO59" s="532"/>
      <c r="AP59" s="521"/>
      <c r="AQ59" s="521"/>
      <c r="AR59" s="521"/>
      <c r="AS59" s="521"/>
    </row>
    <row r="60" spans="2:46" s="662" customFormat="1" ht="24" customHeight="1">
      <c r="B60" s="744"/>
      <c r="C60" s="536" t="s">
        <v>318</v>
      </c>
      <c r="D60" s="479" t="s">
        <v>319</v>
      </c>
      <c r="E60" s="646">
        <v>2</v>
      </c>
      <c r="F60" s="648"/>
      <c r="G60" s="648"/>
      <c r="H60" s="448">
        <f>E60*5.5</f>
        <v>11</v>
      </c>
      <c r="I60" s="448"/>
      <c r="J60" s="539" t="s">
        <v>320</v>
      </c>
      <c r="K60" s="448">
        <v>17</v>
      </c>
      <c r="L60" s="722">
        <f ca="1">16+RANDBETWEEN(23,62)/100</f>
        <v>16.38</v>
      </c>
      <c r="M60" s="605"/>
      <c r="N60" s="532"/>
      <c r="O60" s="521"/>
      <c r="P60" s="521"/>
      <c r="Q60" s="521"/>
      <c r="R60" s="521"/>
      <c r="S60" s="521"/>
      <c r="T60" s="532">
        <f>T59+H58</f>
        <v>50.51428571428572</v>
      </c>
      <c r="U60" s="532"/>
      <c r="V60" s="532"/>
      <c r="W60" s="521">
        <f>PI()*(X59/2)^2*W59</f>
        <v>15.114076592714353</v>
      </c>
      <c r="X60" s="521"/>
      <c r="Y60" s="521"/>
      <c r="Z60" s="521"/>
      <c r="AA60" s="521"/>
      <c r="AB60" s="521"/>
      <c r="AC60" s="521"/>
      <c r="AD60" s="521"/>
      <c r="AE60" s="521"/>
      <c r="AF60" s="521"/>
      <c r="AG60" s="521"/>
      <c r="AH60" s="521"/>
      <c r="AI60" s="522"/>
      <c r="AJ60" s="521"/>
      <c r="AK60" s="521"/>
      <c r="AL60" s="521"/>
      <c r="AM60" s="521"/>
      <c r="AN60" s="521"/>
      <c r="AO60" s="521"/>
      <c r="AP60" s="521"/>
      <c r="AQ60" s="521"/>
      <c r="AR60" s="521"/>
      <c r="AS60" s="521"/>
      <c r="AT60" s="725"/>
    </row>
    <row r="61" spans="2:46" s="662" customFormat="1" ht="21.75" customHeight="1">
      <c r="B61" s="744"/>
      <c r="C61" s="536" t="s">
        <v>321</v>
      </c>
      <c r="D61" s="479">
        <v>75</v>
      </c>
      <c r="E61" s="646">
        <v>75</v>
      </c>
      <c r="F61" s="714">
        <v>3.1944444444444449E-2</v>
      </c>
      <c r="G61" s="648">
        <f>IF(ISBLANK(F61),"",F61+TIME(0,E61/220*60,0))</f>
        <v>4.5833333333333337E-2</v>
      </c>
      <c r="H61" s="448">
        <f>D61/K57*60</f>
        <v>21.428571428571431</v>
      </c>
      <c r="I61" s="685">
        <f>IF(OR(G61="",F61=""),"",IF(G61&gt;=F61,(G61-F61)*24*60,(1+G61-F61)*24*60))</f>
        <v>20</v>
      </c>
      <c r="J61" s="539" t="s">
        <v>322</v>
      </c>
      <c r="K61" s="448">
        <v>135</v>
      </c>
      <c r="L61" s="709">
        <v>135</v>
      </c>
      <c r="M61" s="606"/>
      <c r="N61" s="521"/>
      <c r="O61" s="521"/>
      <c r="P61" s="521"/>
      <c r="Q61" s="521"/>
      <c r="R61" s="521"/>
      <c r="S61" s="521"/>
      <c r="T61" s="532" t="e">
        <f>D61-D60</f>
        <v>#VALUE!</v>
      </c>
      <c r="U61" s="532"/>
      <c r="V61" s="521"/>
      <c r="W61" s="521"/>
      <c r="X61" s="521"/>
      <c r="Y61" s="521"/>
      <c r="Z61" s="521"/>
      <c r="AA61" s="521"/>
      <c r="AB61" s="521"/>
      <c r="AC61" s="521"/>
      <c r="AD61" s="521"/>
      <c r="AE61" s="521"/>
      <c r="AF61" s="521"/>
      <c r="AG61" s="521"/>
      <c r="AH61" s="521"/>
      <c r="AI61" s="522"/>
      <c r="AJ61" s="521"/>
      <c r="AK61" s="521"/>
      <c r="AL61" s="521"/>
      <c r="AM61" s="521"/>
      <c r="AN61" s="521"/>
      <c r="AO61" s="521"/>
      <c r="AP61" s="521"/>
      <c r="AQ61" s="521"/>
      <c r="AR61" s="521"/>
      <c r="AS61" s="521"/>
    </row>
    <row r="62" spans="2:46" s="662" customFormat="1" ht="18.75" customHeight="1">
      <c r="B62" s="744"/>
      <c r="C62" s="536" t="s">
        <v>323</v>
      </c>
      <c r="D62" s="448"/>
      <c r="E62" s="651"/>
      <c r="F62" s="648"/>
      <c r="G62" s="648"/>
      <c r="H62" s="448">
        <v>10</v>
      </c>
      <c r="I62" s="448"/>
      <c r="J62" s="539" t="s">
        <v>324</v>
      </c>
      <c r="K62" s="448">
        <v>35</v>
      </c>
      <c r="L62" s="708">
        <v>35</v>
      </c>
      <c r="M62" s="531"/>
      <c r="N62" s="521"/>
      <c r="O62" s="521"/>
      <c r="P62" s="521"/>
      <c r="Q62" s="521"/>
      <c r="R62" s="521"/>
      <c r="S62" s="521"/>
      <c r="T62" s="521"/>
      <c r="U62" s="521"/>
      <c r="V62" s="521"/>
      <c r="W62" s="521"/>
      <c r="X62" s="521"/>
      <c r="Y62" s="521"/>
      <c r="Z62" s="521"/>
      <c r="AA62" s="521"/>
      <c r="AB62" s="521"/>
      <c r="AC62" s="521"/>
      <c r="AD62" s="521"/>
      <c r="AE62" s="521"/>
      <c r="AF62" s="521"/>
      <c r="AG62" s="521"/>
      <c r="AH62" s="521"/>
      <c r="AI62" s="522"/>
      <c r="AJ62" s="521"/>
      <c r="AK62" s="521"/>
      <c r="AL62" s="521"/>
      <c r="AM62" s="521"/>
      <c r="AN62" s="521"/>
      <c r="AO62" s="521"/>
      <c r="AP62" s="521"/>
      <c r="AQ62" s="521"/>
      <c r="AR62" s="521"/>
      <c r="AS62" s="521"/>
    </row>
    <row r="63" spans="2:46" s="662" customFormat="1" ht="20.149999999999999" customHeight="1">
      <c r="B63" s="744"/>
      <c r="C63" s="536" t="s">
        <v>325</v>
      </c>
      <c r="D63" s="448"/>
      <c r="E63" s="651"/>
      <c r="F63" s="648"/>
      <c r="G63" s="648"/>
      <c r="H63" s="448">
        <v>3</v>
      </c>
      <c r="I63" s="448"/>
      <c r="J63" s="539" t="s">
        <v>326</v>
      </c>
      <c r="K63" s="583" t="s">
        <v>327</v>
      </c>
      <c r="L63" s="561">
        <v>2.57</v>
      </c>
      <c r="M63" s="531"/>
      <c r="N63" s="521"/>
      <c r="O63" s="521"/>
      <c r="P63" s="521"/>
      <c r="Q63" s="521"/>
      <c r="R63" s="521"/>
      <c r="S63" s="521"/>
      <c r="T63" s="521"/>
      <c r="U63" s="521"/>
      <c r="V63" s="521"/>
      <c r="W63" s="521"/>
      <c r="X63" s="521"/>
      <c r="Y63" s="521"/>
      <c r="Z63" s="521"/>
      <c r="AA63" s="521"/>
      <c r="AB63" s="521"/>
      <c r="AC63" s="521"/>
      <c r="AD63" s="521"/>
      <c r="AE63" s="521"/>
      <c r="AF63" s="521"/>
      <c r="AG63" s="521"/>
      <c r="AH63" s="521"/>
      <c r="AI63" s="522"/>
      <c r="AJ63" s="521"/>
      <c r="AK63" s="521"/>
      <c r="AL63" s="521"/>
      <c r="AM63" s="521"/>
      <c r="AN63" s="521"/>
      <c r="AO63" s="521"/>
      <c r="AP63" s="521"/>
      <c r="AQ63" s="521"/>
      <c r="AR63" s="521"/>
      <c r="AS63" s="521"/>
    </row>
    <row r="64" spans="2:46" s="662" customFormat="1" ht="20.149999999999999" customHeight="1" thickBot="1">
      <c r="B64" s="755"/>
      <c r="C64" s="756" t="s">
        <v>328</v>
      </c>
      <c r="D64" s="882"/>
      <c r="E64" s="647"/>
      <c r="F64" s="647"/>
      <c r="G64" s="647"/>
      <c r="H64" s="882">
        <f>SUM(H54:H63)</f>
        <v>139.80000000000001</v>
      </c>
      <c r="I64" s="882">
        <f>IF(OR(G61="",F55=""),"",IF(G61&gt;=F55,(G61-F55)*24*60,(G61+1-F55)*24*60))</f>
        <v>131</v>
      </c>
      <c r="J64" s="780" t="s">
        <v>329</v>
      </c>
      <c r="K64" s="781" t="s">
        <v>330</v>
      </c>
      <c r="L64" s="713">
        <v>0.78</v>
      </c>
      <c r="M64" s="531"/>
      <c r="N64" s="521"/>
      <c r="O64" s="521"/>
      <c r="P64" s="521"/>
      <c r="Q64" s="521"/>
      <c r="R64" s="521"/>
      <c r="S64" s="521"/>
      <c r="T64" s="521"/>
      <c r="U64" s="521"/>
      <c r="V64" s="521"/>
      <c r="W64" s="521"/>
      <c r="X64" s="521"/>
      <c r="Y64" s="521"/>
      <c r="Z64" s="521"/>
      <c r="AA64" s="521"/>
      <c r="AB64" s="521"/>
      <c r="AC64" s="521"/>
      <c r="AD64" s="521"/>
      <c r="AE64" s="521"/>
      <c r="AF64" s="521"/>
      <c r="AG64" s="521"/>
      <c r="AH64" s="521"/>
      <c r="AI64" s="522"/>
      <c r="AJ64" s="521"/>
      <c r="AK64" s="521"/>
      <c r="AL64" s="521"/>
      <c r="AM64" s="521"/>
      <c r="AN64" s="521"/>
      <c r="AO64" s="521"/>
      <c r="AP64" s="521"/>
      <c r="AQ64" s="521"/>
      <c r="AR64" s="521"/>
      <c r="AS64" s="521"/>
    </row>
    <row r="65" spans="2:45" s="662" customFormat="1" ht="12" thickBot="1">
      <c r="B65" s="770"/>
      <c r="C65" s="941" t="s">
        <v>331</v>
      </c>
      <c r="D65" s="942"/>
      <c r="E65" s="942"/>
      <c r="F65" s="942"/>
      <c r="G65" s="942"/>
      <c r="H65" s="942"/>
      <c r="I65" s="942"/>
      <c r="J65" s="942"/>
      <c r="K65" s="942"/>
      <c r="L65" s="943"/>
      <c r="M65" s="582"/>
      <c r="N65" s="521"/>
      <c r="O65" s="521"/>
      <c r="P65" s="521"/>
      <c r="Q65" s="521"/>
      <c r="R65" s="521"/>
      <c r="S65" s="521"/>
      <c r="T65" s="521"/>
      <c r="U65" s="521"/>
      <c r="V65" s="521"/>
      <c r="W65" s="521"/>
      <c r="X65" s="521"/>
      <c r="Y65" s="521"/>
      <c r="Z65" s="521"/>
      <c r="AA65" s="521"/>
      <c r="AB65" s="521"/>
      <c r="AC65" s="521"/>
      <c r="AD65" s="521"/>
      <c r="AE65" s="521"/>
      <c r="AF65" s="521"/>
      <c r="AG65" s="521"/>
      <c r="AH65" s="521"/>
      <c r="AI65" s="522"/>
      <c r="AJ65" s="521"/>
      <c r="AK65" s="521"/>
      <c r="AL65" s="521"/>
      <c r="AM65" s="521"/>
      <c r="AN65" s="521"/>
      <c r="AO65" s="521"/>
      <c r="AP65" s="521"/>
      <c r="AQ65" s="521"/>
      <c r="AR65" s="521"/>
      <c r="AS65" s="521"/>
    </row>
    <row r="66" spans="2:45" s="662" customFormat="1" ht="17.25" customHeight="1">
      <c r="B66" s="782"/>
      <c r="C66" s="783" t="s">
        <v>332</v>
      </c>
      <c r="D66" s="884">
        <f>D59</f>
        <v>257</v>
      </c>
      <c r="E66" s="895">
        <v>269</v>
      </c>
      <c r="F66" s="888"/>
      <c r="G66" s="888"/>
      <c r="H66" s="769">
        <f>H58+H59</f>
        <v>75.371428571428567</v>
      </c>
      <c r="I66" s="769"/>
      <c r="J66" s="784" t="s">
        <v>333</v>
      </c>
      <c r="K66" s="785">
        <v>72</v>
      </c>
      <c r="L66" s="786"/>
      <c r="M66" s="607"/>
      <c r="N66" s="521"/>
      <c r="O66" s="521"/>
      <c r="P66" s="521"/>
      <c r="Q66" s="521"/>
      <c r="R66" s="521"/>
      <c r="S66" s="521"/>
      <c r="T66" s="521"/>
      <c r="U66" s="521"/>
      <c r="V66" s="521"/>
      <c r="W66" s="521"/>
      <c r="X66" s="521"/>
      <c r="Y66" s="521"/>
      <c r="Z66" s="521"/>
      <c r="AA66" s="521"/>
      <c r="AB66" s="521"/>
      <c r="AC66" s="521"/>
      <c r="AD66" s="521"/>
      <c r="AE66" s="521"/>
      <c r="AF66" s="521"/>
      <c r="AG66" s="521"/>
      <c r="AH66" s="521"/>
      <c r="AI66" s="522"/>
      <c r="AJ66" s="521"/>
      <c r="AK66" s="521"/>
      <c r="AL66" s="521"/>
      <c r="AM66" s="521"/>
      <c r="AN66" s="521"/>
      <c r="AO66" s="521"/>
      <c r="AP66" s="521"/>
      <c r="AQ66" s="521"/>
      <c r="AR66" s="521"/>
      <c r="AS66" s="521"/>
    </row>
    <row r="67" spans="2:45" s="662" customFormat="1" ht="23">
      <c r="B67" s="744"/>
      <c r="C67" s="136" t="s">
        <v>334</v>
      </c>
      <c r="D67" s="479">
        <v>115</v>
      </c>
      <c r="E67" s="651"/>
      <c r="F67" s="899" t="s">
        <v>335</v>
      </c>
      <c r="G67" s="448">
        <v>300</v>
      </c>
      <c r="H67" s="448"/>
      <c r="I67" s="448"/>
      <c r="J67" s="566" t="s">
        <v>336</v>
      </c>
      <c r="K67" s="553">
        <v>88</v>
      </c>
      <c r="L67" s="638"/>
      <c r="M67" s="608"/>
      <c r="N67" s="521"/>
      <c r="O67" s="521"/>
      <c r="P67" s="521"/>
      <c r="Q67" s="521"/>
      <c r="R67" s="521"/>
      <c r="S67" s="521"/>
      <c r="T67" s="521"/>
      <c r="U67" s="521"/>
      <c r="V67" s="521"/>
      <c r="W67" s="521"/>
      <c r="X67" s="521"/>
      <c r="Y67" s="521"/>
      <c r="Z67" s="521"/>
      <c r="AA67" s="521"/>
      <c r="AB67" s="521"/>
      <c r="AC67" s="521"/>
      <c r="AD67" s="521"/>
      <c r="AE67" s="521"/>
      <c r="AF67" s="521"/>
      <c r="AG67" s="521"/>
      <c r="AH67" s="521"/>
      <c r="AI67" s="522"/>
      <c r="AJ67" s="521"/>
      <c r="AK67" s="521"/>
      <c r="AL67" s="521"/>
      <c r="AM67" s="521"/>
      <c r="AN67" s="521"/>
      <c r="AO67" s="521"/>
      <c r="AP67" s="521"/>
      <c r="AQ67" s="521"/>
      <c r="AR67" s="521"/>
      <c r="AS67" s="521"/>
    </row>
    <row r="68" spans="2:45" s="662" customFormat="1" ht="13.5" thickBot="1">
      <c r="B68" s="751"/>
      <c r="C68" s="613" t="s">
        <v>337</v>
      </c>
      <c r="D68" s="883">
        <v>3</v>
      </c>
      <c r="E68" s="887"/>
      <c r="F68" s="887"/>
      <c r="G68" s="887"/>
      <c r="H68" s="538">
        <v>2</v>
      </c>
      <c r="I68" s="538"/>
      <c r="J68" s="771" t="s">
        <v>338</v>
      </c>
      <c r="K68" s="772">
        <v>92</v>
      </c>
      <c r="L68" s="773"/>
      <c r="M68" s="608"/>
      <c r="N68" s="521"/>
      <c r="O68" s="521"/>
      <c r="P68" s="521"/>
      <c r="Q68" s="521"/>
      <c r="R68" s="521"/>
      <c r="S68" s="521"/>
      <c r="T68" s="521"/>
      <c r="U68" s="521"/>
      <c r="V68" s="521"/>
      <c r="W68" s="521"/>
      <c r="X68" s="521"/>
      <c r="Y68" s="521"/>
      <c r="Z68" s="521"/>
      <c r="AA68" s="521"/>
      <c r="AB68" s="521"/>
      <c r="AC68" s="521"/>
      <c r="AD68" s="521"/>
      <c r="AE68" s="521"/>
      <c r="AF68" s="521"/>
      <c r="AG68" s="521"/>
      <c r="AH68" s="521"/>
      <c r="AI68" s="522"/>
      <c r="AJ68" s="521"/>
      <c r="AK68" s="521"/>
      <c r="AL68" s="521"/>
      <c r="AM68" s="521"/>
      <c r="AN68" s="521"/>
      <c r="AO68" s="521"/>
      <c r="AP68" s="521"/>
      <c r="AQ68" s="521"/>
      <c r="AR68" s="521"/>
      <c r="AS68" s="521"/>
    </row>
    <row r="69" spans="2:45" s="662" customFormat="1" ht="12" thickBot="1">
      <c r="B69" s="778"/>
      <c r="C69" s="941" t="s">
        <v>339</v>
      </c>
      <c r="D69" s="942"/>
      <c r="E69" s="942"/>
      <c r="F69" s="942"/>
      <c r="G69" s="942"/>
      <c r="H69" s="942"/>
      <c r="I69" s="942"/>
      <c r="J69" s="942"/>
      <c r="K69" s="942"/>
      <c r="L69" s="943"/>
      <c r="M69" s="582"/>
      <c r="N69" s="521"/>
      <c r="O69" s="521"/>
      <c r="P69" s="521"/>
      <c r="Q69" s="521"/>
      <c r="R69" s="521"/>
      <c r="S69" s="521"/>
      <c r="T69" s="521"/>
      <c r="U69" s="521"/>
      <c r="V69" s="521"/>
      <c r="W69" s="521"/>
      <c r="X69" s="521"/>
      <c r="Y69" s="521"/>
      <c r="Z69" s="521"/>
      <c r="AA69" s="521"/>
      <c r="AB69" s="521"/>
      <c r="AC69" s="521"/>
      <c r="AD69" s="521"/>
      <c r="AE69" s="521"/>
      <c r="AF69" s="521"/>
      <c r="AG69" s="521"/>
      <c r="AH69" s="521"/>
      <c r="AI69" s="522"/>
      <c r="AJ69" s="521"/>
      <c r="AK69" s="521"/>
      <c r="AL69" s="521"/>
      <c r="AM69" s="521"/>
      <c r="AN69" s="521"/>
      <c r="AO69" s="521"/>
      <c r="AP69" s="521"/>
      <c r="AQ69" s="521"/>
      <c r="AR69" s="521"/>
      <c r="AS69" s="521"/>
    </row>
    <row r="70" spans="2:45" s="662" customFormat="1" ht="24" customHeight="1">
      <c r="B70" s="745"/>
      <c r="C70" s="594" t="s">
        <v>340</v>
      </c>
      <c r="D70" s="544">
        <v>65</v>
      </c>
      <c r="E70" s="647"/>
      <c r="F70" s="774">
        <v>0.99444444444444446</v>
      </c>
      <c r="G70" s="775"/>
      <c r="H70" s="882">
        <f>(D70)/G67*60</f>
        <v>13</v>
      </c>
      <c r="I70" s="764">
        <f>IF(OR(F71="",F70=""),"",IF(F71&gt;=F70,(F71-F70)*24*60,(1+F71-F70)*24*60))</f>
        <v>13.000000000000114</v>
      </c>
      <c r="J70" s="776" t="s">
        <v>341</v>
      </c>
      <c r="K70" s="769">
        <v>2400</v>
      </c>
      <c r="L70" s="777" t="s">
        <v>342</v>
      </c>
      <c r="M70" s="531"/>
      <c r="N70" s="521"/>
      <c r="O70" s="521"/>
      <c r="P70" s="521"/>
      <c r="Q70" s="521"/>
      <c r="R70" s="521"/>
      <c r="S70" s="521"/>
      <c r="T70" s="521"/>
      <c r="U70" s="521"/>
      <c r="V70" s="521"/>
      <c r="W70" s="521"/>
      <c r="X70" s="521"/>
      <c r="Y70" s="521"/>
      <c r="Z70" s="521"/>
      <c r="AA70" s="521"/>
      <c r="AB70" s="521"/>
      <c r="AC70" s="521"/>
      <c r="AD70" s="521"/>
      <c r="AE70" s="521"/>
      <c r="AF70" s="521"/>
      <c r="AG70" s="521"/>
      <c r="AH70" s="521"/>
      <c r="AI70" s="522"/>
      <c r="AJ70" s="521"/>
      <c r="AK70" s="521"/>
      <c r="AL70" s="521"/>
      <c r="AM70" s="521"/>
      <c r="AN70" s="521"/>
      <c r="AO70" s="521"/>
      <c r="AP70" s="521"/>
      <c r="AQ70" s="521"/>
      <c r="AR70" s="521"/>
      <c r="AS70" s="521"/>
    </row>
    <row r="71" spans="2:45" s="662" customFormat="1" ht="24" customHeight="1">
      <c r="B71" s="744"/>
      <c r="C71" s="536" t="s">
        <v>343</v>
      </c>
      <c r="D71" s="448"/>
      <c r="E71" s="651"/>
      <c r="F71" s="648">
        <f>IF(ISBLANK(F70),"",F70+TIME(0,H70,0))</f>
        <v>1.0034722222222223</v>
      </c>
      <c r="G71" s="648"/>
      <c r="H71" s="448">
        <f>(180-D70)/G67*60</f>
        <v>23</v>
      </c>
      <c r="I71" s="685">
        <f>IF(OR(F72="",F71=""),"",IF(F72&gt;=F71,(F72-F71)*24*60,(1+F72-F71)*24*60))</f>
        <v>27.999999999999901</v>
      </c>
      <c r="J71" s="539" t="s">
        <v>341</v>
      </c>
      <c r="K71" s="610">
        <v>1100</v>
      </c>
      <c r="L71" s="609" t="s">
        <v>344</v>
      </c>
      <c r="M71" s="531"/>
      <c r="N71" s="521"/>
      <c r="O71" s="521">
        <f>K71*4/60</f>
        <v>73.333333333333329</v>
      </c>
      <c r="P71" s="521"/>
      <c r="Q71" s="521">
        <v>734</v>
      </c>
      <c r="R71" s="521"/>
      <c r="S71" s="521"/>
      <c r="T71" s="521"/>
      <c r="U71" s="521"/>
      <c r="V71" s="521"/>
      <c r="W71" s="521"/>
      <c r="X71" s="521"/>
      <c r="Y71" s="521"/>
      <c r="Z71" s="521"/>
      <c r="AA71" s="521"/>
      <c r="AB71" s="521"/>
      <c r="AC71" s="521"/>
      <c r="AD71" s="521"/>
      <c r="AE71" s="521"/>
      <c r="AF71" s="521"/>
      <c r="AG71" s="521"/>
      <c r="AH71" s="521"/>
      <c r="AI71" s="522"/>
      <c r="AJ71" s="521"/>
      <c r="AK71" s="521"/>
      <c r="AL71" s="521"/>
      <c r="AM71" s="521"/>
      <c r="AN71" s="521"/>
      <c r="AO71" s="521"/>
      <c r="AP71" s="521"/>
      <c r="AQ71" s="521"/>
      <c r="AR71" s="521"/>
      <c r="AS71" s="521"/>
    </row>
    <row r="72" spans="2:45" s="662" customFormat="1" ht="16" customHeight="1">
      <c r="B72" s="885"/>
      <c r="C72" s="949" t="s">
        <v>345</v>
      </c>
      <c r="D72" s="951" t="s">
        <v>346</v>
      </c>
      <c r="E72" s="960">
        <v>180</v>
      </c>
      <c r="F72" s="962">
        <v>2.2916666666666669E-2</v>
      </c>
      <c r="G72" s="955">
        <f>IF(ISBLANK($F$72),"",F72+TIME(0,H72,0))</f>
        <v>4.3749999999999997E-2</v>
      </c>
      <c r="H72" s="951">
        <v>30</v>
      </c>
      <c r="I72" s="947">
        <f>IF(ISBLANK($F$72),"",(G72-F72)*24*60)</f>
        <v>29.999999999999993</v>
      </c>
      <c r="J72" s="566" t="s">
        <v>347</v>
      </c>
      <c r="K72" s="479">
        <v>1700</v>
      </c>
      <c r="L72" s="611"/>
      <c r="M72" s="593"/>
      <c r="N72" s="521"/>
      <c r="O72" s="521">
        <f>K72*H72/60</f>
        <v>850</v>
      </c>
      <c r="P72" s="521"/>
      <c r="Q72" s="521">
        <v>1763</v>
      </c>
      <c r="R72" s="521"/>
      <c r="S72" s="521"/>
      <c r="T72" s="521"/>
      <c r="U72" s="521"/>
      <c r="V72" s="521"/>
      <c r="W72" s="521"/>
      <c r="X72" s="521"/>
      <c r="Y72" s="521"/>
      <c r="Z72" s="521"/>
      <c r="AA72" s="521"/>
      <c r="AB72" s="521"/>
      <c r="AC72" s="521"/>
      <c r="AD72" s="521"/>
      <c r="AE72" s="521"/>
      <c r="AF72" s="521"/>
      <c r="AG72" s="521"/>
      <c r="AH72" s="521"/>
      <c r="AI72" s="522"/>
      <c r="AJ72" s="521"/>
      <c r="AK72" s="521"/>
      <c r="AL72" s="521"/>
      <c r="AM72" s="521"/>
      <c r="AN72" s="521"/>
      <c r="AO72" s="521"/>
      <c r="AP72" s="521"/>
      <c r="AQ72" s="521"/>
      <c r="AR72" s="521"/>
      <c r="AS72" s="521"/>
    </row>
    <row r="73" spans="2:45" s="662" customFormat="1" ht="16" customHeight="1">
      <c r="B73" s="886"/>
      <c r="C73" s="950"/>
      <c r="D73" s="952"/>
      <c r="E73" s="961"/>
      <c r="F73" s="963"/>
      <c r="G73" s="956"/>
      <c r="H73" s="952"/>
      <c r="I73" s="948"/>
      <c r="J73" s="566" t="s">
        <v>348</v>
      </c>
      <c r="K73" s="883">
        <v>1100</v>
      </c>
      <c r="L73" s="611"/>
      <c r="M73" s="612"/>
      <c r="N73" s="521"/>
      <c r="O73" s="521"/>
      <c r="P73" s="521"/>
      <c r="Q73" s="521"/>
      <c r="R73" s="521"/>
      <c r="S73" s="521"/>
      <c r="T73" s="521"/>
      <c r="U73" s="521"/>
      <c r="V73" s="521"/>
      <c r="W73" s="521"/>
      <c r="X73" s="521"/>
      <c r="Y73" s="521"/>
      <c r="Z73" s="521"/>
      <c r="AA73" s="521"/>
      <c r="AB73" s="521"/>
      <c r="AC73" s="521"/>
      <c r="AD73" s="521"/>
      <c r="AE73" s="521"/>
      <c r="AF73" s="521"/>
      <c r="AG73" s="521"/>
      <c r="AH73" s="521"/>
      <c r="AI73" s="522"/>
      <c r="AJ73" s="521"/>
      <c r="AK73" s="521"/>
      <c r="AL73" s="521"/>
      <c r="AM73" s="521"/>
      <c r="AN73" s="521"/>
      <c r="AO73" s="521"/>
      <c r="AP73" s="521"/>
      <c r="AQ73" s="521"/>
      <c r="AR73" s="521"/>
      <c r="AS73" s="521"/>
    </row>
    <row r="74" spans="2:45" s="662" customFormat="1" ht="20.149999999999999" customHeight="1">
      <c r="B74" s="751"/>
      <c r="C74" s="613" t="s">
        <v>349</v>
      </c>
      <c r="D74" s="614">
        <v>2.5</v>
      </c>
      <c r="E74" s="656"/>
      <c r="F74" s="889" t="s">
        <v>350</v>
      </c>
      <c r="G74" s="890"/>
      <c r="H74" s="891"/>
      <c r="I74" s="682">
        <v>5</v>
      </c>
      <c r="J74" s="574" t="s">
        <v>351</v>
      </c>
      <c r="K74" s="639">
        <v>378</v>
      </c>
      <c r="L74" s="645"/>
      <c r="M74" s="615"/>
      <c r="N74" s="521"/>
      <c r="O74" s="521"/>
      <c r="P74" s="521"/>
      <c r="Q74" s="521"/>
      <c r="R74" s="521"/>
      <c r="S74" s="521"/>
      <c r="T74" s="521"/>
      <c r="U74" s="521"/>
      <c r="V74" s="521"/>
      <c r="W74" s="521"/>
      <c r="X74" s="521"/>
      <c r="Y74" s="521"/>
      <c r="Z74" s="521"/>
      <c r="AA74" s="521"/>
      <c r="AB74" s="521"/>
      <c r="AC74" s="521"/>
      <c r="AD74" s="521"/>
      <c r="AE74" s="521"/>
      <c r="AF74" s="521"/>
      <c r="AG74" s="521"/>
      <c r="AH74" s="521"/>
      <c r="AI74" s="522"/>
      <c r="AJ74" s="521"/>
      <c r="AK74" s="521"/>
      <c r="AL74" s="521"/>
      <c r="AM74" s="521"/>
      <c r="AN74" s="521"/>
      <c r="AO74" s="521"/>
      <c r="AP74" s="521"/>
      <c r="AQ74" s="521"/>
      <c r="AR74" s="521"/>
      <c r="AS74" s="521"/>
    </row>
    <row r="75" spans="2:45" s="662" customFormat="1" ht="20.149999999999999" customHeight="1">
      <c r="B75" s="744"/>
      <c r="C75" s="536" t="str">
        <f>'10027'!C75</f>
        <v>Hop pellet Herkules 12.8% aa, kg</v>
      </c>
      <c r="D75" s="637">
        <f>'10027'!D75</f>
        <v>2.48</v>
      </c>
      <c r="E75" s="657"/>
      <c r="F75" s="892" t="s">
        <v>353</v>
      </c>
      <c r="G75" s="893"/>
      <c r="H75" s="894"/>
      <c r="I75" s="682">
        <v>10</v>
      </c>
      <c r="J75" s="716" t="s">
        <v>354</v>
      </c>
      <c r="K75" s="639">
        <v>934</v>
      </c>
      <c r="L75" s="540"/>
      <c r="M75" s="615"/>
      <c r="N75" s="521"/>
      <c r="O75" s="521"/>
      <c r="P75" s="521"/>
      <c r="Q75" s="521"/>
      <c r="R75" s="521"/>
      <c r="S75" s="521"/>
      <c r="T75" s="521"/>
      <c r="U75" s="521"/>
      <c r="V75" s="521"/>
      <c r="W75" s="521"/>
      <c r="X75" s="521"/>
      <c r="Y75" s="521"/>
      <c r="Z75" s="521"/>
      <c r="AA75" s="521"/>
      <c r="AB75" s="521"/>
      <c r="AC75" s="521"/>
      <c r="AD75" s="521"/>
      <c r="AE75" s="521"/>
      <c r="AF75" s="521"/>
      <c r="AG75" s="521"/>
      <c r="AH75" s="521"/>
      <c r="AI75" s="522"/>
      <c r="AJ75" s="521" t="e">
        <v>#N/A</v>
      </c>
      <c r="AK75" s="521" t="e">
        <v>#N/A</v>
      </c>
      <c r="AL75" s="521"/>
      <c r="AM75" s="521" t="s">
        <v>355</v>
      </c>
      <c r="AN75" s="521"/>
      <c r="AO75" s="521"/>
      <c r="AP75" s="521"/>
      <c r="AQ75" s="521"/>
      <c r="AR75" s="521"/>
      <c r="AS75" s="521"/>
    </row>
    <row r="76" spans="2:45" s="662" customFormat="1" ht="20.149999999999999" customHeight="1">
      <c r="B76" s="744"/>
      <c r="C76" s="536" t="str">
        <f>'10027'!C76</f>
        <v>Hop Rainer 7.1% aa, kg</v>
      </c>
      <c r="D76" s="637">
        <f>'10027'!D76</f>
        <v>2.2000000000000002</v>
      </c>
      <c r="E76" s="657"/>
      <c r="F76" s="892" t="s">
        <v>357</v>
      </c>
      <c r="G76" s="894"/>
      <c r="H76" s="538">
        <v>0</v>
      </c>
      <c r="I76" s="682">
        <v>0</v>
      </c>
      <c r="J76" s="539" t="s">
        <v>358</v>
      </c>
      <c r="K76" s="583" t="s">
        <v>359</v>
      </c>
      <c r="L76" s="723"/>
      <c r="M76" s="615"/>
      <c r="N76" s="521"/>
      <c r="O76" s="521"/>
      <c r="P76" s="521"/>
      <c r="Q76" s="521"/>
      <c r="R76" s="521"/>
      <c r="S76" s="521"/>
      <c r="T76" s="521"/>
      <c r="U76" s="521"/>
      <c r="V76" s="521"/>
      <c r="W76" s="521"/>
      <c r="X76" s="521"/>
      <c r="Y76" s="521"/>
      <c r="Z76" s="521"/>
      <c r="AA76" s="521"/>
      <c r="AB76" s="521"/>
      <c r="AC76" s="521"/>
      <c r="AD76" s="521"/>
      <c r="AE76" s="521"/>
      <c r="AF76" s="521"/>
      <c r="AG76" s="521"/>
      <c r="AH76" s="521"/>
      <c r="AI76" s="522"/>
      <c r="AJ76" s="521"/>
      <c r="AK76" s="521"/>
      <c r="AL76" s="521"/>
      <c r="AM76" s="521"/>
      <c r="AN76" s="521"/>
      <c r="AO76" s="521"/>
      <c r="AP76" s="521"/>
      <c r="AQ76" s="521"/>
      <c r="AR76" s="521"/>
      <c r="AS76" s="521"/>
    </row>
    <row r="77" spans="2:45" s="662" customFormat="1" ht="20.149999999999999" customHeight="1">
      <c r="B77" s="744"/>
      <c r="C77" s="536" t="str">
        <f>'10027'!C77</f>
        <v>Hop pellet Opal 8.6% aa, kg</v>
      </c>
      <c r="D77" s="637">
        <f>'10027'!D77</f>
        <v>2.41</v>
      </c>
      <c r="E77" s="658"/>
      <c r="F77" s="892" t="s">
        <v>361</v>
      </c>
      <c r="G77" s="894"/>
      <c r="H77" s="538" t="s">
        <v>362</v>
      </c>
      <c r="I77" s="682">
        <f ca="1">101+RANDBETWEEN(-3,1)/10</f>
        <v>101</v>
      </c>
      <c r="J77" s="574" t="s">
        <v>363</v>
      </c>
      <c r="K77" s="562" t="s">
        <v>364</v>
      </c>
      <c r="L77" s="711">
        <f ca="1">101+RANDBETWEEN(-1,2)/10</f>
        <v>100.9</v>
      </c>
      <c r="M77" s="615"/>
      <c r="N77" s="521"/>
      <c r="O77" s="521"/>
      <c r="P77" s="521"/>
      <c r="Q77" s="521"/>
      <c r="R77" s="521"/>
      <c r="S77" s="521"/>
      <c r="T77" s="521"/>
      <c r="U77" s="521"/>
      <c r="V77" s="521"/>
      <c r="W77" s="521"/>
      <c r="X77" s="521"/>
      <c r="Y77" s="521"/>
      <c r="Z77" s="521"/>
      <c r="AA77" s="521"/>
      <c r="AB77" s="521"/>
      <c r="AC77" s="521"/>
      <c r="AD77" s="521"/>
      <c r="AE77" s="521"/>
      <c r="AF77" s="521"/>
      <c r="AG77" s="521"/>
      <c r="AH77" s="521"/>
      <c r="AI77" s="522"/>
      <c r="AJ77" s="521"/>
      <c r="AK77" s="521"/>
      <c r="AL77" s="521"/>
      <c r="AM77" s="521"/>
      <c r="AN77" s="521"/>
      <c r="AO77" s="521"/>
      <c r="AP77" s="521"/>
      <c r="AQ77" s="521"/>
      <c r="AR77" s="521"/>
      <c r="AS77" s="521"/>
    </row>
    <row r="78" spans="2:45" s="662" customFormat="1" ht="16" customHeight="1">
      <c r="B78" s="885"/>
      <c r="C78" s="949" t="s">
        <v>365</v>
      </c>
      <c r="D78" s="951" t="s">
        <v>366</v>
      </c>
      <c r="E78" s="957">
        <f>E66</f>
        <v>269</v>
      </c>
      <c r="F78" s="955">
        <f>G72</f>
        <v>4.3749999999999997E-2</v>
      </c>
      <c r="G78" s="955">
        <f>IF(ISBLANK($F$72),"",F78+TIME(0,H78,0))</f>
        <v>6.1111111111111109E-2</v>
      </c>
      <c r="H78" s="951">
        <v>25</v>
      </c>
      <c r="I78" s="947">
        <f>IF(ISBLANK($F$72),"",(G78-F78)*24*60)</f>
        <v>25</v>
      </c>
      <c r="J78" s="566" t="s">
        <v>347</v>
      </c>
      <c r="K78" s="479">
        <v>750</v>
      </c>
      <c r="L78" s="558"/>
      <c r="M78" s="593"/>
      <c r="N78" s="521"/>
      <c r="O78" s="521">
        <f>K78*45/60</f>
        <v>562.5</v>
      </c>
      <c r="P78" s="521"/>
      <c r="Q78" s="521"/>
      <c r="R78" s="521"/>
      <c r="S78" s="521"/>
      <c r="T78" s="616"/>
      <c r="U78" s="521"/>
      <c r="V78" s="521"/>
      <c r="W78" s="521"/>
      <c r="X78" s="521"/>
      <c r="Y78" s="521"/>
      <c r="Z78" s="521"/>
      <c r="AA78" s="521"/>
      <c r="AB78" s="521"/>
      <c r="AC78" s="521"/>
      <c r="AD78" s="521"/>
      <c r="AE78" s="521"/>
      <c r="AF78" s="521"/>
      <c r="AG78" s="521"/>
      <c r="AH78" s="521"/>
      <c r="AI78" s="522"/>
      <c r="AJ78" s="521"/>
      <c r="AK78" s="521"/>
      <c r="AL78" s="521"/>
      <c r="AM78" s="521"/>
      <c r="AN78" s="521"/>
      <c r="AO78" s="433"/>
      <c r="AP78" s="433"/>
      <c r="AQ78" s="433"/>
      <c r="AR78" s="896"/>
      <c r="AS78" s="896"/>
    </row>
    <row r="79" spans="2:45" s="662" customFormat="1" ht="16" customHeight="1">
      <c r="B79" s="886"/>
      <c r="C79" s="950"/>
      <c r="D79" s="952"/>
      <c r="E79" s="958"/>
      <c r="F79" s="956"/>
      <c r="G79" s="956"/>
      <c r="H79" s="952"/>
      <c r="I79" s="948"/>
      <c r="J79" s="566" t="s">
        <v>348</v>
      </c>
      <c r="K79" s="479">
        <v>450</v>
      </c>
      <c r="L79" s="558"/>
      <c r="M79" s="593"/>
      <c r="N79" s="521"/>
      <c r="O79" s="521"/>
      <c r="P79" s="521"/>
      <c r="Q79" s="521"/>
      <c r="R79" s="521"/>
      <c r="S79" s="521"/>
      <c r="T79" s="616"/>
      <c r="U79" s="521"/>
      <c r="V79" s="521"/>
      <c r="W79" s="521"/>
      <c r="X79" s="521"/>
      <c r="Y79" s="521"/>
      <c r="Z79" s="521"/>
      <c r="AA79" s="521"/>
      <c r="AB79" s="521"/>
      <c r="AC79" s="521"/>
      <c r="AD79" s="521"/>
      <c r="AE79" s="521"/>
      <c r="AF79" s="521"/>
      <c r="AG79" s="521"/>
      <c r="AH79" s="521"/>
      <c r="AI79" s="522"/>
      <c r="AJ79" s="521"/>
      <c r="AK79" s="521"/>
      <c r="AL79" s="521"/>
      <c r="AM79" s="521">
        <v>17</v>
      </c>
      <c r="AN79" s="521">
        <v>8</v>
      </c>
      <c r="AO79" s="521"/>
      <c r="AP79" s="617"/>
      <c r="AQ79" s="617"/>
      <c r="AR79" s="618"/>
      <c r="AS79" s="521"/>
    </row>
    <row r="80" spans="2:45" s="662" customFormat="1" ht="16" customHeight="1">
      <c r="B80" s="885"/>
      <c r="C80" s="949" t="s">
        <v>367</v>
      </c>
      <c r="D80" s="951" t="s">
        <v>366</v>
      </c>
      <c r="E80" s="953"/>
      <c r="F80" s="955">
        <f>G78</f>
        <v>6.1111111111111109E-2</v>
      </c>
      <c r="G80" s="955">
        <f>IF(ISBLANK($F$72),"",F80+TIME(0,H80,0))</f>
        <v>7.4999999999999997E-2</v>
      </c>
      <c r="H80" s="951">
        <v>20</v>
      </c>
      <c r="I80" s="947">
        <f>IF(ISBLANK($F$72),"",(G80-F80)*24*60)</f>
        <v>20</v>
      </c>
      <c r="J80" s="566" t="s">
        <v>347</v>
      </c>
      <c r="K80" s="479">
        <v>1700</v>
      </c>
      <c r="L80" s="558"/>
      <c r="M80" s="593"/>
      <c r="N80" s="521"/>
      <c r="O80" s="521">
        <f>K80*45/60</f>
        <v>1275</v>
      </c>
      <c r="P80" s="521"/>
      <c r="Q80" s="521"/>
      <c r="R80" s="521"/>
      <c r="S80" s="521"/>
      <c r="T80" s="616"/>
      <c r="U80" s="521"/>
      <c r="V80" s="521"/>
      <c r="W80" s="521"/>
      <c r="X80" s="521"/>
      <c r="Y80" s="521"/>
      <c r="Z80" s="521"/>
      <c r="AA80" s="521"/>
      <c r="AB80" s="521"/>
      <c r="AC80" s="521"/>
      <c r="AD80" s="521"/>
      <c r="AE80" s="521"/>
      <c r="AF80" s="521"/>
      <c r="AG80" s="521"/>
      <c r="AH80" s="521"/>
      <c r="AI80" s="522"/>
      <c r="AJ80" s="521"/>
      <c r="AK80" s="521"/>
      <c r="AL80" s="521"/>
      <c r="AM80" s="521">
        <v>4</v>
      </c>
      <c r="AN80" s="521">
        <v>23</v>
      </c>
      <c r="AO80" s="433"/>
      <c r="AP80" s="433"/>
      <c r="AQ80" s="433"/>
      <c r="AR80" s="896"/>
      <c r="AS80" s="896"/>
    </row>
    <row r="81" spans="2:45" s="662" customFormat="1" ht="16" customHeight="1">
      <c r="B81" s="886"/>
      <c r="C81" s="950"/>
      <c r="D81" s="952"/>
      <c r="E81" s="954"/>
      <c r="F81" s="956"/>
      <c r="G81" s="956"/>
      <c r="H81" s="952"/>
      <c r="I81" s="948"/>
      <c r="J81" s="566" t="s">
        <v>348</v>
      </c>
      <c r="K81" s="479">
        <v>1100</v>
      </c>
      <c r="L81" s="558"/>
      <c r="M81" s="593"/>
      <c r="N81" s="521"/>
      <c r="O81" s="521"/>
      <c r="P81" s="521"/>
      <c r="Q81" s="521"/>
      <c r="R81" s="521"/>
      <c r="S81" s="521"/>
      <c r="T81" s="616"/>
      <c r="U81" s="521"/>
      <c r="V81" s="521"/>
      <c r="W81" s="521"/>
      <c r="X81" s="521"/>
      <c r="Y81" s="521"/>
      <c r="Z81" s="521"/>
      <c r="AA81" s="521"/>
      <c r="AB81" s="521"/>
      <c r="AC81" s="521"/>
      <c r="AD81" s="521"/>
      <c r="AE81" s="521"/>
      <c r="AF81" s="521"/>
      <c r="AG81" s="521"/>
      <c r="AH81" s="521"/>
      <c r="AI81" s="522"/>
      <c r="AJ81" s="521"/>
      <c r="AK81" s="521"/>
      <c r="AL81" s="521"/>
      <c r="AM81" s="521"/>
      <c r="AN81" s="521">
        <v>17</v>
      </c>
      <c r="AO81" s="521">
        <v>161</v>
      </c>
      <c r="AP81" s="617"/>
      <c r="AQ81" s="617"/>
      <c r="AR81" s="618"/>
      <c r="AS81" s="521"/>
    </row>
    <row r="82" spans="2:45" s="662" customFormat="1" ht="18.649999999999999" customHeight="1">
      <c r="B82" s="846"/>
      <c r="C82" s="613" t="s">
        <v>368</v>
      </c>
      <c r="D82" s="850">
        <f>'10027'!D82</f>
        <v>2.1</v>
      </c>
      <c r="E82" s="847"/>
      <c r="F82" s="848"/>
      <c r="G82" s="848"/>
      <c r="H82" s="849"/>
      <c r="I82" s="849"/>
      <c r="J82" s="883"/>
      <c r="K82" s="883"/>
      <c r="L82" s="611"/>
      <c r="M82" s="593"/>
      <c r="N82" s="521"/>
      <c r="O82" s="521"/>
      <c r="P82" s="521"/>
      <c r="Q82" s="521"/>
      <c r="R82" s="521"/>
      <c r="S82" s="521"/>
      <c r="T82" s="616"/>
      <c r="U82" s="521"/>
      <c r="V82" s="521"/>
      <c r="W82" s="521"/>
      <c r="X82" s="521"/>
      <c r="Y82" s="521"/>
      <c r="Z82" s="521"/>
      <c r="AA82" s="521"/>
      <c r="AB82" s="521"/>
      <c r="AC82" s="521"/>
      <c r="AD82" s="521"/>
      <c r="AE82" s="521"/>
      <c r="AF82" s="521"/>
      <c r="AG82" s="521"/>
      <c r="AH82" s="521"/>
      <c r="AI82" s="522"/>
      <c r="AJ82" s="521"/>
      <c r="AK82" s="521"/>
      <c r="AL82" s="521"/>
      <c r="AM82" s="521"/>
      <c r="AN82" s="521"/>
      <c r="AO82" s="521"/>
      <c r="AP82" s="617"/>
      <c r="AQ82" s="617"/>
      <c r="AR82" s="618"/>
      <c r="AS82" s="521"/>
    </row>
    <row r="83" spans="2:45" s="662" customFormat="1" ht="28" customHeight="1">
      <c r="B83" s="744"/>
      <c r="C83" s="536" t="s">
        <v>369</v>
      </c>
      <c r="D83" s="679">
        <f>'10027'!D83</f>
        <v>152</v>
      </c>
      <c r="E83" s="537"/>
      <c r="F83" s="683" t="s">
        <v>370</v>
      </c>
      <c r="G83" s="684" t="s">
        <v>371</v>
      </c>
      <c r="H83" s="897" t="s">
        <v>372</v>
      </c>
      <c r="I83" s="898" t="s">
        <v>373</v>
      </c>
      <c r="J83" s="716" t="s">
        <v>374</v>
      </c>
      <c r="K83" s="840">
        <f>IF(K86="","",K86-K75-K74)</f>
        <v>1347</v>
      </c>
      <c r="L83" s="645"/>
      <c r="M83" s="531"/>
      <c r="N83" s="521"/>
      <c r="O83" s="521"/>
      <c r="P83" s="521"/>
      <c r="Q83" s="521"/>
      <c r="R83" s="521"/>
      <c r="S83" s="521"/>
      <c r="T83" s="619"/>
      <c r="U83" s="521"/>
      <c r="V83" s="521"/>
      <c r="W83" s="521"/>
      <c r="X83" s="521"/>
      <c r="Y83" s="521"/>
      <c r="Z83" s="521"/>
      <c r="AA83" s="521"/>
      <c r="AB83" s="521"/>
      <c r="AC83" s="521"/>
      <c r="AD83" s="521"/>
      <c r="AE83" s="521"/>
      <c r="AF83" s="521"/>
      <c r="AG83" s="521"/>
      <c r="AH83" s="521"/>
      <c r="AI83" s="522">
        <f>82.3*1.1</f>
        <v>90.53</v>
      </c>
      <c r="AJ83" s="521"/>
      <c r="AK83" s="521"/>
      <c r="AL83" s="521">
        <f>AI84-AI83</f>
        <v>6.0499999999999972</v>
      </c>
      <c r="AM83" s="521"/>
      <c r="AN83" s="521">
        <v>23</v>
      </c>
      <c r="AO83" s="521">
        <v>50</v>
      </c>
      <c r="AP83" s="617"/>
      <c r="AQ83" s="617"/>
      <c r="AR83" s="618"/>
      <c r="AS83" s="521"/>
    </row>
    <row r="84" spans="2:45" s="662" customFormat="1" ht="25.5" customHeight="1">
      <c r="B84" s="744"/>
      <c r="C84" s="536" t="s">
        <v>375</v>
      </c>
      <c r="D84" s="620" t="s">
        <v>376</v>
      </c>
      <c r="E84" s="646">
        <v>247</v>
      </c>
      <c r="F84" s="648">
        <f>G80</f>
        <v>7.4999999999999997E-2</v>
      </c>
      <c r="G84" s="648"/>
      <c r="H84" s="448">
        <v>9</v>
      </c>
      <c r="I84" s="685">
        <f>IF(ISBLANK($F$72),"",(F88-F84)*24*60)</f>
        <v>10.000000000000004</v>
      </c>
      <c r="J84" s="539" t="s">
        <v>377</v>
      </c>
      <c r="K84" s="557">
        <v>18</v>
      </c>
      <c r="L84" s="742"/>
      <c r="M84" s="531"/>
      <c r="N84" s="521"/>
      <c r="O84" s="521"/>
      <c r="P84" s="521"/>
      <c r="Q84" s="521"/>
      <c r="R84" s="616"/>
      <c r="S84" s="521"/>
      <c r="T84" s="532"/>
      <c r="U84" s="521"/>
      <c r="V84" s="521"/>
      <c r="W84" s="521"/>
      <c r="X84" s="521"/>
      <c r="Y84" s="521"/>
      <c r="Z84" s="521"/>
      <c r="AA84" s="521"/>
      <c r="AB84" s="521"/>
      <c r="AC84" s="521"/>
      <c r="AD84" s="521"/>
      <c r="AE84" s="521"/>
      <c r="AF84" s="521"/>
      <c r="AG84" s="521"/>
      <c r="AH84" s="521"/>
      <c r="AI84" s="522">
        <f>87.8*1.1</f>
        <v>96.58</v>
      </c>
      <c r="AJ84" s="521"/>
      <c r="AK84" s="521"/>
      <c r="AL84" s="521">
        <f>AI85-AI84</f>
        <v>35.42</v>
      </c>
      <c r="AM84" s="521"/>
      <c r="AN84" s="521">
        <f>161/23</f>
        <v>7</v>
      </c>
      <c r="AO84" s="521"/>
      <c r="AP84" s="617"/>
      <c r="AQ84" s="617"/>
      <c r="AR84" s="618"/>
      <c r="AS84" s="521"/>
    </row>
    <row r="85" spans="2:45" s="662" customFormat="1" ht="24" customHeight="1">
      <c r="B85" s="744"/>
      <c r="C85" s="536" t="s">
        <v>378</v>
      </c>
      <c r="D85" s="448">
        <v>5</v>
      </c>
      <c r="E85" s="651"/>
      <c r="F85" s="648"/>
      <c r="G85" s="648"/>
      <c r="H85" s="448">
        <v>1.1111111111111112</v>
      </c>
      <c r="I85" s="448"/>
      <c r="J85" s="566" t="s">
        <v>379</v>
      </c>
      <c r="K85" s="621" t="s">
        <v>380</v>
      </c>
      <c r="L85" s="743"/>
      <c r="M85" s="531"/>
      <c r="N85" s="521"/>
      <c r="O85" s="521"/>
      <c r="P85" s="521"/>
      <c r="Q85" s="521"/>
      <c r="R85" s="521"/>
      <c r="S85" s="521"/>
      <c r="T85" s="521"/>
      <c r="U85" s="521"/>
      <c r="V85" s="521"/>
      <c r="W85" s="521"/>
      <c r="X85" s="521"/>
      <c r="Y85" s="521"/>
      <c r="Z85" s="521"/>
      <c r="AA85" s="521"/>
      <c r="AB85" s="521"/>
      <c r="AC85" s="521"/>
      <c r="AD85" s="521"/>
      <c r="AE85" s="521"/>
      <c r="AF85" s="521"/>
      <c r="AG85" s="521"/>
      <c r="AH85" s="521"/>
      <c r="AI85" s="522">
        <f>120*1.1</f>
        <v>132</v>
      </c>
      <c r="AJ85" s="521"/>
      <c r="AK85" s="521"/>
      <c r="AL85" s="521">
        <f>AI86-AI85</f>
        <v>12.870000000000005</v>
      </c>
      <c r="AM85" s="521"/>
      <c r="AN85" s="521"/>
      <c r="AO85" s="521"/>
      <c r="AP85" s="617"/>
      <c r="AQ85" s="617"/>
      <c r="AR85" s="618"/>
      <c r="AS85" s="521"/>
    </row>
    <row r="86" spans="2:45" s="662" customFormat="1" ht="21.75" customHeight="1" thickBot="1">
      <c r="B86" s="755"/>
      <c r="C86" s="756" t="s">
        <v>381</v>
      </c>
      <c r="D86" s="882"/>
      <c r="E86" s="647"/>
      <c r="F86" s="647"/>
      <c r="G86" s="647"/>
      <c r="H86" s="882">
        <v>100.11111111111111</v>
      </c>
      <c r="I86" s="882"/>
      <c r="J86" s="757" t="s">
        <v>259</v>
      </c>
      <c r="K86" s="639">
        <v>2659</v>
      </c>
      <c r="L86" s="758"/>
      <c r="M86" s="531"/>
      <c r="N86" s="521"/>
      <c r="O86" s="521"/>
      <c r="P86" s="521"/>
      <c r="Q86" s="521"/>
      <c r="R86" s="521"/>
      <c r="S86" s="521"/>
      <c r="T86" s="521"/>
      <c r="U86" s="521"/>
      <c r="V86" s="521"/>
      <c r="W86" s="521"/>
      <c r="X86" s="521"/>
      <c r="Y86" s="521"/>
      <c r="Z86" s="521"/>
      <c r="AA86" s="521"/>
      <c r="AB86" s="521"/>
      <c r="AC86" s="521"/>
      <c r="AD86" s="521"/>
      <c r="AE86" s="521"/>
      <c r="AF86" s="521"/>
      <c r="AG86" s="521"/>
      <c r="AH86" s="521"/>
      <c r="AI86" s="522">
        <f>131.7*1.1</f>
        <v>144.87</v>
      </c>
      <c r="AJ86" s="521"/>
      <c r="AK86" s="521"/>
      <c r="AL86" s="521">
        <f>AI87-AI86</f>
        <v>-144.87</v>
      </c>
      <c r="AM86" s="521"/>
      <c r="AN86" s="521"/>
      <c r="AO86" s="523"/>
      <c r="AP86" s="521"/>
      <c r="AQ86" s="622"/>
      <c r="AR86" s="896"/>
      <c r="AS86" s="521"/>
    </row>
    <row r="87" spans="2:45" s="662" customFormat="1" ht="12" thickBot="1">
      <c r="B87" s="770"/>
      <c r="C87" s="941" t="s">
        <v>382</v>
      </c>
      <c r="D87" s="942"/>
      <c r="E87" s="942"/>
      <c r="F87" s="942"/>
      <c r="G87" s="942"/>
      <c r="H87" s="942"/>
      <c r="I87" s="942"/>
      <c r="J87" s="942"/>
      <c r="K87" s="942"/>
      <c r="L87" s="943"/>
      <c r="M87" s="582"/>
      <c r="N87" s="521"/>
      <c r="O87" s="521"/>
      <c r="P87" s="521"/>
      <c r="Q87" s="521"/>
      <c r="R87" s="521"/>
      <c r="S87" s="521"/>
      <c r="T87" s="521"/>
      <c r="U87" s="521"/>
      <c r="V87" s="521"/>
      <c r="W87" s="521"/>
      <c r="X87" s="521"/>
      <c r="Y87" s="521"/>
      <c r="Z87" s="521"/>
      <c r="AA87" s="521"/>
      <c r="AB87" s="521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  <c r="AP87" s="521"/>
      <c r="AQ87" s="521"/>
      <c r="AR87" s="521"/>
      <c r="AS87" s="521"/>
    </row>
    <row r="88" spans="2:45" s="662" customFormat="1" ht="23.25" customHeight="1">
      <c r="B88" s="745"/>
      <c r="C88" s="594" t="s">
        <v>383</v>
      </c>
      <c r="D88" s="882"/>
      <c r="E88" s="647"/>
      <c r="F88" s="888">
        <f>IF(ISBLANK(F72),"",F84+TIME(0,H84+H85,0))</f>
        <v>8.1944444444444445E-2</v>
      </c>
      <c r="G88" s="888">
        <f>IF(ISBLANK($F$72),"",F88+TIME(0,H88,0))</f>
        <v>8.8888888888888892E-2</v>
      </c>
      <c r="H88" s="544">
        <v>10</v>
      </c>
      <c r="I88" s="764">
        <f>IF(ISBLANK($F$72),"",(G88-F88)*24*60)</f>
        <v>10.000000000000004</v>
      </c>
      <c r="J88" s="543"/>
      <c r="K88" s="765"/>
      <c r="L88" s="766"/>
      <c r="M88" s="531"/>
      <c r="N88" s="521"/>
      <c r="O88" s="521"/>
      <c r="P88" s="521"/>
      <c r="Q88" s="521"/>
      <c r="R88" s="521"/>
      <c r="S88" s="521"/>
      <c r="T88" s="521"/>
      <c r="U88" s="521"/>
      <c r="V88" s="521"/>
      <c r="W88" s="521"/>
      <c r="X88" s="521"/>
      <c r="Y88" s="521"/>
      <c r="Z88" s="521"/>
      <c r="AA88" s="521"/>
      <c r="AB88" s="521"/>
      <c r="AC88" s="521"/>
      <c r="AD88" s="521"/>
      <c r="AE88" s="521"/>
      <c r="AF88" s="521"/>
      <c r="AG88" s="521"/>
      <c r="AH88" s="521"/>
      <c r="AI88" s="522"/>
      <c r="AJ88" s="521"/>
      <c r="AK88" s="521"/>
      <c r="AL88" s="521"/>
      <c r="AM88" s="521"/>
      <c r="AN88" s="521"/>
      <c r="AO88" s="521"/>
      <c r="AP88" s="521"/>
      <c r="AQ88" s="521"/>
      <c r="AR88" s="521"/>
      <c r="AS88" s="521"/>
    </row>
    <row r="89" spans="2:45" s="662" customFormat="1" ht="19.5" customHeight="1">
      <c r="B89" s="744"/>
      <c r="C89" s="536" t="s">
        <v>384</v>
      </c>
      <c r="D89" s="448"/>
      <c r="E89" s="651"/>
      <c r="F89" s="648"/>
      <c r="G89" s="648"/>
      <c r="H89" s="448">
        <v>50</v>
      </c>
      <c r="I89" s="448"/>
      <c r="J89" s="539" t="s">
        <v>385</v>
      </c>
      <c r="K89" s="479">
        <v>269</v>
      </c>
      <c r="L89" s="540"/>
      <c r="M89" s="531"/>
      <c r="N89" s="521"/>
      <c r="O89" s="521"/>
      <c r="P89" s="521"/>
      <c r="Q89" s="521"/>
      <c r="R89" s="521"/>
      <c r="S89" s="521"/>
      <c r="T89" s="521"/>
      <c r="U89" s="521"/>
      <c r="V89" s="521"/>
      <c r="W89" s="521"/>
      <c r="X89" s="521"/>
      <c r="Y89" s="521"/>
      <c r="Z89" s="521"/>
      <c r="AA89" s="521"/>
      <c r="AB89" s="521"/>
      <c r="AC89" s="521"/>
      <c r="AD89" s="521"/>
      <c r="AE89" s="521"/>
      <c r="AF89" s="521"/>
      <c r="AG89" s="521"/>
      <c r="AH89" s="521"/>
      <c r="AI89" s="522"/>
      <c r="AJ89" s="521"/>
      <c r="AK89" s="521"/>
      <c r="AL89" s="521"/>
      <c r="AM89" s="521"/>
      <c r="AN89" s="521"/>
      <c r="AO89" s="521"/>
      <c r="AP89" s="521"/>
      <c r="AQ89" s="521"/>
      <c r="AR89" s="521"/>
      <c r="AS89" s="521"/>
    </row>
    <row r="90" spans="2:45" s="662" customFormat="1" ht="18.75" customHeight="1">
      <c r="B90" s="744"/>
      <c r="C90" s="539" t="s">
        <v>386</v>
      </c>
      <c r="D90" s="448"/>
      <c r="E90" s="651"/>
      <c r="F90" s="648"/>
      <c r="G90" s="648"/>
      <c r="H90" s="448">
        <v>15</v>
      </c>
      <c r="I90" s="448"/>
      <c r="J90" s="448"/>
      <c r="K90" s="448"/>
      <c r="L90" s="558"/>
      <c r="M90" s="531"/>
      <c r="N90" s="521"/>
      <c r="O90" s="521"/>
      <c r="P90" s="521"/>
      <c r="Q90" s="521"/>
      <c r="R90" s="521"/>
      <c r="S90" s="521"/>
      <c r="T90" s="521"/>
      <c r="U90" s="521"/>
      <c r="V90" s="521"/>
      <c r="W90" s="521"/>
      <c r="X90" s="521"/>
      <c r="Y90" s="521"/>
      <c r="Z90" s="521"/>
      <c r="AA90" s="521"/>
      <c r="AB90" s="521"/>
      <c r="AC90" s="521"/>
      <c r="AD90" s="521"/>
      <c r="AE90" s="521"/>
      <c r="AF90" s="521"/>
      <c r="AG90" s="521"/>
      <c r="AH90" s="521"/>
      <c r="AI90" s="522"/>
      <c r="AJ90" s="521"/>
      <c r="AK90" s="521"/>
      <c r="AL90" s="521"/>
      <c r="AM90" s="521"/>
      <c r="AN90" s="521"/>
      <c r="AO90" s="521"/>
      <c r="AP90" s="521"/>
      <c r="AQ90" s="521"/>
      <c r="AR90" s="521"/>
      <c r="AS90" s="521"/>
    </row>
    <row r="91" spans="2:45" s="662" customFormat="1" ht="17.25" customHeight="1">
      <c r="B91" s="744"/>
      <c r="C91" s="539" t="s">
        <v>387</v>
      </c>
      <c r="D91" s="448"/>
      <c r="E91" s="651"/>
      <c r="F91" s="648"/>
      <c r="G91" s="648"/>
      <c r="H91" s="448">
        <v>0</v>
      </c>
      <c r="I91" s="448"/>
      <c r="J91" s="623" t="s">
        <v>388</v>
      </c>
      <c r="K91" s="704">
        <v>18.11</v>
      </c>
      <c r="L91" s="558"/>
      <c r="M91" s="531"/>
      <c r="N91" s="521"/>
      <c r="O91" s="521"/>
      <c r="P91" s="521"/>
      <c r="Q91" s="521"/>
      <c r="R91" s="521"/>
      <c r="S91" s="521"/>
      <c r="T91" s="521"/>
      <c r="U91" s="521"/>
      <c r="V91" s="521"/>
      <c r="W91" s="521"/>
      <c r="X91" s="521"/>
      <c r="Y91" s="521"/>
      <c r="Z91" s="521"/>
      <c r="AA91" s="521"/>
      <c r="AB91" s="521"/>
      <c r="AC91" s="521"/>
      <c r="AD91" s="521"/>
      <c r="AE91" s="521"/>
      <c r="AF91" s="521"/>
      <c r="AG91" s="521"/>
      <c r="AH91" s="521"/>
      <c r="AI91" s="522"/>
      <c r="AJ91" s="521"/>
      <c r="AK91" s="521"/>
      <c r="AL91" s="521"/>
      <c r="AM91" s="521"/>
      <c r="AN91" s="521"/>
      <c r="AO91" s="521"/>
      <c r="AP91" s="521"/>
      <c r="AQ91" s="521"/>
      <c r="AR91" s="521"/>
      <c r="AS91" s="521"/>
    </row>
    <row r="92" spans="2:45" s="662" customFormat="1" ht="13.5" thickBot="1">
      <c r="B92" s="750"/>
      <c r="C92" s="577" t="s">
        <v>389</v>
      </c>
      <c r="D92" s="624"/>
      <c r="E92" s="659"/>
      <c r="F92" s="655"/>
      <c r="G92" s="655"/>
      <c r="H92" s="578">
        <f>SUM(H88:H91)</f>
        <v>75</v>
      </c>
      <c r="I92" s="578"/>
      <c r="J92" s="579"/>
      <c r="K92" s="448"/>
      <c r="L92" s="558"/>
      <c r="M92" s="531"/>
      <c r="N92" s="521"/>
      <c r="O92" s="521"/>
      <c r="P92" s="521"/>
      <c r="Q92" s="521"/>
      <c r="R92" s="521"/>
      <c r="S92" s="521"/>
      <c r="T92" s="521"/>
      <c r="U92" s="521"/>
      <c r="V92" s="521"/>
      <c r="W92" s="521"/>
      <c r="X92" s="521"/>
      <c r="Y92" s="521"/>
      <c r="Z92" s="521"/>
      <c r="AA92" s="521"/>
      <c r="AB92" s="521"/>
      <c r="AC92" s="521"/>
      <c r="AD92" s="521"/>
      <c r="AE92" s="521"/>
      <c r="AF92" s="521"/>
      <c r="AG92" s="521"/>
      <c r="AH92" s="521"/>
      <c r="AI92" s="522"/>
      <c r="AJ92" s="521"/>
      <c r="AK92" s="521"/>
      <c r="AL92" s="521"/>
      <c r="AM92" s="521"/>
      <c r="AN92" s="521"/>
      <c r="AO92" s="521"/>
      <c r="AP92" s="521"/>
      <c r="AQ92" s="521"/>
      <c r="AR92" s="521"/>
      <c r="AS92" s="521"/>
    </row>
    <row r="93" spans="2:45" s="662" customFormat="1" ht="12" hidden="1" thickBot="1">
      <c r="B93" s="525"/>
      <c r="C93" s="526" t="s">
        <v>390</v>
      </c>
      <c r="D93" s="527"/>
      <c r="E93" s="527"/>
      <c r="F93" s="527"/>
      <c r="G93" s="527"/>
      <c r="H93" s="527"/>
      <c r="I93" s="527"/>
      <c r="J93" s="528"/>
      <c r="K93" s="581"/>
      <c r="L93" s="529"/>
      <c r="M93" s="582"/>
      <c r="N93" s="521"/>
      <c r="O93" s="521"/>
      <c r="P93" s="521"/>
      <c r="Q93" s="521"/>
      <c r="R93" s="521"/>
      <c r="S93" s="521"/>
      <c r="T93" s="521"/>
      <c r="U93" s="521"/>
      <c r="V93" s="521"/>
      <c r="W93" s="521"/>
      <c r="X93" s="521"/>
      <c r="Y93" s="521"/>
      <c r="Z93" s="521"/>
      <c r="AA93" s="521"/>
      <c r="AB93" s="521"/>
      <c r="AC93" s="521"/>
      <c r="AD93" s="521"/>
      <c r="AE93" s="521"/>
      <c r="AF93" s="521"/>
      <c r="AG93" s="521"/>
      <c r="AH93" s="521"/>
      <c r="AI93" s="522"/>
      <c r="AJ93" s="521"/>
      <c r="AK93" s="521"/>
      <c r="AL93" s="521"/>
      <c r="AM93" s="521"/>
      <c r="AN93" s="521"/>
      <c r="AO93" s="521"/>
      <c r="AP93" s="521"/>
      <c r="AQ93" s="521"/>
      <c r="AR93" s="521"/>
      <c r="AS93" s="521"/>
    </row>
    <row r="94" spans="2:45" s="662" customFormat="1" ht="12" hidden="1" thickBot="1">
      <c r="B94" s="759"/>
      <c r="C94" s="760" t="s">
        <v>391</v>
      </c>
      <c r="D94" s="761"/>
      <c r="E94" s="761"/>
      <c r="F94" s="761"/>
      <c r="G94" s="761"/>
      <c r="H94" s="761"/>
      <c r="I94" s="761"/>
      <c r="J94" s="760"/>
      <c r="K94" s="762"/>
      <c r="L94" s="763"/>
      <c r="M94" s="582"/>
      <c r="N94" s="521"/>
      <c r="O94" s="521"/>
      <c r="P94" s="521"/>
      <c r="Q94" s="521"/>
      <c r="R94" s="521"/>
      <c r="S94" s="521"/>
      <c r="T94" s="521"/>
      <c r="U94" s="521"/>
      <c r="V94" s="521"/>
      <c r="W94" s="521"/>
      <c r="X94" s="521"/>
      <c r="Y94" s="521"/>
      <c r="Z94" s="521"/>
      <c r="AA94" s="521"/>
      <c r="AB94" s="521"/>
      <c r="AC94" s="521"/>
      <c r="AD94" s="521"/>
      <c r="AE94" s="521"/>
      <c r="AF94" s="521"/>
      <c r="AG94" s="521"/>
      <c r="AH94" s="521"/>
      <c r="AI94" s="522"/>
      <c r="AJ94" s="521"/>
      <c r="AK94" s="521"/>
      <c r="AL94" s="521"/>
      <c r="AM94" s="521"/>
      <c r="AN94" s="521"/>
      <c r="AO94" s="521"/>
      <c r="AP94" s="521"/>
      <c r="AQ94" s="521"/>
      <c r="AR94" s="521"/>
      <c r="AS94" s="521"/>
    </row>
    <row r="95" spans="2:45" s="662" customFormat="1" ht="12" thickBot="1">
      <c r="B95" s="770"/>
      <c r="C95" s="941" t="s">
        <v>392</v>
      </c>
      <c r="D95" s="942"/>
      <c r="E95" s="942"/>
      <c r="F95" s="942"/>
      <c r="G95" s="942"/>
      <c r="H95" s="942"/>
      <c r="I95" s="942"/>
      <c r="J95" s="942"/>
      <c r="K95" s="942"/>
      <c r="L95" s="943"/>
      <c r="M95" s="582"/>
      <c r="N95" s="521"/>
      <c r="O95" s="521"/>
      <c r="P95" s="521"/>
      <c r="Q95" s="521"/>
      <c r="R95" s="521"/>
      <c r="S95" s="521"/>
      <c r="T95" s="521"/>
      <c r="U95" s="521"/>
      <c r="V95" s="521"/>
      <c r="W95" s="521"/>
      <c r="X95" s="521"/>
      <c r="Y95" s="521"/>
      <c r="Z95" s="521"/>
      <c r="AA95" s="521"/>
      <c r="AB95" s="521"/>
      <c r="AC95" s="521"/>
      <c r="AD95" s="521"/>
      <c r="AE95" s="521"/>
      <c r="AF95" s="521"/>
      <c r="AG95" s="521"/>
      <c r="AH95" s="521"/>
      <c r="AI95" s="522"/>
      <c r="AJ95" s="521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2:45" s="662" customFormat="1" ht="21.75" customHeight="1">
      <c r="B96" s="767"/>
      <c r="C96" s="768" t="s">
        <v>393</v>
      </c>
      <c r="D96" s="882">
        <v>3</v>
      </c>
      <c r="E96" s="882"/>
      <c r="F96" s="944" t="s">
        <v>394</v>
      </c>
      <c r="G96" s="944"/>
      <c r="H96" s="944"/>
      <c r="I96" s="769"/>
      <c r="J96" s="543" t="s">
        <v>395</v>
      </c>
      <c r="K96" s="765" t="s">
        <v>396</v>
      </c>
      <c r="L96" s="743">
        <f>K91-0.17</f>
        <v>17.939999999999998</v>
      </c>
      <c r="M96" s="531"/>
      <c r="N96" s="521"/>
      <c r="O96" s="521"/>
      <c r="P96" s="521"/>
      <c r="Q96" s="521"/>
      <c r="R96" s="521"/>
      <c r="S96" s="521"/>
      <c r="T96" s="521"/>
      <c r="U96" s="521"/>
      <c r="V96" s="521"/>
      <c r="W96" s="521"/>
      <c r="X96" s="521"/>
      <c r="Y96" s="521"/>
      <c r="Z96" s="521"/>
      <c r="AA96" s="521"/>
      <c r="AB96" s="521"/>
      <c r="AC96" s="521"/>
      <c r="AD96" s="521"/>
      <c r="AE96" s="521"/>
      <c r="AF96" s="521"/>
      <c r="AG96" s="521"/>
      <c r="AH96" s="521"/>
      <c r="AI96" s="522"/>
      <c r="AJ96" s="521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2:48" s="662" customFormat="1" ht="19.5" customHeight="1">
      <c r="B97" s="744"/>
      <c r="C97" s="536" t="s">
        <v>397</v>
      </c>
      <c r="D97" s="448"/>
      <c r="E97" s="651"/>
      <c r="F97" s="648"/>
      <c r="G97" s="648"/>
      <c r="H97" s="448">
        <v>5</v>
      </c>
      <c r="I97" s="448"/>
      <c r="J97" s="539" t="s">
        <v>398</v>
      </c>
      <c r="K97" s="583" t="s">
        <v>399</v>
      </c>
      <c r="L97" s="722">
        <v>5.25</v>
      </c>
      <c r="M97" s="531"/>
      <c r="N97" s="521"/>
      <c r="O97" s="521"/>
      <c r="P97" s="521"/>
      <c r="Q97" s="521"/>
      <c r="R97" s="521"/>
      <c r="S97" s="521"/>
      <c r="T97" s="521" t="s">
        <v>400</v>
      </c>
      <c r="U97" s="521"/>
      <c r="V97" s="521"/>
      <c r="W97" s="521"/>
      <c r="X97" s="521"/>
      <c r="Y97" s="521"/>
      <c r="Z97" s="521"/>
      <c r="AA97" s="521"/>
      <c r="AB97" s="521"/>
      <c r="AC97" s="521"/>
      <c r="AD97" s="521"/>
      <c r="AE97" s="521"/>
      <c r="AF97" s="521"/>
      <c r="AG97" s="521"/>
      <c r="AH97" s="521"/>
      <c r="AI97" s="522"/>
      <c r="AJ97" s="521"/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2:48" s="662" customFormat="1" ht="21" customHeight="1">
      <c r="B98" s="744"/>
      <c r="C98" s="789" t="s">
        <v>401</v>
      </c>
      <c r="D98" s="479">
        <v>225</v>
      </c>
      <c r="E98" s="646">
        <v>232</v>
      </c>
      <c r="F98" s="648">
        <f>G88</f>
        <v>8.8888888888888892E-2</v>
      </c>
      <c r="G98" s="648">
        <f>IF(ISBLANK($F$72),"",F98+TIME(0,H98,0))</f>
        <v>0.125</v>
      </c>
      <c r="H98" s="448">
        <f>IF(E98="",50,IF((E98-D98)&lt;0,50-ROUND(ABS(E98-D98)/269*60+0.25,0),50+ROUND((E98-D98)/269*60+0.25,0)))</f>
        <v>52</v>
      </c>
      <c r="I98" s="685">
        <f>IF(ISBLANK($F$72),"",(G98-F98)*24*60)</f>
        <v>51.999999999999993</v>
      </c>
      <c r="J98" s="539" t="s">
        <v>402</v>
      </c>
      <c r="K98" s="625">
        <v>10.5</v>
      </c>
      <c r="L98" s="561">
        <v>10.5</v>
      </c>
      <c r="M98" s="531"/>
      <c r="N98" s="521"/>
      <c r="O98" s="521"/>
      <c r="P98" s="521"/>
      <c r="Q98" s="521"/>
      <c r="R98" s="521"/>
      <c r="S98" s="521"/>
      <c r="T98" s="521"/>
      <c r="U98" s="521"/>
      <c r="V98" s="521"/>
      <c r="W98" s="521"/>
      <c r="X98" s="521"/>
      <c r="Y98" s="521"/>
      <c r="Z98" s="521"/>
      <c r="AA98" s="521"/>
      <c r="AB98" s="521"/>
      <c r="AC98" s="521"/>
      <c r="AD98" s="521"/>
      <c r="AE98" s="521"/>
      <c r="AF98" s="521"/>
      <c r="AG98" s="521"/>
      <c r="AH98" s="521"/>
      <c r="AI98" s="522"/>
      <c r="AJ98" s="521"/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2:48" s="662" customFormat="1" ht="26.25" customHeight="1">
      <c r="B99" s="744"/>
      <c r="C99" s="536" t="s">
        <v>403</v>
      </c>
      <c r="D99" s="557" t="str">
        <f>'10027'!D99</f>
        <v>0.48 scfb</v>
      </c>
      <c r="E99" s="945" t="s">
        <v>405</v>
      </c>
      <c r="F99" s="946"/>
      <c r="G99" s="646">
        <f>'10027'!G99</f>
        <v>14</v>
      </c>
      <c r="H99" s="448"/>
      <c r="I99" s="448"/>
      <c r="J99" s="585" t="s">
        <v>406</v>
      </c>
      <c r="K99" s="625">
        <v>13</v>
      </c>
      <c r="L99" s="708"/>
      <c r="M99" s="531"/>
      <c r="N99" s="521"/>
      <c r="O99" s="521"/>
      <c r="P99" s="521"/>
      <c r="Q99" s="521"/>
      <c r="R99" s="521"/>
      <c r="S99" s="521"/>
      <c r="T99" s="521"/>
      <c r="U99" s="521"/>
      <c r="V99" s="521" t="s">
        <v>407</v>
      </c>
      <c r="W99" s="521" t="s">
        <v>408</v>
      </c>
      <c r="X99" s="521"/>
      <c r="Y99" s="521"/>
      <c r="Z99" s="521"/>
      <c r="AA99" s="521"/>
      <c r="AB99" s="521"/>
      <c r="AC99" s="521"/>
      <c r="AD99" s="521"/>
      <c r="AE99" s="521"/>
      <c r="AF99" s="521"/>
      <c r="AG99" s="521"/>
      <c r="AH99" s="521"/>
      <c r="AI99" s="522"/>
      <c r="AJ99" s="521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2:48" s="662" customFormat="1" ht="24.75" customHeight="1">
      <c r="B100" s="744"/>
      <c r="C100" s="536" t="s">
        <v>409</v>
      </c>
      <c r="D100" s="448">
        <v>5</v>
      </c>
      <c r="E100" s="717">
        <v>3.4</v>
      </c>
      <c r="F100" s="448"/>
      <c r="G100" s="448"/>
      <c r="H100" s="448"/>
      <c r="I100" s="448"/>
      <c r="J100" s="539" t="s">
        <v>410</v>
      </c>
      <c r="K100" s="583">
        <v>80</v>
      </c>
      <c r="L100" s="558"/>
      <c r="M100" s="531"/>
      <c r="N100" s="521"/>
      <c r="O100" s="521"/>
      <c r="P100" s="521"/>
      <c r="Q100" s="521"/>
      <c r="R100" s="521"/>
      <c r="S100" s="521"/>
      <c r="T100" s="521"/>
      <c r="U100" s="521"/>
      <c r="V100" s="521"/>
      <c r="W100" s="521"/>
      <c r="X100" s="521"/>
      <c r="Y100" s="521"/>
      <c r="Z100" s="521"/>
      <c r="AA100" s="521"/>
      <c r="AB100" s="521"/>
      <c r="AC100" s="521"/>
      <c r="AD100" s="521"/>
      <c r="AE100" s="521"/>
      <c r="AF100" s="521"/>
      <c r="AG100" s="521"/>
      <c r="AH100" s="521"/>
      <c r="AI100" s="522"/>
      <c r="AJ100" s="521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2:48" s="662" customFormat="1" ht="20.25" customHeight="1" thickBot="1">
      <c r="B101" s="749"/>
      <c r="C101" s="626" t="s">
        <v>411</v>
      </c>
      <c r="D101" s="596"/>
      <c r="E101" s="596"/>
      <c r="F101" s="596"/>
      <c r="G101" s="596"/>
      <c r="H101" s="596">
        <v>2</v>
      </c>
      <c r="I101" s="596"/>
      <c r="J101" s="597" t="s">
        <v>412</v>
      </c>
      <c r="K101" s="627" t="s">
        <v>413</v>
      </c>
      <c r="L101" s="628"/>
      <c r="M101" s="629"/>
      <c r="N101" s="521"/>
      <c r="O101" s="521"/>
      <c r="P101" s="521"/>
      <c r="Q101" s="521"/>
      <c r="R101" s="521"/>
      <c r="S101" s="521"/>
      <c r="T101" s="521" t="s">
        <v>414</v>
      </c>
      <c r="U101" s="521"/>
      <c r="V101" s="521"/>
      <c r="W101" s="521"/>
      <c r="X101" s="521"/>
      <c r="Y101" s="521"/>
      <c r="Z101" s="521"/>
      <c r="AA101" s="521"/>
      <c r="AB101" s="521"/>
      <c r="AC101" s="521"/>
      <c r="AD101" s="521"/>
      <c r="AE101" s="521"/>
      <c r="AF101" s="521"/>
      <c r="AG101" s="521"/>
      <c r="AH101" s="521"/>
      <c r="AI101" s="522"/>
      <c r="AJ101" s="521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2:48" s="662" customFormat="1" ht="16.5" customHeight="1" thickBot="1">
      <c r="B102" s="630" t="s">
        <v>415</v>
      </c>
      <c r="C102" s="631"/>
      <c r="D102" s="675">
        <f>'10027'!D102</f>
        <v>6</v>
      </c>
      <c r="E102" s="676" t="s">
        <v>416</v>
      </c>
      <c r="F102" s="632"/>
      <c r="G102" s="632"/>
      <c r="H102" s="753">
        <f>SUM(H13:H31,H42:H49,H57,(D67/200)*60,2*5,H70:H73,H78:H81,H84:H85,H88:H89)/60</f>
        <v>6.161296296296296</v>
      </c>
      <c r="I102" s="754">
        <f>IF(OR(F13="",G98=""),"",IF(G98&gt;=F13,(G98-F13)*24,(G98+1-F13)*24))</f>
        <v>6.1666666666666687</v>
      </c>
      <c r="J102" s="631" t="s">
        <v>417</v>
      </c>
      <c r="K102" s="829"/>
      <c r="L102" s="830"/>
      <c r="M102" s="633"/>
      <c r="N102" s="521"/>
      <c r="O102" s="521"/>
      <c r="P102" s="521"/>
      <c r="Q102" s="521"/>
      <c r="R102" s="521"/>
      <c r="S102" s="521"/>
      <c r="T102" s="521"/>
      <c r="U102" s="521"/>
      <c r="V102" s="521"/>
      <c r="W102" s="521"/>
      <c r="X102" s="521"/>
      <c r="Y102" s="521"/>
      <c r="Z102" s="521"/>
      <c r="AA102" s="521"/>
      <c r="AB102" s="521"/>
      <c r="AC102" s="521"/>
      <c r="AD102" s="521"/>
      <c r="AE102" s="521"/>
      <c r="AF102" s="521"/>
      <c r="AG102" s="521"/>
      <c r="AH102" s="521"/>
      <c r="AI102" s="522"/>
      <c r="AJ102" s="521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2:48" s="664" customFormat="1" ht="20.149999999999999" customHeight="1">
      <c r="B103" s="817" t="s">
        <v>418</v>
      </c>
      <c r="C103" s="818" t="s">
        <v>419</v>
      </c>
      <c r="D103" s="819" t="s">
        <v>420</v>
      </c>
      <c r="E103" s="819"/>
      <c r="F103" s="820"/>
      <c r="G103" s="820"/>
      <c r="H103" s="820"/>
      <c r="I103" s="820"/>
      <c r="J103" s="677" t="s">
        <v>421</v>
      </c>
      <c r="K103" s="740">
        <f>D102</f>
        <v>6</v>
      </c>
      <c r="L103" s="739">
        <f>IF(OR(F13="",G98=""),"",IF(G98&gt;=F13,(G98-F13)*24,(G98+1-F13)*24))</f>
        <v>6.1666666666666687</v>
      </c>
      <c r="M103" s="634"/>
      <c r="N103" s="634"/>
      <c r="O103" s="634"/>
      <c r="P103" s="634"/>
      <c r="Q103" s="634"/>
      <c r="R103" s="634"/>
      <c r="S103" s="634"/>
      <c r="T103" s="634"/>
      <c r="U103" s="634"/>
      <c r="V103" s="634"/>
      <c r="W103" s="634"/>
      <c r="X103" s="634"/>
      <c r="Y103" s="634"/>
      <c r="Z103" s="634"/>
      <c r="AA103" s="634"/>
      <c r="AB103" s="634"/>
      <c r="AC103" s="634"/>
      <c r="AD103" s="634"/>
      <c r="AE103" s="634"/>
      <c r="AF103" s="634"/>
      <c r="AG103" s="634"/>
      <c r="AH103" s="634"/>
      <c r="AI103" s="634"/>
      <c r="AJ103" s="634"/>
      <c r="AK103" s="634"/>
      <c r="AL103" s="634"/>
      <c r="AM103" s="634"/>
      <c r="AN103" s="634"/>
      <c r="AO103" s="634"/>
      <c r="AP103" s="634"/>
      <c r="AQ103" s="634"/>
      <c r="AR103" s="634"/>
      <c r="AS103" s="634"/>
    </row>
    <row r="104" spans="2:48" s="664" customFormat="1" ht="20.149999999999999" customHeight="1">
      <c r="B104" s="821" t="s">
        <v>422</v>
      </c>
      <c r="C104" s="822"/>
      <c r="D104" s="820"/>
      <c r="E104" s="820"/>
      <c r="F104" s="820"/>
      <c r="G104" s="820"/>
      <c r="H104" s="823"/>
      <c r="I104" s="820"/>
      <c r="J104" s="677" t="s">
        <v>423</v>
      </c>
      <c r="K104" s="678">
        <v>8</v>
      </c>
      <c r="L104" s="739">
        <f>IF(OR(ISBLANK(E84),ISBLANK(E66)),"",(1-E84/E66)*100)</f>
        <v>8.1784386617100413</v>
      </c>
      <c r="M104" s="635"/>
      <c r="N104" s="634"/>
      <c r="O104" s="634"/>
      <c r="P104" s="634"/>
      <c r="Q104" s="634"/>
      <c r="R104" s="634"/>
      <c r="S104" s="634"/>
      <c r="T104" s="634"/>
      <c r="U104" s="634"/>
      <c r="V104" s="634"/>
      <c r="W104" s="634"/>
      <c r="X104" s="634"/>
      <c r="Y104" s="634"/>
      <c r="Z104" s="634"/>
      <c r="AA104" s="634"/>
      <c r="AB104" s="634"/>
      <c r="AC104" s="634"/>
      <c r="AD104" s="634"/>
      <c r="AE104" s="634"/>
      <c r="AF104" s="634"/>
      <c r="AG104" s="634"/>
      <c r="AH104" s="634"/>
      <c r="AI104" s="634"/>
      <c r="AJ104" s="634"/>
      <c r="AK104" s="634"/>
      <c r="AL104" s="634"/>
      <c r="AM104" s="634"/>
      <c r="AN104" s="634"/>
      <c r="AO104" s="634"/>
      <c r="AP104" s="634"/>
      <c r="AQ104" s="634"/>
      <c r="AR104" s="634"/>
      <c r="AS104" s="634"/>
      <c r="AT104" s="900">
        <f>CR20</f>
        <v>9.8513011152416355E-2</v>
      </c>
      <c r="AU104" s="662" t="s">
        <v>424</v>
      </c>
      <c r="AV104" s="662"/>
    </row>
    <row r="105" spans="2:48" s="664" customFormat="1" ht="20.149999999999999" customHeight="1">
      <c r="B105" s="804"/>
      <c r="C105" s="824"/>
      <c r="D105" s="825"/>
      <c r="E105" s="820"/>
      <c r="F105" s="820"/>
      <c r="G105" s="820"/>
      <c r="H105" s="826"/>
      <c r="I105" s="820"/>
      <c r="J105" s="677" t="s">
        <v>425</v>
      </c>
      <c r="K105" s="678">
        <v>230</v>
      </c>
      <c r="L105" s="739">
        <f>IF(OR(G98="",F58=""),"",IF(G98&gt;=F58,(G98-F58)*60*24,(G98+1-F58)*24*60))</f>
        <v>228</v>
      </c>
      <c r="M105" s="635"/>
      <c r="N105" s="634"/>
      <c r="O105" s="634"/>
      <c r="P105" s="634"/>
      <c r="Q105" s="634"/>
      <c r="R105" s="634"/>
      <c r="S105" s="634"/>
      <c r="T105" s="634"/>
      <c r="U105" s="634"/>
      <c r="V105" s="634"/>
      <c r="W105" s="634"/>
      <c r="X105" s="634"/>
      <c r="Y105" s="634"/>
      <c r="Z105" s="634"/>
      <c r="AA105" s="634"/>
      <c r="AB105" s="634"/>
      <c r="AC105" s="634"/>
      <c r="AD105" s="634"/>
      <c r="AE105" s="634"/>
      <c r="AF105" s="634"/>
      <c r="AG105" s="634"/>
      <c r="AH105" s="634"/>
      <c r="AI105" s="634"/>
      <c r="AJ105" s="634"/>
      <c r="AK105" s="634"/>
      <c r="AL105" s="634"/>
      <c r="AM105" s="634"/>
      <c r="AN105" s="634"/>
      <c r="AO105" s="634"/>
      <c r="AP105" s="634"/>
      <c r="AQ105" s="634"/>
      <c r="AR105" s="634"/>
      <c r="AS105" s="634"/>
      <c r="AT105" s="901">
        <f>IF(OR(G98="",F70=""),"",IF(G98&gt;=F70,(G98-F70)*60*24,(G98+1-F70)*24*60))</f>
        <v>187.99999999999997</v>
      </c>
      <c r="AU105" s="662" t="s">
        <v>426</v>
      </c>
      <c r="AV105" s="662"/>
    </row>
    <row r="106" spans="2:48" ht="20.149999999999999" customHeight="1">
      <c r="B106" s="804"/>
      <c r="C106" s="827"/>
      <c r="D106" s="827"/>
      <c r="E106" s="827"/>
      <c r="F106" s="828"/>
      <c r="G106" s="827"/>
      <c r="H106" s="827"/>
      <c r="I106" s="820"/>
      <c r="J106" s="677" t="s">
        <v>427</v>
      </c>
      <c r="K106" s="678">
        <v>300</v>
      </c>
      <c r="L106" s="739">
        <f>IF(OR(L105="",L104=""),"",ABS(L105-K105)*10+ABS(L104-K104)*100)</f>
        <v>37.84386617100413</v>
      </c>
      <c r="M106" s="636"/>
      <c r="N106" s="636"/>
      <c r="O106" s="636"/>
      <c r="P106" s="636"/>
      <c r="Q106" s="636"/>
      <c r="R106" s="636"/>
      <c r="S106" s="636"/>
      <c r="T106" s="636"/>
      <c r="U106" s="636"/>
      <c r="V106" s="636"/>
      <c r="W106" s="636"/>
      <c r="X106" s="636"/>
      <c r="Y106" s="636"/>
      <c r="Z106" s="636"/>
      <c r="AA106" s="636"/>
      <c r="AB106" s="636"/>
      <c r="AC106" s="636"/>
      <c r="AD106" s="636"/>
      <c r="AE106" s="636"/>
      <c r="AF106" s="636"/>
      <c r="AG106" s="636"/>
      <c r="AH106" s="636"/>
      <c r="AI106" s="519"/>
      <c r="AJ106" s="519"/>
      <c r="AK106" s="519"/>
      <c r="AL106" s="519"/>
      <c r="AM106" s="519"/>
      <c r="AN106" s="519"/>
      <c r="AO106" s="519"/>
      <c r="AP106" s="519"/>
      <c r="AQ106" s="519"/>
      <c r="AR106" s="519"/>
      <c r="AS106" s="519"/>
    </row>
    <row r="107" spans="2:48" ht="24.75" customHeight="1">
      <c r="M107" s="519"/>
      <c r="N107" s="519"/>
      <c r="O107" s="519"/>
      <c r="P107" s="519"/>
      <c r="Q107" s="519"/>
      <c r="R107" s="519"/>
      <c r="S107" s="519"/>
      <c r="T107" s="519"/>
      <c r="U107" s="519"/>
      <c r="V107" s="519"/>
      <c r="W107" s="519"/>
      <c r="X107" s="519"/>
      <c r="Y107" s="519"/>
      <c r="Z107" s="519"/>
      <c r="AA107" s="519"/>
      <c r="AB107" s="519"/>
      <c r="AC107" s="519"/>
      <c r="AD107" s="519"/>
      <c r="AE107" s="519"/>
      <c r="AF107" s="519"/>
      <c r="AG107" s="519"/>
      <c r="AH107" s="519"/>
      <c r="AI107" s="519"/>
      <c r="AJ107" s="519"/>
      <c r="AK107" s="519"/>
      <c r="AL107" s="519"/>
      <c r="AM107" s="519"/>
      <c r="AN107" s="519"/>
      <c r="AO107" s="519"/>
      <c r="AP107" s="519"/>
      <c r="AQ107" s="519"/>
      <c r="AR107" s="519"/>
      <c r="AS107" s="519"/>
    </row>
    <row r="108" spans="2:48" ht="24.75" customHeight="1">
      <c r="M108" s="519"/>
      <c r="N108" s="519"/>
      <c r="O108" s="519"/>
      <c r="P108" s="519"/>
      <c r="Q108" s="519"/>
      <c r="R108" s="519"/>
      <c r="S108" s="519"/>
      <c r="T108" s="519"/>
      <c r="U108" s="519"/>
      <c r="V108" s="519"/>
      <c r="W108" s="519"/>
      <c r="X108" s="519"/>
      <c r="Y108" s="519"/>
      <c r="Z108" s="519"/>
      <c r="AA108" s="519"/>
      <c r="AB108" s="519"/>
      <c r="AC108" s="519"/>
      <c r="AD108" s="519"/>
      <c r="AE108" s="519"/>
      <c r="AF108" s="519"/>
      <c r="AG108" s="519"/>
      <c r="AH108" s="519"/>
      <c r="AI108" s="519"/>
      <c r="AJ108" s="519"/>
      <c r="AK108" s="519"/>
      <c r="AL108" s="519"/>
      <c r="AM108" s="519"/>
      <c r="AN108" s="519"/>
      <c r="AO108" s="519"/>
      <c r="AP108" s="519"/>
      <c r="AQ108" s="519"/>
      <c r="AR108" s="519"/>
      <c r="AS108" s="519"/>
    </row>
    <row r="109" spans="2:48" ht="27.75" customHeight="1">
      <c r="M109" s="519"/>
      <c r="N109" s="519"/>
      <c r="O109" s="519"/>
      <c r="P109" s="519"/>
      <c r="Q109" s="519"/>
      <c r="R109" s="519"/>
      <c r="S109" s="519"/>
      <c r="T109" s="519"/>
      <c r="U109" s="519"/>
      <c r="V109" s="519"/>
      <c r="W109" s="519"/>
      <c r="X109" s="519"/>
      <c r="Y109" s="519"/>
      <c r="Z109" s="519"/>
      <c r="AA109" s="519"/>
      <c r="AB109" s="519"/>
      <c r="AC109" s="519"/>
      <c r="AD109" s="519"/>
      <c r="AE109" s="519"/>
      <c r="AF109" s="519"/>
      <c r="AG109" s="519"/>
      <c r="AH109" s="519"/>
      <c r="AI109" s="519"/>
      <c r="AJ109" s="519"/>
      <c r="AK109" s="519"/>
      <c r="AL109" s="519"/>
      <c r="AM109" s="519"/>
      <c r="AN109" s="519"/>
      <c r="AO109" s="519"/>
      <c r="AP109" s="519"/>
      <c r="AQ109" s="519"/>
      <c r="AR109" s="519"/>
      <c r="AS109" s="519"/>
    </row>
  </sheetData>
  <mergeCells count="142">
    <mergeCell ref="EI4:EI7"/>
    <mergeCell ref="EL4:EL7"/>
    <mergeCell ref="DG5:DG7"/>
    <mergeCell ref="DR5:DR7"/>
    <mergeCell ref="DZ5:DZ7"/>
    <mergeCell ref="EE5:EE7"/>
    <mergeCell ref="EK5:EK7"/>
    <mergeCell ref="EO5:EO7"/>
    <mergeCell ref="B1:M1"/>
    <mergeCell ref="BJ4:BJ7"/>
    <mergeCell ref="BU4:BU7"/>
    <mergeCell ref="CE4:CE7"/>
    <mergeCell ref="DH4:DH7"/>
    <mergeCell ref="DI4:DI7"/>
    <mergeCell ref="L5:L6"/>
    <mergeCell ref="M5:M6"/>
    <mergeCell ref="AU5:AU7"/>
    <mergeCell ref="AV5:AV7"/>
    <mergeCell ref="AX5:AX7"/>
    <mergeCell ref="AY5:AY7"/>
    <mergeCell ref="AZ5:AZ7"/>
    <mergeCell ref="BA5:BA7"/>
    <mergeCell ref="BB5:BB7"/>
    <mergeCell ref="BC5:BC7"/>
    <mergeCell ref="BD5:BD7"/>
    <mergeCell ref="BE5:BE7"/>
    <mergeCell ref="BF5:BF7"/>
    <mergeCell ref="BG5:BG7"/>
    <mergeCell ref="BH5:BH7"/>
    <mergeCell ref="B5:B6"/>
    <mergeCell ref="C5:C6"/>
    <mergeCell ref="D5:E5"/>
    <mergeCell ref="F5:I5"/>
    <mergeCell ref="J5:J6"/>
    <mergeCell ref="K5:K6"/>
    <mergeCell ref="AW5:AW7"/>
    <mergeCell ref="BL5:BL7"/>
    <mergeCell ref="BM5:BM7"/>
    <mergeCell ref="BN5:BN7"/>
    <mergeCell ref="BO5:BO7"/>
    <mergeCell ref="EF4:EF7"/>
    <mergeCell ref="DV5:DV7"/>
    <mergeCell ref="DW5:DW7"/>
    <mergeCell ref="DX5:DX7"/>
    <mergeCell ref="DJ4:DJ7"/>
    <mergeCell ref="DK4:DK7"/>
    <mergeCell ref="DL4:DL7"/>
    <mergeCell ref="DM4:DM7"/>
    <mergeCell ref="DN4:DN7"/>
    <mergeCell ref="DO4:DO7"/>
    <mergeCell ref="DS4:DS7"/>
    <mergeCell ref="DT4:DT7"/>
    <mergeCell ref="DP4:DP7"/>
    <mergeCell ref="DU4:DU7"/>
    <mergeCell ref="EA4:EA7"/>
    <mergeCell ref="EN5:EN7"/>
    <mergeCell ref="C7:L7"/>
    <mergeCell ref="DY5:DY7"/>
    <mergeCell ref="EB5:EB7"/>
    <mergeCell ref="EC5:EC7"/>
    <mergeCell ref="ED5:ED7"/>
    <mergeCell ref="DC5:DC7"/>
    <mergeCell ref="DD5:DD7"/>
    <mergeCell ref="DE5:DE7"/>
    <mergeCell ref="DF5:DF7"/>
    <mergeCell ref="DQ5:DQ7"/>
    <mergeCell ref="CW5:CW7"/>
    <mergeCell ref="CX5:CX7"/>
    <mergeCell ref="CY5:CY7"/>
    <mergeCell ref="CZ5:CZ7"/>
    <mergeCell ref="DA5:DA7"/>
    <mergeCell ref="DB5:DB7"/>
    <mergeCell ref="CC5:CC7"/>
    <mergeCell ref="CD5:CD7"/>
    <mergeCell ref="CF5:CF7"/>
    <mergeCell ref="EG4:EG7"/>
    <mergeCell ref="EH4:EH7"/>
    <mergeCell ref="BI5:BI7"/>
    <mergeCell ref="BK5:BK7"/>
    <mergeCell ref="F8:G8"/>
    <mergeCell ref="AI9:AL9"/>
    <mergeCell ref="AI10:AL10"/>
    <mergeCell ref="AV10:AV11"/>
    <mergeCell ref="AW10:AW11"/>
    <mergeCell ref="AX10:AX11"/>
    <mergeCell ref="EJ5:EJ7"/>
    <mergeCell ref="EM5:EM7"/>
    <mergeCell ref="CT5:CT7"/>
    <mergeCell ref="CU5:CU7"/>
    <mergeCell ref="CV5:CV7"/>
    <mergeCell ref="BW5:BW7"/>
    <mergeCell ref="BX5:BX7"/>
    <mergeCell ref="BY5:BY7"/>
    <mergeCell ref="BZ5:BZ7"/>
    <mergeCell ref="CA5:CA7"/>
    <mergeCell ref="CB5:CB7"/>
    <mergeCell ref="BP5:BP7"/>
    <mergeCell ref="BQ5:BQ7"/>
    <mergeCell ref="BR5:BR7"/>
    <mergeCell ref="BS5:BS7"/>
    <mergeCell ref="BT5:BT7"/>
    <mergeCell ref="BV5:BV7"/>
    <mergeCell ref="BE10:BE11"/>
    <mergeCell ref="BC10:BC11"/>
    <mergeCell ref="BD10:BD11"/>
    <mergeCell ref="C53:L53"/>
    <mergeCell ref="C65:L65"/>
    <mergeCell ref="C69:L69"/>
    <mergeCell ref="C72:C73"/>
    <mergeCell ref="D72:D73"/>
    <mergeCell ref="E72:E73"/>
    <mergeCell ref="F72:F73"/>
    <mergeCell ref="G72:G73"/>
    <mergeCell ref="H72:H73"/>
    <mergeCell ref="I72:I73"/>
    <mergeCell ref="C11:L11"/>
    <mergeCell ref="T12:U12"/>
    <mergeCell ref="AL19:AN19"/>
    <mergeCell ref="C34:L34"/>
    <mergeCell ref="T35:U35"/>
    <mergeCell ref="AY10:AY11"/>
    <mergeCell ref="AZ10:AZ11"/>
    <mergeCell ref="BA10:BA11"/>
    <mergeCell ref="BB10:BB11"/>
    <mergeCell ref="C87:L87"/>
    <mergeCell ref="C95:L95"/>
    <mergeCell ref="F96:H96"/>
    <mergeCell ref="E99:F99"/>
    <mergeCell ref="I78:I79"/>
    <mergeCell ref="C80:C81"/>
    <mergeCell ref="D80:D81"/>
    <mergeCell ref="E80:E81"/>
    <mergeCell ref="F80:F81"/>
    <mergeCell ref="G80:G81"/>
    <mergeCell ref="H80:H81"/>
    <mergeCell ref="I80:I81"/>
    <mergeCell ref="C78:C79"/>
    <mergeCell ref="D78:D79"/>
    <mergeCell ref="E78:E79"/>
    <mergeCell ref="F78:F79"/>
    <mergeCell ref="G78:G79"/>
    <mergeCell ref="H78:H79"/>
  </mergeCells>
  <conditionalFormatting sqref="I1:I6 I66:I68 I84:I86 I96:I1048576 I88:I94 I72 I54:I63 I12:I33 I35:I52 I78 I80">
    <cfRule type="cellIs" dxfId="123" priority="28" operator="lessThanOrEqual">
      <formula>0</formula>
    </cfRule>
  </conditionalFormatting>
  <conditionalFormatting sqref="I102">
    <cfRule type="cellIs" dxfId="122" priority="29" operator="lessThanOrEqual">
      <formula>0</formula>
    </cfRule>
    <cfRule type="cellIs" dxfId="121" priority="30" operator="between">
      <formula>$D$102-0.2</formula>
      <formula>$D$102+0.2</formula>
    </cfRule>
    <cfRule type="cellIs" dxfId="120" priority="31" operator="notBetween">
      <formula>$D$102-0.2</formula>
      <formula>$D$102+0.2</formula>
    </cfRule>
  </conditionalFormatting>
  <conditionalFormatting sqref="BU19">
    <cfRule type="cellIs" dxfId="119" priority="26" operator="between">
      <formula>16.25</formula>
      <formula>16.75</formula>
    </cfRule>
    <cfRule type="cellIs" dxfId="118" priority="27" operator="between">
      <formula>17.75</formula>
      <formula>18.25</formula>
    </cfRule>
  </conditionalFormatting>
  <conditionalFormatting sqref="CK19:CO19">
    <cfRule type="cellIs" dxfId="117" priority="25" operator="lessThan">
      <formula>230</formula>
    </cfRule>
  </conditionalFormatting>
  <conditionalFormatting sqref="CL19">
    <cfRule type="cellIs" dxfId="116" priority="24" operator="lessThan">
      <formula>270</formula>
    </cfRule>
  </conditionalFormatting>
  <conditionalFormatting sqref="CM19">
    <cfRule type="cellIs" dxfId="115" priority="23" operator="lessThan">
      <formula>2600</formula>
    </cfRule>
  </conditionalFormatting>
  <conditionalFormatting sqref="I83">
    <cfRule type="cellIs" dxfId="114" priority="22" operator="lessThanOrEqual">
      <formula>0</formula>
    </cfRule>
  </conditionalFormatting>
  <conditionalFormatting sqref="E10">
    <cfRule type="cellIs" dxfId="113" priority="21" operator="lessThanOrEqual">
      <formula>0</formula>
    </cfRule>
  </conditionalFormatting>
  <conditionalFormatting sqref="G10">
    <cfRule type="cellIs" dxfId="112" priority="20" operator="lessThanOrEqual">
      <formula>0</formula>
    </cfRule>
  </conditionalFormatting>
  <conditionalFormatting sqref="I9:I10">
    <cfRule type="cellIs" dxfId="111" priority="19" operator="lessThanOrEqual">
      <formula>0</formula>
    </cfRule>
  </conditionalFormatting>
  <conditionalFormatting sqref="E8">
    <cfRule type="cellIs" dxfId="110" priority="18" operator="lessThanOrEqual">
      <formula>0</formula>
    </cfRule>
  </conditionalFormatting>
  <conditionalFormatting sqref="L84">
    <cfRule type="cellIs" dxfId="109" priority="16" operator="notBetween">
      <formula>K84-0.25</formula>
      <formula>K84+0.25</formula>
    </cfRule>
    <cfRule type="cellIs" dxfId="108" priority="17" operator="between">
      <formula>K84-0.25</formula>
      <formula>K84+0.25</formula>
    </cfRule>
  </conditionalFormatting>
  <conditionalFormatting sqref="L85">
    <cfRule type="containsBlanks" dxfId="107" priority="13">
      <formula>LEN(TRIM(L85))=0</formula>
    </cfRule>
    <cfRule type="cellIs" dxfId="106" priority="14" operator="notBetween">
      <formula>VALUE(LEFT(K85,4))-0.2</formula>
      <formula>VALUE(LEFT(K85,4))+0.2</formula>
    </cfRule>
    <cfRule type="cellIs" dxfId="105" priority="15" operator="between">
      <formula>VALUE(LEFT(K85,4))-0.2</formula>
      <formula>VALUE(LEFT(K85,4))+0.2</formula>
    </cfRule>
  </conditionalFormatting>
  <conditionalFormatting sqref="L96">
    <cfRule type="cellIs" dxfId="104" priority="9" operator="notBetween">
      <formula>VALUE(LEFT(K96,5))</formula>
      <formula>VALUE(RIGHT(K96,5))</formula>
    </cfRule>
    <cfRule type="cellIs" dxfId="103" priority="10" operator="between">
      <formula>VALUE(LEFT(K96,5))</formula>
      <formula>VALUE(RIGHT(K96,5))</formula>
    </cfRule>
  </conditionalFormatting>
  <conditionalFormatting sqref="L96:L97">
    <cfRule type="containsBlanks" dxfId="102" priority="8">
      <formula>LEN(TRIM(L96))=0</formula>
    </cfRule>
  </conditionalFormatting>
  <conditionalFormatting sqref="L97">
    <cfRule type="cellIs" dxfId="101" priority="11" operator="between">
      <formula>VALUE(LEFT(K97,4))</formula>
      <formula>VALUE(RIGHT(K97,4))</formula>
    </cfRule>
    <cfRule type="cellIs" dxfId="100" priority="12" operator="notBetween">
      <formula>VALUE(LEFT(K97,4))</formula>
      <formula>VALUE(RIGHT(K97,4))</formula>
    </cfRule>
  </conditionalFormatting>
  <conditionalFormatting sqref="I70:I71">
    <cfRule type="cellIs" dxfId="99" priority="7" operator="lessThanOrEqual">
      <formula>0</formula>
    </cfRule>
  </conditionalFormatting>
  <conditionalFormatting sqref="L103">
    <cfRule type="cellIs" dxfId="98" priority="1" operator="notBetween">
      <formula>$K$103-0.2</formula>
      <formula>$K$103+0.2</formula>
    </cfRule>
    <cfRule type="cellIs" dxfId="97" priority="2" operator="between">
      <formula>$K$103-0.2</formula>
      <formula>$K$103+0.2</formula>
    </cfRule>
  </conditionalFormatting>
  <conditionalFormatting sqref="L105">
    <cfRule type="cellIs" dxfId="96" priority="5" operator="lessThan">
      <formula>$K$105+20</formula>
    </cfRule>
    <cfRule type="cellIs" dxfId="95" priority="6" operator="greaterThanOrEqual">
      <formula>$K$105+20</formula>
    </cfRule>
  </conditionalFormatting>
  <conditionalFormatting sqref="L106">
    <cfRule type="cellIs" dxfId="94" priority="3" operator="lessThan">
      <formula>$K$106</formula>
    </cfRule>
    <cfRule type="cellIs" dxfId="93" priority="4" operator="greaterThanOrEqual">
      <formula>$K$106</formula>
    </cfRule>
  </conditionalFormatting>
  <dataValidations count="2">
    <dataValidation type="list" allowBlank="1" showInputMessage="1" showErrorMessage="1" sqref="C3" xr:uid="{4E3A8951-6B5A-458A-8403-9CAC73A83FB5}">
      <formula1>$AV$1:$AV$4</formula1>
    </dataValidation>
    <dataValidation type="list" allowBlank="1" showInputMessage="1" showErrorMessage="1" sqref="E8" xr:uid="{929ED643-4551-40B9-B950-A21FDFEEC27E}">
      <formula1>$AU$1:$AU$4</formula1>
    </dataValidation>
  </dataValidations>
  <printOptions horizontalCentered="1" verticalCentered="1"/>
  <pageMargins left="0.2" right="0" top="0" bottom="0" header="0" footer="0"/>
  <pageSetup paperSize="9" scale="81" orientation="portrait" r:id="rId1"/>
  <headerFooter alignWithMargins="0">
    <oddFooter>Page &amp;P</oddFooter>
  </headerFooter>
  <rowBreaks count="1" manualBreakCount="1">
    <brk id="5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61" r:id="rId4" name="Check Box 1">
              <controlPr defaultSize="0" autoFill="0" autoLine="0" autoPict="0">
                <anchor moveWithCells="1">
                  <from>
                    <xdr:col>4</xdr:col>
                    <xdr:colOff>139700</xdr:colOff>
                    <xdr:row>37</xdr:row>
                    <xdr:rowOff>50800</xdr:rowOff>
                  </from>
                  <to>
                    <xdr:col>4</xdr:col>
                    <xdr:colOff>349250</xdr:colOff>
                    <xdr:row>37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62" r:id="rId5" name="Check Box 2">
              <controlPr defaultSize="0" autoFill="0" autoLine="0" autoPict="0">
                <anchor moveWithCells="1">
                  <from>
                    <xdr:col>4</xdr:col>
                    <xdr:colOff>127000</xdr:colOff>
                    <xdr:row>15</xdr:row>
                    <xdr:rowOff>38100</xdr:rowOff>
                  </from>
                  <to>
                    <xdr:col>4</xdr:col>
                    <xdr:colOff>342900</xdr:colOff>
                    <xdr:row>15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63" r:id="rId6" name="Check Box 3">
              <controlPr defaultSize="0" autoFill="0" autoLine="0" autoPict="0">
                <anchor moveWithCells="1">
                  <from>
                    <xdr:col>4</xdr:col>
                    <xdr:colOff>139700</xdr:colOff>
                    <xdr:row>73</xdr:row>
                    <xdr:rowOff>44450</xdr:rowOff>
                  </from>
                  <to>
                    <xdr:col>4</xdr:col>
                    <xdr:colOff>349250</xdr:colOff>
                    <xdr:row>73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64" r:id="rId7" name="Check Box 4">
              <controlPr defaultSize="0" autoFill="0" autoLine="0" autoPict="0">
                <anchor moveWithCells="1">
                  <from>
                    <xdr:col>4</xdr:col>
                    <xdr:colOff>139700</xdr:colOff>
                    <xdr:row>74</xdr:row>
                    <xdr:rowOff>44450</xdr:rowOff>
                  </from>
                  <to>
                    <xdr:col>4</xdr:col>
                    <xdr:colOff>349250</xdr:colOff>
                    <xdr:row>74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65" r:id="rId8" name="Check Box 5">
              <controlPr defaultSize="0" autoFill="0" autoLine="0" autoPict="0">
                <anchor moveWithCells="1">
                  <from>
                    <xdr:col>4</xdr:col>
                    <xdr:colOff>139700</xdr:colOff>
                    <xdr:row>75</xdr:row>
                    <xdr:rowOff>44450</xdr:rowOff>
                  </from>
                  <to>
                    <xdr:col>4</xdr:col>
                    <xdr:colOff>349250</xdr:colOff>
                    <xdr:row>75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66" r:id="rId9" name="Check Box 6">
              <controlPr defaultSize="0" autoFill="0" autoLine="0" autoPict="0">
                <anchor moveWithCells="1">
                  <from>
                    <xdr:col>4</xdr:col>
                    <xdr:colOff>139700</xdr:colOff>
                    <xdr:row>76</xdr:row>
                    <xdr:rowOff>44450</xdr:rowOff>
                  </from>
                  <to>
                    <xdr:col>4</xdr:col>
                    <xdr:colOff>349250</xdr:colOff>
                    <xdr:row>76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67" r:id="rId10" name="Check Box 7">
              <controlPr defaultSize="0" autoFill="0" autoLine="0" autoPict="0">
                <anchor moveWithCells="1">
                  <from>
                    <xdr:col>4</xdr:col>
                    <xdr:colOff>139700</xdr:colOff>
                    <xdr:row>82</xdr:row>
                    <xdr:rowOff>88900</xdr:rowOff>
                  </from>
                  <to>
                    <xdr:col>4</xdr:col>
                    <xdr:colOff>349250</xdr:colOff>
                    <xdr:row>82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68" r:id="rId11" name="Check Box 8">
              <controlPr defaultSize="0" autoFill="0" autoLine="0" autoPict="0">
                <anchor moveWithCells="1">
                  <from>
                    <xdr:col>10</xdr:col>
                    <xdr:colOff>241300</xdr:colOff>
                    <xdr:row>9</xdr:row>
                    <xdr:rowOff>69850</xdr:rowOff>
                  </from>
                  <to>
                    <xdr:col>10</xdr:col>
                    <xdr:colOff>457200</xdr:colOff>
                    <xdr:row>9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69" r:id="rId12" name="Check Box 9">
              <controlPr defaultSize="0" autoFill="0" autoLine="0" autoPict="0">
                <anchor moveWithCells="1">
                  <from>
                    <xdr:col>10</xdr:col>
                    <xdr:colOff>450850</xdr:colOff>
                    <xdr:row>57</xdr:row>
                    <xdr:rowOff>63500</xdr:rowOff>
                  </from>
                  <to>
                    <xdr:col>10</xdr:col>
                    <xdr:colOff>673100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70" r:id="rId13" name="Check Box 10">
              <controlPr defaultSize="0" autoFill="0" autoLine="0" autoPict="0">
                <anchor moveWithCells="1">
                  <from>
                    <xdr:col>11</xdr:col>
                    <xdr:colOff>254000</xdr:colOff>
                    <xdr:row>57</xdr:row>
                    <xdr:rowOff>63500</xdr:rowOff>
                  </from>
                  <to>
                    <xdr:col>11</xdr:col>
                    <xdr:colOff>469900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71" r:id="rId14" name="Check Box 11">
              <controlPr defaultSize="0" autoFill="0" autoLine="0" autoPict="0">
                <anchor moveWithCells="1">
                  <from>
                    <xdr:col>10</xdr:col>
                    <xdr:colOff>450850</xdr:colOff>
                    <xdr:row>58</xdr:row>
                    <xdr:rowOff>63500</xdr:rowOff>
                  </from>
                  <to>
                    <xdr:col>10</xdr:col>
                    <xdr:colOff>673100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72" r:id="rId15" name="Check Box 12">
              <controlPr defaultSize="0" autoFill="0" autoLine="0" autoPict="0">
                <anchor moveWithCells="1">
                  <from>
                    <xdr:col>11</xdr:col>
                    <xdr:colOff>254000</xdr:colOff>
                    <xdr:row>58</xdr:row>
                    <xdr:rowOff>63500</xdr:rowOff>
                  </from>
                  <to>
                    <xdr:col>11</xdr:col>
                    <xdr:colOff>469900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73" r:id="rId16" name="Check Box 13">
              <controlPr defaultSize="0" autoFill="0" autoLine="0" autoPict="0">
                <anchor moveWithCells="1">
                  <from>
                    <xdr:col>4</xdr:col>
                    <xdr:colOff>139700</xdr:colOff>
                    <xdr:row>81</xdr:row>
                    <xdr:rowOff>44450</xdr:rowOff>
                  </from>
                  <to>
                    <xdr:col>4</xdr:col>
                    <xdr:colOff>349250</xdr:colOff>
                    <xdr:row>81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74" r:id="rId17" name="Check Box 14">
              <controlPr defaultSize="0" autoFill="0" autoLine="0" autoPict="0">
                <anchor moveWithCells="1">
                  <from>
                    <xdr:col>10</xdr:col>
                    <xdr:colOff>450850</xdr:colOff>
                    <xdr:row>57</xdr:row>
                    <xdr:rowOff>63500</xdr:rowOff>
                  </from>
                  <to>
                    <xdr:col>10</xdr:col>
                    <xdr:colOff>673100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75" r:id="rId18" name="Check Box 15">
              <controlPr defaultSize="0" autoFill="0" autoLine="0" autoPict="0">
                <anchor moveWithCells="1">
                  <from>
                    <xdr:col>11</xdr:col>
                    <xdr:colOff>254000</xdr:colOff>
                    <xdr:row>57</xdr:row>
                    <xdr:rowOff>63500</xdr:rowOff>
                  </from>
                  <to>
                    <xdr:col>11</xdr:col>
                    <xdr:colOff>469900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76" r:id="rId19" name="Check Box 16">
              <controlPr defaultSize="0" autoFill="0" autoLine="0" autoPict="0">
                <anchor moveWithCells="1">
                  <from>
                    <xdr:col>10</xdr:col>
                    <xdr:colOff>450850</xdr:colOff>
                    <xdr:row>58</xdr:row>
                    <xdr:rowOff>63500</xdr:rowOff>
                  </from>
                  <to>
                    <xdr:col>10</xdr:col>
                    <xdr:colOff>673100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77" r:id="rId20" name="Check Box 17">
              <controlPr defaultSize="0" autoFill="0" autoLine="0" autoPict="0">
                <anchor moveWithCells="1">
                  <from>
                    <xdr:col>11</xdr:col>
                    <xdr:colOff>254000</xdr:colOff>
                    <xdr:row>58</xdr:row>
                    <xdr:rowOff>63500</xdr:rowOff>
                  </from>
                  <to>
                    <xdr:col>11</xdr:col>
                    <xdr:colOff>469900</xdr:colOff>
                    <xdr:row>58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3BCD0-5388-4F94-8282-A69FF4BB06A8}">
  <sheetPr>
    <tabColor rgb="FFFF0000"/>
  </sheetPr>
  <dimension ref="B1:ER109"/>
  <sheetViews>
    <sheetView zoomScaleNormal="100" workbookViewId="0">
      <pane xSplit="45" topLeftCell="AT1" activePane="topRight" state="frozen"/>
      <selection activeCell="H2" sqref="H2"/>
      <selection pane="topRight" activeCell="H2" sqref="H2"/>
    </sheetView>
  </sheetViews>
  <sheetFormatPr defaultColWidth="9.1796875" defaultRowHeight="12.5"/>
  <cols>
    <col min="1" max="1" width="2.1796875" style="661" customWidth="1"/>
    <col min="2" max="2" width="6.1796875" style="665" customWidth="1"/>
    <col min="3" max="3" width="31.81640625" style="666" customWidth="1"/>
    <col min="4" max="4" width="7.54296875" style="667" customWidth="1"/>
    <col min="5" max="5" width="7.1796875" style="667" customWidth="1"/>
    <col min="6" max="6" width="9.54296875" style="667" customWidth="1"/>
    <col min="7" max="7" width="9.453125" style="667" customWidth="1"/>
    <col min="8" max="8" width="7.81640625" style="667" customWidth="1"/>
    <col min="9" max="9" width="8.453125" style="667" customWidth="1"/>
    <col min="10" max="10" width="19.81640625" style="668" customWidth="1"/>
    <col min="11" max="11" width="10.54296875" style="669" customWidth="1"/>
    <col min="12" max="12" width="7.81640625" style="670" customWidth="1"/>
    <col min="13" max="13" width="7.453125" style="661" hidden="1" customWidth="1"/>
    <col min="14" max="19" width="8" style="661" hidden="1" customWidth="1"/>
    <col min="20" max="20" width="9.1796875" style="661" hidden="1" customWidth="1"/>
    <col min="21" max="21" width="11.1796875" style="661" hidden="1" customWidth="1"/>
    <col min="22" max="23" width="9.1796875" style="661" hidden="1" customWidth="1"/>
    <col min="24" max="24" width="9.1796875" style="661" hidden="1" customWidth="1" collapsed="1"/>
    <col min="25" max="34" width="9.1796875" style="661" hidden="1" customWidth="1"/>
    <col min="35" max="35" width="6.54296875" style="661" hidden="1" customWidth="1"/>
    <col min="36" max="37" width="9.1796875" style="661" hidden="1" customWidth="1"/>
    <col min="38" max="38" width="10.1796875" style="661" hidden="1" customWidth="1"/>
    <col min="39" max="39" width="13" style="661" hidden="1" customWidth="1"/>
    <col min="40" max="40" width="11.81640625" style="661" hidden="1" customWidth="1"/>
    <col min="41" max="41" width="14.1796875" style="661" hidden="1" customWidth="1"/>
    <col min="42" max="42" width="16.1796875" style="661" hidden="1" customWidth="1"/>
    <col min="43" max="43" width="13.81640625" style="661" hidden="1" customWidth="1"/>
    <col min="44" max="44" width="13" style="661" hidden="1" customWidth="1"/>
    <col min="45" max="45" width="9.1796875" style="661" hidden="1" customWidth="1"/>
    <col min="46" max="46" width="9.1796875" style="661" customWidth="1"/>
    <col min="47" max="47" width="5.54296875" style="661" customWidth="1"/>
    <col min="48" max="48" width="12" style="661" customWidth="1"/>
    <col min="49" max="49" width="11.54296875" style="661" customWidth="1"/>
    <col min="50" max="50" width="12.1796875" style="661" customWidth="1"/>
    <col min="51" max="51" width="6.1796875" style="661" customWidth="1"/>
    <col min="52" max="52" width="6.54296875" style="661" customWidth="1"/>
    <col min="53" max="53" width="10.1796875" style="661" customWidth="1"/>
    <col min="54" max="54" width="6.54296875" style="661" customWidth="1"/>
    <col min="55" max="55" width="7.81640625" style="661" customWidth="1"/>
    <col min="56" max="56" width="11.1796875" style="661" customWidth="1"/>
    <col min="57" max="57" width="11.54296875" style="661" bestFit="1" customWidth="1"/>
    <col min="58" max="58" width="5.54296875" style="661" customWidth="1"/>
    <col min="59" max="60" width="6.81640625" style="661" customWidth="1"/>
    <col min="61" max="61" width="8.54296875" style="661" customWidth="1"/>
    <col min="62" max="62" width="8.81640625" style="661" customWidth="1"/>
    <col min="63" max="65" width="9.1796875" style="661" customWidth="1"/>
    <col min="66" max="66" width="7.54296875" style="661" customWidth="1"/>
    <col min="67" max="67" width="7.1796875" style="661" customWidth="1"/>
    <col min="68" max="68" width="8.81640625" style="661" customWidth="1"/>
    <col min="69" max="69" width="7.54296875" style="661" customWidth="1"/>
    <col min="70" max="70" width="8.1796875" style="661" customWidth="1"/>
    <col min="71" max="71" width="7.1796875" style="661" customWidth="1"/>
    <col min="72" max="72" width="6.54296875" style="661" customWidth="1"/>
    <col min="73" max="73" width="9.1796875" style="661" customWidth="1"/>
    <col min="74" max="74" width="7.1796875" style="661" customWidth="1"/>
    <col min="75" max="75" width="5.81640625" style="661" customWidth="1"/>
    <col min="76" max="78" width="6.1796875" style="661" customWidth="1"/>
    <col min="79" max="80" width="9.1796875" style="661" customWidth="1"/>
    <col min="81" max="81" width="5.54296875" style="661" customWidth="1"/>
    <col min="82" max="82" width="6" style="661" customWidth="1"/>
    <col min="83" max="83" width="5.453125" style="661" customWidth="1"/>
    <col min="84" max="97" width="6.81640625" style="661" customWidth="1"/>
    <col min="98" max="98" width="7.54296875" style="661" customWidth="1"/>
    <col min="99" max="99" width="6.1796875" style="661" customWidth="1"/>
    <col min="100" max="100" width="6" style="661" customWidth="1"/>
    <col min="101" max="101" width="6.453125" style="661" customWidth="1"/>
    <col min="102" max="102" width="5.453125" style="661" customWidth="1"/>
    <col min="103" max="103" width="6.81640625" style="661" customWidth="1"/>
    <col min="104" max="104" width="6.453125" style="661" customWidth="1"/>
    <col min="105" max="105" width="11.54296875" style="661" customWidth="1"/>
    <col min="106" max="106" width="7.81640625" style="661" customWidth="1"/>
    <col min="107" max="107" width="7.453125" style="661" customWidth="1"/>
    <col min="108" max="108" width="6.1796875" style="661" customWidth="1"/>
    <col min="109" max="109" width="6.81640625" style="661" customWidth="1"/>
    <col min="110" max="110" width="5.1796875" style="661" customWidth="1"/>
    <col min="111" max="112" width="8" style="661" customWidth="1"/>
    <col min="113" max="113" width="7.453125" style="661" customWidth="1"/>
    <col min="114" max="116" width="6.1796875" style="661" customWidth="1"/>
    <col min="117" max="117" width="6.81640625" style="661" customWidth="1"/>
    <col min="118" max="118" width="10.1796875" style="661" customWidth="1"/>
    <col min="119" max="119" width="6" style="661" customWidth="1"/>
    <col min="120" max="120" width="6.81640625" style="661" customWidth="1"/>
    <col min="121" max="121" width="7" style="661" customWidth="1"/>
    <col min="122" max="122" width="7.54296875" style="661" customWidth="1"/>
    <col min="123" max="124" width="9.1796875" style="661" customWidth="1"/>
    <col min="125" max="125" width="6.1796875" style="661" customWidth="1"/>
    <col min="126" max="126" width="7.1796875" style="661" customWidth="1"/>
    <col min="127" max="127" width="6.54296875" style="661" customWidth="1"/>
    <col min="128" max="128" width="5.1796875" style="661" customWidth="1"/>
    <col min="129" max="129" width="6.81640625" style="661" customWidth="1"/>
    <col min="130" max="130" width="8.1796875" style="661" customWidth="1"/>
    <col min="131" max="131" width="7" style="661" customWidth="1"/>
    <col min="132" max="132" width="6.1796875" style="661" customWidth="1"/>
    <col min="133" max="133" width="7.1796875" style="661" customWidth="1"/>
    <col min="134" max="134" width="6.81640625" style="661" customWidth="1"/>
    <col min="135" max="135" width="7.1796875" style="661" customWidth="1"/>
    <col min="136" max="136" width="7.453125" style="661" customWidth="1"/>
    <col min="137" max="137" width="7.54296875" style="661" customWidth="1"/>
    <col min="138" max="138" width="6.1796875" style="661" customWidth="1"/>
    <col min="139" max="140" width="6.81640625" style="661" customWidth="1"/>
    <col min="141" max="141" width="6.54296875" style="661" customWidth="1"/>
    <col min="142" max="142" width="5.1796875" style="661" customWidth="1"/>
    <col min="143" max="143" width="7.81640625" style="661" customWidth="1"/>
    <col min="144" max="144" width="5.81640625" style="661" customWidth="1"/>
    <col min="145" max="145" width="5.54296875" style="661" customWidth="1"/>
    <col min="146" max="146" width="9.1796875" style="661" customWidth="1"/>
    <col min="147" max="16384" width="9.1796875" style="661"/>
  </cols>
  <sheetData>
    <row r="1" spans="2:148" s="660" customFormat="1" ht="33.75" customHeight="1" thickBot="1">
      <c r="B1" s="994" t="s">
        <v>24</v>
      </c>
      <c r="C1" s="994"/>
      <c r="D1" s="994"/>
      <c r="E1" s="994"/>
      <c r="F1" s="994"/>
      <c r="G1" s="994"/>
      <c r="H1" s="994"/>
      <c r="I1" s="994"/>
      <c r="J1" s="994"/>
      <c r="K1" s="994"/>
      <c r="L1" s="994"/>
      <c r="M1" s="994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3"/>
      <c r="AG1" s="233"/>
      <c r="AH1" s="233"/>
      <c r="AI1" s="233"/>
      <c r="AJ1" s="233"/>
      <c r="AK1" s="233"/>
      <c r="AL1" s="233"/>
      <c r="AM1" s="233"/>
      <c r="AN1" s="233"/>
      <c r="AO1" s="233"/>
      <c r="AP1" s="233"/>
      <c r="AQ1" s="233"/>
      <c r="AR1" s="233"/>
      <c r="AS1" s="233"/>
      <c r="AU1" s="720">
        <v>1</v>
      </c>
      <c r="AV1" s="721" t="s">
        <v>25</v>
      </c>
      <c r="AW1" s="672"/>
      <c r="AX1" s="672"/>
      <c r="AY1" s="672"/>
      <c r="AZ1" s="672"/>
      <c r="BA1" s="672"/>
      <c r="BB1" s="672"/>
      <c r="BC1" s="672"/>
      <c r="BD1" s="672"/>
      <c r="BE1" s="672"/>
      <c r="BF1" s="672"/>
      <c r="BG1" s="672"/>
      <c r="BH1" s="672"/>
      <c r="BI1" s="672"/>
      <c r="BJ1" s="672"/>
      <c r="BK1" s="672"/>
      <c r="BL1" s="672"/>
      <c r="BM1" s="672"/>
      <c r="BN1" s="672"/>
      <c r="BO1" s="672"/>
      <c r="BP1" s="672"/>
      <c r="BQ1" s="672"/>
      <c r="BR1" s="672"/>
      <c r="BS1" s="672"/>
      <c r="BT1" s="672"/>
      <c r="BU1" s="672"/>
      <c r="BV1" s="672"/>
      <c r="BW1" s="672"/>
      <c r="BX1" s="672"/>
      <c r="BY1" s="672"/>
      <c r="BZ1" s="672"/>
      <c r="CA1" s="672"/>
      <c r="CB1" s="672"/>
      <c r="CC1" s="672"/>
      <c r="CD1" s="672"/>
      <c r="CE1" s="672"/>
      <c r="CF1" s="672"/>
      <c r="CG1" s="672"/>
      <c r="CH1" s="672"/>
      <c r="CI1" s="672"/>
      <c r="CJ1" s="672"/>
      <c r="CK1" s="672"/>
      <c r="CL1" s="672"/>
      <c r="CM1" s="672"/>
      <c r="CN1" s="672"/>
      <c r="CO1" s="672"/>
      <c r="CP1" s="672"/>
      <c r="CQ1" s="672"/>
      <c r="CR1" s="672"/>
      <c r="CS1" s="672"/>
      <c r="CT1" s="672"/>
      <c r="CU1" s="672"/>
      <c r="CV1" s="672"/>
      <c r="CW1" s="672"/>
      <c r="CX1" s="672"/>
      <c r="CY1" s="672"/>
      <c r="CZ1" s="672"/>
      <c r="DA1" s="672"/>
      <c r="DB1" s="672"/>
      <c r="DC1" s="672"/>
      <c r="DD1" s="672"/>
      <c r="DE1" s="672"/>
      <c r="DF1" s="672"/>
      <c r="DG1" s="672"/>
      <c r="DH1" s="672"/>
      <c r="DI1" s="672"/>
      <c r="DJ1" s="672"/>
      <c r="DK1" s="672"/>
      <c r="DL1" s="672"/>
      <c r="DM1" s="672"/>
      <c r="DN1" s="672"/>
      <c r="DO1" s="672"/>
      <c r="DP1" s="672"/>
      <c r="DQ1" s="672"/>
      <c r="DR1" s="672"/>
      <c r="DS1" s="672"/>
      <c r="DT1" s="672"/>
      <c r="DU1" s="672"/>
      <c r="DV1" s="672"/>
      <c r="DW1" s="672"/>
      <c r="DX1" s="672"/>
      <c r="DY1" s="672"/>
      <c r="DZ1" s="672"/>
      <c r="EA1" s="672"/>
      <c r="EB1" s="672"/>
      <c r="EC1" s="672"/>
      <c r="ED1" s="672"/>
      <c r="EE1" s="672"/>
      <c r="EF1" s="672"/>
      <c r="EG1" s="672"/>
      <c r="EH1" s="672"/>
      <c r="EI1" s="672"/>
      <c r="EJ1" s="672"/>
      <c r="EK1" s="672"/>
      <c r="EL1" s="672"/>
      <c r="EM1" s="672"/>
      <c r="EN1" s="672"/>
      <c r="EO1" s="672"/>
      <c r="EP1" s="672"/>
      <c r="EQ1" s="671"/>
      <c r="ER1" s="671"/>
    </row>
    <row r="2" spans="2:148" s="660" customFormat="1" ht="14.5">
      <c r="B2" s="798"/>
      <c r="C2" s="798" t="s">
        <v>26</v>
      </c>
      <c r="D2" s="799" t="s">
        <v>27</v>
      </c>
      <c r="E2" s="752" t="s">
        <v>28</v>
      </c>
      <c r="F2" s="752"/>
      <c r="G2" s="799" t="s">
        <v>29</v>
      </c>
      <c r="H2" s="832"/>
      <c r="I2" s="798"/>
      <c r="J2" s="800"/>
      <c r="K2" s="801"/>
      <c r="L2" s="802"/>
      <c r="M2" s="803"/>
      <c r="N2" s="233"/>
      <c r="O2" s="233"/>
      <c r="P2" s="233"/>
      <c r="Q2" s="233"/>
      <c r="R2" s="233"/>
      <c r="S2" s="233"/>
      <c r="T2" s="233"/>
      <c r="U2" s="233"/>
      <c r="V2" s="233"/>
      <c r="W2" s="233"/>
      <c r="X2" s="233"/>
      <c r="Y2" s="233"/>
      <c r="Z2" s="233"/>
      <c r="AA2" s="233"/>
      <c r="AB2" s="233"/>
      <c r="AC2" s="233"/>
      <c r="AD2" s="233"/>
      <c r="AE2" s="233"/>
      <c r="AF2" s="233"/>
      <c r="AG2" s="233"/>
      <c r="AH2" s="233"/>
      <c r="AI2" s="233"/>
      <c r="AJ2" s="233"/>
      <c r="AK2" s="233"/>
      <c r="AL2" s="515" t="s">
        <v>30</v>
      </c>
      <c r="AM2" s="516" t="s">
        <v>31</v>
      </c>
      <c r="AN2" s="516" t="s">
        <v>32</v>
      </c>
      <c r="AO2" s="233"/>
      <c r="AP2" s="233"/>
      <c r="AQ2" s="233"/>
      <c r="AR2" s="233"/>
      <c r="AS2" s="233"/>
      <c r="AU2" s="720">
        <v>2</v>
      </c>
      <c r="AV2" s="721" t="s">
        <v>33</v>
      </c>
      <c r="AW2" s="672"/>
      <c r="AX2" s="672"/>
      <c r="AY2" s="673"/>
      <c r="AZ2" s="674"/>
      <c r="BA2" s="672"/>
      <c r="BB2" s="674"/>
      <c r="BC2" s="672"/>
      <c r="BD2" s="672"/>
      <c r="BE2" s="672"/>
      <c r="BF2" s="672"/>
      <c r="BG2" s="672"/>
      <c r="BH2" s="672"/>
      <c r="BI2" s="672"/>
      <c r="BJ2" s="672"/>
      <c r="BK2" s="672"/>
      <c r="BL2" s="672"/>
      <c r="BM2" s="672"/>
      <c r="BN2" s="672"/>
      <c r="BO2" s="672"/>
      <c r="BP2" s="672"/>
      <c r="BQ2" s="672"/>
      <c r="BR2" s="672"/>
      <c r="BS2" s="672"/>
      <c r="BT2" s="672"/>
      <c r="BU2" s="672"/>
      <c r="BV2" s="672"/>
      <c r="BW2" s="672"/>
      <c r="BX2" s="672"/>
      <c r="BY2" s="672"/>
      <c r="BZ2" s="672"/>
      <c r="CA2" s="672"/>
      <c r="CB2" s="672"/>
      <c r="CC2" s="672"/>
      <c r="CD2" s="672"/>
      <c r="CE2" s="672"/>
      <c r="CF2" s="672"/>
      <c r="CG2" s="672"/>
      <c r="CH2" s="672"/>
      <c r="CI2" s="672"/>
      <c r="CJ2" s="672"/>
      <c r="CK2" s="672"/>
      <c r="CL2" s="672"/>
      <c r="CM2" s="672"/>
      <c r="CN2" s="672"/>
      <c r="CO2" s="672"/>
      <c r="CP2" s="672"/>
      <c r="CQ2" s="672"/>
      <c r="CR2" s="672"/>
      <c r="CS2" s="672"/>
      <c r="CT2" s="672"/>
      <c r="CU2" s="672"/>
      <c r="CV2" s="672"/>
      <c r="CW2" s="672"/>
      <c r="CX2" s="672"/>
      <c r="CY2" s="672"/>
      <c r="CZ2" s="672"/>
      <c r="DA2" s="672"/>
      <c r="DB2" s="672"/>
      <c r="DC2" s="672"/>
      <c r="DD2" s="672"/>
      <c r="DE2" s="672"/>
      <c r="DF2" s="672"/>
      <c r="DG2" s="672"/>
      <c r="DH2" s="672"/>
      <c r="DI2" s="672"/>
      <c r="DJ2" s="672"/>
      <c r="DK2" s="672"/>
      <c r="DL2" s="672"/>
      <c r="DM2" s="672"/>
      <c r="DN2" s="672"/>
      <c r="DO2" s="672"/>
      <c r="DP2" s="672"/>
      <c r="DQ2" s="672"/>
      <c r="DR2" s="672"/>
      <c r="DS2" s="672"/>
      <c r="DT2" s="672"/>
      <c r="DU2" s="672"/>
      <c r="DV2" s="672"/>
      <c r="DW2" s="672"/>
      <c r="DX2" s="672"/>
      <c r="DY2" s="672"/>
      <c r="DZ2" s="672"/>
      <c r="EA2" s="672"/>
      <c r="EB2" s="672"/>
      <c r="EC2" s="672"/>
      <c r="ED2" s="672"/>
      <c r="EE2" s="672"/>
      <c r="EF2" s="672"/>
      <c r="EG2" s="672"/>
      <c r="EH2" s="672"/>
      <c r="EI2" s="672"/>
      <c r="EJ2" s="672"/>
      <c r="EK2" s="672"/>
      <c r="EL2" s="672"/>
      <c r="EM2" s="672"/>
      <c r="EN2" s="672"/>
      <c r="EO2" s="672"/>
      <c r="EP2" s="672"/>
      <c r="EQ2" s="671"/>
      <c r="ER2" s="671"/>
    </row>
    <row r="3" spans="2:148" s="660" customFormat="1" ht="15" thickBot="1">
      <c r="B3" s="798"/>
      <c r="C3" s="831"/>
      <c r="D3" s="801" t="s">
        <v>35</v>
      </c>
      <c r="E3" s="801">
        <v>10026</v>
      </c>
      <c r="F3" s="801"/>
      <c r="G3" s="800" t="s">
        <v>36</v>
      </c>
      <c r="H3" s="832">
        <f>10000+H2</f>
        <v>10000</v>
      </c>
      <c r="I3" s="800" t="s">
        <v>37</v>
      </c>
      <c r="J3" s="833"/>
      <c r="K3" s="800" t="s">
        <v>38</v>
      </c>
      <c r="L3" s="834">
        <f>'10027'!L3</f>
        <v>14</v>
      </c>
      <c r="M3" s="798"/>
      <c r="N3" s="233"/>
      <c r="O3" s="233"/>
      <c r="P3" s="233">
        <f>36+5</f>
        <v>41</v>
      </c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517" t="e">
        <f>(K9)/(D9+K15)*100</f>
        <v>#VALUE!</v>
      </c>
      <c r="AM3" s="518" t="e">
        <f>(K8)/(D8-K15)*100</f>
        <v>#VALUE!</v>
      </c>
      <c r="AN3" s="518" t="e">
        <f>(K8+K9)/(D8+D9)*100</f>
        <v>#VALUE!</v>
      </c>
      <c r="AO3" s="233"/>
      <c r="AP3" s="233"/>
      <c r="AQ3" s="233"/>
      <c r="AR3" s="233"/>
      <c r="AS3" s="233"/>
      <c r="AU3" s="720">
        <v>3</v>
      </c>
      <c r="AV3" s="721" t="s">
        <v>34</v>
      </c>
    </row>
    <row r="4" spans="2:148" ht="15.75" customHeight="1" thickBot="1">
      <c r="B4" s="804"/>
      <c r="C4" s="805"/>
      <c r="D4" s="806"/>
      <c r="E4" s="806"/>
      <c r="F4" s="806"/>
      <c r="G4" s="806"/>
      <c r="H4" s="806"/>
      <c r="I4" s="806"/>
      <c r="J4" s="807"/>
      <c r="K4" s="808"/>
      <c r="L4" s="809"/>
      <c r="M4" s="810"/>
      <c r="N4" s="519"/>
      <c r="O4" s="519"/>
      <c r="P4" s="519">
        <f>P3+15</f>
        <v>56</v>
      </c>
      <c r="Q4" s="519"/>
      <c r="R4" s="519"/>
      <c r="S4" s="519"/>
      <c r="T4" s="520" t="s">
        <v>39</v>
      </c>
      <c r="U4" s="519"/>
      <c r="V4" s="519"/>
      <c r="W4" s="519"/>
      <c r="X4" s="519"/>
      <c r="Y4" s="519"/>
      <c r="Z4" s="519"/>
      <c r="AA4" s="519"/>
      <c r="AB4" s="519"/>
      <c r="AC4" s="519"/>
      <c r="AD4" s="519"/>
      <c r="AE4" s="519"/>
      <c r="AF4" s="519"/>
      <c r="AG4" s="519"/>
      <c r="AH4" s="519"/>
      <c r="AI4" s="519"/>
      <c r="AJ4" s="519"/>
      <c r="AK4" s="519"/>
      <c r="AL4" s="519"/>
      <c r="AM4" s="519"/>
      <c r="AN4" s="519"/>
      <c r="AO4" s="519"/>
      <c r="AP4" s="519"/>
      <c r="AQ4" s="519"/>
      <c r="AR4" s="519"/>
      <c r="AS4" s="519"/>
      <c r="AV4" s="811"/>
      <c r="BJ4" s="989" t="s">
        <v>40</v>
      </c>
      <c r="BU4" s="989" t="s">
        <v>41</v>
      </c>
      <c r="CE4" s="989" t="s">
        <v>42</v>
      </c>
      <c r="DG4" s="980" t="s">
        <v>43</v>
      </c>
      <c r="DH4" s="980" t="s">
        <v>44</v>
      </c>
      <c r="DI4" s="980" t="s">
        <v>45</v>
      </c>
      <c r="DJ4" s="980" t="s">
        <v>46</v>
      </c>
      <c r="DK4" s="980" t="s">
        <v>46</v>
      </c>
      <c r="DL4" s="980" t="s">
        <v>47</v>
      </c>
      <c r="DM4" s="981" t="s">
        <v>48</v>
      </c>
      <c r="DN4" s="980" t="s">
        <v>49</v>
      </c>
      <c r="DO4" s="980" t="s">
        <v>50</v>
      </c>
      <c r="DR4" s="980" t="s">
        <v>51</v>
      </c>
      <c r="DS4" s="980" t="s">
        <v>52</v>
      </c>
      <c r="DT4" s="980" t="s">
        <v>53</v>
      </c>
      <c r="DZ4" s="980" t="s">
        <v>54</v>
      </c>
      <c r="EE4" s="980" t="s">
        <v>55</v>
      </c>
      <c r="EF4" s="980" t="s">
        <v>56</v>
      </c>
      <c r="EG4" s="980" t="s">
        <v>57</v>
      </c>
      <c r="EH4" s="980" t="s">
        <v>58</v>
      </c>
      <c r="EK4" s="989" t="s">
        <v>59</v>
      </c>
    </row>
    <row r="5" spans="2:148" s="695" customFormat="1" ht="15" customHeight="1">
      <c r="B5" s="982" t="s">
        <v>60</v>
      </c>
      <c r="C5" s="984" t="s">
        <v>61</v>
      </c>
      <c r="D5" s="986" t="s">
        <v>62</v>
      </c>
      <c r="E5" s="986"/>
      <c r="F5" s="986" t="s">
        <v>63</v>
      </c>
      <c r="G5" s="986"/>
      <c r="H5" s="986"/>
      <c r="I5" s="986"/>
      <c r="J5" s="984" t="s">
        <v>64</v>
      </c>
      <c r="K5" s="987" t="s">
        <v>65</v>
      </c>
      <c r="L5" s="995" t="s">
        <v>66</v>
      </c>
      <c r="M5" s="997" t="s">
        <v>67</v>
      </c>
      <c r="N5" s="693"/>
      <c r="O5" s="693"/>
      <c r="P5" s="693"/>
      <c r="Q5" s="693"/>
      <c r="R5" s="693"/>
      <c r="S5" s="693"/>
      <c r="T5" s="693"/>
      <c r="U5" s="693"/>
      <c r="V5" s="693"/>
      <c r="W5" s="693"/>
      <c r="X5" s="693"/>
      <c r="Y5" s="693"/>
      <c r="Z5" s="693"/>
      <c r="AA5" s="693"/>
      <c r="AB5" s="693"/>
      <c r="AC5" s="693"/>
      <c r="AD5" s="693"/>
      <c r="AE5" s="693"/>
      <c r="AF5" s="693"/>
      <c r="AG5" s="693"/>
      <c r="AH5" s="693"/>
      <c r="AI5" s="694"/>
      <c r="AJ5" s="693"/>
      <c r="AK5" s="693" t="s">
        <v>68</v>
      </c>
      <c r="AL5" s="693"/>
      <c r="AM5" s="693"/>
      <c r="AN5" s="693"/>
      <c r="AO5" s="693"/>
      <c r="AP5" s="693"/>
      <c r="AQ5" s="693"/>
      <c r="AR5" s="693"/>
      <c r="AS5" s="693"/>
      <c r="AU5" s="980" t="s">
        <v>69</v>
      </c>
      <c r="AV5" s="980" t="s">
        <v>70</v>
      </c>
      <c r="AW5" s="980" t="s">
        <v>71</v>
      </c>
      <c r="AX5" s="971" t="s">
        <v>72</v>
      </c>
      <c r="AY5" s="971" t="s">
        <v>73</v>
      </c>
      <c r="AZ5" s="980" t="s">
        <v>74</v>
      </c>
      <c r="BA5" s="980" t="s">
        <v>75</v>
      </c>
      <c r="BB5" s="980" t="s">
        <v>76</v>
      </c>
      <c r="BC5" s="971" t="s">
        <v>77</v>
      </c>
      <c r="BD5" s="971" t="s">
        <v>78</v>
      </c>
      <c r="BE5" s="971" t="s">
        <v>79</v>
      </c>
      <c r="BF5" s="971" t="s">
        <v>71</v>
      </c>
      <c r="BG5" s="971" t="s">
        <v>80</v>
      </c>
      <c r="BH5" s="971" t="s">
        <v>81</v>
      </c>
      <c r="BI5" s="971" t="s">
        <v>82</v>
      </c>
      <c r="BJ5" s="989"/>
      <c r="BK5" s="971" t="s">
        <v>83</v>
      </c>
      <c r="BL5" s="971" t="s">
        <v>84</v>
      </c>
      <c r="BM5" s="971" t="s">
        <v>85</v>
      </c>
      <c r="BN5" s="971" t="s">
        <v>74</v>
      </c>
      <c r="BO5" s="971" t="s">
        <v>86</v>
      </c>
      <c r="BP5" s="971" t="s">
        <v>87</v>
      </c>
      <c r="BQ5" s="971" t="s">
        <v>88</v>
      </c>
      <c r="BR5" s="971" t="s">
        <v>89</v>
      </c>
      <c r="BS5" s="971" t="s">
        <v>90</v>
      </c>
      <c r="BT5" s="971" t="s">
        <v>91</v>
      </c>
      <c r="BU5" s="989"/>
      <c r="BV5" s="971" t="s">
        <v>92</v>
      </c>
      <c r="BW5" s="971" t="s">
        <v>93</v>
      </c>
      <c r="BX5" s="971" t="s">
        <v>94</v>
      </c>
      <c r="BY5" s="971" t="s">
        <v>95</v>
      </c>
      <c r="BZ5" s="971" t="s">
        <v>96</v>
      </c>
      <c r="CA5" s="971" t="s">
        <v>97</v>
      </c>
      <c r="CB5" s="971" t="s">
        <v>98</v>
      </c>
      <c r="CC5" s="971" t="s">
        <v>99</v>
      </c>
      <c r="CD5" s="971" t="s">
        <v>100</v>
      </c>
      <c r="CE5" s="989"/>
      <c r="CF5" s="971" t="s">
        <v>101</v>
      </c>
      <c r="CG5" s="914"/>
      <c r="CH5" s="914"/>
      <c r="CI5" s="914"/>
      <c r="CJ5" s="914"/>
      <c r="CK5" s="914"/>
      <c r="CL5" s="914"/>
      <c r="CM5" s="914"/>
      <c r="CN5" s="914"/>
      <c r="CO5" s="914"/>
      <c r="CP5" s="914"/>
      <c r="CQ5" s="914"/>
      <c r="CR5" s="914"/>
      <c r="CS5" s="971" t="s">
        <v>102</v>
      </c>
      <c r="CT5" s="971" t="s">
        <v>103</v>
      </c>
      <c r="CU5" s="971" t="s">
        <v>104</v>
      </c>
      <c r="CV5" s="971" t="s">
        <v>105</v>
      </c>
      <c r="CW5" s="971" t="s">
        <v>105</v>
      </c>
      <c r="CX5" s="971" t="s">
        <v>106</v>
      </c>
      <c r="CY5" s="971" t="s">
        <v>107</v>
      </c>
      <c r="CZ5" s="971" t="s">
        <v>108</v>
      </c>
      <c r="DA5" s="971" t="s">
        <v>109</v>
      </c>
      <c r="DB5" s="971" t="s">
        <v>110</v>
      </c>
      <c r="DC5" s="971" t="s">
        <v>111</v>
      </c>
      <c r="DD5" s="971" t="s">
        <v>112</v>
      </c>
      <c r="DE5" s="971" t="s">
        <v>113</v>
      </c>
      <c r="DF5" s="977" t="s">
        <v>114</v>
      </c>
      <c r="DG5" s="980"/>
      <c r="DH5" s="980"/>
      <c r="DI5" s="980"/>
      <c r="DJ5" s="980"/>
      <c r="DK5" s="980"/>
      <c r="DL5" s="980"/>
      <c r="DM5" s="981"/>
      <c r="DN5" s="980"/>
      <c r="DO5" s="980"/>
      <c r="DP5" s="991" t="s">
        <v>115</v>
      </c>
      <c r="DQ5" s="977" t="s">
        <v>116</v>
      </c>
      <c r="DR5" s="980"/>
      <c r="DS5" s="980"/>
      <c r="DT5" s="980"/>
      <c r="DU5" s="971" t="s">
        <v>117</v>
      </c>
      <c r="DV5" s="971" t="s">
        <v>118</v>
      </c>
      <c r="DW5" s="971" t="s">
        <v>119</v>
      </c>
      <c r="DX5" s="971" t="s">
        <v>120</v>
      </c>
      <c r="DY5" s="977" t="s">
        <v>121</v>
      </c>
      <c r="DZ5" s="980"/>
      <c r="EA5" s="971" t="s">
        <v>122</v>
      </c>
      <c r="EB5" s="971" t="s">
        <v>123</v>
      </c>
      <c r="EC5" s="971" t="s">
        <v>124</v>
      </c>
      <c r="ED5" s="977" t="s">
        <v>125</v>
      </c>
      <c r="EE5" s="980"/>
      <c r="EF5" s="980"/>
      <c r="EG5" s="980"/>
      <c r="EH5" s="980"/>
      <c r="EI5" s="991" t="s">
        <v>126</v>
      </c>
      <c r="EJ5" s="971" t="s">
        <v>127</v>
      </c>
      <c r="EK5" s="989"/>
      <c r="EL5" s="971" t="s">
        <v>128</v>
      </c>
      <c r="EM5" s="971" t="s">
        <v>129</v>
      </c>
      <c r="EN5" s="971" t="s">
        <v>130</v>
      </c>
    </row>
    <row r="6" spans="2:148" s="698" customFormat="1" ht="12" thickBot="1">
      <c r="B6" s="983"/>
      <c r="C6" s="985"/>
      <c r="D6" s="794" t="s">
        <v>131</v>
      </c>
      <c r="E6" s="794" t="s">
        <v>66</v>
      </c>
      <c r="F6" s="794" t="s">
        <v>132</v>
      </c>
      <c r="G6" s="794" t="s">
        <v>133</v>
      </c>
      <c r="H6" s="794" t="s">
        <v>134</v>
      </c>
      <c r="I6" s="794" t="s">
        <v>66</v>
      </c>
      <c r="J6" s="985"/>
      <c r="K6" s="988"/>
      <c r="L6" s="996"/>
      <c r="M6" s="998"/>
      <c r="N6" s="696"/>
      <c r="O6" s="696"/>
      <c r="P6" s="696"/>
      <c r="Q6" s="696"/>
      <c r="R6" s="696"/>
      <c r="S6" s="696"/>
      <c r="T6" s="696" t="s">
        <v>135</v>
      </c>
      <c r="U6" s="696"/>
      <c r="V6" s="696"/>
      <c r="W6" s="696"/>
      <c r="X6" s="696"/>
      <c r="Y6" s="696"/>
      <c r="Z6" s="696"/>
      <c r="AA6" s="696"/>
      <c r="AB6" s="696"/>
      <c r="AC6" s="696"/>
      <c r="AD6" s="696"/>
      <c r="AE6" s="696"/>
      <c r="AF6" s="696"/>
      <c r="AG6" s="696"/>
      <c r="AH6" s="696"/>
      <c r="AI6" s="697"/>
      <c r="AJ6" s="696"/>
      <c r="AK6" s="696"/>
      <c r="AL6" s="696"/>
      <c r="AM6" s="696"/>
      <c r="AN6" s="696"/>
      <c r="AO6" s="696"/>
      <c r="AP6" s="696"/>
      <c r="AQ6" s="696"/>
      <c r="AR6" s="696"/>
      <c r="AS6" s="696"/>
      <c r="AU6" s="980"/>
      <c r="AV6" s="980"/>
      <c r="AW6" s="980"/>
      <c r="AX6" s="972"/>
      <c r="AY6" s="972"/>
      <c r="AZ6" s="980"/>
      <c r="BA6" s="980"/>
      <c r="BB6" s="980"/>
      <c r="BC6" s="972"/>
      <c r="BD6" s="972"/>
      <c r="BE6" s="972"/>
      <c r="BF6" s="972"/>
      <c r="BG6" s="972"/>
      <c r="BH6" s="972"/>
      <c r="BI6" s="972"/>
      <c r="BJ6" s="989"/>
      <c r="BK6" s="972"/>
      <c r="BL6" s="972"/>
      <c r="BM6" s="972"/>
      <c r="BN6" s="972"/>
      <c r="BO6" s="972"/>
      <c r="BP6" s="972"/>
      <c r="BQ6" s="972"/>
      <c r="BR6" s="972"/>
      <c r="BS6" s="972"/>
      <c r="BT6" s="972"/>
      <c r="BU6" s="989"/>
      <c r="BV6" s="972"/>
      <c r="BW6" s="972"/>
      <c r="BX6" s="972"/>
      <c r="BY6" s="972"/>
      <c r="BZ6" s="972"/>
      <c r="CA6" s="972"/>
      <c r="CB6" s="972"/>
      <c r="CC6" s="972"/>
      <c r="CD6" s="972"/>
      <c r="CE6" s="989"/>
      <c r="CF6" s="972"/>
      <c r="CG6" s="915"/>
      <c r="CH6" s="915"/>
      <c r="CI6" s="915"/>
      <c r="CJ6" s="915"/>
      <c r="CK6" s="915"/>
      <c r="CL6" s="915"/>
      <c r="CM6" s="915"/>
      <c r="CN6" s="915"/>
      <c r="CO6" s="915"/>
      <c r="CP6" s="915"/>
      <c r="CQ6" s="915"/>
      <c r="CR6" s="915"/>
      <c r="CS6" s="972"/>
      <c r="CT6" s="972"/>
      <c r="CU6" s="972"/>
      <c r="CV6" s="972"/>
      <c r="CW6" s="972"/>
      <c r="CX6" s="972"/>
      <c r="CY6" s="972"/>
      <c r="CZ6" s="972"/>
      <c r="DA6" s="972"/>
      <c r="DB6" s="972"/>
      <c r="DC6" s="972"/>
      <c r="DD6" s="972"/>
      <c r="DE6" s="972"/>
      <c r="DF6" s="978"/>
      <c r="DG6" s="980"/>
      <c r="DH6" s="980"/>
      <c r="DI6" s="980"/>
      <c r="DJ6" s="980"/>
      <c r="DK6" s="980"/>
      <c r="DL6" s="980"/>
      <c r="DM6" s="981"/>
      <c r="DN6" s="980"/>
      <c r="DO6" s="980"/>
      <c r="DP6" s="992"/>
      <c r="DQ6" s="978"/>
      <c r="DR6" s="980"/>
      <c r="DS6" s="980"/>
      <c r="DT6" s="980"/>
      <c r="DU6" s="972"/>
      <c r="DV6" s="972"/>
      <c r="DW6" s="972"/>
      <c r="DX6" s="972"/>
      <c r="DY6" s="978"/>
      <c r="DZ6" s="980"/>
      <c r="EA6" s="972"/>
      <c r="EB6" s="972"/>
      <c r="EC6" s="972"/>
      <c r="ED6" s="978"/>
      <c r="EE6" s="980"/>
      <c r="EF6" s="980"/>
      <c r="EG6" s="980"/>
      <c r="EH6" s="980"/>
      <c r="EI6" s="992"/>
      <c r="EJ6" s="972"/>
      <c r="EK6" s="989"/>
      <c r="EL6" s="972"/>
      <c r="EM6" s="972"/>
      <c r="EN6" s="972"/>
    </row>
    <row r="7" spans="2:148" s="695" customFormat="1" ht="12.75" customHeight="1" thickBot="1">
      <c r="B7" s="797"/>
      <c r="C7" s="974" t="s">
        <v>136</v>
      </c>
      <c r="D7" s="975"/>
      <c r="E7" s="975"/>
      <c r="F7" s="975"/>
      <c r="G7" s="975"/>
      <c r="H7" s="975"/>
      <c r="I7" s="975"/>
      <c r="J7" s="975"/>
      <c r="K7" s="975"/>
      <c r="L7" s="976"/>
      <c r="M7" s="699"/>
      <c r="N7" s="693"/>
      <c r="O7" s="693"/>
      <c r="P7" s="693"/>
      <c r="Q7" s="693"/>
      <c r="R7" s="693"/>
      <c r="S7" s="693"/>
      <c r="T7" s="693"/>
      <c r="U7" s="693"/>
      <c r="V7" s="700" t="s">
        <v>137</v>
      </c>
      <c r="W7" s="700" t="s">
        <v>138</v>
      </c>
      <c r="X7" s="693"/>
      <c r="Y7" s="693"/>
      <c r="Z7" s="693"/>
      <c r="AA7" s="693"/>
      <c r="AB7" s="693"/>
      <c r="AC7" s="693"/>
      <c r="AD7" s="693"/>
      <c r="AE7" s="693"/>
      <c r="AF7" s="693"/>
      <c r="AG7" s="693"/>
      <c r="AH7" s="693"/>
      <c r="AI7" s="694"/>
      <c r="AJ7" s="693"/>
      <c r="AK7" s="693"/>
      <c r="AL7" s="693"/>
      <c r="AM7" s="693"/>
      <c r="AN7" s="693"/>
      <c r="AO7" s="693"/>
      <c r="AP7" s="693"/>
      <c r="AQ7" s="701" t="s">
        <v>139</v>
      </c>
      <c r="AR7" s="701" t="s">
        <v>140</v>
      </c>
      <c r="AS7" s="701" t="s">
        <v>141</v>
      </c>
      <c r="AU7" s="980"/>
      <c r="AV7" s="980"/>
      <c r="AW7" s="980"/>
      <c r="AX7" s="973"/>
      <c r="AY7" s="973"/>
      <c r="AZ7" s="980"/>
      <c r="BA7" s="980"/>
      <c r="BB7" s="980"/>
      <c r="BC7" s="973"/>
      <c r="BD7" s="973"/>
      <c r="BE7" s="973"/>
      <c r="BF7" s="973"/>
      <c r="BG7" s="973"/>
      <c r="BH7" s="973"/>
      <c r="BI7" s="973"/>
      <c r="BJ7" s="990"/>
      <c r="BK7" s="973"/>
      <c r="BL7" s="973"/>
      <c r="BM7" s="973"/>
      <c r="BN7" s="973"/>
      <c r="BO7" s="973"/>
      <c r="BP7" s="973"/>
      <c r="BQ7" s="973"/>
      <c r="BR7" s="973"/>
      <c r="BS7" s="973"/>
      <c r="BT7" s="973"/>
      <c r="BU7" s="990"/>
      <c r="BV7" s="973"/>
      <c r="BW7" s="973"/>
      <c r="BX7" s="973"/>
      <c r="BY7" s="973"/>
      <c r="BZ7" s="973"/>
      <c r="CA7" s="973"/>
      <c r="CB7" s="973"/>
      <c r="CC7" s="973"/>
      <c r="CD7" s="973"/>
      <c r="CE7" s="990"/>
      <c r="CF7" s="973"/>
      <c r="CG7" s="916"/>
      <c r="CH7" s="916"/>
      <c r="CI7" s="916"/>
      <c r="CJ7" s="916"/>
      <c r="CK7" s="916"/>
      <c r="CL7" s="916"/>
      <c r="CM7" s="916"/>
      <c r="CN7" s="916"/>
      <c r="CO7" s="916"/>
      <c r="CP7" s="916"/>
      <c r="CQ7" s="916"/>
      <c r="CR7" s="916"/>
      <c r="CS7" s="973"/>
      <c r="CT7" s="973"/>
      <c r="CU7" s="973"/>
      <c r="CV7" s="973"/>
      <c r="CW7" s="973"/>
      <c r="CX7" s="973"/>
      <c r="CY7" s="973"/>
      <c r="CZ7" s="973"/>
      <c r="DA7" s="973"/>
      <c r="DB7" s="973"/>
      <c r="DC7" s="973"/>
      <c r="DD7" s="973"/>
      <c r="DE7" s="973"/>
      <c r="DF7" s="979"/>
      <c r="DG7" s="980"/>
      <c r="DH7" s="980"/>
      <c r="DI7" s="980"/>
      <c r="DJ7" s="980"/>
      <c r="DK7" s="980"/>
      <c r="DL7" s="980"/>
      <c r="DM7" s="981"/>
      <c r="DN7" s="980"/>
      <c r="DO7" s="980"/>
      <c r="DP7" s="993"/>
      <c r="DQ7" s="979"/>
      <c r="DR7" s="980"/>
      <c r="DS7" s="980"/>
      <c r="DT7" s="980"/>
      <c r="DU7" s="973"/>
      <c r="DV7" s="973"/>
      <c r="DW7" s="973"/>
      <c r="DX7" s="973"/>
      <c r="DY7" s="979"/>
      <c r="DZ7" s="980"/>
      <c r="EA7" s="973"/>
      <c r="EB7" s="973"/>
      <c r="EC7" s="973"/>
      <c r="ED7" s="979"/>
      <c r="EE7" s="980"/>
      <c r="EF7" s="980"/>
      <c r="EG7" s="980"/>
      <c r="EH7" s="980"/>
      <c r="EI7" s="993"/>
      <c r="EJ7" s="973"/>
      <c r="EK7" s="990"/>
      <c r="EL7" s="973"/>
      <c r="EM7" s="973"/>
      <c r="EN7" s="973"/>
    </row>
    <row r="8" spans="2:148" s="662" customFormat="1" ht="22.5" customHeight="1">
      <c r="B8" s="745"/>
      <c r="C8" s="813"/>
      <c r="D8" s="544" t="s">
        <v>142</v>
      </c>
      <c r="E8" s="795"/>
      <c r="F8" s="966" t="s">
        <v>143</v>
      </c>
      <c r="G8" s="967"/>
      <c r="H8" s="814">
        <f>IF(E9="",0,E9-D9)+IF(E10="",0,E10-D10)</f>
        <v>0</v>
      </c>
      <c r="I8" s="812" t="s">
        <v>144</v>
      </c>
      <c r="J8" s="543" t="s">
        <v>145</v>
      </c>
      <c r="K8" s="882">
        <f>D37+D36</f>
        <v>94</v>
      </c>
      <c r="L8" s="796">
        <f>E37+E36</f>
        <v>0</v>
      </c>
      <c r="M8" s="531"/>
      <c r="N8" s="521" t="e">
        <v>#VALUE!</v>
      </c>
      <c r="O8" s="521" t="e">
        <f>(D8-K15)/133+K8</f>
        <v>#VALUE!</v>
      </c>
      <c r="P8" s="521" t="s">
        <v>146</v>
      </c>
      <c r="Q8" s="521"/>
      <c r="R8" s="532" t="e">
        <f>D8/0.667</f>
        <v>#VALUE!</v>
      </c>
      <c r="S8" s="521"/>
      <c r="T8" s="521">
        <f>K8*100</f>
        <v>9400</v>
      </c>
      <c r="U8" s="521" t="e">
        <f>(D8-K15)*0.67</f>
        <v>#VALUE!</v>
      </c>
      <c r="V8" s="521" t="e">
        <f>T8+U8</f>
        <v>#VALUE!</v>
      </c>
      <c r="W8" s="521">
        <v>44</v>
      </c>
      <c r="X8" s="521" t="e">
        <f>V8*W8</f>
        <v>#VALUE!</v>
      </c>
      <c r="Y8" s="521" t="s">
        <v>147</v>
      </c>
      <c r="Z8" s="521"/>
      <c r="AA8" s="521" t="e">
        <f>V8/100</f>
        <v>#VALUE!</v>
      </c>
      <c r="AB8" s="521">
        <f>(235*0.67+800)</f>
        <v>957.45</v>
      </c>
      <c r="AC8" s="521">
        <f>AB8/100</f>
        <v>9.5745000000000005</v>
      </c>
      <c r="AD8" s="521" t="e">
        <f>AA8+AC8</f>
        <v>#VALUE!</v>
      </c>
      <c r="AE8" s="521"/>
      <c r="AF8" s="521"/>
      <c r="AG8" s="532"/>
      <c r="AH8" s="521">
        <f>98+47</f>
        <v>145</v>
      </c>
      <c r="AI8" s="522"/>
      <c r="AJ8" s="521"/>
      <c r="AK8" s="521"/>
      <c r="AL8" s="521"/>
      <c r="AM8" s="533" t="s">
        <v>148</v>
      </c>
      <c r="AN8" s="534" t="s">
        <v>149</v>
      </c>
      <c r="AO8" s="534" t="s">
        <v>150</v>
      </c>
      <c r="AP8" s="521"/>
      <c r="AQ8" s="535" t="s">
        <v>151</v>
      </c>
      <c r="AR8" s="535">
        <v>261</v>
      </c>
      <c r="AS8" s="705">
        <v>163</v>
      </c>
      <c r="AT8" s="706"/>
      <c r="AU8" s="688" t="e">
        <f>L15/E10%</f>
        <v>#DIV/0!</v>
      </c>
      <c r="AV8" s="690" t="e">
        <f>I13+I14</f>
        <v>#VALUE!</v>
      </c>
      <c r="AW8" s="688" t="e">
        <f>L9/(L15+E10)%</f>
        <v>#DIV/0!</v>
      </c>
      <c r="AX8" s="689">
        <f>E20</f>
        <v>0</v>
      </c>
      <c r="AY8" s="690" t="str">
        <f>I20</f>
        <v/>
      </c>
      <c r="AZ8" s="689"/>
      <c r="BA8" s="690" t="str">
        <f>I22</f>
        <v/>
      </c>
      <c r="BB8" s="703">
        <f>E22</f>
        <v>0</v>
      </c>
      <c r="BC8" s="690" t="str">
        <f>I33</f>
        <v/>
      </c>
      <c r="BD8" s="689">
        <f>SUM(I13:I15)</f>
        <v>0</v>
      </c>
      <c r="BE8" s="689">
        <f ca="1">L37</f>
        <v>46.7</v>
      </c>
      <c r="BF8" s="688" t="e">
        <f>L8/E9%</f>
        <v>#DIV/0!</v>
      </c>
      <c r="BG8" s="689">
        <f>E40</f>
        <v>0</v>
      </c>
      <c r="BH8" s="690" t="str">
        <f>I40</f>
        <v/>
      </c>
      <c r="BI8" s="703">
        <f>K41</f>
        <v>0</v>
      </c>
      <c r="BJ8" s="690">
        <f>K42</f>
        <v>0</v>
      </c>
      <c r="BK8" s="689">
        <f>E43</f>
        <v>0</v>
      </c>
      <c r="BL8" s="690" t="str">
        <f>I43</f>
        <v/>
      </c>
      <c r="BM8" s="690" t="str">
        <f>I45</f>
        <v/>
      </c>
      <c r="BN8" s="689"/>
      <c r="BO8" s="690">
        <f>E47</f>
        <v>0</v>
      </c>
      <c r="BP8" s="690" t="str">
        <f>I51</f>
        <v/>
      </c>
      <c r="BQ8" s="690" t="str">
        <f>I57</f>
        <v/>
      </c>
      <c r="BR8" s="703">
        <f>E57</f>
        <v>0</v>
      </c>
      <c r="BS8" s="689">
        <f>L55</f>
        <v>0</v>
      </c>
      <c r="BT8" s="689">
        <f>L63</f>
        <v>0</v>
      </c>
      <c r="BU8" s="689">
        <f>L64</f>
        <v>0</v>
      </c>
      <c r="BV8" s="690">
        <f>E61</f>
        <v>0</v>
      </c>
      <c r="BW8" s="690">
        <f>E60</f>
        <v>0</v>
      </c>
      <c r="BX8" s="690">
        <f>E58</f>
        <v>0</v>
      </c>
      <c r="BY8" s="690">
        <f>E59</f>
        <v>0</v>
      </c>
      <c r="BZ8" s="688">
        <f ca="1">L60</f>
        <v>16.59</v>
      </c>
      <c r="CA8" s="688">
        <f>BX8/(L8+L9+12)%</f>
        <v>0</v>
      </c>
      <c r="CB8" s="688" t="e">
        <f>BX8/BY8%</f>
        <v>#DIV/0!</v>
      </c>
      <c r="CC8" s="689"/>
      <c r="CD8" s="690" t="e">
        <f>I59+I58</f>
        <v>#VALUE!</v>
      </c>
      <c r="CE8" s="690" t="str">
        <f>I64</f>
        <v/>
      </c>
      <c r="CF8" s="689">
        <f ca="1">L56</f>
        <v>80</v>
      </c>
      <c r="CG8" s="689"/>
      <c r="CH8" s="689"/>
      <c r="CI8" s="689"/>
      <c r="CJ8" s="689"/>
      <c r="CK8" s="689"/>
      <c r="CL8" s="689"/>
      <c r="CM8" s="689"/>
      <c r="CN8" s="689"/>
      <c r="CO8" s="689"/>
      <c r="CP8" s="689"/>
      <c r="CQ8" s="689"/>
      <c r="CR8" s="689"/>
      <c r="CS8" s="689" t="s">
        <v>152</v>
      </c>
      <c r="CT8" s="689" t="s">
        <v>153</v>
      </c>
      <c r="CU8" s="690">
        <f>E72</f>
        <v>0</v>
      </c>
      <c r="CV8" s="689"/>
      <c r="CW8" s="689"/>
      <c r="CX8" s="690">
        <f>E78</f>
        <v>0</v>
      </c>
      <c r="CY8" s="703">
        <f ca="1">I77</f>
        <v>101.1</v>
      </c>
      <c r="CZ8" s="724"/>
      <c r="DA8" s="691" t="str">
        <f>I72</f>
        <v/>
      </c>
      <c r="DB8" s="691" t="e">
        <f>I78+I80</f>
        <v>#VALUE!</v>
      </c>
      <c r="DC8" s="691" t="e">
        <f>DA8+DB8</f>
        <v>#VALUE!</v>
      </c>
      <c r="DD8" s="691" t="e">
        <f>DC8-75</f>
        <v>#VALUE!</v>
      </c>
      <c r="DE8" s="687" t="s">
        <v>154</v>
      </c>
      <c r="DF8" s="691"/>
      <c r="DG8" s="691">
        <f>I74</f>
        <v>5</v>
      </c>
      <c r="DH8" s="691">
        <f>I75</f>
        <v>10</v>
      </c>
      <c r="DI8" s="692" t="s">
        <v>155</v>
      </c>
      <c r="DJ8" s="692" t="e">
        <f>(E78-E84)/E78%</f>
        <v>#DIV/0!</v>
      </c>
      <c r="DK8" s="702"/>
      <c r="DL8" s="687"/>
      <c r="DM8" s="687"/>
      <c r="DN8" s="692" t="e">
        <f>(E66-E98-10.5)/E66%</f>
        <v>#DIV/0!</v>
      </c>
      <c r="DO8" s="691">
        <f>I76</f>
        <v>0</v>
      </c>
      <c r="DP8" s="712">
        <f ca="1">L77</f>
        <v>101</v>
      </c>
      <c r="DQ8" s="687"/>
      <c r="DR8" s="687"/>
      <c r="DS8" s="687"/>
      <c r="DT8" s="691" t="str">
        <f>K83</f>
        <v/>
      </c>
      <c r="DU8" s="691" t="e">
        <f>K83+K75</f>
        <v>#VALUE!</v>
      </c>
      <c r="DV8" s="687"/>
      <c r="DW8" s="691" t="str">
        <f>I84</f>
        <v/>
      </c>
      <c r="DX8" s="691" t="str">
        <f>I88</f>
        <v/>
      </c>
      <c r="DY8" s="691" t="e">
        <f>DX8-10</f>
        <v>#VALUE!</v>
      </c>
      <c r="DZ8" s="687"/>
      <c r="EA8" s="710" t="e">
        <f>D83/E98</f>
        <v>#DIV/0!</v>
      </c>
      <c r="EB8" s="691" t="str">
        <f>I98</f>
        <v/>
      </c>
      <c r="EC8" s="687">
        <f>L98</f>
        <v>0</v>
      </c>
      <c r="ED8" s="692">
        <f>E100</f>
        <v>0</v>
      </c>
      <c r="EE8" s="692" t="e">
        <f>ED8*1000/E98</f>
        <v>#DIV/0!</v>
      </c>
      <c r="EF8" s="687"/>
      <c r="EG8" s="691">
        <f>E98</f>
        <v>0</v>
      </c>
      <c r="EH8" s="691" t="str">
        <f>L105</f>
        <v/>
      </c>
      <c r="EI8" s="687" t="e">
        <f>ABS(L105-K105)</f>
        <v>#VALUE!</v>
      </c>
      <c r="EJ8" s="692" t="str">
        <f>L103</f>
        <v/>
      </c>
      <c r="EK8" s="687" t="e">
        <f>ABS(L103-K103)</f>
        <v>#VALUE!</v>
      </c>
      <c r="EL8" s="692" t="str">
        <f>L106</f>
        <v/>
      </c>
      <c r="EM8" s="687">
        <f>L96</f>
        <v>0</v>
      </c>
      <c r="EN8" s="687">
        <f>L97</f>
        <v>0</v>
      </c>
    </row>
    <row r="9" spans="2:148" s="662" customFormat="1" ht="22.5" customHeight="1">
      <c r="B9" s="744"/>
      <c r="C9" s="536" t="s">
        <v>156</v>
      </c>
      <c r="D9" s="479">
        <v>3950</v>
      </c>
      <c r="E9" s="646"/>
      <c r="F9" s="714"/>
      <c r="G9" s="714"/>
      <c r="H9" s="448" t="str">
        <f>IF(OR(F9="",G9=""),"",IF(G9&gt;=F9,(G9-F9)*24*60,(1+G9-F9)*24*60))</f>
        <v/>
      </c>
      <c r="I9" s="685" t="str">
        <f>IF(OR(F15="",G9=""),"",IF(F15&gt;=G9,(F15-G9)*24*60,(1+F15-G9)*24*60))</f>
        <v/>
      </c>
      <c r="J9" s="539" t="s">
        <v>157</v>
      </c>
      <c r="K9" s="448">
        <f>D14+D13+D15</f>
        <v>55</v>
      </c>
      <c r="L9" s="707">
        <f>E14+E13+E15</f>
        <v>0</v>
      </c>
      <c r="M9" s="531"/>
      <c r="N9" s="521">
        <v>2840</v>
      </c>
      <c r="O9" s="521" t="e">
        <f>(D9+K15)/133+K9+D15</f>
        <v>#VALUE!</v>
      </c>
      <c r="P9" s="521" t="s">
        <v>158</v>
      </c>
      <c r="Q9" s="521"/>
      <c r="R9" s="521">
        <f>52+15</f>
        <v>67</v>
      </c>
      <c r="S9" s="521">
        <v>236</v>
      </c>
      <c r="T9" s="521">
        <f>(D13+D15)*100</f>
        <v>5100</v>
      </c>
      <c r="U9" s="521" t="e">
        <f>D9*0.7+K15*0.67</f>
        <v>#VALUE!</v>
      </c>
      <c r="V9" s="521" t="e">
        <f>T9+U9</f>
        <v>#VALUE!</v>
      </c>
      <c r="W9" s="521">
        <v>100</v>
      </c>
      <c r="X9" s="521" t="e">
        <f>V9*W9</f>
        <v>#VALUE!</v>
      </c>
      <c r="Y9" s="521" t="s">
        <v>159</v>
      </c>
      <c r="Z9" s="521"/>
      <c r="AA9" s="521" t="e">
        <f>V9/100</f>
        <v>#VALUE!</v>
      </c>
      <c r="AB9" s="521"/>
      <c r="AC9" s="521"/>
      <c r="AD9" s="521"/>
      <c r="AE9" s="521"/>
      <c r="AF9" s="521"/>
      <c r="AG9" s="521"/>
      <c r="AH9" s="521">
        <f>AH8+10+2+16</f>
        <v>173</v>
      </c>
      <c r="AI9" s="968" t="s">
        <v>160</v>
      </c>
      <c r="AJ9" s="969"/>
      <c r="AK9" s="969"/>
      <c r="AL9" s="970"/>
      <c r="AM9" s="541">
        <v>44</v>
      </c>
      <c r="AN9" s="542">
        <v>44</v>
      </c>
      <c r="AO9" s="542">
        <v>20</v>
      </c>
      <c r="AP9" s="521"/>
      <c r="AQ9" s="535" t="s">
        <v>161</v>
      </c>
      <c r="AR9" s="535">
        <v>96</v>
      </c>
      <c r="AS9" s="535">
        <v>99</v>
      </c>
    </row>
    <row r="10" spans="2:148" s="662" customFormat="1" ht="24.75" customHeight="1" thickBot="1">
      <c r="B10" s="745"/>
      <c r="C10" s="536" t="s">
        <v>162</v>
      </c>
      <c r="D10" s="479">
        <v>1750</v>
      </c>
      <c r="E10" s="646"/>
      <c r="F10" s="714"/>
      <c r="G10" s="714"/>
      <c r="H10" s="815" t="str">
        <f>IF(OR(F10="",G10=""),"",IF(G10&gt;=F10,(G10-F10)*24*60,(1+G10-F10)*24*60))</f>
        <v/>
      </c>
      <c r="I10" s="685" t="str">
        <f>IF(OR(F13="",G10=""),"",IF(F13&gt;=G10,(F13-G10)*24*60,(1+F13-G10)*24*60))</f>
        <v/>
      </c>
      <c r="J10" s="543" t="s">
        <v>163</v>
      </c>
      <c r="K10" s="792"/>
      <c r="L10" s="645"/>
      <c r="M10" s="545"/>
      <c r="N10" s="521"/>
      <c r="O10" s="521"/>
      <c r="P10" s="521"/>
      <c r="Q10" s="521"/>
      <c r="R10" s="521"/>
      <c r="S10" s="521"/>
      <c r="T10" s="521"/>
      <c r="U10" s="521"/>
      <c r="V10" s="521"/>
      <c r="W10" s="521"/>
      <c r="X10" s="521"/>
      <c r="Y10" s="521"/>
      <c r="Z10" s="521"/>
      <c r="AA10" s="521"/>
      <c r="AB10" s="521"/>
      <c r="AC10" s="521"/>
      <c r="AD10" s="521"/>
      <c r="AE10" s="521"/>
      <c r="AF10" s="521"/>
      <c r="AG10" s="521"/>
      <c r="AH10" s="521"/>
      <c r="AI10" s="968" t="s">
        <v>164</v>
      </c>
      <c r="AJ10" s="969"/>
      <c r="AK10" s="969"/>
      <c r="AL10" s="969"/>
      <c r="AM10" s="546">
        <f>(K8+K9+D31+D49+D54)-D58</f>
        <v>42</v>
      </c>
      <c r="AN10" s="546">
        <f>K61+AM10-(D59-D58)</f>
        <v>56</v>
      </c>
      <c r="AO10" s="546">
        <f>AN10+K62-D61</f>
        <v>16</v>
      </c>
      <c r="AP10" s="521"/>
      <c r="AQ10" s="535"/>
      <c r="AR10" s="535"/>
      <c r="AS10" s="535"/>
      <c r="AV10" s="959" t="s">
        <v>165</v>
      </c>
      <c r="AW10" s="959" t="s">
        <v>166</v>
      </c>
      <c r="AX10" s="959" t="s">
        <v>167</v>
      </c>
      <c r="AY10" s="959" t="s">
        <v>168</v>
      </c>
      <c r="AZ10" s="959" t="s">
        <v>169</v>
      </c>
      <c r="BA10" s="959" t="s">
        <v>170</v>
      </c>
      <c r="BB10" s="959" t="s">
        <v>171</v>
      </c>
      <c r="BC10" s="959" t="s">
        <v>172</v>
      </c>
      <c r="BD10" s="959" t="s">
        <v>173</v>
      </c>
      <c r="BE10" s="959" t="s">
        <v>174</v>
      </c>
    </row>
    <row r="11" spans="2:148" s="662" customFormat="1" ht="15" customHeight="1" thickBot="1">
      <c r="B11" s="770"/>
      <c r="C11" s="941" t="s">
        <v>175</v>
      </c>
      <c r="D11" s="942"/>
      <c r="E11" s="942"/>
      <c r="F11" s="942"/>
      <c r="G11" s="942"/>
      <c r="H11" s="942"/>
      <c r="I11" s="942"/>
      <c r="J11" s="942"/>
      <c r="K11" s="942"/>
      <c r="L11" s="943"/>
      <c r="M11" s="530"/>
      <c r="N11" s="521"/>
      <c r="O11" s="521">
        <v>47</v>
      </c>
      <c r="P11" s="521">
        <v>50</v>
      </c>
      <c r="Q11" s="521"/>
      <c r="R11" s="521"/>
      <c r="S11" s="521"/>
      <c r="T11" s="521"/>
      <c r="U11" s="521"/>
      <c r="V11" s="521"/>
      <c r="W11" s="547" t="e">
        <f>((O8*W8)+(O9*W9))/SUM(O8:O9)</f>
        <v>#VALUE!</v>
      </c>
      <c r="X11" s="521"/>
      <c r="Y11" s="521"/>
      <c r="Z11" s="521"/>
      <c r="AA11" s="521"/>
      <c r="AB11" s="521"/>
      <c r="AC11" s="521"/>
      <c r="AD11" s="521">
        <f>226</f>
        <v>226</v>
      </c>
      <c r="AE11" s="521"/>
      <c r="AF11" s="521"/>
      <c r="AG11" s="521"/>
      <c r="AH11" s="521"/>
      <c r="AI11" s="522"/>
      <c r="AJ11" s="521"/>
      <c r="AK11" s="521"/>
      <c r="AL11" s="521"/>
      <c r="AM11" s="521"/>
      <c r="AN11" s="521"/>
      <c r="AO11" s="521"/>
      <c r="AP11" s="521"/>
      <c r="AQ11" s="535" t="s">
        <v>176</v>
      </c>
      <c r="AR11" s="535">
        <v>45</v>
      </c>
      <c r="AS11" s="535">
        <v>30</v>
      </c>
      <c r="AV11" s="959"/>
      <c r="AW11" s="959"/>
      <c r="AX11" s="959"/>
      <c r="AY11" s="959"/>
      <c r="AZ11" s="959"/>
      <c r="BA11" s="959"/>
      <c r="BB11" s="959"/>
      <c r="BC11" s="959"/>
      <c r="BD11" s="959"/>
      <c r="BE11" s="959"/>
    </row>
    <row r="12" spans="2:148" s="662" customFormat="1" ht="23.25" customHeight="1">
      <c r="B12" s="767"/>
      <c r="C12" s="756" t="s">
        <v>177</v>
      </c>
      <c r="D12" s="882">
        <v>5</v>
      </c>
      <c r="E12" s="647"/>
      <c r="F12" s="775"/>
      <c r="G12" s="775"/>
      <c r="H12" s="882">
        <v>1</v>
      </c>
      <c r="I12" s="882"/>
      <c r="J12" s="790" t="s">
        <v>178</v>
      </c>
      <c r="K12" s="882">
        <v>180</v>
      </c>
      <c r="L12" s="793">
        <v>180</v>
      </c>
      <c r="M12" s="548"/>
      <c r="N12" s="521"/>
      <c r="O12" s="521"/>
      <c r="P12" s="521">
        <v>91</v>
      </c>
      <c r="Q12" s="521"/>
      <c r="R12" s="521"/>
      <c r="S12" s="521"/>
      <c r="T12" s="964" t="s">
        <v>179</v>
      </c>
      <c r="U12" s="964"/>
      <c r="V12" s="532">
        <f>D9/H13*1.2</f>
        <v>384.32432432432438</v>
      </c>
      <c r="W12" s="521"/>
      <c r="X12" s="549" t="s">
        <v>180</v>
      </c>
      <c r="Y12" s="550" t="e">
        <f>D9+K15+(K9+D15)*100</f>
        <v>#VALUE!</v>
      </c>
      <c r="Z12" s="521"/>
      <c r="AA12" s="521"/>
      <c r="AB12" s="521"/>
      <c r="AC12" s="521"/>
      <c r="AD12" s="521">
        <v>150</v>
      </c>
      <c r="AE12" s="521"/>
      <c r="AF12" s="521"/>
      <c r="AG12" s="532">
        <f>K8+K9+D15+D31+D49+D54</f>
        <v>192</v>
      </c>
      <c r="AH12" s="532">
        <f>AG12-59</f>
        <v>133</v>
      </c>
      <c r="AI12" s="522"/>
      <c r="AJ12" s="521"/>
      <c r="AK12" s="521"/>
      <c r="AL12" s="521"/>
      <c r="AM12" s="521"/>
      <c r="AN12" s="521"/>
      <c r="AO12" s="521"/>
      <c r="AP12" s="521"/>
      <c r="AQ12" s="535" t="s">
        <v>181</v>
      </c>
      <c r="AR12" s="535">
        <v>269</v>
      </c>
      <c r="AS12" s="535">
        <v>265</v>
      </c>
      <c r="AV12" s="724">
        <f>$J$3+F13</f>
        <v>0</v>
      </c>
      <c r="AW12" s="724">
        <f>IF(F58&gt;=F13,$J$3+F58,$J$3+1+F58)</f>
        <v>0</v>
      </c>
      <c r="AX12" s="724">
        <f>IF(F70&gt;=F13,$J$3+F70,$J$3+1+F70)</f>
        <v>0</v>
      </c>
      <c r="AY12" s="724">
        <f>IF(F72&gt;=F13,$J$3+F72,$J$3+1+F72)</f>
        <v>0</v>
      </c>
      <c r="AZ12" s="718"/>
      <c r="BA12" s="719">
        <f>E78</f>
        <v>0</v>
      </c>
      <c r="BB12" s="724" t="e">
        <f>IF(G80&gt;=F13,$J$3+G80,$J$3+1+G80)</f>
        <v>#VALUE!</v>
      </c>
      <c r="BC12" s="718"/>
      <c r="BD12" s="719">
        <f>E84</f>
        <v>0</v>
      </c>
      <c r="BE12" s="724" t="e">
        <f>IF(G98&gt;=F13,$J$3+G98,$J$3+1+G98)</f>
        <v>#VALUE!</v>
      </c>
    </row>
    <row r="13" spans="2:148" s="662" customFormat="1" ht="28.5" customHeight="1">
      <c r="B13" s="746"/>
      <c r="C13" s="551" t="s">
        <v>182</v>
      </c>
      <c r="D13" s="448">
        <v>37</v>
      </c>
      <c r="E13" s="646"/>
      <c r="F13" s="714"/>
      <c r="G13" s="648"/>
      <c r="H13" s="448">
        <f>D13/K12*60</f>
        <v>12.333333333333332</v>
      </c>
      <c r="I13" s="685" t="str">
        <f>IF(OR(F14="",F13=""),"",IF(F14&gt;=F13,(F14-F13)*24*60,(1+F14-F13)*24*60))</f>
        <v/>
      </c>
      <c r="J13" s="552" t="s">
        <v>183</v>
      </c>
      <c r="K13" s="583">
        <v>61</v>
      </c>
      <c r="L13" s="561">
        <f ca="1">K13+RANDBETWEEN(-2,2)/10</f>
        <v>61.1</v>
      </c>
      <c r="M13" s="554"/>
      <c r="N13" s="521"/>
      <c r="O13" s="521"/>
      <c r="P13" s="521"/>
      <c r="Q13" s="521"/>
      <c r="R13" s="521"/>
      <c r="S13" s="521"/>
      <c r="T13" s="555" t="s">
        <v>184</v>
      </c>
      <c r="U13" s="521"/>
      <c r="V13" s="556" t="e">
        <f>(K9+D15)/(D9+K15)*100</f>
        <v>#VALUE!</v>
      </c>
      <c r="W13" s="521"/>
      <c r="X13" s="521"/>
      <c r="Y13" s="521"/>
      <c r="Z13" s="521"/>
      <c r="AA13" s="521"/>
      <c r="AB13" s="521"/>
      <c r="AC13" s="521"/>
      <c r="AD13" s="521">
        <f>AD11-AD12</f>
        <v>76</v>
      </c>
      <c r="AE13" s="521">
        <f>AD13/280*60</f>
        <v>16.285714285714285</v>
      </c>
      <c r="AF13" s="521"/>
      <c r="AG13" s="532">
        <f>AG12-35</f>
        <v>157</v>
      </c>
      <c r="AH13" s="521"/>
      <c r="AI13" s="522"/>
      <c r="AJ13" s="521"/>
      <c r="AK13" s="521"/>
      <c r="AL13" s="521"/>
      <c r="AM13" s="521"/>
      <c r="AN13" s="521"/>
      <c r="AO13" s="521"/>
      <c r="AP13" s="521"/>
      <c r="AQ13" s="535" t="s">
        <v>185</v>
      </c>
      <c r="AR13" s="535">
        <v>3.2</v>
      </c>
      <c r="AS13" s="535">
        <v>3.3</v>
      </c>
    </row>
    <row r="14" spans="2:148" s="662" customFormat="1" ht="20.25" customHeight="1">
      <c r="B14" s="746"/>
      <c r="C14" s="536" t="s">
        <v>186</v>
      </c>
      <c r="D14" s="448">
        <v>4</v>
      </c>
      <c r="E14" s="646"/>
      <c r="F14" s="714"/>
      <c r="G14" s="648"/>
      <c r="H14" s="448">
        <v>1</v>
      </c>
      <c r="I14" s="685" t="str">
        <f>IF(OR(F15="",F14=""),"",IF(F15&gt;=F14,(F15-F14)*24*60,(1+F15-F14)*24*60))</f>
        <v/>
      </c>
      <c r="J14" s="552" t="s">
        <v>187</v>
      </c>
      <c r="K14" s="583">
        <v>60</v>
      </c>
      <c r="L14" s="561">
        <f ca="1">57+RANDBETWEEN(-5,5)/10</f>
        <v>56.7</v>
      </c>
      <c r="M14" s="554"/>
      <c r="N14" s="521"/>
      <c r="O14" s="521"/>
      <c r="P14" s="521"/>
      <c r="Q14" s="521"/>
      <c r="R14" s="521"/>
      <c r="S14" s="521"/>
      <c r="T14" s="555"/>
      <c r="U14" s="521"/>
      <c r="V14" s="556"/>
      <c r="W14" s="521"/>
      <c r="X14" s="521"/>
      <c r="Y14" s="521"/>
      <c r="Z14" s="521"/>
      <c r="AA14" s="521"/>
      <c r="AB14" s="521"/>
      <c r="AC14" s="521"/>
      <c r="AD14" s="521"/>
      <c r="AE14" s="521"/>
      <c r="AF14" s="521"/>
      <c r="AG14" s="532"/>
      <c r="AH14" s="521"/>
      <c r="AI14" s="522"/>
      <c r="AJ14" s="521"/>
      <c r="AK14" s="521"/>
      <c r="AL14" s="521"/>
      <c r="AM14" s="521"/>
      <c r="AN14" s="521"/>
      <c r="AO14" s="521"/>
      <c r="AP14" s="521"/>
      <c r="AQ14" s="535" t="s">
        <v>188</v>
      </c>
      <c r="AR14" s="535">
        <v>2.9</v>
      </c>
      <c r="AS14" s="535">
        <v>2.9</v>
      </c>
    </row>
    <row r="15" spans="2:148" s="663" customFormat="1" ht="33.75" customHeight="1">
      <c r="B15" s="744"/>
      <c r="C15" s="536" t="s">
        <v>189</v>
      </c>
      <c r="D15" s="448">
        <v>14</v>
      </c>
      <c r="E15" s="646"/>
      <c r="F15" s="714"/>
      <c r="G15" s="648"/>
      <c r="H15" s="448">
        <f>D15/K35*60</f>
        <v>3.7333333333333334</v>
      </c>
      <c r="I15" s="685" t="str">
        <f>IF(OR(F19="",F15=""),"",IF(F19&gt;=F15,(F19-F15)*24*60,(1+F19-F15)*24*60))</f>
        <v/>
      </c>
      <c r="J15" s="539" t="s">
        <v>190</v>
      </c>
      <c r="K15" s="448" t="s">
        <v>191</v>
      </c>
      <c r="L15" s="640"/>
      <c r="M15" s="531">
        <v>270</v>
      </c>
      <c r="N15" s="523"/>
      <c r="O15" s="523"/>
      <c r="P15" s="523"/>
      <c r="Q15" s="523"/>
      <c r="R15" s="523"/>
      <c r="S15" s="523"/>
      <c r="T15" s="523"/>
      <c r="U15" s="523"/>
      <c r="V15" s="523"/>
      <c r="W15" s="523"/>
      <c r="X15" s="523">
        <v>109</v>
      </c>
      <c r="Y15" s="523"/>
      <c r="Z15" s="523"/>
      <c r="AA15" s="523"/>
      <c r="AB15" s="523"/>
      <c r="AC15" s="523"/>
      <c r="AD15" s="523">
        <f>150/240*60</f>
        <v>37.5</v>
      </c>
      <c r="AE15" s="523"/>
      <c r="AF15" s="523"/>
      <c r="AG15" s="523"/>
      <c r="AH15" s="523"/>
      <c r="AI15" s="524"/>
      <c r="AJ15" s="523"/>
      <c r="AK15" s="523"/>
      <c r="AL15" s="523"/>
      <c r="AM15" s="523"/>
      <c r="AN15" s="523"/>
      <c r="AO15" s="523"/>
      <c r="AP15" s="523"/>
      <c r="AQ15" s="535" t="s">
        <v>192</v>
      </c>
      <c r="AR15" s="535">
        <v>0.36</v>
      </c>
      <c r="AS15" s="535">
        <v>0.3</v>
      </c>
    </row>
    <row r="16" spans="2:148" s="662" customFormat="1" ht="20.25" customHeight="1">
      <c r="B16" s="744"/>
      <c r="C16" s="536" t="s">
        <v>193</v>
      </c>
      <c r="D16" s="557">
        <v>3</v>
      </c>
      <c r="E16" s="646"/>
      <c r="F16" s="648"/>
      <c r="G16" s="648"/>
      <c r="H16" s="448"/>
      <c r="I16" s="448"/>
      <c r="J16" s="448"/>
      <c r="K16" s="448"/>
      <c r="L16" s="558"/>
      <c r="M16" s="531"/>
      <c r="N16" s="521"/>
      <c r="O16" s="521"/>
      <c r="P16" s="521"/>
      <c r="Q16" s="521"/>
      <c r="R16" s="521"/>
      <c r="S16" s="521"/>
      <c r="T16" s="521"/>
      <c r="U16" s="521"/>
      <c r="V16" s="521" t="e">
        <f>#REF!/100</f>
        <v>#REF!</v>
      </c>
      <c r="W16" s="521"/>
      <c r="X16" s="521"/>
      <c r="Y16" s="521"/>
      <c r="Z16" s="521"/>
      <c r="AA16" s="521"/>
      <c r="AB16" s="521"/>
      <c r="AC16" s="521"/>
      <c r="AD16" s="521">
        <f>AD15+AE13</f>
        <v>53.785714285714285</v>
      </c>
      <c r="AE16" s="521"/>
      <c r="AF16" s="521"/>
      <c r="AG16" s="521"/>
      <c r="AH16" s="521"/>
      <c r="AI16" s="522"/>
      <c r="AJ16" s="521"/>
      <c r="AK16" s="521"/>
      <c r="AL16" s="521"/>
      <c r="AM16" s="521"/>
      <c r="AN16" s="521"/>
      <c r="AO16" s="521"/>
      <c r="AP16" s="521"/>
      <c r="AQ16" s="521"/>
      <c r="AR16" s="521"/>
      <c r="AS16" s="521"/>
    </row>
    <row r="17" spans="2:99" s="662" customFormat="1" ht="24" hidden="1" customHeight="1">
      <c r="B17" s="747"/>
      <c r="C17" s="551" t="s">
        <v>194</v>
      </c>
      <c r="D17" s="557"/>
      <c r="E17" s="649"/>
      <c r="F17" s="650"/>
      <c r="G17" s="648"/>
      <c r="H17" s="559"/>
      <c r="I17" s="559"/>
      <c r="J17" s="560"/>
      <c r="K17" s="560"/>
      <c r="L17" s="561"/>
      <c r="M17" s="531"/>
      <c r="N17" s="521"/>
      <c r="O17" s="521"/>
      <c r="P17" s="521"/>
      <c r="Q17" s="521"/>
      <c r="R17" s="521"/>
      <c r="S17" s="521"/>
      <c r="T17" s="521"/>
      <c r="U17" s="521"/>
      <c r="V17" s="521"/>
      <c r="W17" s="521"/>
      <c r="X17" s="521"/>
      <c r="Y17" s="521"/>
      <c r="Z17" s="521"/>
      <c r="AA17" s="521"/>
      <c r="AB17" s="521"/>
      <c r="AC17" s="521"/>
      <c r="AD17" s="521"/>
      <c r="AE17" s="521"/>
      <c r="AF17" s="521"/>
      <c r="AG17" s="521"/>
      <c r="AH17" s="521"/>
      <c r="AI17" s="522"/>
      <c r="AJ17" s="521"/>
      <c r="AK17" s="521"/>
      <c r="AL17" s="521"/>
      <c r="AM17" s="521"/>
      <c r="AN17" s="521"/>
      <c r="AO17" s="521"/>
      <c r="AP17" s="521"/>
      <c r="AQ17" s="521"/>
      <c r="AR17" s="521"/>
      <c r="AS17" s="521"/>
    </row>
    <row r="18" spans="2:99" s="662" customFormat="1" ht="24" hidden="1" customHeight="1">
      <c r="B18" s="747"/>
      <c r="C18" s="551" t="s">
        <v>195</v>
      </c>
      <c r="D18" s="557"/>
      <c r="E18" s="649"/>
      <c r="F18" s="650"/>
      <c r="G18" s="648"/>
      <c r="H18" s="559"/>
      <c r="I18" s="559"/>
      <c r="J18" s="560"/>
      <c r="K18" s="560"/>
      <c r="L18" s="561"/>
      <c r="M18" s="531"/>
      <c r="N18" s="521"/>
      <c r="O18" s="523"/>
      <c r="P18" s="523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2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</row>
    <row r="19" spans="2:99" s="662" customFormat="1" ht="27.75" customHeight="1">
      <c r="B19" s="744"/>
      <c r="C19" s="536" t="s">
        <v>196</v>
      </c>
      <c r="D19" s="562">
        <v>78</v>
      </c>
      <c r="E19" s="651"/>
      <c r="F19" s="714"/>
      <c r="G19" s="648"/>
      <c r="H19" s="448">
        <v>9</v>
      </c>
      <c r="I19" s="685" t="str">
        <f>IF(OR(F20="",F19=""),"",IF(F20&gt;=F19,(F20-F19)*24*60,(1+F20-F19)*24*60))</f>
        <v/>
      </c>
      <c r="J19" s="585" t="s">
        <v>197</v>
      </c>
      <c r="K19" s="448">
        <v>520</v>
      </c>
      <c r="L19" s="564"/>
      <c r="M19" s="531"/>
      <c r="N19" s="521"/>
      <c r="O19" s="521"/>
      <c r="P19" s="521"/>
      <c r="Q19" s="521"/>
      <c r="R19" s="521"/>
      <c r="S19" s="521"/>
      <c r="T19" s="521">
        <f>K19*H19/60</f>
        <v>78</v>
      </c>
      <c r="U19" s="521"/>
      <c r="V19" s="521">
        <f>9/60</f>
        <v>0.15</v>
      </c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2"/>
      <c r="AJ19" s="521"/>
      <c r="AK19" s="521"/>
      <c r="AL19" s="965" t="s">
        <v>198</v>
      </c>
      <c r="AM19" s="965"/>
      <c r="AN19" s="965"/>
      <c r="AO19" s="521"/>
      <c r="AP19" s="521"/>
      <c r="AQ19" s="521"/>
      <c r="AR19" s="521"/>
      <c r="AS19" s="521"/>
      <c r="AU19" s="726" t="s">
        <v>142</v>
      </c>
      <c r="AV19" s="727" t="s">
        <v>199</v>
      </c>
      <c r="AW19" s="727" t="s">
        <v>200</v>
      </c>
      <c r="AX19" s="728" t="s">
        <v>201</v>
      </c>
      <c r="AY19" s="728" t="s">
        <v>202</v>
      </c>
      <c r="AZ19" s="728" t="s">
        <v>203</v>
      </c>
      <c r="BA19" s="728" t="s">
        <v>204</v>
      </c>
      <c r="BB19" s="727" t="s">
        <v>205</v>
      </c>
      <c r="BC19" s="728" t="s">
        <v>206</v>
      </c>
      <c r="BD19" s="729" t="s">
        <v>207</v>
      </c>
      <c r="BE19" s="729" t="s">
        <v>208</v>
      </c>
      <c r="BF19" s="728" t="s">
        <v>209</v>
      </c>
      <c r="BG19" s="727" t="s">
        <v>210</v>
      </c>
      <c r="BH19" s="727" t="s">
        <v>211</v>
      </c>
      <c r="BI19" s="727" t="s">
        <v>212</v>
      </c>
      <c r="BJ19" s="727" t="s">
        <v>213</v>
      </c>
      <c r="BK19" s="727" t="s">
        <v>214</v>
      </c>
      <c r="BL19" s="727" t="s">
        <v>215</v>
      </c>
      <c r="BM19" s="727" t="s">
        <v>216</v>
      </c>
      <c r="BN19" s="727" t="s">
        <v>217</v>
      </c>
      <c r="BO19" s="727" t="s">
        <v>218</v>
      </c>
      <c r="BP19" s="730" t="s">
        <v>219</v>
      </c>
      <c r="BQ19" s="727" t="s">
        <v>220</v>
      </c>
      <c r="BR19" s="727" t="s">
        <v>221</v>
      </c>
      <c r="BS19" s="727" t="s">
        <v>222</v>
      </c>
      <c r="BT19" s="730" t="s">
        <v>223</v>
      </c>
      <c r="BU19" s="730" t="s">
        <v>224</v>
      </c>
      <c r="BV19" s="730" t="s">
        <v>225</v>
      </c>
      <c r="BW19" s="727" t="s">
        <v>226</v>
      </c>
      <c r="BX19" s="730" t="s">
        <v>227</v>
      </c>
      <c r="BY19" s="730" t="s">
        <v>228</v>
      </c>
      <c r="BZ19" s="730"/>
      <c r="CA19" s="731" t="s">
        <v>229</v>
      </c>
      <c r="CB19" s="728" t="s">
        <v>209</v>
      </c>
      <c r="CC19" s="727" t="s">
        <v>230</v>
      </c>
      <c r="CD19" s="730" t="s">
        <v>231</v>
      </c>
      <c r="CE19" s="730" t="s">
        <v>232</v>
      </c>
      <c r="CF19" s="730" t="s">
        <v>233</v>
      </c>
      <c r="CG19" s="727" t="s">
        <v>234</v>
      </c>
      <c r="CH19" s="727" t="s">
        <v>235</v>
      </c>
      <c r="CI19" s="727" t="s">
        <v>229</v>
      </c>
      <c r="CJ19" s="727" t="s">
        <v>236</v>
      </c>
      <c r="CK19" s="732" t="s">
        <v>237</v>
      </c>
      <c r="CL19" s="732" t="s">
        <v>238</v>
      </c>
      <c r="CM19" s="732" t="s">
        <v>239</v>
      </c>
      <c r="CN19" s="733" t="s">
        <v>240</v>
      </c>
      <c r="CO19" s="727" t="s">
        <v>241</v>
      </c>
      <c r="CR19" s="841" t="s">
        <v>242</v>
      </c>
      <c r="CU19" s="842" t="s">
        <v>243</v>
      </c>
    </row>
    <row r="20" spans="2:99" s="662" customFormat="1" ht="23.25" customHeight="1">
      <c r="B20" s="744"/>
      <c r="C20" s="566" t="s">
        <v>244</v>
      </c>
      <c r="D20" s="448"/>
      <c r="E20" s="652"/>
      <c r="F20" s="714"/>
      <c r="G20" s="648" t="str">
        <f>IF(ISBLANK(F20),"",F20+TIME(0,H20,0))</f>
        <v/>
      </c>
      <c r="H20" s="479">
        <v>10</v>
      </c>
      <c r="I20" s="685" t="str">
        <f>IF(OR(F21="",F20=""),"",IF(F21&gt;=F20,(F21-F20)*24*60,(1+F21-F20)*24*60))</f>
        <v/>
      </c>
      <c r="J20" s="539" t="s">
        <v>245</v>
      </c>
      <c r="K20" s="583" t="s">
        <v>246</v>
      </c>
      <c r="L20" s="564"/>
      <c r="M20" s="567" t="s">
        <v>247</v>
      </c>
      <c r="N20" s="521"/>
      <c r="O20" s="521"/>
      <c r="P20" s="521"/>
      <c r="Q20" s="521"/>
      <c r="R20" s="521"/>
      <c r="S20" s="521"/>
      <c r="T20" s="521"/>
      <c r="U20" s="521"/>
      <c r="V20" s="521" t="e">
        <f>V16/V19</f>
        <v>#REF!</v>
      </c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2"/>
      <c r="AJ20" s="521"/>
      <c r="AK20" s="521"/>
      <c r="AL20" s="521">
        <v>96</v>
      </c>
      <c r="AM20" s="521">
        <f>K9*100+D9</f>
        <v>9450</v>
      </c>
      <c r="AN20" s="521" t="e">
        <f>(AL20*AM20+AL21*AM21)/(AM20+AM21)</f>
        <v>#VALUE!</v>
      </c>
      <c r="AO20" s="521"/>
      <c r="AP20" s="521"/>
      <c r="AQ20" s="521"/>
      <c r="AR20" s="521"/>
      <c r="AS20" s="521"/>
      <c r="AU20" s="734">
        <f>E8</f>
        <v>0</v>
      </c>
      <c r="AV20" s="735" t="str">
        <f>"BUD"&amp;RIGHT(H3,3)</f>
        <v>BUD000</v>
      </c>
      <c r="AW20" s="734">
        <f>E9</f>
        <v>0</v>
      </c>
      <c r="AX20" s="736">
        <v>0.80700000000000005</v>
      </c>
      <c r="AY20" s="736">
        <v>4.4699999999999997E-2</v>
      </c>
      <c r="AZ20" s="736"/>
      <c r="BA20" s="736">
        <v>0.3</v>
      </c>
      <c r="BB20" s="734">
        <f>E10</f>
        <v>0</v>
      </c>
      <c r="BC20" s="736">
        <v>0.8</v>
      </c>
      <c r="BD20" s="736" t="e">
        <f>AW20/(AW20+BB20)</f>
        <v>#DIV/0!</v>
      </c>
      <c r="BE20" s="736" t="e">
        <f>BB20/(AW20+BB20)</f>
        <v>#DIV/0!</v>
      </c>
      <c r="BF20" s="734">
        <f>(AW20-AZ20-0)*AX20*(100%-AY20)+AZ20*BA20+(BB20+0)*BC20</f>
        <v>0</v>
      </c>
      <c r="BG20" s="737">
        <f>D16</f>
        <v>3</v>
      </c>
      <c r="BH20" s="737">
        <f>D38</f>
        <v>4</v>
      </c>
      <c r="BI20" s="737">
        <f>D74</f>
        <v>2.5</v>
      </c>
      <c r="BJ20" s="738"/>
      <c r="BK20" s="738">
        <f>D75</f>
        <v>2.48</v>
      </c>
      <c r="BL20" s="735"/>
      <c r="BM20" s="738">
        <f>D76</f>
        <v>2.2000000000000002</v>
      </c>
      <c r="BN20" s="738">
        <f>D77</f>
        <v>2.41</v>
      </c>
      <c r="BO20" s="737">
        <f>D82</f>
        <v>2.1</v>
      </c>
      <c r="BP20" s="737">
        <f>D83</f>
        <v>152</v>
      </c>
      <c r="BQ20" s="734">
        <f>E98</f>
        <v>0</v>
      </c>
      <c r="BR20" s="737">
        <f>E100</f>
        <v>0</v>
      </c>
      <c r="BS20" s="734">
        <f>E85</f>
        <v>0</v>
      </c>
      <c r="BT20" s="735">
        <f>L55</f>
        <v>0</v>
      </c>
      <c r="BU20" s="735">
        <f>L96</f>
        <v>0</v>
      </c>
      <c r="BV20" s="738">
        <f>K91</f>
        <v>0</v>
      </c>
      <c r="BW20" s="735">
        <f>C3</f>
        <v>0</v>
      </c>
      <c r="BX20" s="735">
        <f>L97</f>
        <v>0</v>
      </c>
      <c r="BY20" s="735"/>
      <c r="BZ20" s="735"/>
      <c r="CA20" s="735">
        <f>IF(BU20="","",+BU20*(1+(BU20-0.4644)/238.4)-0.02)</f>
        <v>-0.02</v>
      </c>
      <c r="CB20" s="735">
        <f>IF(OR(CA20="",BQ20=""),"",BQ20*CA20)</f>
        <v>0</v>
      </c>
      <c r="CC20" s="734">
        <f>E66</f>
        <v>0</v>
      </c>
      <c r="CD20" s="735">
        <f>L63</f>
        <v>0</v>
      </c>
      <c r="CE20" s="735">
        <f>L64</f>
        <v>0</v>
      </c>
      <c r="CF20" s="734">
        <f>E61</f>
        <v>0</v>
      </c>
      <c r="CG20" s="735"/>
      <c r="CH20" s="735"/>
      <c r="CI20" s="735"/>
      <c r="CJ20" s="735"/>
      <c r="CK20" s="734">
        <f>K30</f>
        <v>0</v>
      </c>
      <c r="CL20" s="735">
        <f>K48</f>
        <v>0</v>
      </c>
      <c r="CM20" s="734">
        <f>K86</f>
        <v>0</v>
      </c>
      <c r="CN20" s="734">
        <f>BF20-CB20-CJ20</f>
        <v>0</v>
      </c>
      <c r="CO20" s="738" t="e">
        <f>IF(BV20="","",CN20/BF20%)</f>
        <v>#DIV/0!</v>
      </c>
      <c r="CR20" s="736" t="e">
        <f>(CC20-BQ20-BS20-10.5)/CC20</f>
        <v>#DIV/0!</v>
      </c>
      <c r="CU20" s="734">
        <f>SUM(CK20:CM20)</f>
        <v>0</v>
      </c>
    </row>
    <row r="21" spans="2:99" s="662" customFormat="1" ht="26.25" customHeight="1">
      <c r="B21" s="744"/>
      <c r="C21" s="536" t="s">
        <v>248</v>
      </c>
      <c r="D21" s="562">
        <v>95</v>
      </c>
      <c r="E21" s="816"/>
      <c r="F21" s="680" t="str">
        <f>G20</f>
        <v/>
      </c>
      <c r="G21" s="648"/>
      <c r="H21" s="448">
        <v>9</v>
      </c>
      <c r="I21" s="685" t="str">
        <f>IF(OR(F22="",F21=""),"",IF(F22&gt;=F21,(F22-F21)*24*60,(1+F22-F21)*24*60))</f>
        <v/>
      </c>
      <c r="J21" s="585" t="s">
        <v>197</v>
      </c>
      <c r="K21" s="448">
        <v>520</v>
      </c>
      <c r="L21" s="564"/>
      <c r="M21" s="568"/>
      <c r="N21" s="521"/>
      <c r="O21" s="521"/>
      <c r="P21" s="521"/>
      <c r="Q21" s="521"/>
      <c r="R21" s="521"/>
      <c r="S21" s="521"/>
      <c r="T21" s="521">
        <f>K21*H21/60</f>
        <v>78</v>
      </c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2"/>
      <c r="AJ21" s="521"/>
      <c r="AK21" s="521"/>
      <c r="AL21" s="521">
        <v>44</v>
      </c>
      <c r="AM21" s="521" t="e">
        <f>K8*100+D8</f>
        <v>#VALUE!</v>
      </c>
      <c r="AN21" s="521"/>
      <c r="AO21" s="521"/>
      <c r="AP21" s="521"/>
      <c r="AQ21" s="521"/>
      <c r="AR21" s="521"/>
      <c r="AS21" s="521"/>
    </row>
    <row r="22" spans="2:99" s="662" customFormat="1" ht="21.75" customHeight="1">
      <c r="B22" s="744"/>
      <c r="C22" s="566" t="s">
        <v>249</v>
      </c>
      <c r="D22" s="448"/>
      <c r="E22" s="652"/>
      <c r="F22" s="714"/>
      <c r="G22" s="648" t="str">
        <f>IF(ISBLANK(F22),"",F22+TIME(0,H22,0))</f>
        <v/>
      </c>
      <c r="H22" s="479">
        <v>2</v>
      </c>
      <c r="I22" s="685" t="str">
        <f>IF(OR(F30="",F22=""),"",IF(F30&gt;=F22,(F30-F22)*24*60,(1+F30-F22)*24*60))</f>
        <v/>
      </c>
      <c r="J22" s="539" t="s">
        <v>245</v>
      </c>
      <c r="K22" s="583" t="s">
        <v>246</v>
      </c>
      <c r="L22" s="564"/>
      <c r="M22" s="570"/>
      <c r="N22" s="521"/>
      <c r="O22" s="523"/>
      <c r="P22" s="523"/>
      <c r="Q22" s="521"/>
      <c r="R22" s="521"/>
      <c r="S22" s="521"/>
      <c r="T22" s="521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2"/>
      <c r="AJ22" s="521"/>
      <c r="AK22" s="521"/>
      <c r="AL22" s="521"/>
      <c r="AM22" s="521"/>
      <c r="AN22" s="521"/>
      <c r="AO22" s="521"/>
      <c r="AP22" s="521"/>
      <c r="AQ22" s="521"/>
      <c r="AR22" s="521"/>
      <c r="AS22" s="521"/>
    </row>
    <row r="23" spans="2:99" s="662" customFormat="1" ht="21.75" hidden="1" customHeight="1">
      <c r="B23" s="744"/>
      <c r="C23" s="536" t="s">
        <v>250</v>
      </c>
      <c r="D23" s="448"/>
      <c r="E23" s="646"/>
      <c r="F23" s="715"/>
      <c r="G23" s="648"/>
      <c r="H23" s="565"/>
      <c r="I23" s="685" t="str">
        <f t="shared" ref="I23:I29" si="0">IF(OR(F24="",F23=""),"",IF(F24&gt;F23,(F24-F23)*24*60,(1+F24-F23)*24*60))</f>
        <v/>
      </c>
      <c r="J23" s="571" t="s">
        <v>251</v>
      </c>
      <c r="K23" s="572"/>
      <c r="L23" s="564"/>
      <c r="M23" s="568"/>
      <c r="N23" s="521"/>
      <c r="O23" s="521"/>
      <c r="P23" s="521"/>
      <c r="Q23" s="521"/>
      <c r="R23" s="521"/>
      <c r="S23" s="521"/>
      <c r="T23" s="521"/>
      <c r="U23" s="521"/>
      <c r="V23" s="521"/>
      <c r="W23" s="521"/>
      <c r="X23" s="521"/>
      <c r="Y23" s="521"/>
      <c r="Z23" s="521"/>
      <c r="AA23" s="521"/>
      <c r="AB23" s="521"/>
      <c r="AC23" s="521"/>
      <c r="AD23" s="521"/>
      <c r="AE23" s="521"/>
      <c r="AF23" s="521"/>
      <c r="AG23" s="521"/>
      <c r="AH23" s="521"/>
      <c r="AI23" s="522"/>
      <c r="AJ23" s="521"/>
      <c r="AK23" s="521"/>
      <c r="AL23" s="521"/>
      <c r="AM23" s="521"/>
      <c r="AN23" s="521"/>
      <c r="AO23" s="521"/>
      <c r="AP23" s="521"/>
      <c r="AQ23" s="521"/>
      <c r="AR23" s="521"/>
      <c r="AS23" s="521"/>
    </row>
    <row r="24" spans="2:99" s="662" customFormat="1" ht="15" hidden="1" customHeight="1">
      <c r="B24" s="744"/>
      <c r="C24" s="573" t="s">
        <v>252</v>
      </c>
      <c r="D24" s="448"/>
      <c r="E24" s="646"/>
      <c r="F24" s="715"/>
      <c r="G24" s="648"/>
      <c r="H24" s="565"/>
      <c r="I24" s="685" t="str">
        <f t="shared" si="0"/>
        <v/>
      </c>
      <c r="J24" s="559"/>
      <c r="K24" s="559"/>
      <c r="L24" s="564"/>
      <c r="M24" s="531"/>
      <c r="N24" s="521"/>
      <c r="O24" s="521"/>
      <c r="P24" s="521"/>
      <c r="Q24" s="521"/>
      <c r="R24" s="521"/>
      <c r="S24" s="521"/>
      <c r="T24" s="521"/>
      <c r="U24" s="521"/>
      <c r="V24" s="521"/>
      <c r="W24" s="521"/>
      <c r="X24" s="521"/>
      <c r="Y24" s="521"/>
      <c r="Z24" s="521"/>
      <c r="AA24" s="521"/>
      <c r="AB24" s="521"/>
      <c r="AC24" s="521"/>
      <c r="AD24" s="521"/>
      <c r="AE24" s="521"/>
      <c r="AF24" s="521"/>
      <c r="AG24" s="521"/>
      <c r="AH24" s="521"/>
      <c r="AI24" s="522"/>
      <c r="AJ24" s="521"/>
      <c r="AK24" s="521"/>
      <c r="AL24" s="521"/>
      <c r="AM24" s="521"/>
      <c r="AN24" s="521"/>
      <c r="AO24" s="521"/>
      <c r="AP24" s="521"/>
      <c r="AQ24" s="521"/>
      <c r="AR24" s="521"/>
      <c r="AS24" s="521"/>
    </row>
    <row r="25" spans="2:99" s="662" customFormat="1" ht="22.5" hidden="1" customHeight="1">
      <c r="B25" s="744"/>
      <c r="C25" s="551" t="s">
        <v>253</v>
      </c>
      <c r="D25" s="448"/>
      <c r="E25" s="646"/>
      <c r="F25" s="715"/>
      <c r="G25" s="648"/>
      <c r="H25" s="565"/>
      <c r="I25" s="685" t="str">
        <f t="shared" si="0"/>
        <v/>
      </c>
      <c r="J25" s="559"/>
      <c r="K25" s="559"/>
      <c r="L25" s="564"/>
      <c r="M25" s="531"/>
      <c r="N25" s="521"/>
      <c r="O25" s="521"/>
      <c r="P25" s="521"/>
      <c r="Q25" s="521"/>
      <c r="R25" s="521"/>
      <c r="S25" s="521"/>
      <c r="T25" s="521"/>
      <c r="U25" s="521"/>
      <c r="V25" s="521"/>
      <c r="W25" s="521"/>
      <c r="X25" s="521"/>
      <c r="Y25" s="521"/>
      <c r="Z25" s="521"/>
      <c r="AA25" s="521"/>
      <c r="AB25" s="521"/>
      <c r="AC25" s="521"/>
      <c r="AD25" s="521"/>
      <c r="AE25" s="521"/>
      <c r="AF25" s="521"/>
      <c r="AG25" s="521"/>
      <c r="AH25" s="521"/>
      <c r="AI25" s="522"/>
      <c r="AJ25" s="521"/>
      <c r="AK25" s="521"/>
      <c r="AL25" s="521"/>
      <c r="AM25" s="521"/>
      <c r="AN25" s="521"/>
      <c r="AO25" s="521"/>
      <c r="AP25" s="521"/>
      <c r="AQ25" s="521"/>
      <c r="AR25" s="521"/>
      <c r="AS25" s="521"/>
    </row>
    <row r="26" spans="2:99" s="662" customFormat="1" ht="14.25" hidden="1" customHeight="1">
      <c r="B26" s="744"/>
      <c r="C26" s="573" t="s">
        <v>254</v>
      </c>
      <c r="D26" s="448"/>
      <c r="E26" s="646"/>
      <c r="F26" s="715"/>
      <c r="G26" s="648"/>
      <c r="H26" s="565"/>
      <c r="I26" s="685" t="str">
        <f t="shared" si="0"/>
        <v/>
      </c>
      <c r="J26" s="559"/>
      <c r="K26" s="559"/>
      <c r="L26" s="564"/>
      <c r="M26" s="531"/>
      <c r="N26" s="521"/>
      <c r="O26" s="521"/>
      <c r="P26" s="521"/>
      <c r="Q26" s="521"/>
      <c r="R26" s="521"/>
      <c r="S26" s="521"/>
      <c r="T26" s="521"/>
      <c r="U26" s="521"/>
      <c r="V26" s="521"/>
      <c r="W26" s="521"/>
      <c r="X26" s="521"/>
      <c r="Y26" s="521"/>
      <c r="Z26" s="521"/>
      <c r="AA26" s="521"/>
      <c r="AB26" s="521"/>
      <c r="AC26" s="521"/>
      <c r="AD26" s="521"/>
      <c r="AE26" s="521"/>
      <c r="AF26" s="521"/>
      <c r="AG26" s="521"/>
      <c r="AH26" s="521"/>
      <c r="AI26" s="522"/>
      <c r="AJ26" s="521"/>
      <c r="AK26" s="521"/>
      <c r="AL26" s="521"/>
      <c r="AM26" s="521"/>
      <c r="AN26" s="521"/>
      <c r="AO26" s="521"/>
      <c r="AP26" s="521"/>
      <c r="AQ26" s="521"/>
      <c r="AR26" s="521"/>
      <c r="AS26" s="521"/>
    </row>
    <row r="27" spans="2:99" s="662" customFormat="1" ht="17.25" hidden="1" customHeight="1">
      <c r="B27" s="744"/>
      <c r="C27" s="536" t="s">
        <v>255</v>
      </c>
      <c r="D27" s="448"/>
      <c r="E27" s="646"/>
      <c r="F27" s="715"/>
      <c r="G27" s="648"/>
      <c r="H27" s="565"/>
      <c r="I27" s="685" t="str">
        <f t="shared" si="0"/>
        <v/>
      </c>
      <c r="J27" s="559"/>
      <c r="K27" s="559"/>
      <c r="L27" s="564"/>
      <c r="M27" s="531"/>
      <c r="N27" s="521"/>
      <c r="O27" s="521"/>
      <c r="P27" s="521"/>
      <c r="Q27" s="521"/>
      <c r="R27" s="521"/>
      <c r="S27" s="521"/>
      <c r="T27" s="521"/>
      <c r="U27" s="521"/>
      <c r="V27" s="521"/>
      <c r="W27" s="521"/>
      <c r="X27" s="521"/>
      <c r="Y27" s="521"/>
      <c r="Z27" s="521"/>
      <c r="AA27" s="521"/>
      <c r="AB27" s="521"/>
      <c r="AC27" s="521"/>
      <c r="AD27" s="521"/>
      <c r="AE27" s="521"/>
      <c r="AF27" s="521"/>
      <c r="AG27" s="521"/>
      <c r="AH27" s="521"/>
      <c r="AI27" s="522"/>
      <c r="AJ27" s="521"/>
      <c r="AK27" s="521"/>
      <c r="AL27" s="521"/>
      <c r="AM27" s="521"/>
      <c r="AN27" s="521"/>
      <c r="AO27" s="521"/>
      <c r="AP27" s="521"/>
      <c r="AQ27" s="521"/>
      <c r="AR27" s="521"/>
      <c r="AS27" s="521"/>
    </row>
    <row r="28" spans="2:99" s="662" customFormat="1" ht="15.75" hidden="1" customHeight="1">
      <c r="B28" s="744"/>
      <c r="C28" s="573" t="s">
        <v>256</v>
      </c>
      <c r="D28" s="448"/>
      <c r="E28" s="646"/>
      <c r="F28" s="715"/>
      <c r="G28" s="648"/>
      <c r="H28" s="565"/>
      <c r="I28" s="685" t="str">
        <f t="shared" si="0"/>
        <v/>
      </c>
      <c r="J28" s="559"/>
      <c r="K28" s="559"/>
      <c r="L28" s="564"/>
      <c r="M28" s="531"/>
      <c r="N28" s="521"/>
      <c r="O28" s="521"/>
      <c r="P28" s="521"/>
      <c r="Q28" s="521"/>
      <c r="R28" s="521"/>
      <c r="S28" s="521"/>
      <c r="T28" s="521"/>
      <c r="U28" s="521"/>
      <c r="V28" s="521"/>
      <c r="W28" s="521"/>
      <c r="X28" s="521"/>
      <c r="Y28" s="521"/>
      <c r="Z28" s="521"/>
      <c r="AA28" s="521"/>
      <c r="AB28" s="521"/>
      <c r="AC28" s="521"/>
      <c r="AD28" s="521"/>
      <c r="AE28" s="521"/>
      <c r="AF28" s="521"/>
      <c r="AG28" s="521"/>
      <c r="AH28" s="521"/>
      <c r="AI28" s="522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</row>
    <row r="29" spans="2:99" s="662" customFormat="1" ht="23.25" hidden="1" customHeight="1">
      <c r="B29" s="748"/>
      <c r="C29" s="536" t="s">
        <v>257</v>
      </c>
      <c r="D29" s="448"/>
      <c r="E29" s="646"/>
      <c r="F29" s="715"/>
      <c r="G29" s="648"/>
      <c r="H29" s="537"/>
      <c r="I29" s="685" t="str">
        <f t="shared" si="0"/>
        <v/>
      </c>
      <c r="J29" s="571" t="s">
        <v>251</v>
      </c>
      <c r="K29" s="572"/>
      <c r="L29" s="564"/>
      <c r="M29" s="568"/>
      <c r="N29" s="521"/>
      <c r="O29" s="521"/>
      <c r="P29" s="521"/>
      <c r="Q29" s="521"/>
      <c r="R29" s="521"/>
      <c r="S29" s="521"/>
      <c r="T29" s="521"/>
      <c r="U29" s="521"/>
      <c r="V29" s="521"/>
      <c r="W29" s="521"/>
      <c r="X29" s="521"/>
      <c r="Y29" s="521"/>
      <c r="Z29" s="521"/>
      <c r="AA29" s="521"/>
      <c r="AB29" s="521"/>
      <c r="AC29" s="521"/>
      <c r="AD29" s="521"/>
      <c r="AE29" s="521"/>
      <c r="AF29" s="521"/>
      <c r="AG29" s="521"/>
      <c r="AH29" s="521"/>
      <c r="AI29" s="522"/>
      <c r="AJ29" s="521"/>
      <c r="AK29" s="521"/>
      <c r="AL29" s="521"/>
      <c r="AM29" s="521"/>
      <c r="AN29" s="521"/>
      <c r="AO29" s="521"/>
      <c r="AP29" s="521"/>
      <c r="AQ29" s="521"/>
      <c r="AR29" s="521"/>
      <c r="AS29" s="521"/>
    </row>
    <row r="30" spans="2:99" s="662" customFormat="1" ht="24.75" customHeight="1" collapsed="1">
      <c r="B30" s="744"/>
      <c r="C30" s="536" t="s">
        <v>258</v>
      </c>
      <c r="D30" s="448"/>
      <c r="E30" s="651"/>
      <c r="F30" s="714"/>
      <c r="G30" s="648"/>
      <c r="H30" s="448">
        <v>7</v>
      </c>
      <c r="I30" s="685" t="str">
        <f>IF(OR(F31="",F30=""),"",IF(F31&gt;=F30,(F31-F30)*24*60,(1+F31-F30)*24*60))</f>
        <v/>
      </c>
      <c r="J30" s="574" t="s">
        <v>259</v>
      </c>
      <c r="K30" s="537"/>
      <c r="L30" s="569"/>
      <c r="M30" s="531"/>
      <c r="N30" s="521"/>
      <c r="O30" s="521"/>
      <c r="P30" s="521"/>
      <c r="Q30" s="521"/>
      <c r="R30" s="521"/>
      <c r="S30" s="521"/>
      <c r="T30" s="521"/>
      <c r="U30" s="521"/>
      <c r="V30" s="521"/>
      <c r="W30" s="521"/>
      <c r="X30" s="521"/>
      <c r="Y30" s="521"/>
      <c r="Z30" s="521"/>
      <c r="AA30" s="521"/>
      <c r="AB30" s="521"/>
      <c r="AC30" s="521"/>
      <c r="AD30" s="521"/>
      <c r="AE30" s="521"/>
      <c r="AF30" s="521"/>
      <c r="AG30" s="521"/>
      <c r="AH30" s="521"/>
      <c r="AI30" s="522"/>
      <c r="AJ30" s="521"/>
      <c r="AK30" s="521"/>
      <c r="AL30" s="521"/>
      <c r="AM30" s="535" t="s">
        <v>260</v>
      </c>
      <c r="AN30" s="535" t="s">
        <v>261</v>
      </c>
      <c r="AO30" s="535" t="s">
        <v>199</v>
      </c>
      <c r="AP30" s="535" t="s">
        <v>262</v>
      </c>
      <c r="AQ30" s="535" t="s">
        <v>263</v>
      </c>
      <c r="AR30" s="575" t="s">
        <v>264</v>
      </c>
      <c r="AS30" s="521"/>
    </row>
    <row r="31" spans="2:99" s="662" customFormat="1" ht="24.75" customHeight="1">
      <c r="B31" s="744"/>
      <c r="C31" s="536" t="s">
        <v>265</v>
      </c>
      <c r="D31" s="448">
        <v>7</v>
      </c>
      <c r="E31" s="651"/>
      <c r="F31" s="714"/>
      <c r="G31" s="648" t="str">
        <f>IF(F42="","",F42)</f>
        <v/>
      </c>
      <c r="H31" s="448">
        <v>1</v>
      </c>
      <c r="I31" s="685" t="str">
        <f>IF(OR(G31="",F31=""),"",IF(G31&gt;=F31,(G31-F31)*24*60,(1+G31-F31)*24*60))</f>
        <v/>
      </c>
      <c r="J31" s="539"/>
      <c r="K31" s="539"/>
      <c r="L31" s="641"/>
      <c r="M31" s="554"/>
      <c r="N31" s="521"/>
      <c r="O31" s="521"/>
      <c r="P31" s="521"/>
      <c r="Q31" s="521"/>
      <c r="R31" s="521"/>
      <c r="S31" s="521"/>
      <c r="T31" s="521"/>
      <c r="U31" s="521"/>
      <c r="V31" s="521"/>
      <c r="W31" s="521"/>
      <c r="X31" s="521"/>
      <c r="Y31" s="521"/>
      <c r="Z31" s="521"/>
      <c r="AA31" s="521"/>
      <c r="AB31" s="521"/>
      <c r="AC31" s="521"/>
      <c r="AD31" s="521"/>
      <c r="AE31" s="521"/>
      <c r="AF31" s="521"/>
      <c r="AG31" s="521"/>
      <c r="AH31" s="521"/>
      <c r="AI31" s="522"/>
      <c r="AJ31" s="521"/>
      <c r="AK31" s="521"/>
      <c r="AL31" s="521"/>
      <c r="AM31" s="535"/>
      <c r="AN31" s="535">
        <v>80</v>
      </c>
      <c r="AO31" s="535">
        <v>30</v>
      </c>
      <c r="AP31" s="535">
        <v>60</v>
      </c>
      <c r="AQ31" s="535">
        <v>180</v>
      </c>
      <c r="AR31" s="575">
        <f>AQ31*AO32</f>
        <v>72</v>
      </c>
      <c r="AS31" s="521"/>
    </row>
    <row r="32" spans="2:99" s="662" customFormat="1" ht="24.75" customHeight="1">
      <c r="B32" s="744"/>
      <c r="C32" s="536" t="s">
        <v>266</v>
      </c>
      <c r="D32" s="448">
        <v>2</v>
      </c>
      <c r="E32" s="651"/>
      <c r="F32" s="651"/>
      <c r="G32" s="651"/>
      <c r="H32" s="448">
        <v>0</v>
      </c>
      <c r="I32" s="448"/>
      <c r="J32" s="539"/>
      <c r="K32" s="539"/>
      <c r="L32" s="641"/>
      <c r="M32" s="554"/>
      <c r="N32" s="521"/>
      <c r="O32" s="521"/>
      <c r="P32" s="521"/>
      <c r="Q32" s="521"/>
      <c r="R32" s="521"/>
      <c r="S32" s="521"/>
      <c r="T32" s="521"/>
      <c r="U32" s="521"/>
      <c r="V32" s="521"/>
      <c r="W32" s="521"/>
      <c r="X32" s="521"/>
      <c r="Y32" s="521"/>
      <c r="Z32" s="521"/>
      <c r="AA32" s="521"/>
      <c r="AB32" s="521"/>
      <c r="AC32" s="521"/>
      <c r="AD32" s="521"/>
      <c r="AE32" s="521"/>
      <c r="AF32" s="521"/>
      <c r="AG32" s="521"/>
      <c r="AH32" s="521"/>
      <c r="AI32" s="522"/>
      <c r="AJ32" s="521"/>
      <c r="AK32" s="521"/>
      <c r="AL32" s="521"/>
      <c r="AM32" s="535"/>
      <c r="AN32" s="535">
        <v>0.6</v>
      </c>
      <c r="AO32" s="535">
        <f>1-AN32</f>
        <v>0.4</v>
      </c>
      <c r="AP32" s="576">
        <f>AN31*AN32+AO31*AO32</f>
        <v>60</v>
      </c>
      <c r="AQ32" s="535"/>
      <c r="AR32" s="535"/>
      <c r="AS32" s="521"/>
    </row>
    <row r="33" spans="2:45" s="662" customFormat="1" ht="22.5" customHeight="1" thickBot="1">
      <c r="B33" s="745"/>
      <c r="C33" s="779" t="s">
        <v>267</v>
      </c>
      <c r="D33" s="882"/>
      <c r="E33" s="882"/>
      <c r="F33" s="882"/>
      <c r="G33" s="882"/>
      <c r="H33" s="882">
        <f>SUM(H12:H32)</f>
        <v>56.066666666666663</v>
      </c>
      <c r="I33" s="882" t="str">
        <f>IF(OR(G31="",F13=""),"",IF(G31&gt;=F13,(G31-F13)*24*60,(G31+1-F13)*24*60))</f>
        <v/>
      </c>
      <c r="J33" s="543"/>
      <c r="K33" s="543"/>
      <c r="L33" s="643"/>
      <c r="M33" s="580"/>
      <c r="N33" s="521"/>
      <c r="O33" s="521"/>
      <c r="P33" s="521"/>
      <c r="Q33" s="521"/>
      <c r="R33" s="521"/>
      <c r="S33" s="521"/>
      <c r="T33" s="521"/>
      <c r="U33" s="521"/>
      <c r="V33" s="521"/>
      <c r="W33" s="521"/>
      <c r="X33" s="521"/>
      <c r="Y33" s="521"/>
      <c r="Z33" s="521"/>
      <c r="AA33" s="521"/>
      <c r="AB33" s="521"/>
      <c r="AC33" s="521"/>
      <c r="AD33" s="521"/>
      <c r="AE33" s="521"/>
      <c r="AF33" s="521"/>
      <c r="AG33" s="521"/>
      <c r="AH33" s="521"/>
      <c r="AI33" s="522"/>
      <c r="AJ33" s="521"/>
      <c r="AK33" s="521"/>
      <c r="AL33" s="521"/>
      <c r="AM33" s="521"/>
      <c r="AN33" s="521"/>
      <c r="AO33" s="521"/>
      <c r="AP33" s="521"/>
      <c r="AQ33" s="521"/>
      <c r="AR33" s="521"/>
      <c r="AS33" s="521"/>
    </row>
    <row r="34" spans="2:45" s="662" customFormat="1" ht="15" customHeight="1" thickBot="1">
      <c r="B34" s="770"/>
      <c r="C34" s="941" t="s">
        <v>268</v>
      </c>
      <c r="D34" s="942"/>
      <c r="E34" s="942"/>
      <c r="F34" s="942"/>
      <c r="G34" s="942"/>
      <c r="H34" s="942"/>
      <c r="I34" s="942"/>
      <c r="J34" s="942"/>
      <c r="K34" s="942"/>
      <c r="L34" s="943"/>
      <c r="M34" s="582"/>
      <c r="N34" s="521"/>
      <c r="O34" s="521"/>
      <c r="P34" s="521"/>
      <c r="Q34" s="521"/>
      <c r="R34" s="521"/>
      <c r="S34" s="521"/>
      <c r="T34" s="521"/>
      <c r="U34" s="521"/>
      <c r="V34" s="521"/>
      <c r="W34" s="521"/>
      <c r="X34" s="521"/>
      <c r="Y34" s="521"/>
      <c r="Z34" s="521"/>
      <c r="AA34" s="521"/>
      <c r="AB34" s="521"/>
      <c r="AC34" s="521"/>
      <c r="AD34" s="521"/>
      <c r="AE34" s="521"/>
      <c r="AF34" s="521"/>
      <c r="AG34" s="521"/>
      <c r="AH34" s="521"/>
      <c r="AI34" s="522"/>
      <c r="AJ34" s="521"/>
      <c r="AK34" s="521"/>
      <c r="AL34" s="521"/>
      <c r="AM34" s="521"/>
      <c r="AN34" s="521"/>
      <c r="AO34" s="521"/>
      <c r="AP34" s="521"/>
      <c r="AQ34" s="521"/>
      <c r="AR34" s="521"/>
      <c r="AS34" s="521"/>
    </row>
    <row r="35" spans="2:45" s="662" customFormat="1" ht="24.75" customHeight="1">
      <c r="B35" s="745"/>
      <c r="C35" s="594" t="s">
        <v>269</v>
      </c>
      <c r="D35" s="882">
        <v>10</v>
      </c>
      <c r="E35" s="647"/>
      <c r="F35" s="775"/>
      <c r="G35" s="775"/>
      <c r="H35" s="882">
        <v>2</v>
      </c>
      <c r="I35" s="882"/>
      <c r="J35" s="790" t="s">
        <v>178</v>
      </c>
      <c r="K35" s="791">
        <v>225</v>
      </c>
      <c r="L35" s="713">
        <v>225</v>
      </c>
      <c r="M35" s="584"/>
      <c r="N35" s="521"/>
      <c r="O35" s="521"/>
      <c r="P35" s="521"/>
      <c r="Q35" s="521"/>
      <c r="R35" s="521"/>
      <c r="S35" s="521"/>
      <c r="T35" s="964" t="s">
        <v>270</v>
      </c>
      <c r="U35" s="964"/>
      <c r="V35" s="521" t="e">
        <f>(D8-K15)/H36*1.2</f>
        <v>#VALUE!</v>
      </c>
      <c r="W35" s="521"/>
      <c r="X35" s="521"/>
      <c r="Y35" s="521"/>
      <c r="Z35" s="521"/>
      <c r="AA35" s="521"/>
      <c r="AB35" s="521"/>
      <c r="AC35" s="521"/>
      <c r="AD35" s="521"/>
      <c r="AE35" s="521"/>
      <c r="AF35" s="521"/>
      <c r="AG35" s="521"/>
      <c r="AH35" s="521"/>
      <c r="AI35" s="522"/>
      <c r="AJ35" s="521"/>
      <c r="AK35" s="521"/>
      <c r="AL35" s="521"/>
      <c r="AM35" s="535" t="s">
        <v>271</v>
      </c>
      <c r="AN35" s="535" t="s">
        <v>261</v>
      </c>
      <c r="AO35" s="535" t="s">
        <v>199</v>
      </c>
      <c r="AP35" s="535" t="s">
        <v>272</v>
      </c>
      <c r="AQ35" s="535" t="s">
        <v>273</v>
      </c>
      <c r="AR35" s="575" t="s">
        <v>264</v>
      </c>
      <c r="AS35" s="521"/>
    </row>
    <row r="36" spans="2:45" s="663" customFormat="1" ht="24" customHeight="1">
      <c r="B36" s="744"/>
      <c r="C36" s="536" t="s">
        <v>274</v>
      </c>
      <c r="D36" s="448">
        <v>80</v>
      </c>
      <c r="E36" s="646"/>
      <c r="F36" s="648" t="str">
        <f>IF(F19="","",F19)</f>
        <v/>
      </c>
      <c r="G36" s="648"/>
      <c r="H36" s="448">
        <f>D36/K35*60</f>
        <v>21.333333333333336</v>
      </c>
      <c r="I36" s="685" t="str">
        <f>IF(OR(F37="",F36=""),"",IF(F37&gt;=F36,(F37-F36)*24*60,(1+F37-F36)*24*60))</f>
        <v/>
      </c>
      <c r="J36" s="585" t="s">
        <v>275</v>
      </c>
      <c r="K36" s="583">
        <v>43.8</v>
      </c>
      <c r="L36" s="561">
        <f ca="1">43.8+RANDBETWEEN(-2,2)/10</f>
        <v>44</v>
      </c>
      <c r="M36" s="586"/>
      <c r="N36" s="523"/>
      <c r="O36" s="523"/>
      <c r="P36" s="523"/>
      <c r="Q36" s="523"/>
      <c r="R36" s="523"/>
      <c r="S36" s="523"/>
      <c r="T36" s="555" t="s">
        <v>184</v>
      </c>
      <c r="U36" s="523"/>
      <c r="V36" s="587" t="e">
        <f>(K8)/(D8-K15)*100</f>
        <v>#VALUE!</v>
      </c>
      <c r="W36" s="523"/>
      <c r="X36" s="523"/>
      <c r="Y36" s="523"/>
      <c r="Z36" s="523"/>
      <c r="AA36" s="523"/>
      <c r="AB36" s="523"/>
      <c r="AC36" s="523"/>
      <c r="AD36" s="523"/>
      <c r="AE36" s="523"/>
      <c r="AF36" s="523"/>
      <c r="AG36" s="523"/>
      <c r="AH36" s="523"/>
      <c r="AI36" s="524"/>
      <c r="AJ36" s="523"/>
      <c r="AK36" s="523"/>
      <c r="AL36" s="523"/>
      <c r="AM36" s="588"/>
      <c r="AN36" s="535">
        <v>80</v>
      </c>
      <c r="AO36" s="535">
        <v>30</v>
      </c>
      <c r="AP36" s="535">
        <v>41</v>
      </c>
      <c r="AQ36" s="535">
        <v>240</v>
      </c>
      <c r="AR36" s="575">
        <f>AQ36*AO37</f>
        <v>187.20000000000002</v>
      </c>
      <c r="AS36" s="523"/>
    </row>
    <row r="37" spans="2:45" s="663" customFormat="1" ht="24" customHeight="1">
      <c r="B37" s="744"/>
      <c r="C37" s="536" t="s">
        <v>276</v>
      </c>
      <c r="D37" s="448">
        <v>14</v>
      </c>
      <c r="E37" s="646"/>
      <c r="F37" s="714"/>
      <c r="G37" s="648"/>
      <c r="H37" s="448">
        <f>D37/280*60</f>
        <v>3</v>
      </c>
      <c r="I37" s="685" t="str">
        <f>IF(OR(F40="",F37=""),"",IF(F40&gt;=F37,(F40-F37)*24*60,(1+F40-F37)*24*60))</f>
        <v/>
      </c>
      <c r="J37" s="552" t="s">
        <v>187</v>
      </c>
      <c r="K37" s="583">
        <v>46.5</v>
      </c>
      <c r="L37" s="561">
        <f ca="1">46.7+RANDBETWEEN(-1,3)/10</f>
        <v>46.7</v>
      </c>
      <c r="M37" s="586"/>
      <c r="N37" s="523"/>
      <c r="O37" s="523"/>
      <c r="P37" s="523"/>
      <c r="Q37" s="523"/>
      <c r="R37" s="523"/>
      <c r="S37" s="523"/>
      <c r="T37" s="555"/>
      <c r="U37" s="523"/>
      <c r="V37" s="587"/>
      <c r="W37" s="523"/>
      <c r="X37" s="523"/>
      <c r="Y37" s="523"/>
      <c r="Z37" s="523"/>
      <c r="AA37" s="523"/>
      <c r="AB37" s="523"/>
      <c r="AC37" s="523"/>
      <c r="AD37" s="523"/>
      <c r="AE37" s="523"/>
      <c r="AF37" s="523"/>
      <c r="AG37" s="523"/>
      <c r="AH37" s="523"/>
      <c r="AI37" s="524"/>
      <c r="AJ37" s="523"/>
      <c r="AK37" s="523"/>
      <c r="AL37" s="523"/>
      <c r="AM37" s="588"/>
      <c r="AN37" s="535">
        <v>0.22</v>
      </c>
      <c r="AO37" s="535">
        <f>1-AN37</f>
        <v>0.78</v>
      </c>
      <c r="AP37" s="576">
        <f>AN36*AN37+AO36*AO37</f>
        <v>41</v>
      </c>
      <c r="AQ37" s="535"/>
      <c r="AR37" s="535"/>
      <c r="AS37" s="523"/>
    </row>
    <row r="38" spans="2:45" s="662" customFormat="1" ht="24" customHeight="1">
      <c r="B38" s="744"/>
      <c r="C38" s="536" t="s">
        <v>193</v>
      </c>
      <c r="D38" s="557">
        <v>4</v>
      </c>
      <c r="E38" s="646"/>
      <c r="F38" s="648"/>
      <c r="G38" s="648"/>
      <c r="H38" s="448"/>
      <c r="I38" s="448"/>
      <c r="J38" s="585"/>
      <c r="K38" s="557"/>
      <c r="L38" s="589"/>
      <c r="M38" s="590"/>
      <c r="N38" s="521"/>
      <c r="O38" s="521"/>
      <c r="P38" s="521"/>
      <c r="Q38" s="521"/>
      <c r="R38" s="521"/>
      <c r="S38" s="521"/>
      <c r="T38" s="521"/>
      <c r="U38" s="521"/>
      <c r="V38" s="521"/>
      <c r="W38" s="521"/>
      <c r="X38" s="521"/>
      <c r="Y38" s="521"/>
      <c r="Z38" s="521"/>
      <c r="AA38" s="521"/>
      <c r="AB38" s="521"/>
      <c r="AC38" s="521"/>
      <c r="AD38" s="521"/>
      <c r="AE38" s="521"/>
      <c r="AF38" s="521"/>
      <c r="AG38" s="521"/>
      <c r="AH38" s="521"/>
      <c r="AI38" s="522"/>
      <c r="AJ38" s="521"/>
      <c r="AK38" s="521"/>
      <c r="AL38" s="521"/>
      <c r="AM38" s="521"/>
      <c r="AN38" s="521"/>
      <c r="AO38" s="521"/>
      <c r="AP38" s="521"/>
      <c r="AQ38" s="521"/>
      <c r="AR38" s="521"/>
      <c r="AS38" s="521"/>
    </row>
    <row r="39" spans="2:45" s="662" customFormat="1" ht="20.25" customHeight="1">
      <c r="B39" s="747"/>
      <c r="C39" s="536" t="s">
        <v>277</v>
      </c>
      <c r="D39" s="557"/>
      <c r="E39" s="651"/>
      <c r="F39" s="715"/>
      <c r="G39" s="648"/>
      <c r="H39" s="448"/>
      <c r="I39" s="448"/>
      <c r="J39" s="563"/>
      <c r="K39" s="557"/>
      <c r="L39" s="540"/>
      <c r="M39" s="586"/>
      <c r="N39" s="521"/>
      <c r="O39" s="521"/>
      <c r="P39" s="521"/>
      <c r="Q39" s="521"/>
      <c r="R39" s="521"/>
      <c r="S39" s="521"/>
      <c r="T39" s="521"/>
      <c r="U39" s="521"/>
      <c r="V39" s="521"/>
      <c r="W39" s="521"/>
      <c r="X39" s="521"/>
      <c r="Y39" s="521"/>
      <c r="Z39" s="521"/>
      <c r="AA39" s="521"/>
      <c r="AB39" s="521"/>
      <c r="AC39" s="521"/>
      <c r="AD39" s="521"/>
      <c r="AE39" s="521"/>
      <c r="AF39" s="521"/>
      <c r="AG39" s="521"/>
      <c r="AH39" s="521"/>
      <c r="AI39" s="522"/>
      <c r="AJ39" s="521"/>
      <c r="AK39" s="521"/>
      <c r="AL39" s="521"/>
      <c r="AM39" s="521"/>
      <c r="AN39" s="521"/>
      <c r="AO39" s="521"/>
      <c r="AP39" s="521"/>
      <c r="AQ39" s="521"/>
      <c r="AR39" s="521"/>
      <c r="AS39" s="521"/>
    </row>
    <row r="40" spans="2:45" s="662" customFormat="1" ht="24" customHeight="1">
      <c r="B40" s="747"/>
      <c r="C40" s="563" t="s">
        <v>278</v>
      </c>
      <c r="D40" s="557"/>
      <c r="E40" s="652"/>
      <c r="F40" s="714"/>
      <c r="G40" s="648" t="str">
        <f>IF(ISBLANK(F40),"",F40+TIME(0,H40,0))</f>
        <v/>
      </c>
      <c r="H40" s="479">
        <v>5</v>
      </c>
      <c r="I40" s="685" t="str">
        <f t="shared" ref="I40:I48" si="1">IF(OR(F41="",F40=""),"",IF(F41&gt;=F40,(F41-F40)*24*60,(1+F41-F40)*24*60))</f>
        <v/>
      </c>
      <c r="J40" s="566"/>
      <c r="K40" s="557"/>
      <c r="L40" s="540"/>
      <c r="M40" s="586"/>
      <c r="N40" s="521"/>
      <c r="O40" s="521"/>
      <c r="P40" s="521"/>
      <c r="Q40" s="521"/>
      <c r="R40" s="521"/>
      <c r="S40" s="521"/>
      <c r="T40" s="521"/>
      <c r="U40" s="521"/>
      <c r="V40" s="521"/>
      <c r="W40" s="521"/>
      <c r="X40" s="521"/>
      <c r="Y40" s="521"/>
      <c r="Z40" s="521"/>
      <c r="AA40" s="521"/>
      <c r="AB40" s="521"/>
      <c r="AC40" s="521"/>
      <c r="AD40" s="521"/>
      <c r="AE40" s="521"/>
      <c r="AF40" s="521"/>
      <c r="AG40" s="521"/>
      <c r="AH40" s="521"/>
      <c r="AI40" s="522"/>
      <c r="AJ40" s="521"/>
      <c r="AK40" s="521"/>
      <c r="AL40" s="521"/>
      <c r="AM40" s="535" t="s">
        <v>279</v>
      </c>
      <c r="AN40" s="535" t="s">
        <v>261</v>
      </c>
      <c r="AO40" s="535" t="s">
        <v>199</v>
      </c>
      <c r="AP40" s="535" t="s">
        <v>280</v>
      </c>
      <c r="AQ40" s="535" t="s">
        <v>263</v>
      </c>
      <c r="AR40" s="575" t="s">
        <v>264</v>
      </c>
      <c r="AS40" s="521"/>
    </row>
    <row r="41" spans="2:45" s="662" customFormat="1" ht="24" customHeight="1">
      <c r="B41" s="744"/>
      <c r="C41" s="536" t="s">
        <v>281</v>
      </c>
      <c r="D41" s="557"/>
      <c r="E41" s="653"/>
      <c r="F41" s="680" t="str">
        <f>IF(F30="","",F30)</f>
        <v/>
      </c>
      <c r="G41" s="648"/>
      <c r="H41" s="448">
        <f>SUM(H30,H31)</f>
        <v>8</v>
      </c>
      <c r="I41" s="685" t="str">
        <f t="shared" si="1"/>
        <v/>
      </c>
      <c r="J41" s="574" t="s">
        <v>282</v>
      </c>
      <c r="K41" s="681"/>
      <c r="L41" s="558"/>
      <c r="M41" s="586"/>
      <c r="N41" s="521"/>
      <c r="O41" s="521"/>
      <c r="P41" s="521"/>
      <c r="Q41" s="521"/>
      <c r="R41" s="521"/>
      <c r="S41" s="521"/>
      <c r="T41" s="521"/>
      <c r="U41" s="521"/>
      <c r="V41" s="521"/>
      <c r="W41" s="521"/>
      <c r="X41" s="521"/>
      <c r="Y41" s="521"/>
      <c r="Z41" s="521"/>
      <c r="AA41" s="521"/>
      <c r="AB41" s="521"/>
      <c r="AC41" s="521"/>
      <c r="AD41" s="521"/>
      <c r="AE41" s="521"/>
      <c r="AF41" s="521"/>
      <c r="AG41" s="521"/>
      <c r="AH41" s="521"/>
      <c r="AI41" s="522"/>
      <c r="AJ41" s="521"/>
      <c r="AK41" s="521"/>
      <c r="AL41" s="521"/>
      <c r="AM41" s="588"/>
      <c r="AN41" s="535">
        <v>80</v>
      </c>
      <c r="AO41" s="535">
        <v>30</v>
      </c>
      <c r="AP41" s="535">
        <v>80</v>
      </c>
      <c r="AQ41" s="535">
        <v>220</v>
      </c>
      <c r="AR41" s="575">
        <f>AQ41*AO42</f>
        <v>0</v>
      </c>
      <c r="AS41" s="521"/>
    </row>
    <row r="42" spans="2:45" s="662" customFormat="1" ht="24" customHeight="1">
      <c r="B42" s="744"/>
      <c r="C42" s="536" t="s">
        <v>283</v>
      </c>
      <c r="D42" s="448"/>
      <c r="E42" s="651"/>
      <c r="F42" s="714"/>
      <c r="G42" s="648"/>
      <c r="H42" s="448">
        <v>0</v>
      </c>
      <c r="I42" s="685" t="str">
        <f t="shared" si="1"/>
        <v/>
      </c>
      <c r="J42" s="539" t="s">
        <v>259</v>
      </c>
      <c r="K42" s="591"/>
      <c r="L42" s="558"/>
      <c r="M42" s="586"/>
      <c r="N42" s="521"/>
      <c r="O42" s="521"/>
      <c r="P42" s="521"/>
      <c r="Q42" s="521"/>
      <c r="R42" s="521"/>
      <c r="S42" s="521"/>
      <c r="T42" s="555" t="s">
        <v>184</v>
      </c>
      <c r="U42" s="521"/>
      <c r="V42" s="556" t="e">
        <f>(K8+K9+D15)/(D8+D9)*100</f>
        <v>#VALUE!</v>
      </c>
      <c r="W42" s="521"/>
      <c r="X42" s="549" t="s">
        <v>284</v>
      </c>
      <c r="Y42" s="550" t="e">
        <f>D8+D9+(K8+K9+D15+D31)*100</f>
        <v>#VALUE!</v>
      </c>
      <c r="Z42" s="521"/>
      <c r="AA42" s="521"/>
      <c r="AB42" s="521"/>
      <c r="AC42" s="521"/>
      <c r="AD42" s="521"/>
      <c r="AE42" s="521"/>
      <c r="AF42" s="521"/>
      <c r="AG42" s="521"/>
      <c r="AH42" s="521"/>
      <c r="AI42" s="522"/>
      <c r="AJ42" s="521"/>
      <c r="AK42" s="521"/>
      <c r="AL42" s="521"/>
      <c r="AM42" s="588"/>
      <c r="AN42" s="535">
        <v>1</v>
      </c>
      <c r="AO42" s="535">
        <f>1-AN42</f>
        <v>0</v>
      </c>
      <c r="AP42" s="576">
        <f>AN41*AN42+AO41*AO42</f>
        <v>80</v>
      </c>
      <c r="AQ42" s="535"/>
      <c r="AR42" s="535"/>
      <c r="AS42" s="521"/>
    </row>
    <row r="43" spans="2:45" s="662" customFormat="1" ht="25.5" customHeight="1">
      <c r="B43" s="744"/>
      <c r="C43" s="566" t="s">
        <v>285</v>
      </c>
      <c r="D43" s="562">
        <v>65.5</v>
      </c>
      <c r="E43" s="652"/>
      <c r="F43" s="714"/>
      <c r="G43" s="648" t="str">
        <f>IF(ISBLANK(F43),"",F43+TIME(0,H43,0))</f>
        <v/>
      </c>
      <c r="H43" s="479">
        <v>50</v>
      </c>
      <c r="I43" s="685" t="str">
        <f t="shared" si="1"/>
        <v/>
      </c>
      <c r="J43" s="539" t="s">
        <v>286</v>
      </c>
      <c r="K43" s="583" t="s">
        <v>287</v>
      </c>
      <c r="L43" s="708"/>
      <c r="M43" s="567"/>
      <c r="N43" s="521"/>
      <c r="O43" s="521"/>
      <c r="P43" s="521"/>
      <c r="Q43" s="521"/>
      <c r="R43" s="521"/>
      <c r="S43" s="521"/>
      <c r="T43" s="521"/>
      <c r="U43" s="521"/>
      <c r="V43" s="521"/>
      <c r="W43" s="521"/>
      <c r="X43" s="521"/>
      <c r="Y43" s="521"/>
      <c r="Z43" s="521"/>
      <c r="AA43" s="521"/>
      <c r="AB43" s="521"/>
      <c r="AC43" s="521"/>
      <c r="AD43" s="521"/>
      <c r="AE43" s="521"/>
      <c r="AF43" s="521"/>
      <c r="AG43" s="521"/>
      <c r="AH43" s="521"/>
      <c r="AI43" s="522"/>
      <c r="AJ43" s="521"/>
      <c r="AK43" s="521"/>
      <c r="AL43" s="521"/>
      <c r="AM43" s="521"/>
      <c r="AN43" s="521"/>
      <c r="AO43" s="521"/>
      <c r="AP43" s="521"/>
      <c r="AQ43" s="521"/>
      <c r="AR43" s="521"/>
      <c r="AS43" s="521"/>
    </row>
    <row r="44" spans="2:45" s="662" customFormat="1" ht="25.5" customHeight="1">
      <c r="B44" s="747"/>
      <c r="C44" s="536" t="s">
        <v>288</v>
      </c>
      <c r="D44" s="448"/>
      <c r="E44" s="651"/>
      <c r="F44" s="680" t="str">
        <f>G43</f>
        <v/>
      </c>
      <c r="G44" s="648"/>
      <c r="H44" s="448">
        <v>7</v>
      </c>
      <c r="I44" s="685" t="str">
        <f t="shared" si="1"/>
        <v/>
      </c>
      <c r="J44" s="566" t="s">
        <v>289</v>
      </c>
      <c r="K44" s="553" t="s">
        <v>290</v>
      </c>
      <c r="L44" s="708"/>
      <c r="M44" s="531"/>
      <c r="N44" s="521"/>
      <c r="O44" s="521"/>
      <c r="P44" s="521"/>
      <c r="Q44" s="521"/>
      <c r="R44" s="521"/>
      <c r="S44" s="521"/>
      <c r="T44" s="521"/>
      <c r="U44" s="521"/>
      <c r="V44" s="521"/>
      <c r="W44" s="521"/>
      <c r="X44" s="521"/>
      <c r="Y44" s="521"/>
      <c r="Z44" s="521"/>
      <c r="AA44" s="521"/>
      <c r="AB44" s="521"/>
      <c r="AC44" s="521"/>
      <c r="AD44" s="521"/>
      <c r="AE44" s="521"/>
      <c r="AF44" s="521"/>
      <c r="AG44" s="521"/>
      <c r="AH44" s="521"/>
      <c r="AI44" s="522"/>
      <c r="AJ44" s="521"/>
      <c r="AK44" s="521"/>
      <c r="AL44" s="521"/>
      <c r="AM44" s="535" t="s">
        <v>291</v>
      </c>
      <c r="AN44" s="535" t="s">
        <v>261</v>
      </c>
      <c r="AO44" s="535" t="s">
        <v>199</v>
      </c>
      <c r="AP44" s="535" t="s">
        <v>272</v>
      </c>
      <c r="AQ44" s="535" t="s">
        <v>263</v>
      </c>
      <c r="AR44" s="575" t="s">
        <v>264</v>
      </c>
      <c r="AS44" s="521"/>
    </row>
    <row r="45" spans="2:45" s="662" customFormat="1" ht="25.5" customHeight="1">
      <c r="B45" s="747"/>
      <c r="C45" s="566" t="s">
        <v>292</v>
      </c>
      <c r="D45" s="448"/>
      <c r="E45" s="652"/>
      <c r="F45" s="714"/>
      <c r="G45" s="648" t="str">
        <f>IF(ISBLANK(F45),"",F45+TIME(0,H45,0))</f>
        <v/>
      </c>
      <c r="H45" s="479">
        <v>10</v>
      </c>
      <c r="I45" s="685" t="str">
        <f t="shared" si="1"/>
        <v/>
      </c>
      <c r="J45" s="566"/>
      <c r="K45" s="553"/>
      <c r="L45" s="708"/>
      <c r="M45" s="531"/>
      <c r="N45" s="521"/>
      <c r="O45" s="521"/>
      <c r="P45" s="521"/>
      <c r="Q45" s="521"/>
      <c r="R45" s="521"/>
      <c r="S45" s="521"/>
      <c r="T45" s="521"/>
      <c r="U45" s="521"/>
      <c r="V45" s="521"/>
      <c r="W45" s="521"/>
      <c r="X45" s="521"/>
      <c r="Y45" s="521"/>
      <c r="Z45" s="521"/>
      <c r="AA45" s="521"/>
      <c r="AB45" s="521"/>
      <c r="AC45" s="521"/>
      <c r="AD45" s="521"/>
      <c r="AE45" s="521"/>
      <c r="AF45" s="521"/>
      <c r="AG45" s="521"/>
      <c r="AH45" s="521"/>
      <c r="AI45" s="522"/>
      <c r="AJ45" s="521"/>
      <c r="AK45" s="521"/>
      <c r="AL45" s="521"/>
      <c r="AM45" s="535"/>
      <c r="AN45" s="535"/>
      <c r="AO45" s="535"/>
      <c r="AP45" s="535"/>
      <c r="AQ45" s="535"/>
      <c r="AR45" s="575"/>
      <c r="AS45" s="521"/>
    </row>
    <row r="46" spans="2:45" s="662" customFormat="1" ht="25.5" customHeight="1">
      <c r="B46" s="747"/>
      <c r="C46" s="536" t="s">
        <v>293</v>
      </c>
      <c r="D46" s="448"/>
      <c r="E46" s="651"/>
      <c r="F46" s="680" t="str">
        <f>G45</f>
        <v/>
      </c>
      <c r="G46" s="648"/>
      <c r="H46" s="448">
        <v>5</v>
      </c>
      <c r="I46" s="685" t="str">
        <f t="shared" si="1"/>
        <v/>
      </c>
      <c r="J46" s="566"/>
      <c r="K46" s="553"/>
      <c r="L46" s="708"/>
      <c r="M46" s="531"/>
      <c r="N46" s="521"/>
      <c r="O46" s="521"/>
      <c r="P46" s="521"/>
      <c r="Q46" s="521"/>
      <c r="R46" s="521"/>
      <c r="S46" s="521"/>
      <c r="T46" s="521"/>
      <c r="U46" s="521"/>
      <c r="V46" s="521"/>
      <c r="W46" s="521"/>
      <c r="X46" s="521"/>
      <c r="Y46" s="521"/>
      <c r="Z46" s="521"/>
      <c r="AA46" s="521"/>
      <c r="AB46" s="521"/>
      <c r="AC46" s="521"/>
      <c r="AD46" s="521"/>
      <c r="AE46" s="521"/>
      <c r="AF46" s="521"/>
      <c r="AG46" s="521"/>
      <c r="AH46" s="521"/>
      <c r="AI46" s="522"/>
      <c r="AJ46" s="521"/>
      <c r="AK46" s="521"/>
      <c r="AL46" s="521"/>
      <c r="AM46" s="535"/>
      <c r="AN46" s="535"/>
      <c r="AO46" s="535"/>
      <c r="AP46" s="535"/>
      <c r="AQ46" s="535"/>
      <c r="AR46" s="575"/>
      <c r="AS46" s="521"/>
    </row>
    <row r="47" spans="2:45" s="662" customFormat="1" ht="24" customHeight="1">
      <c r="B47" s="744"/>
      <c r="C47" s="536" t="s">
        <v>294</v>
      </c>
      <c r="D47" s="448"/>
      <c r="E47" s="652"/>
      <c r="F47" s="714"/>
      <c r="G47" s="648"/>
      <c r="H47" s="448">
        <v>0</v>
      </c>
      <c r="I47" s="685" t="str">
        <f t="shared" si="1"/>
        <v/>
      </c>
      <c r="J47" s="539" t="s">
        <v>245</v>
      </c>
      <c r="K47" s="583" t="s">
        <v>246</v>
      </c>
      <c r="L47" s="642"/>
      <c r="M47" s="568"/>
      <c r="N47" s="521"/>
      <c r="O47" s="521"/>
      <c r="P47" s="521"/>
      <c r="Q47" s="521"/>
      <c r="R47" s="521"/>
      <c r="S47" s="521"/>
      <c r="T47" s="521"/>
      <c r="U47" s="521"/>
      <c r="V47" s="521"/>
      <c r="W47" s="521"/>
      <c r="X47" s="521"/>
      <c r="Y47" s="521"/>
      <c r="Z47" s="521"/>
      <c r="AA47" s="521"/>
      <c r="AB47" s="521"/>
      <c r="AC47" s="521"/>
      <c r="AD47" s="521"/>
      <c r="AE47" s="521"/>
      <c r="AF47" s="521"/>
      <c r="AG47" s="521"/>
      <c r="AH47" s="521"/>
      <c r="AI47" s="522"/>
      <c r="AJ47" s="521"/>
      <c r="AK47" s="521"/>
      <c r="AL47" s="521"/>
      <c r="AM47" s="588"/>
      <c r="AN47" s="535">
        <v>0.88</v>
      </c>
      <c r="AO47" s="535">
        <f>1-AN47</f>
        <v>0.12</v>
      </c>
      <c r="AP47" s="576" t="e">
        <f>#REF!*AN47+#REF!*AO47</f>
        <v>#REF!</v>
      </c>
      <c r="AQ47" s="535"/>
      <c r="AR47" s="535"/>
      <c r="AS47" s="521"/>
    </row>
    <row r="48" spans="2:45" s="663" customFormat="1" ht="22.5" customHeight="1">
      <c r="B48" s="746"/>
      <c r="C48" s="573" t="s">
        <v>295</v>
      </c>
      <c r="D48" s="479"/>
      <c r="E48" s="651"/>
      <c r="F48" s="714"/>
      <c r="G48" s="648"/>
      <c r="H48" s="479">
        <v>8</v>
      </c>
      <c r="I48" s="685" t="str">
        <f t="shared" si="1"/>
        <v/>
      </c>
      <c r="J48" s="539" t="s">
        <v>259</v>
      </c>
      <c r="K48" s="591"/>
      <c r="L48" s="592"/>
      <c r="M48" s="593"/>
      <c r="N48" s="523"/>
      <c r="O48" s="523"/>
      <c r="P48" s="523"/>
      <c r="Q48" s="523"/>
      <c r="R48" s="523"/>
      <c r="S48" s="523"/>
      <c r="T48" s="523"/>
      <c r="U48" s="523"/>
      <c r="V48" s="523"/>
      <c r="W48" s="523"/>
      <c r="X48" s="523"/>
      <c r="Y48" s="523"/>
      <c r="Z48" s="523"/>
      <c r="AA48" s="523"/>
      <c r="AB48" s="523"/>
      <c r="AC48" s="523"/>
      <c r="AD48" s="523"/>
      <c r="AE48" s="523"/>
      <c r="AF48" s="523"/>
      <c r="AG48" s="523"/>
      <c r="AH48" s="523"/>
      <c r="AI48" s="524"/>
      <c r="AJ48" s="523"/>
      <c r="AK48" s="523"/>
      <c r="AL48" s="523"/>
      <c r="AM48" s="523"/>
      <c r="AN48" s="523"/>
      <c r="AO48" s="523"/>
      <c r="AP48" s="523"/>
      <c r="AQ48" s="523"/>
      <c r="AR48" s="523"/>
      <c r="AS48" s="523" t="s">
        <v>296</v>
      </c>
    </row>
    <row r="49" spans="2:46" s="662" customFormat="1" ht="20.25" customHeight="1">
      <c r="B49" s="745"/>
      <c r="C49" s="594" t="s">
        <v>297</v>
      </c>
      <c r="D49" s="882">
        <v>10</v>
      </c>
      <c r="E49" s="647"/>
      <c r="F49" s="714"/>
      <c r="G49" s="648" t="str">
        <f>IF(F57="","",F57)</f>
        <v/>
      </c>
      <c r="H49" s="882">
        <v>2</v>
      </c>
      <c r="I49" s="685" t="str">
        <f>IF(OR(G49="",F49=""),"",IF(G49&gt;=F49,(G49-F49)*24*60,(1+G49-F49)*24*60))</f>
        <v/>
      </c>
      <c r="J49" s="543"/>
      <c r="K49" s="543"/>
      <c r="L49" s="643"/>
      <c r="M49" s="548"/>
      <c r="N49" s="521"/>
      <c r="O49" s="521"/>
      <c r="P49" s="521"/>
      <c r="Q49" s="521"/>
      <c r="R49" s="521"/>
      <c r="S49" s="521"/>
      <c r="T49" s="521"/>
      <c r="U49" s="521"/>
      <c r="V49" s="521"/>
      <c r="W49" s="521"/>
      <c r="X49" s="521"/>
      <c r="Y49" s="521"/>
      <c r="Z49" s="521"/>
      <c r="AA49" s="521"/>
      <c r="AB49" s="521"/>
      <c r="AC49" s="521"/>
      <c r="AD49" s="521"/>
      <c r="AE49" s="521"/>
      <c r="AF49" s="521"/>
      <c r="AG49" s="521"/>
      <c r="AH49" s="521"/>
      <c r="AI49" s="522"/>
      <c r="AJ49" s="521"/>
      <c r="AK49" s="521"/>
      <c r="AL49" s="521"/>
      <c r="AM49" s="521"/>
      <c r="AN49" s="521"/>
      <c r="AO49" s="521"/>
      <c r="AP49" s="521" t="s">
        <v>298</v>
      </c>
      <c r="AQ49" s="521">
        <v>6</v>
      </c>
      <c r="AR49" s="521" t="e">
        <f>#REF!</f>
        <v>#REF!</v>
      </c>
      <c r="AS49" s="521" t="e">
        <f>(AQ49*AR49+AQ50*AR50)/(AR49+AR50)</f>
        <v>#REF!</v>
      </c>
    </row>
    <row r="50" spans="2:46" s="662" customFormat="1" ht="20.25" customHeight="1">
      <c r="B50" s="744"/>
      <c r="C50" s="536" t="s">
        <v>266</v>
      </c>
      <c r="D50" s="448">
        <v>2</v>
      </c>
      <c r="E50" s="651"/>
      <c r="F50" s="648"/>
      <c r="G50" s="648"/>
      <c r="H50" s="448">
        <v>1</v>
      </c>
      <c r="I50" s="448"/>
      <c r="J50" s="539"/>
      <c r="K50" s="539"/>
      <c r="L50" s="641"/>
      <c r="M50" s="554"/>
      <c r="N50" s="521"/>
      <c r="O50" s="521"/>
      <c r="P50" s="521"/>
      <c r="Q50" s="521"/>
      <c r="R50" s="521"/>
      <c r="S50" s="521"/>
      <c r="T50" s="521"/>
      <c r="U50" s="521"/>
      <c r="V50" s="521"/>
      <c r="W50" s="521"/>
      <c r="X50" s="521"/>
      <c r="Y50" s="521"/>
      <c r="Z50" s="521"/>
      <c r="AA50" s="521"/>
      <c r="AB50" s="521"/>
      <c r="AC50" s="521"/>
      <c r="AD50" s="521"/>
      <c r="AE50" s="521"/>
      <c r="AF50" s="521"/>
      <c r="AG50" s="521"/>
      <c r="AH50" s="521"/>
      <c r="AI50" s="522"/>
      <c r="AJ50" s="521"/>
      <c r="AK50" s="521"/>
      <c r="AL50" s="521"/>
      <c r="AM50" s="521"/>
      <c r="AN50" s="521"/>
      <c r="AO50" s="521"/>
      <c r="AP50" s="521" t="s">
        <v>299</v>
      </c>
      <c r="AQ50" s="521">
        <v>6.4</v>
      </c>
      <c r="AR50" s="521" t="e">
        <f>#REF!-AR49</f>
        <v>#REF!</v>
      </c>
      <c r="AS50" s="521"/>
    </row>
    <row r="51" spans="2:46" s="662" customFormat="1" ht="22.5" customHeight="1" thickBot="1">
      <c r="B51" s="749"/>
      <c r="C51" s="595" t="s">
        <v>300</v>
      </c>
      <c r="D51" s="596"/>
      <c r="E51" s="654"/>
      <c r="F51" s="596"/>
      <c r="G51" s="654"/>
      <c r="H51" s="596">
        <f>SUM(H35:H50)</f>
        <v>122.33333333333334</v>
      </c>
      <c r="I51" s="596" t="str">
        <f>IF(OR(G49="",F36=""),"",IF(G49&gt;=F36,(G49-F36)*24*60,(G49+1-F36)*24*60))</f>
        <v/>
      </c>
      <c r="J51" s="597"/>
      <c r="K51" s="597"/>
      <c r="L51" s="644"/>
      <c r="M51" s="598"/>
      <c r="N51" s="521"/>
      <c r="O51" s="521"/>
      <c r="P51" s="521"/>
      <c r="Q51" s="521"/>
      <c r="R51" s="521"/>
      <c r="S51" s="521"/>
      <c r="T51" s="521"/>
      <c r="U51" s="521"/>
      <c r="V51" s="521"/>
      <c r="W51" s="521"/>
      <c r="X51" s="521"/>
      <c r="Y51" s="521"/>
      <c r="Z51" s="521"/>
      <c r="AA51" s="521"/>
      <c r="AB51" s="521"/>
      <c r="AC51" s="521"/>
      <c r="AD51" s="521"/>
      <c r="AE51" s="521"/>
      <c r="AF51" s="521"/>
      <c r="AG51" s="521"/>
      <c r="AH51" s="521"/>
      <c r="AI51" s="522"/>
      <c r="AJ51" s="521"/>
      <c r="AK51" s="521"/>
      <c r="AL51" s="521"/>
      <c r="AM51" s="521"/>
      <c r="AN51" s="521"/>
      <c r="AO51" s="521"/>
      <c r="AP51" s="521"/>
      <c r="AQ51" s="521"/>
      <c r="AR51" s="521"/>
      <c r="AS51" s="521"/>
    </row>
    <row r="52" spans="2:46" s="662" customFormat="1" ht="22.5" hidden="1" customHeight="1" thickBot="1">
      <c r="B52" s="749"/>
      <c r="C52" s="835"/>
      <c r="D52" s="836"/>
      <c r="E52" s="837"/>
      <c r="F52" s="836"/>
      <c r="G52" s="837"/>
      <c r="H52" s="836"/>
      <c r="I52" s="836"/>
      <c r="J52" s="838"/>
      <c r="K52" s="838"/>
      <c r="L52" s="839"/>
      <c r="M52" s="548"/>
      <c r="N52" s="521"/>
      <c r="O52" s="521"/>
      <c r="P52" s="521"/>
      <c r="Q52" s="521"/>
      <c r="R52" s="521"/>
      <c r="S52" s="521"/>
      <c r="T52" s="521"/>
      <c r="U52" s="521"/>
      <c r="V52" s="521"/>
      <c r="W52" s="521"/>
      <c r="X52" s="521"/>
      <c r="Y52" s="521"/>
      <c r="Z52" s="521"/>
      <c r="AA52" s="521"/>
      <c r="AB52" s="521"/>
      <c r="AC52" s="521"/>
      <c r="AD52" s="521"/>
      <c r="AE52" s="521"/>
      <c r="AF52" s="521"/>
      <c r="AG52" s="521"/>
      <c r="AH52" s="521"/>
      <c r="AI52" s="522"/>
      <c r="AJ52" s="521"/>
      <c r="AK52" s="521"/>
      <c r="AL52" s="521"/>
      <c r="AM52" s="521"/>
      <c r="AN52" s="521"/>
      <c r="AO52" s="521"/>
      <c r="AP52" s="521"/>
      <c r="AQ52" s="521"/>
      <c r="AR52" s="521"/>
      <c r="AS52" s="521"/>
    </row>
    <row r="53" spans="2:46" s="662" customFormat="1" ht="15" customHeight="1" thickBot="1">
      <c r="B53" s="770"/>
      <c r="C53" s="941" t="s">
        <v>301</v>
      </c>
      <c r="D53" s="942"/>
      <c r="E53" s="942"/>
      <c r="F53" s="942"/>
      <c r="G53" s="942"/>
      <c r="H53" s="942"/>
      <c r="I53" s="942"/>
      <c r="J53" s="942"/>
      <c r="K53" s="942"/>
      <c r="L53" s="943"/>
      <c r="M53" s="599"/>
      <c r="N53" s="521"/>
      <c r="O53" s="521"/>
      <c r="P53" s="521"/>
      <c r="Q53" s="521"/>
      <c r="R53" s="521"/>
      <c r="S53" s="521"/>
      <c r="T53" s="521"/>
      <c r="U53" s="521"/>
      <c r="V53" s="521"/>
      <c r="W53" s="521"/>
      <c r="X53" s="521"/>
      <c r="Y53" s="521"/>
      <c r="Z53" s="521"/>
      <c r="AA53" s="521"/>
      <c r="AB53" s="521"/>
      <c r="AC53" s="521"/>
      <c r="AD53" s="521"/>
      <c r="AE53" s="521"/>
      <c r="AF53" s="521"/>
      <c r="AG53" s="521"/>
      <c r="AH53" s="521"/>
      <c r="AI53" s="522"/>
      <c r="AJ53" s="521"/>
      <c r="AK53" s="521"/>
      <c r="AL53" s="521"/>
      <c r="AM53" s="521"/>
      <c r="AN53" s="521"/>
      <c r="AO53" s="521"/>
      <c r="AP53" s="521"/>
      <c r="AQ53" s="521"/>
      <c r="AR53" s="521"/>
      <c r="AS53" s="521"/>
    </row>
    <row r="54" spans="2:46" s="662" customFormat="1" ht="22.5" customHeight="1">
      <c r="B54" s="745"/>
      <c r="C54" s="594" t="s">
        <v>302</v>
      </c>
      <c r="D54" s="882">
        <v>12</v>
      </c>
      <c r="E54" s="647"/>
      <c r="F54" s="775"/>
      <c r="G54" s="775"/>
      <c r="H54" s="882">
        <v>2</v>
      </c>
      <c r="I54" s="764" t="str">
        <f>IF(OR(G54="",F54=""),"",IF(G54&gt;=F54,(G54-F54)*24*60,(1+G54-F54)*24*60))</f>
        <v/>
      </c>
      <c r="J54" s="543" t="s">
        <v>303</v>
      </c>
      <c r="K54" s="787">
        <v>200</v>
      </c>
      <c r="L54" s="788">
        <v>200</v>
      </c>
      <c r="M54" s="600"/>
      <c r="N54" s="532">
        <f>K8+K9+D15+D31+D49+D54</f>
        <v>192</v>
      </c>
      <c r="O54" s="521"/>
      <c r="P54" s="521"/>
      <c r="Q54" s="521"/>
      <c r="R54" s="521"/>
      <c r="S54" s="521"/>
      <c r="T54" s="521"/>
      <c r="U54" s="521"/>
      <c r="V54" s="521"/>
      <c r="W54" s="521"/>
      <c r="X54" s="521"/>
      <c r="Y54" s="521"/>
      <c r="Z54" s="521"/>
      <c r="AA54" s="521"/>
      <c r="AB54" s="521"/>
      <c r="AC54" s="521"/>
      <c r="AD54" s="521"/>
      <c r="AE54" s="521"/>
      <c r="AF54" s="521"/>
      <c r="AG54" s="521"/>
      <c r="AH54" s="521"/>
      <c r="AI54" s="522"/>
      <c r="AJ54" s="521"/>
      <c r="AK54" s="521"/>
      <c r="AL54" s="521"/>
      <c r="AM54" s="521"/>
      <c r="AN54" s="521"/>
      <c r="AO54" s="521"/>
      <c r="AP54" s="523"/>
      <c r="AQ54" s="523"/>
      <c r="AR54" s="523"/>
      <c r="AS54" s="523" t="s">
        <v>296</v>
      </c>
    </row>
    <row r="55" spans="2:46" s="662" customFormat="1" ht="21" customHeight="1">
      <c r="B55" s="744"/>
      <c r="C55" s="536" t="s">
        <v>304</v>
      </c>
      <c r="D55" s="448"/>
      <c r="E55" s="651"/>
      <c r="F55" s="680" t="str">
        <f>IF(F48="","",F48)</f>
        <v/>
      </c>
      <c r="G55" s="648"/>
      <c r="H55" s="448">
        <f>H48</f>
        <v>8</v>
      </c>
      <c r="I55" s="685" t="str">
        <f>IF(OR(F57="",F55=""),"",IF(F57&gt;=F55,(F57-F55)*24*60,(1+F57-F55)*24*60))</f>
        <v/>
      </c>
      <c r="J55" s="539" t="s">
        <v>305</v>
      </c>
      <c r="K55" s="562" t="s">
        <v>306</v>
      </c>
      <c r="L55" s="722"/>
      <c r="M55" s="601"/>
      <c r="N55" s="521" t="e">
        <f>#REF!/N54</f>
        <v>#REF!</v>
      </c>
      <c r="O55" s="521"/>
      <c r="P55" s="521"/>
      <c r="Q55" s="521"/>
      <c r="R55" s="521"/>
      <c r="S55" s="521"/>
      <c r="T55" s="521"/>
      <c r="U55" s="521"/>
      <c r="V55" s="521"/>
      <c r="W55" s="521"/>
      <c r="X55" s="521"/>
      <c r="Y55" s="521"/>
      <c r="Z55" s="521"/>
      <c r="AA55" s="521"/>
      <c r="AB55" s="521"/>
      <c r="AC55" s="521"/>
      <c r="AD55" s="521"/>
      <c r="AE55" s="521"/>
      <c r="AF55" s="521"/>
      <c r="AG55" s="521"/>
      <c r="AH55" s="521"/>
      <c r="AI55" s="522"/>
      <c r="AJ55" s="521"/>
      <c r="AK55" s="521"/>
      <c r="AL55" s="521"/>
      <c r="AM55" s="521"/>
      <c r="AN55" s="521"/>
      <c r="AO55" s="521"/>
      <c r="AP55" s="521" t="s">
        <v>307</v>
      </c>
      <c r="AQ55" s="521">
        <v>6</v>
      </c>
      <c r="AR55" s="521">
        <v>21.999999999999996</v>
      </c>
      <c r="AS55" s="521">
        <f>(AQ55*AR55+AQ56*AR56)/(AR55+AR56)</f>
        <v>6.36</v>
      </c>
    </row>
    <row r="56" spans="2:46" s="662" customFormat="1" ht="20.25" customHeight="1">
      <c r="B56" s="744"/>
      <c r="C56" s="536" t="s">
        <v>308</v>
      </c>
      <c r="D56" s="448"/>
      <c r="E56" s="651"/>
      <c r="F56" s="648" t="str">
        <f>IF(F49="","",F49)</f>
        <v/>
      </c>
      <c r="G56" s="648"/>
      <c r="H56" s="448">
        <v>2</v>
      </c>
      <c r="I56" s="448"/>
      <c r="J56" s="539" t="s">
        <v>309</v>
      </c>
      <c r="K56" s="448">
        <v>80</v>
      </c>
      <c r="L56" s="741">
        <f ca="1">80+RANDBETWEEN(-3,3)/10</f>
        <v>80</v>
      </c>
      <c r="M56" s="602"/>
      <c r="N56" s="521"/>
      <c r="O56" s="521"/>
      <c r="P56" s="521"/>
      <c r="Q56" s="521"/>
      <c r="R56" s="521"/>
      <c r="S56" s="521"/>
      <c r="T56" s="521"/>
      <c r="U56" s="521"/>
      <c r="V56" s="521"/>
      <c r="W56" s="521">
        <v>2100</v>
      </c>
      <c r="X56" s="521"/>
      <c r="Y56" s="521"/>
      <c r="Z56" s="521"/>
      <c r="AA56" s="521"/>
      <c r="AB56" s="521"/>
      <c r="AC56" s="521"/>
      <c r="AD56" s="521"/>
      <c r="AE56" s="521"/>
      <c r="AF56" s="521"/>
      <c r="AG56" s="521"/>
      <c r="AH56" s="521"/>
      <c r="AI56" s="522"/>
      <c r="AJ56" s="521"/>
      <c r="AK56" s="521"/>
      <c r="AL56" s="521"/>
      <c r="AM56" s="521"/>
      <c r="AN56" s="521"/>
      <c r="AO56" s="521"/>
      <c r="AP56" s="521" t="s">
        <v>299</v>
      </c>
      <c r="AQ56" s="521">
        <v>6.4</v>
      </c>
      <c r="AR56" s="521">
        <v>198</v>
      </c>
      <c r="AS56" s="521"/>
    </row>
    <row r="57" spans="2:46" s="662" customFormat="1" ht="23.25" customHeight="1">
      <c r="B57" s="744"/>
      <c r="C57" s="536" t="s">
        <v>310</v>
      </c>
      <c r="D57" s="479" t="s">
        <v>311</v>
      </c>
      <c r="E57" s="652"/>
      <c r="F57" s="714"/>
      <c r="G57" s="648"/>
      <c r="H57" s="448">
        <v>7</v>
      </c>
      <c r="I57" s="685" t="str">
        <f>IF(OR(F58="",F57=""),"",IF(F58&gt;=F57,(F58-F57)*24*60,(1+F58-F57)*24*60))</f>
        <v/>
      </c>
      <c r="J57" s="539" t="s">
        <v>312</v>
      </c>
      <c r="K57" s="583">
        <v>210</v>
      </c>
      <c r="L57" s="708">
        <v>210</v>
      </c>
      <c r="M57" s="531"/>
      <c r="N57" s="521"/>
      <c r="O57" s="521"/>
      <c r="P57" s="521"/>
      <c r="Q57" s="521"/>
      <c r="R57" s="521"/>
      <c r="S57" s="521"/>
      <c r="T57" s="521"/>
      <c r="U57" s="532"/>
      <c r="V57" s="521"/>
      <c r="W57" s="521">
        <v>1106</v>
      </c>
      <c r="X57" s="521"/>
      <c r="Y57" s="521"/>
      <c r="Z57" s="521"/>
      <c r="AA57" s="521"/>
      <c r="AB57" s="521"/>
      <c r="AC57" s="521"/>
      <c r="AD57" s="521"/>
      <c r="AE57" s="521"/>
      <c r="AF57" s="521"/>
      <c r="AG57" s="521"/>
      <c r="AH57" s="521"/>
      <c r="AI57" s="522"/>
      <c r="AJ57" s="521"/>
      <c r="AK57" s="521"/>
      <c r="AL57" s="521"/>
      <c r="AM57" s="521"/>
      <c r="AN57" s="521"/>
      <c r="AO57" s="521"/>
      <c r="AP57" s="521"/>
      <c r="AQ57" s="521"/>
      <c r="AR57" s="521"/>
      <c r="AS57" s="521"/>
    </row>
    <row r="58" spans="2:46" s="662" customFormat="1" ht="24" customHeight="1">
      <c r="B58" s="744"/>
      <c r="C58" s="539" t="s">
        <v>313</v>
      </c>
      <c r="D58" s="303">
        <v>136</v>
      </c>
      <c r="E58" s="646"/>
      <c r="F58" s="714"/>
      <c r="G58" s="648"/>
      <c r="H58" s="448">
        <f>D58/K54*60</f>
        <v>40.800000000000004</v>
      </c>
      <c r="I58" s="685" t="str">
        <f>IF(OR(F59="",F58=""),"",IF(F59&gt;=F58,(F59-F58)*24*60,(1+F59-F58)*24*60))</f>
        <v/>
      </c>
      <c r="J58" s="539" t="s">
        <v>314</v>
      </c>
      <c r="K58" s="603" t="s">
        <v>315</v>
      </c>
      <c r="L58" s="686" t="s">
        <v>316</v>
      </c>
      <c r="M58" s="604"/>
      <c r="N58" s="521"/>
      <c r="O58" s="521"/>
      <c r="P58" s="521"/>
      <c r="Q58" s="521"/>
      <c r="R58" s="521"/>
      <c r="S58" s="521"/>
      <c r="T58" s="532">
        <f>170-D58</f>
        <v>34</v>
      </c>
      <c r="U58" s="532">
        <f>K8+K9+D15+D31+D49+D54</f>
        <v>192</v>
      </c>
      <c r="V58" s="521"/>
      <c r="W58" s="521">
        <f>W56-W57</f>
        <v>994</v>
      </c>
      <c r="X58" s="521"/>
      <c r="Y58" s="521"/>
      <c r="Z58" s="521"/>
      <c r="AA58" s="521"/>
      <c r="AB58" s="521"/>
      <c r="AC58" s="521"/>
      <c r="AD58" s="521"/>
      <c r="AE58" s="521"/>
      <c r="AF58" s="521"/>
      <c r="AG58" s="521"/>
      <c r="AH58" s="521"/>
      <c r="AI58" s="522"/>
      <c r="AJ58" s="521"/>
      <c r="AK58" s="521"/>
      <c r="AL58" s="521"/>
      <c r="AM58" s="521"/>
      <c r="AN58" s="521"/>
      <c r="AO58" s="521"/>
      <c r="AP58" s="521"/>
      <c r="AQ58" s="521"/>
      <c r="AR58" s="521"/>
      <c r="AS58" s="521"/>
    </row>
    <row r="59" spans="2:46" s="662" customFormat="1" ht="24" customHeight="1">
      <c r="B59" s="744"/>
      <c r="C59" s="539" t="s">
        <v>317</v>
      </c>
      <c r="D59" s="479">
        <v>257</v>
      </c>
      <c r="E59" s="646"/>
      <c r="F59" s="714"/>
      <c r="G59" s="648"/>
      <c r="H59" s="448">
        <f>(D59-D58)/K57*60</f>
        <v>34.571428571428569</v>
      </c>
      <c r="I59" s="685" t="str">
        <f>IF(OR(F61="",F59=""),"",IF(F61&gt;=F59,(F61-F59)*24*60,(1+F61-F59)*24*60))</f>
        <v/>
      </c>
      <c r="J59" s="539" t="s">
        <v>314</v>
      </c>
      <c r="K59" s="603" t="s">
        <v>315</v>
      </c>
      <c r="L59" s="686" t="s">
        <v>316</v>
      </c>
      <c r="M59" s="605"/>
      <c r="N59" s="532"/>
      <c r="O59" s="521"/>
      <c r="P59" s="521"/>
      <c r="Q59" s="521"/>
      <c r="R59" s="521"/>
      <c r="S59" s="521"/>
      <c r="T59" s="521">
        <f>T58/K57*60</f>
        <v>9.7142857142857153</v>
      </c>
      <c r="U59" s="532" t="e">
        <f>U58+K61-D60</f>
        <v>#VALUE!</v>
      </c>
      <c r="V59" s="532"/>
      <c r="W59" s="521">
        <f>W58/1000</f>
        <v>0.99399999999999999</v>
      </c>
      <c r="X59" s="521">
        <f>4400/1000</f>
        <v>4.4000000000000004</v>
      </c>
      <c r="Y59" s="521"/>
      <c r="Z59" s="521"/>
      <c r="AA59" s="521"/>
      <c r="AB59" s="521"/>
      <c r="AC59" s="521"/>
      <c r="AD59" s="521"/>
      <c r="AE59" s="521"/>
      <c r="AF59" s="521"/>
      <c r="AG59" s="521"/>
      <c r="AH59" s="521"/>
      <c r="AI59" s="522"/>
      <c r="AJ59" s="521"/>
      <c r="AK59" s="521"/>
      <c r="AL59" s="521"/>
      <c r="AM59" s="521"/>
      <c r="AN59" s="532"/>
      <c r="AO59" s="532"/>
      <c r="AP59" s="521"/>
      <c r="AQ59" s="521"/>
      <c r="AR59" s="521"/>
      <c r="AS59" s="521"/>
    </row>
    <row r="60" spans="2:46" s="662" customFormat="1" ht="24" customHeight="1">
      <c r="B60" s="744"/>
      <c r="C60" s="536" t="s">
        <v>318</v>
      </c>
      <c r="D60" s="479" t="s">
        <v>319</v>
      </c>
      <c r="E60" s="646"/>
      <c r="F60" s="648"/>
      <c r="G60" s="648"/>
      <c r="H60" s="448">
        <f>E60*5.5</f>
        <v>0</v>
      </c>
      <c r="I60" s="448"/>
      <c r="J60" s="539" t="s">
        <v>320</v>
      </c>
      <c r="K60" s="448">
        <v>17</v>
      </c>
      <c r="L60" s="722">
        <f ca="1">16+RANDBETWEEN(23,62)/100</f>
        <v>16.59</v>
      </c>
      <c r="M60" s="605"/>
      <c r="N60" s="532"/>
      <c r="O60" s="521"/>
      <c r="P60" s="521"/>
      <c r="Q60" s="521"/>
      <c r="R60" s="521"/>
      <c r="S60" s="521"/>
      <c r="T60" s="532">
        <f>T59+H58</f>
        <v>50.51428571428572</v>
      </c>
      <c r="U60" s="532"/>
      <c r="V60" s="532"/>
      <c r="W60" s="521">
        <f>PI()*(X59/2)^2*W59</f>
        <v>15.114076592714353</v>
      </c>
      <c r="X60" s="521"/>
      <c r="Y60" s="521"/>
      <c r="Z60" s="521"/>
      <c r="AA60" s="521"/>
      <c r="AB60" s="521"/>
      <c r="AC60" s="521"/>
      <c r="AD60" s="521"/>
      <c r="AE60" s="521"/>
      <c r="AF60" s="521"/>
      <c r="AG60" s="521"/>
      <c r="AH60" s="521"/>
      <c r="AI60" s="522"/>
      <c r="AJ60" s="521"/>
      <c r="AK60" s="521"/>
      <c r="AL60" s="521"/>
      <c r="AM60" s="521"/>
      <c r="AN60" s="521"/>
      <c r="AO60" s="521"/>
      <c r="AP60" s="521"/>
      <c r="AQ60" s="521"/>
      <c r="AR60" s="521"/>
      <c r="AS60" s="521"/>
      <c r="AT60" s="725"/>
    </row>
    <row r="61" spans="2:46" s="662" customFormat="1" ht="21.75" customHeight="1">
      <c r="B61" s="744"/>
      <c r="C61" s="536" t="s">
        <v>321</v>
      </c>
      <c r="D61" s="479">
        <v>75</v>
      </c>
      <c r="E61" s="646"/>
      <c r="F61" s="714"/>
      <c r="G61" s="648" t="str">
        <f>IF(ISBLANK(F61),"",F61+TIME(0,E61/220*60,0))</f>
        <v/>
      </c>
      <c r="H61" s="448">
        <f>D61/K57*60</f>
        <v>21.428571428571431</v>
      </c>
      <c r="I61" s="685" t="str">
        <f>IF(OR(G61="",F61=""),"",IF(G61&gt;=F61,(G61-F61)*24*60,(1+G61-F61)*24*60))</f>
        <v/>
      </c>
      <c r="J61" s="539" t="s">
        <v>322</v>
      </c>
      <c r="K61" s="448">
        <v>135</v>
      </c>
      <c r="L61" s="709">
        <v>135</v>
      </c>
      <c r="M61" s="606"/>
      <c r="N61" s="521"/>
      <c r="O61" s="521"/>
      <c r="P61" s="521"/>
      <c r="Q61" s="521"/>
      <c r="R61" s="521"/>
      <c r="S61" s="521"/>
      <c r="T61" s="532" t="e">
        <f>D61-D60</f>
        <v>#VALUE!</v>
      </c>
      <c r="U61" s="532"/>
      <c r="V61" s="521"/>
      <c r="W61" s="521"/>
      <c r="X61" s="521"/>
      <c r="Y61" s="521"/>
      <c r="Z61" s="521"/>
      <c r="AA61" s="521"/>
      <c r="AB61" s="521"/>
      <c r="AC61" s="521"/>
      <c r="AD61" s="521"/>
      <c r="AE61" s="521"/>
      <c r="AF61" s="521"/>
      <c r="AG61" s="521"/>
      <c r="AH61" s="521"/>
      <c r="AI61" s="522"/>
      <c r="AJ61" s="521"/>
      <c r="AK61" s="521"/>
      <c r="AL61" s="521"/>
      <c r="AM61" s="521"/>
      <c r="AN61" s="521"/>
      <c r="AO61" s="521"/>
      <c r="AP61" s="521"/>
      <c r="AQ61" s="521"/>
      <c r="AR61" s="521"/>
      <c r="AS61" s="521"/>
    </row>
    <row r="62" spans="2:46" s="662" customFormat="1" ht="18.75" customHeight="1">
      <c r="B62" s="744"/>
      <c r="C62" s="536" t="s">
        <v>323</v>
      </c>
      <c r="D62" s="448"/>
      <c r="E62" s="651"/>
      <c r="F62" s="648"/>
      <c r="G62" s="648"/>
      <c r="H62" s="448">
        <v>10</v>
      </c>
      <c r="I62" s="448"/>
      <c r="J62" s="539" t="s">
        <v>324</v>
      </c>
      <c r="K62" s="448">
        <v>35</v>
      </c>
      <c r="L62" s="708">
        <v>35</v>
      </c>
      <c r="M62" s="531"/>
      <c r="N62" s="521"/>
      <c r="O62" s="521"/>
      <c r="P62" s="521"/>
      <c r="Q62" s="521"/>
      <c r="R62" s="521"/>
      <c r="S62" s="521"/>
      <c r="T62" s="521"/>
      <c r="U62" s="521"/>
      <c r="V62" s="521"/>
      <c r="W62" s="521"/>
      <c r="X62" s="521"/>
      <c r="Y62" s="521"/>
      <c r="Z62" s="521"/>
      <c r="AA62" s="521"/>
      <c r="AB62" s="521"/>
      <c r="AC62" s="521"/>
      <c r="AD62" s="521"/>
      <c r="AE62" s="521"/>
      <c r="AF62" s="521"/>
      <c r="AG62" s="521"/>
      <c r="AH62" s="521"/>
      <c r="AI62" s="522"/>
      <c r="AJ62" s="521"/>
      <c r="AK62" s="521"/>
      <c r="AL62" s="521"/>
      <c r="AM62" s="521"/>
      <c r="AN62" s="521"/>
      <c r="AO62" s="521"/>
      <c r="AP62" s="521"/>
      <c r="AQ62" s="521"/>
      <c r="AR62" s="521"/>
      <c r="AS62" s="521"/>
    </row>
    <row r="63" spans="2:46" s="662" customFormat="1" ht="20.149999999999999" customHeight="1">
      <c r="B63" s="744"/>
      <c r="C63" s="536" t="s">
        <v>325</v>
      </c>
      <c r="D63" s="448"/>
      <c r="E63" s="651"/>
      <c r="F63" s="648"/>
      <c r="G63" s="648"/>
      <c r="H63" s="448">
        <v>3</v>
      </c>
      <c r="I63" s="448"/>
      <c r="J63" s="539" t="s">
        <v>326</v>
      </c>
      <c r="K63" s="583" t="s">
        <v>327</v>
      </c>
      <c r="L63" s="561"/>
      <c r="M63" s="531"/>
      <c r="N63" s="521"/>
      <c r="O63" s="521"/>
      <c r="P63" s="521"/>
      <c r="Q63" s="521"/>
      <c r="R63" s="521"/>
      <c r="S63" s="521"/>
      <c r="T63" s="521"/>
      <c r="U63" s="521"/>
      <c r="V63" s="521"/>
      <c r="W63" s="521"/>
      <c r="X63" s="521"/>
      <c r="Y63" s="521"/>
      <c r="Z63" s="521"/>
      <c r="AA63" s="521"/>
      <c r="AB63" s="521"/>
      <c r="AC63" s="521"/>
      <c r="AD63" s="521"/>
      <c r="AE63" s="521"/>
      <c r="AF63" s="521"/>
      <c r="AG63" s="521"/>
      <c r="AH63" s="521"/>
      <c r="AI63" s="522"/>
      <c r="AJ63" s="521"/>
      <c r="AK63" s="521"/>
      <c r="AL63" s="521"/>
      <c r="AM63" s="521"/>
      <c r="AN63" s="521"/>
      <c r="AO63" s="521"/>
      <c r="AP63" s="521"/>
      <c r="AQ63" s="521"/>
      <c r="AR63" s="521"/>
      <c r="AS63" s="521"/>
    </row>
    <row r="64" spans="2:46" s="662" customFormat="1" ht="20.149999999999999" customHeight="1" thickBot="1">
      <c r="B64" s="755"/>
      <c r="C64" s="756" t="s">
        <v>328</v>
      </c>
      <c r="D64" s="882"/>
      <c r="E64" s="647"/>
      <c r="F64" s="647"/>
      <c r="G64" s="647"/>
      <c r="H64" s="882">
        <f>SUM(H54:H63)</f>
        <v>128.80000000000001</v>
      </c>
      <c r="I64" s="882" t="str">
        <f>IF(OR(G61="",F55=""),"",IF(G61&gt;=F55,(G61-F55)*24*60,(G61+1-F55)*24*60))</f>
        <v/>
      </c>
      <c r="J64" s="780" t="s">
        <v>329</v>
      </c>
      <c r="K64" s="781" t="s">
        <v>330</v>
      </c>
      <c r="L64" s="713"/>
      <c r="M64" s="531"/>
      <c r="N64" s="521"/>
      <c r="O64" s="521"/>
      <c r="P64" s="521"/>
      <c r="Q64" s="521"/>
      <c r="R64" s="521"/>
      <c r="S64" s="521"/>
      <c r="T64" s="521"/>
      <c r="U64" s="521"/>
      <c r="V64" s="521"/>
      <c r="W64" s="521"/>
      <c r="X64" s="521"/>
      <c r="Y64" s="521"/>
      <c r="Z64" s="521"/>
      <c r="AA64" s="521"/>
      <c r="AB64" s="521"/>
      <c r="AC64" s="521"/>
      <c r="AD64" s="521"/>
      <c r="AE64" s="521"/>
      <c r="AF64" s="521"/>
      <c r="AG64" s="521"/>
      <c r="AH64" s="521"/>
      <c r="AI64" s="522"/>
      <c r="AJ64" s="521"/>
      <c r="AK64" s="521"/>
      <c r="AL64" s="521"/>
      <c r="AM64" s="521"/>
      <c r="AN64" s="521"/>
      <c r="AO64" s="521"/>
      <c r="AP64" s="521"/>
      <c r="AQ64" s="521"/>
      <c r="AR64" s="521"/>
      <c r="AS64" s="521"/>
    </row>
    <row r="65" spans="2:45" s="662" customFormat="1" ht="12" thickBot="1">
      <c r="B65" s="770"/>
      <c r="C65" s="941" t="s">
        <v>331</v>
      </c>
      <c r="D65" s="942"/>
      <c r="E65" s="942"/>
      <c r="F65" s="942"/>
      <c r="G65" s="942"/>
      <c r="H65" s="942"/>
      <c r="I65" s="942"/>
      <c r="J65" s="942"/>
      <c r="K65" s="942"/>
      <c r="L65" s="943"/>
      <c r="M65" s="582"/>
      <c r="N65" s="521"/>
      <c r="O65" s="521"/>
      <c r="P65" s="521"/>
      <c r="Q65" s="521"/>
      <c r="R65" s="521"/>
      <c r="S65" s="521"/>
      <c r="T65" s="521"/>
      <c r="U65" s="521"/>
      <c r="V65" s="521"/>
      <c r="W65" s="521"/>
      <c r="X65" s="521"/>
      <c r="Y65" s="521"/>
      <c r="Z65" s="521"/>
      <c r="AA65" s="521"/>
      <c r="AB65" s="521"/>
      <c r="AC65" s="521"/>
      <c r="AD65" s="521"/>
      <c r="AE65" s="521"/>
      <c r="AF65" s="521"/>
      <c r="AG65" s="521"/>
      <c r="AH65" s="521"/>
      <c r="AI65" s="522"/>
      <c r="AJ65" s="521"/>
      <c r="AK65" s="521"/>
      <c r="AL65" s="521"/>
      <c r="AM65" s="521"/>
      <c r="AN65" s="521"/>
      <c r="AO65" s="521"/>
      <c r="AP65" s="521"/>
      <c r="AQ65" s="521"/>
      <c r="AR65" s="521"/>
      <c r="AS65" s="521"/>
    </row>
    <row r="66" spans="2:45" s="662" customFormat="1" ht="17.25" customHeight="1">
      <c r="B66" s="782"/>
      <c r="C66" s="783" t="s">
        <v>332</v>
      </c>
      <c r="D66" s="884">
        <f>D59</f>
        <v>257</v>
      </c>
      <c r="E66" s="895"/>
      <c r="F66" s="888"/>
      <c r="G66" s="888"/>
      <c r="H66" s="769">
        <f>H58+H59</f>
        <v>75.371428571428567</v>
      </c>
      <c r="I66" s="769"/>
      <c r="J66" s="784" t="s">
        <v>333</v>
      </c>
      <c r="K66" s="785">
        <v>72</v>
      </c>
      <c r="L66" s="786"/>
      <c r="M66" s="607"/>
      <c r="N66" s="521"/>
      <c r="O66" s="521"/>
      <c r="P66" s="521"/>
      <c r="Q66" s="521"/>
      <c r="R66" s="521"/>
      <c r="S66" s="521"/>
      <c r="T66" s="521"/>
      <c r="U66" s="521"/>
      <c r="V66" s="521"/>
      <c r="W66" s="521"/>
      <c r="X66" s="521"/>
      <c r="Y66" s="521"/>
      <c r="Z66" s="521"/>
      <c r="AA66" s="521"/>
      <c r="AB66" s="521"/>
      <c r="AC66" s="521"/>
      <c r="AD66" s="521"/>
      <c r="AE66" s="521"/>
      <c r="AF66" s="521"/>
      <c r="AG66" s="521"/>
      <c r="AH66" s="521"/>
      <c r="AI66" s="522"/>
      <c r="AJ66" s="521"/>
      <c r="AK66" s="521"/>
      <c r="AL66" s="521"/>
      <c r="AM66" s="521"/>
      <c r="AN66" s="521"/>
      <c r="AO66" s="521"/>
      <c r="AP66" s="521"/>
      <c r="AQ66" s="521"/>
      <c r="AR66" s="521"/>
      <c r="AS66" s="521"/>
    </row>
    <row r="67" spans="2:45" s="662" customFormat="1" ht="23">
      <c r="B67" s="744"/>
      <c r="C67" s="136" t="s">
        <v>334</v>
      </c>
      <c r="D67" s="479">
        <v>115</v>
      </c>
      <c r="E67" s="651"/>
      <c r="F67" s="899" t="s">
        <v>335</v>
      </c>
      <c r="G67" s="448">
        <v>300</v>
      </c>
      <c r="H67" s="448"/>
      <c r="I67" s="448"/>
      <c r="J67" s="566" t="s">
        <v>336</v>
      </c>
      <c r="K67" s="553">
        <v>88</v>
      </c>
      <c r="L67" s="638"/>
      <c r="M67" s="608"/>
      <c r="N67" s="521"/>
      <c r="O67" s="521"/>
      <c r="P67" s="521"/>
      <c r="Q67" s="521"/>
      <c r="R67" s="521"/>
      <c r="S67" s="521"/>
      <c r="T67" s="521"/>
      <c r="U67" s="521"/>
      <c r="V67" s="521"/>
      <c r="W67" s="521"/>
      <c r="X67" s="521"/>
      <c r="Y67" s="521"/>
      <c r="Z67" s="521"/>
      <c r="AA67" s="521"/>
      <c r="AB67" s="521"/>
      <c r="AC67" s="521"/>
      <c r="AD67" s="521"/>
      <c r="AE67" s="521"/>
      <c r="AF67" s="521"/>
      <c r="AG67" s="521"/>
      <c r="AH67" s="521"/>
      <c r="AI67" s="522"/>
      <c r="AJ67" s="521"/>
      <c r="AK67" s="521"/>
      <c r="AL67" s="521"/>
      <c r="AM67" s="521"/>
      <c r="AN67" s="521"/>
      <c r="AO67" s="521"/>
      <c r="AP67" s="521"/>
      <c r="AQ67" s="521"/>
      <c r="AR67" s="521"/>
      <c r="AS67" s="521"/>
    </row>
    <row r="68" spans="2:45" s="662" customFormat="1" ht="13.5" thickBot="1">
      <c r="B68" s="751"/>
      <c r="C68" s="613" t="s">
        <v>337</v>
      </c>
      <c r="D68" s="883">
        <v>3</v>
      </c>
      <c r="E68" s="887"/>
      <c r="F68" s="887"/>
      <c r="G68" s="887"/>
      <c r="H68" s="538">
        <v>2</v>
      </c>
      <c r="I68" s="538"/>
      <c r="J68" s="771" t="s">
        <v>338</v>
      </c>
      <c r="K68" s="772">
        <v>92</v>
      </c>
      <c r="L68" s="773"/>
      <c r="M68" s="608"/>
      <c r="N68" s="521"/>
      <c r="O68" s="521"/>
      <c r="P68" s="521"/>
      <c r="Q68" s="521"/>
      <c r="R68" s="521"/>
      <c r="S68" s="521"/>
      <c r="T68" s="521"/>
      <c r="U68" s="521"/>
      <c r="V68" s="521"/>
      <c r="W68" s="521"/>
      <c r="X68" s="521"/>
      <c r="Y68" s="521"/>
      <c r="Z68" s="521"/>
      <c r="AA68" s="521"/>
      <c r="AB68" s="521"/>
      <c r="AC68" s="521"/>
      <c r="AD68" s="521"/>
      <c r="AE68" s="521"/>
      <c r="AF68" s="521"/>
      <c r="AG68" s="521"/>
      <c r="AH68" s="521"/>
      <c r="AI68" s="522"/>
      <c r="AJ68" s="521"/>
      <c r="AK68" s="521"/>
      <c r="AL68" s="521"/>
      <c r="AM68" s="521"/>
      <c r="AN68" s="521"/>
      <c r="AO68" s="521"/>
      <c r="AP68" s="521"/>
      <c r="AQ68" s="521"/>
      <c r="AR68" s="521"/>
      <c r="AS68" s="521"/>
    </row>
    <row r="69" spans="2:45" s="662" customFormat="1" ht="12" thickBot="1">
      <c r="B69" s="778"/>
      <c r="C69" s="941" t="s">
        <v>339</v>
      </c>
      <c r="D69" s="942"/>
      <c r="E69" s="942"/>
      <c r="F69" s="942"/>
      <c r="G69" s="942"/>
      <c r="H69" s="942"/>
      <c r="I69" s="942"/>
      <c r="J69" s="942"/>
      <c r="K69" s="942"/>
      <c r="L69" s="943"/>
      <c r="M69" s="582"/>
      <c r="N69" s="521"/>
      <c r="O69" s="521"/>
      <c r="P69" s="521"/>
      <c r="Q69" s="521"/>
      <c r="R69" s="521"/>
      <c r="S69" s="521"/>
      <c r="T69" s="521"/>
      <c r="U69" s="521"/>
      <c r="V69" s="521"/>
      <c r="W69" s="521"/>
      <c r="X69" s="521"/>
      <c r="Y69" s="521"/>
      <c r="Z69" s="521"/>
      <c r="AA69" s="521"/>
      <c r="AB69" s="521"/>
      <c r="AC69" s="521"/>
      <c r="AD69" s="521"/>
      <c r="AE69" s="521"/>
      <c r="AF69" s="521"/>
      <c r="AG69" s="521"/>
      <c r="AH69" s="521"/>
      <c r="AI69" s="522"/>
      <c r="AJ69" s="521"/>
      <c r="AK69" s="521"/>
      <c r="AL69" s="521"/>
      <c r="AM69" s="521"/>
      <c r="AN69" s="521"/>
      <c r="AO69" s="521"/>
      <c r="AP69" s="521"/>
      <c r="AQ69" s="521"/>
      <c r="AR69" s="521"/>
      <c r="AS69" s="521"/>
    </row>
    <row r="70" spans="2:45" s="662" customFormat="1" ht="24" customHeight="1">
      <c r="B70" s="745"/>
      <c r="C70" s="594" t="s">
        <v>340</v>
      </c>
      <c r="D70" s="544">
        <v>65</v>
      </c>
      <c r="E70" s="647"/>
      <c r="F70" s="774"/>
      <c r="G70" s="775"/>
      <c r="H70" s="882">
        <f>(D70)/G67*60</f>
        <v>13</v>
      </c>
      <c r="I70" s="764" t="str">
        <f>IF(OR(F71="",F70=""),"",IF(F71&gt;=F70,(F71-F70)*24*60,(1+F71-F70)*24*60))</f>
        <v/>
      </c>
      <c r="J70" s="776" t="s">
        <v>341</v>
      </c>
      <c r="K70" s="769">
        <v>2400</v>
      </c>
      <c r="L70" s="777" t="s">
        <v>342</v>
      </c>
      <c r="M70" s="531"/>
      <c r="N70" s="521"/>
      <c r="O70" s="521"/>
      <c r="P70" s="521"/>
      <c r="Q70" s="521"/>
      <c r="R70" s="521"/>
      <c r="S70" s="521"/>
      <c r="T70" s="521"/>
      <c r="U70" s="521"/>
      <c r="V70" s="521"/>
      <c r="W70" s="521"/>
      <c r="X70" s="521"/>
      <c r="Y70" s="521"/>
      <c r="Z70" s="521"/>
      <c r="AA70" s="521"/>
      <c r="AB70" s="521"/>
      <c r="AC70" s="521"/>
      <c r="AD70" s="521"/>
      <c r="AE70" s="521"/>
      <c r="AF70" s="521"/>
      <c r="AG70" s="521"/>
      <c r="AH70" s="521"/>
      <c r="AI70" s="522"/>
      <c r="AJ70" s="521"/>
      <c r="AK70" s="521"/>
      <c r="AL70" s="521"/>
      <c r="AM70" s="521"/>
      <c r="AN70" s="521"/>
      <c r="AO70" s="521"/>
      <c r="AP70" s="521"/>
      <c r="AQ70" s="521"/>
      <c r="AR70" s="521"/>
      <c r="AS70" s="521"/>
    </row>
    <row r="71" spans="2:45" s="662" customFormat="1" ht="24" customHeight="1">
      <c r="B71" s="744"/>
      <c r="C71" s="536" t="s">
        <v>343</v>
      </c>
      <c r="D71" s="448"/>
      <c r="E71" s="651"/>
      <c r="F71" s="648" t="str">
        <f>IF(ISBLANK(F70),"",F70+TIME(0,H70,0))</f>
        <v/>
      </c>
      <c r="G71" s="648"/>
      <c r="H71" s="448">
        <f>(180-D70)/G67*60</f>
        <v>23</v>
      </c>
      <c r="I71" s="685" t="str">
        <f>IF(OR(F72="",F71=""),"",IF(F72&gt;=F71,(F72-F71)*24*60,(1+F72-F71)*24*60))</f>
        <v/>
      </c>
      <c r="J71" s="539" t="s">
        <v>341</v>
      </c>
      <c r="K71" s="610">
        <v>1100</v>
      </c>
      <c r="L71" s="609" t="s">
        <v>344</v>
      </c>
      <c r="M71" s="531"/>
      <c r="N71" s="521"/>
      <c r="O71" s="521">
        <f>K71*4/60</f>
        <v>73.333333333333329</v>
      </c>
      <c r="P71" s="521"/>
      <c r="Q71" s="521">
        <v>734</v>
      </c>
      <c r="R71" s="521"/>
      <c r="S71" s="521"/>
      <c r="T71" s="521"/>
      <c r="U71" s="521"/>
      <c r="V71" s="521"/>
      <c r="W71" s="521"/>
      <c r="X71" s="521"/>
      <c r="Y71" s="521"/>
      <c r="Z71" s="521"/>
      <c r="AA71" s="521"/>
      <c r="AB71" s="521"/>
      <c r="AC71" s="521"/>
      <c r="AD71" s="521"/>
      <c r="AE71" s="521"/>
      <c r="AF71" s="521"/>
      <c r="AG71" s="521"/>
      <c r="AH71" s="521"/>
      <c r="AI71" s="522"/>
      <c r="AJ71" s="521"/>
      <c r="AK71" s="521"/>
      <c r="AL71" s="521"/>
      <c r="AM71" s="521"/>
      <c r="AN71" s="521"/>
      <c r="AO71" s="521"/>
      <c r="AP71" s="521"/>
      <c r="AQ71" s="521"/>
      <c r="AR71" s="521"/>
      <c r="AS71" s="521"/>
    </row>
    <row r="72" spans="2:45" s="662" customFormat="1" ht="16" customHeight="1">
      <c r="B72" s="885"/>
      <c r="C72" s="949" t="s">
        <v>345</v>
      </c>
      <c r="D72" s="951" t="s">
        <v>346</v>
      </c>
      <c r="E72" s="960"/>
      <c r="F72" s="962"/>
      <c r="G72" s="955" t="str">
        <f>IF(ISBLANK($F$72),"",F72+TIME(0,H72,0))</f>
        <v/>
      </c>
      <c r="H72" s="951">
        <v>30</v>
      </c>
      <c r="I72" s="947" t="str">
        <f>IF(ISBLANK($F$72),"",(G72-F72)*24*60)</f>
        <v/>
      </c>
      <c r="J72" s="566" t="s">
        <v>347</v>
      </c>
      <c r="K72" s="479">
        <v>1700</v>
      </c>
      <c r="L72" s="611"/>
      <c r="M72" s="593"/>
      <c r="N72" s="521"/>
      <c r="O72" s="521">
        <f>K72*H72/60</f>
        <v>850</v>
      </c>
      <c r="P72" s="521"/>
      <c r="Q72" s="521">
        <v>1763</v>
      </c>
      <c r="R72" s="521"/>
      <c r="S72" s="521"/>
      <c r="T72" s="521"/>
      <c r="U72" s="521"/>
      <c r="V72" s="521"/>
      <c r="W72" s="521"/>
      <c r="X72" s="521"/>
      <c r="Y72" s="521"/>
      <c r="Z72" s="521"/>
      <c r="AA72" s="521"/>
      <c r="AB72" s="521"/>
      <c r="AC72" s="521"/>
      <c r="AD72" s="521"/>
      <c r="AE72" s="521"/>
      <c r="AF72" s="521"/>
      <c r="AG72" s="521"/>
      <c r="AH72" s="521"/>
      <c r="AI72" s="522"/>
      <c r="AJ72" s="521"/>
      <c r="AK72" s="521"/>
      <c r="AL72" s="521"/>
      <c r="AM72" s="521"/>
      <c r="AN72" s="521"/>
      <c r="AO72" s="521"/>
      <c r="AP72" s="521"/>
      <c r="AQ72" s="521"/>
      <c r="AR72" s="521"/>
      <c r="AS72" s="521"/>
    </row>
    <row r="73" spans="2:45" s="662" customFormat="1" ht="16" customHeight="1">
      <c r="B73" s="886"/>
      <c r="C73" s="950"/>
      <c r="D73" s="952"/>
      <c r="E73" s="961"/>
      <c r="F73" s="963"/>
      <c r="G73" s="956"/>
      <c r="H73" s="952"/>
      <c r="I73" s="948"/>
      <c r="J73" s="566" t="s">
        <v>348</v>
      </c>
      <c r="K73" s="883">
        <v>1100</v>
      </c>
      <c r="L73" s="611"/>
      <c r="M73" s="612"/>
      <c r="N73" s="521"/>
      <c r="O73" s="521"/>
      <c r="P73" s="521"/>
      <c r="Q73" s="521"/>
      <c r="R73" s="521"/>
      <c r="S73" s="521"/>
      <c r="T73" s="521"/>
      <c r="U73" s="521"/>
      <c r="V73" s="521"/>
      <c r="W73" s="521"/>
      <c r="X73" s="521"/>
      <c r="Y73" s="521"/>
      <c r="Z73" s="521"/>
      <c r="AA73" s="521"/>
      <c r="AB73" s="521"/>
      <c r="AC73" s="521"/>
      <c r="AD73" s="521"/>
      <c r="AE73" s="521"/>
      <c r="AF73" s="521"/>
      <c r="AG73" s="521"/>
      <c r="AH73" s="521"/>
      <c r="AI73" s="522"/>
      <c r="AJ73" s="521"/>
      <c r="AK73" s="521"/>
      <c r="AL73" s="521"/>
      <c r="AM73" s="521"/>
      <c r="AN73" s="521"/>
      <c r="AO73" s="521"/>
      <c r="AP73" s="521"/>
      <c r="AQ73" s="521"/>
      <c r="AR73" s="521"/>
      <c r="AS73" s="521"/>
    </row>
    <row r="74" spans="2:45" s="662" customFormat="1" ht="20.149999999999999" customHeight="1">
      <c r="B74" s="751"/>
      <c r="C74" s="613" t="s">
        <v>349</v>
      </c>
      <c r="D74" s="614">
        <v>2.5</v>
      </c>
      <c r="E74" s="656"/>
      <c r="F74" s="889" t="s">
        <v>350</v>
      </c>
      <c r="G74" s="890"/>
      <c r="H74" s="891"/>
      <c r="I74" s="682">
        <v>5</v>
      </c>
      <c r="J74" s="574" t="s">
        <v>351</v>
      </c>
      <c r="K74" s="639"/>
      <c r="L74" s="645"/>
      <c r="M74" s="615"/>
      <c r="N74" s="521"/>
      <c r="O74" s="521"/>
      <c r="P74" s="521"/>
      <c r="Q74" s="521"/>
      <c r="R74" s="521"/>
      <c r="S74" s="521"/>
      <c r="T74" s="521"/>
      <c r="U74" s="521"/>
      <c r="V74" s="521"/>
      <c r="W74" s="521"/>
      <c r="X74" s="521"/>
      <c r="Y74" s="521"/>
      <c r="Z74" s="521"/>
      <c r="AA74" s="521"/>
      <c r="AB74" s="521"/>
      <c r="AC74" s="521"/>
      <c r="AD74" s="521"/>
      <c r="AE74" s="521"/>
      <c r="AF74" s="521"/>
      <c r="AG74" s="521"/>
      <c r="AH74" s="521"/>
      <c r="AI74" s="522"/>
      <c r="AJ74" s="521"/>
      <c r="AK74" s="521"/>
      <c r="AL74" s="521"/>
      <c r="AM74" s="521"/>
      <c r="AN74" s="521"/>
      <c r="AO74" s="521"/>
      <c r="AP74" s="521"/>
      <c r="AQ74" s="521"/>
      <c r="AR74" s="521"/>
      <c r="AS74" s="521"/>
    </row>
    <row r="75" spans="2:45" s="662" customFormat="1" ht="20.149999999999999" customHeight="1">
      <c r="B75" s="744"/>
      <c r="C75" s="536" t="str">
        <f>'10027'!C75</f>
        <v>Hop pellet Herkules 12.8% aa, kg</v>
      </c>
      <c r="D75" s="637">
        <f>'10027'!D75</f>
        <v>2.48</v>
      </c>
      <c r="E75" s="657"/>
      <c r="F75" s="892" t="s">
        <v>353</v>
      </c>
      <c r="G75" s="893"/>
      <c r="H75" s="894"/>
      <c r="I75" s="682">
        <v>10</v>
      </c>
      <c r="J75" s="716" t="s">
        <v>354</v>
      </c>
      <c r="K75" s="639"/>
      <c r="L75" s="540"/>
      <c r="M75" s="615"/>
      <c r="N75" s="521"/>
      <c r="O75" s="521"/>
      <c r="P75" s="521"/>
      <c r="Q75" s="521"/>
      <c r="R75" s="521"/>
      <c r="S75" s="521"/>
      <c r="T75" s="521"/>
      <c r="U75" s="521"/>
      <c r="V75" s="521"/>
      <c r="W75" s="521"/>
      <c r="X75" s="521"/>
      <c r="Y75" s="521"/>
      <c r="Z75" s="521"/>
      <c r="AA75" s="521"/>
      <c r="AB75" s="521"/>
      <c r="AC75" s="521"/>
      <c r="AD75" s="521"/>
      <c r="AE75" s="521"/>
      <c r="AF75" s="521"/>
      <c r="AG75" s="521"/>
      <c r="AH75" s="521"/>
      <c r="AI75" s="522"/>
      <c r="AJ75" s="521" t="e">
        <v>#N/A</v>
      </c>
      <c r="AK75" s="521" t="e">
        <v>#N/A</v>
      </c>
      <c r="AL75" s="521"/>
      <c r="AM75" s="521" t="s">
        <v>355</v>
      </c>
      <c r="AN75" s="521"/>
      <c r="AO75" s="521"/>
      <c r="AP75" s="521"/>
      <c r="AQ75" s="521"/>
      <c r="AR75" s="521"/>
      <c r="AS75" s="521"/>
    </row>
    <row r="76" spans="2:45" s="662" customFormat="1" ht="20.149999999999999" customHeight="1">
      <c r="B76" s="744"/>
      <c r="C76" s="536" t="str">
        <f>'10027'!C76</f>
        <v>Hop Rainer 7.1% aa, kg</v>
      </c>
      <c r="D76" s="637">
        <f>'10027'!D76</f>
        <v>2.2000000000000002</v>
      </c>
      <c r="E76" s="657"/>
      <c r="F76" s="892" t="s">
        <v>357</v>
      </c>
      <c r="G76" s="894"/>
      <c r="H76" s="538">
        <v>0</v>
      </c>
      <c r="I76" s="682">
        <v>0</v>
      </c>
      <c r="J76" s="539" t="s">
        <v>358</v>
      </c>
      <c r="K76" s="583" t="s">
        <v>359</v>
      </c>
      <c r="L76" s="723"/>
      <c r="M76" s="615"/>
      <c r="N76" s="521"/>
      <c r="O76" s="521"/>
      <c r="P76" s="521"/>
      <c r="Q76" s="521"/>
      <c r="R76" s="521"/>
      <c r="S76" s="521"/>
      <c r="T76" s="521"/>
      <c r="U76" s="521"/>
      <c r="V76" s="521"/>
      <c r="W76" s="521"/>
      <c r="X76" s="521"/>
      <c r="Y76" s="521"/>
      <c r="Z76" s="521"/>
      <c r="AA76" s="521"/>
      <c r="AB76" s="521"/>
      <c r="AC76" s="521"/>
      <c r="AD76" s="521"/>
      <c r="AE76" s="521"/>
      <c r="AF76" s="521"/>
      <c r="AG76" s="521"/>
      <c r="AH76" s="521"/>
      <c r="AI76" s="522"/>
      <c r="AJ76" s="521"/>
      <c r="AK76" s="521"/>
      <c r="AL76" s="521"/>
      <c r="AM76" s="521"/>
      <c r="AN76" s="521"/>
      <c r="AO76" s="521"/>
      <c r="AP76" s="521"/>
      <c r="AQ76" s="521"/>
      <c r="AR76" s="521"/>
      <c r="AS76" s="521"/>
    </row>
    <row r="77" spans="2:45" s="662" customFormat="1" ht="20.149999999999999" customHeight="1">
      <c r="B77" s="744"/>
      <c r="C77" s="536" t="str">
        <f>'10027'!C77</f>
        <v>Hop pellet Opal 8.6% aa, kg</v>
      </c>
      <c r="D77" s="637">
        <f>'10027'!D77</f>
        <v>2.41</v>
      </c>
      <c r="E77" s="658"/>
      <c r="F77" s="892" t="s">
        <v>361</v>
      </c>
      <c r="G77" s="894"/>
      <c r="H77" s="538" t="s">
        <v>362</v>
      </c>
      <c r="I77" s="682">
        <f ca="1">101+RANDBETWEEN(-3,1)/10</f>
        <v>101.1</v>
      </c>
      <c r="J77" s="574" t="s">
        <v>363</v>
      </c>
      <c r="K77" s="562" t="s">
        <v>364</v>
      </c>
      <c r="L77" s="711">
        <f ca="1">101+RANDBETWEEN(-1,2)/10</f>
        <v>101</v>
      </c>
      <c r="M77" s="615"/>
      <c r="N77" s="521"/>
      <c r="O77" s="521"/>
      <c r="P77" s="521"/>
      <c r="Q77" s="521"/>
      <c r="R77" s="521"/>
      <c r="S77" s="521"/>
      <c r="T77" s="521"/>
      <c r="U77" s="521"/>
      <c r="V77" s="521"/>
      <c r="W77" s="521"/>
      <c r="X77" s="521"/>
      <c r="Y77" s="521"/>
      <c r="Z77" s="521"/>
      <c r="AA77" s="521"/>
      <c r="AB77" s="521"/>
      <c r="AC77" s="521"/>
      <c r="AD77" s="521"/>
      <c r="AE77" s="521"/>
      <c r="AF77" s="521"/>
      <c r="AG77" s="521"/>
      <c r="AH77" s="521"/>
      <c r="AI77" s="522"/>
      <c r="AJ77" s="521"/>
      <c r="AK77" s="521"/>
      <c r="AL77" s="521"/>
      <c r="AM77" s="521"/>
      <c r="AN77" s="521"/>
      <c r="AO77" s="521"/>
      <c r="AP77" s="521"/>
      <c r="AQ77" s="521"/>
      <c r="AR77" s="521"/>
      <c r="AS77" s="521"/>
    </row>
    <row r="78" spans="2:45" s="662" customFormat="1" ht="16" customHeight="1">
      <c r="B78" s="885"/>
      <c r="C78" s="949" t="s">
        <v>365</v>
      </c>
      <c r="D78" s="951" t="s">
        <v>366</v>
      </c>
      <c r="E78" s="957">
        <f>E66</f>
        <v>0</v>
      </c>
      <c r="F78" s="955" t="str">
        <f>G72</f>
        <v/>
      </c>
      <c r="G78" s="955" t="str">
        <f>IF(ISBLANK($F$72),"",F78+TIME(0,H78,0))</f>
        <v/>
      </c>
      <c r="H78" s="951">
        <v>25</v>
      </c>
      <c r="I78" s="947" t="str">
        <f>IF(ISBLANK($F$72),"",(G78-F78)*24*60)</f>
        <v/>
      </c>
      <c r="J78" s="566" t="s">
        <v>347</v>
      </c>
      <c r="K78" s="479">
        <v>750</v>
      </c>
      <c r="L78" s="558"/>
      <c r="M78" s="593"/>
      <c r="N78" s="521"/>
      <c r="O78" s="521">
        <f>K78*45/60</f>
        <v>562.5</v>
      </c>
      <c r="P78" s="521"/>
      <c r="Q78" s="521"/>
      <c r="R78" s="521"/>
      <c r="S78" s="521"/>
      <c r="T78" s="616"/>
      <c r="U78" s="521"/>
      <c r="V78" s="521"/>
      <c r="W78" s="521"/>
      <c r="X78" s="521"/>
      <c r="Y78" s="521"/>
      <c r="Z78" s="521"/>
      <c r="AA78" s="521"/>
      <c r="AB78" s="521"/>
      <c r="AC78" s="521"/>
      <c r="AD78" s="521"/>
      <c r="AE78" s="521"/>
      <c r="AF78" s="521"/>
      <c r="AG78" s="521"/>
      <c r="AH78" s="521"/>
      <c r="AI78" s="522"/>
      <c r="AJ78" s="521"/>
      <c r="AK78" s="521"/>
      <c r="AL78" s="521"/>
      <c r="AM78" s="521"/>
      <c r="AN78" s="521"/>
      <c r="AO78" s="433"/>
      <c r="AP78" s="433"/>
      <c r="AQ78" s="433"/>
      <c r="AR78" s="896"/>
      <c r="AS78" s="896"/>
    </row>
    <row r="79" spans="2:45" s="662" customFormat="1" ht="16" customHeight="1">
      <c r="B79" s="886"/>
      <c r="C79" s="950"/>
      <c r="D79" s="952"/>
      <c r="E79" s="958"/>
      <c r="F79" s="956"/>
      <c r="G79" s="956"/>
      <c r="H79" s="952"/>
      <c r="I79" s="948"/>
      <c r="J79" s="566" t="s">
        <v>348</v>
      </c>
      <c r="K79" s="479">
        <v>450</v>
      </c>
      <c r="L79" s="558"/>
      <c r="M79" s="593"/>
      <c r="N79" s="521"/>
      <c r="O79" s="521"/>
      <c r="P79" s="521"/>
      <c r="Q79" s="521"/>
      <c r="R79" s="521"/>
      <c r="S79" s="521"/>
      <c r="T79" s="616"/>
      <c r="U79" s="521"/>
      <c r="V79" s="521"/>
      <c r="W79" s="521"/>
      <c r="X79" s="521"/>
      <c r="Y79" s="521"/>
      <c r="Z79" s="521"/>
      <c r="AA79" s="521"/>
      <c r="AB79" s="521"/>
      <c r="AC79" s="521"/>
      <c r="AD79" s="521"/>
      <c r="AE79" s="521"/>
      <c r="AF79" s="521"/>
      <c r="AG79" s="521"/>
      <c r="AH79" s="521"/>
      <c r="AI79" s="522"/>
      <c r="AJ79" s="521"/>
      <c r="AK79" s="521"/>
      <c r="AL79" s="521"/>
      <c r="AM79" s="521">
        <v>17</v>
      </c>
      <c r="AN79" s="521">
        <v>8</v>
      </c>
      <c r="AO79" s="521"/>
      <c r="AP79" s="617"/>
      <c r="AQ79" s="617"/>
      <c r="AR79" s="618"/>
      <c r="AS79" s="521"/>
    </row>
    <row r="80" spans="2:45" s="662" customFormat="1" ht="16" customHeight="1">
      <c r="B80" s="885"/>
      <c r="C80" s="949" t="s">
        <v>367</v>
      </c>
      <c r="D80" s="951" t="s">
        <v>366</v>
      </c>
      <c r="E80" s="953"/>
      <c r="F80" s="955" t="str">
        <f>G78</f>
        <v/>
      </c>
      <c r="G80" s="955" t="str">
        <f>IF(ISBLANK($F$72),"",F80+TIME(0,H80,0))</f>
        <v/>
      </c>
      <c r="H80" s="951">
        <v>20</v>
      </c>
      <c r="I80" s="947" t="str">
        <f>IF(ISBLANK($F$72),"",(G80-F80)*24*60)</f>
        <v/>
      </c>
      <c r="J80" s="566" t="s">
        <v>347</v>
      </c>
      <c r="K80" s="479">
        <v>1700</v>
      </c>
      <c r="L80" s="558"/>
      <c r="M80" s="593"/>
      <c r="N80" s="521"/>
      <c r="O80" s="521">
        <f>K80*45/60</f>
        <v>1275</v>
      </c>
      <c r="P80" s="521"/>
      <c r="Q80" s="521"/>
      <c r="R80" s="521"/>
      <c r="S80" s="521"/>
      <c r="T80" s="616"/>
      <c r="U80" s="521"/>
      <c r="V80" s="521"/>
      <c r="W80" s="521"/>
      <c r="X80" s="521"/>
      <c r="Y80" s="521"/>
      <c r="Z80" s="521"/>
      <c r="AA80" s="521"/>
      <c r="AB80" s="521"/>
      <c r="AC80" s="521"/>
      <c r="AD80" s="521"/>
      <c r="AE80" s="521"/>
      <c r="AF80" s="521"/>
      <c r="AG80" s="521"/>
      <c r="AH80" s="521"/>
      <c r="AI80" s="522"/>
      <c r="AJ80" s="521"/>
      <c r="AK80" s="521"/>
      <c r="AL80" s="521"/>
      <c r="AM80" s="521">
        <v>4</v>
      </c>
      <c r="AN80" s="521">
        <v>23</v>
      </c>
      <c r="AO80" s="433"/>
      <c r="AP80" s="433"/>
      <c r="AQ80" s="433"/>
      <c r="AR80" s="896"/>
      <c r="AS80" s="896"/>
    </row>
    <row r="81" spans="2:45" s="662" customFormat="1" ht="16" customHeight="1">
      <c r="B81" s="886"/>
      <c r="C81" s="950"/>
      <c r="D81" s="952"/>
      <c r="E81" s="954"/>
      <c r="F81" s="956"/>
      <c r="G81" s="956"/>
      <c r="H81" s="952"/>
      <c r="I81" s="948"/>
      <c r="J81" s="566" t="s">
        <v>348</v>
      </c>
      <c r="K81" s="479">
        <v>1100</v>
      </c>
      <c r="L81" s="558"/>
      <c r="M81" s="593"/>
      <c r="N81" s="521"/>
      <c r="O81" s="521"/>
      <c r="P81" s="521"/>
      <c r="Q81" s="521"/>
      <c r="R81" s="521"/>
      <c r="S81" s="521"/>
      <c r="T81" s="616"/>
      <c r="U81" s="521"/>
      <c r="V81" s="521"/>
      <c r="W81" s="521"/>
      <c r="X81" s="521"/>
      <c r="Y81" s="521"/>
      <c r="Z81" s="521"/>
      <c r="AA81" s="521"/>
      <c r="AB81" s="521"/>
      <c r="AC81" s="521"/>
      <c r="AD81" s="521"/>
      <c r="AE81" s="521"/>
      <c r="AF81" s="521"/>
      <c r="AG81" s="521"/>
      <c r="AH81" s="521"/>
      <c r="AI81" s="522"/>
      <c r="AJ81" s="521"/>
      <c r="AK81" s="521"/>
      <c r="AL81" s="521"/>
      <c r="AM81" s="521"/>
      <c r="AN81" s="521">
        <v>17</v>
      </c>
      <c r="AO81" s="521">
        <v>161</v>
      </c>
      <c r="AP81" s="617"/>
      <c r="AQ81" s="617"/>
      <c r="AR81" s="618"/>
      <c r="AS81" s="521"/>
    </row>
    <row r="82" spans="2:45" s="662" customFormat="1" ht="18.649999999999999" customHeight="1">
      <c r="B82" s="846"/>
      <c r="C82" s="613" t="s">
        <v>368</v>
      </c>
      <c r="D82" s="850">
        <f>'10027'!D82</f>
        <v>2.1</v>
      </c>
      <c r="E82" s="847"/>
      <c r="F82" s="848"/>
      <c r="G82" s="848"/>
      <c r="H82" s="849"/>
      <c r="I82" s="849"/>
      <c r="J82" s="883"/>
      <c r="K82" s="883"/>
      <c r="L82" s="611"/>
      <c r="M82" s="593"/>
      <c r="N82" s="521"/>
      <c r="O82" s="521"/>
      <c r="P82" s="521"/>
      <c r="Q82" s="521"/>
      <c r="R82" s="521"/>
      <c r="S82" s="521"/>
      <c r="T82" s="616"/>
      <c r="U82" s="521"/>
      <c r="V82" s="521"/>
      <c r="W82" s="521"/>
      <c r="X82" s="521"/>
      <c r="Y82" s="521"/>
      <c r="Z82" s="521"/>
      <c r="AA82" s="521"/>
      <c r="AB82" s="521"/>
      <c r="AC82" s="521"/>
      <c r="AD82" s="521"/>
      <c r="AE82" s="521"/>
      <c r="AF82" s="521"/>
      <c r="AG82" s="521"/>
      <c r="AH82" s="521"/>
      <c r="AI82" s="522"/>
      <c r="AJ82" s="521"/>
      <c r="AK82" s="521"/>
      <c r="AL82" s="521"/>
      <c r="AM82" s="521"/>
      <c r="AN82" s="521"/>
      <c r="AO82" s="521"/>
      <c r="AP82" s="617"/>
      <c r="AQ82" s="617"/>
      <c r="AR82" s="618"/>
      <c r="AS82" s="521"/>
    </row>
    <row r="83" spans="2:45" s="662" customFormat="1" ht="28" customHeight="1">
      <c r="B83" s="744"/>
      <c r="C83" s="536" t="s">
        <v>369</v>
      </c>
      <c r="D83" s="679">
        <f>'10027'!D83</f>
        <v>152</v>
      </c>
      <c r="E83" s="537"/>
      <c r="F83" s="683" t="s">
        <v>370</v>
      </c>
      <c r="G83" s="684" t="s">
        <v>371</v>
      </c>
      <c r="H83" s="897" t="s">
        <v>372</v>
      </c>
      <c r="I83" s="898" t="s">
        <v>373</v>
      </c>
      <c r="J83" s="716" t="s">
        <v>374</v>
      </c>
      <c r="K83" s="840" t="str">
        <f>IF(K86="","",K86-K75-K74)</f>
        <v/>
      </c>
      <c r="L83" s="645"/>
      <c r="M83" s="531"/>
      <c r="N83" s="521"/>
      <c r="O83" s="521"/>
      <c r="P83" s="521"/>
      <c r="Q83" s="521"/>
      <c r="R83" s="521"/>
      <c r="S83" s="521"/>
      <c r="T83" s="619"/>
      <c r="U83" s="521"/>
      <c r="V83" s="521"/>
      <c r="W83" s="521"/>
      <c r="X83" s="521"/>
      <c r="Y83" s="521"/>
      <c r="Z83" s="521"/>
      <c r="AA83" s="521"/>
      <c r="AB83" s="521"/>
      <c r="AC83" s="521"/>
      <c r="AD83" s="521"/>
      <c r="AE83" s="521"/>
      <c r="AF83" s="521"/>
      <c r="AG83" s="521"/>
      <c r="AH83" s="521"/>
      <c r="AI83" s="522">
        <f>82.3*1.1</f>
        <v>90.53</v>
      </c>
      <c r="AJ83" s="521"/>
      <c r="AK83" s="521"/>
      <c r="AL83" s="521">
        <f>AI84-AI83</f>
        <v>6.0499999999999972</v>
      </c>
      <c r="AM83" s="521"/>
      <c r="AN83" s="521">
        <v>23</v>
      </c>
      <c r="AO83" s="521">
        <v>50</v>
      </c>
      <c r="AP83" s="617"/>
      <c r="AQ83" s="617"/>
      <c r="AR83" s="618"/>
      <c r="AS83" s="521"/>
    </row>
    <row r="84" spans="2:45" s="662" customFormat="1" ht="25.5" customHeight="1">
      <c r="B84" s="744"/>
      <c r="C84" s="536" t="s">
        <v>375</v>
      </c>
      <c r="D84" s="620" t="s">
        <v>376</v>
      </c>
      <c r="E84" s="646"/>
      <c r="F84" s="648" t="str">
        <f>G80</f>
        <v/>
      </c>
      <c r="G84" s="648"/>
      <c r="H84" s="448">
        <v>9</v>
      </c>
      <c r="I84" s="685" t="str">
        <f>IF(ISBLANK($F$72),"",(F88-F84)*24*60)</f>
        <v/>
      </c>
      <c r="J84" s="539" t="s">
        <v>377</v>
      </c>
      <c r="K84" s="557">
        <v>18</v>
      </c>
      <c r="L84" s="742"/>
      <c r="M84" s="531"/>
      <c r="N84" s="521"/>
      <c r="O84" s="521"/>
      <c r="P84" s="521"/>
      <c r="Q84" s="521"/>
      <c r="R84" s="616"/>
      <c r="S84" s="521"/>
      <c r="T84" s="532"/>
      <c r="U84" s="521"/>
      <c r="V84" s="521"/>
      <c r="W84" s="521"/>
      <c r="X84" s="521"/>
      <c r="Y84" s="521"/>
      <c r="Z84" s="521"/>
      <c r="AA84" s="521"/>
      <c r="AB84" s="521"/>
      <c r="AC84" s="521"/>
      <c r="AD84" s="521"/>
      <c r="AE84" s="521"/>
      <c r="AF84" s="521"/>
      <c r="AG84" s="521"/>
      <c r="AH84" s="521"/>
      <c r="AI84" s="522">
        <f>87.8*1.1</f>
        <v>96.58</v>
      </c>
      <c r="AJ84" s="521"/>
      <c r="AK84" s="521"/>
      <c r="AL84" s="521">
        <f>AI85-AI84</f>
        <v>35.42</v>
      </c>
      <c r="AM84" s="521"/>
      <c r="AN84" s="521">
        <f>161/23</f>
        <v>7</v>
      </c>
      <c r="AO84" s="521"/>
      <c r="AP84" s="617"/>
      <c r="AQ84" s="617"/>
      <c r="AR84" s="618"/>
      <c r="AS84" s="521"/>
    </row>
    <row r="85" spans="2:45" s="662" customFormat="1" ht="24" customHeight="1">
      <c r="B85" s="744"/>
      <c r="C85" s="536" t="s">
        <v>378</v>
      </c>
      <c r="D85" s="448">
        <v>5</v>
      </c>
      <c r="E85" s="651"/>
      <c r="F85" s="648"/>
      <c r="G85" s="648"/>
      <c r="H85" s="448">
        <v>1.1111111111111112</v>
      </c>
      <c r="I85" s="448"/>
      <c r="J85" s="566" t="s">
        <v>379</v>
      </c>
      <c r="K85" s="621" t="s">
        <v>380</v>
      </c>
      <c r="L85" s="743"/>
      <c r="M85" s="531"/>
      <c r="N85" s="521"/>
      <c r="O85" s="521"/>
      <c r="P85" s="521"/>
      <c r="Q85" s="521"/>
      <c r="R85" s="521"/>
      <c r="S85" s="521"/>
      <c r="T85" s="521"/>
      <c r="U85" s="521"/>
      <c r="V85" s="521"/>
      <c r="W85" s="521"/>
      <c r="X85" s="521"/>
      <c r="Y85" s="521"/>
      <c r="Z85" s="521"/>
      <c r="AA85" s="521"/>
      <c r="AB85" s="521"/>
      <c r="AC85" s="521"/>
      <c r="AD85" s="521"/>
      <c r="AE85" s="521"/>
      <c r="AF85" s="521"/>
      <c r="AG85" s="521"/>
      <c r="AH85" s="521"/>
      <c r="AI85" s="522">
        <f>120*1.1</f>
        <v>132</v>
      </c>
      <c r="AJ85" s="521"/>
      <c r="AK85" s="521"/>
      <c r="AL85" s="521">
        <f>AI86-AI85</f>
        <v>12.870000000000005</v>
      </c>
      <c r="AM85" s="521"/>
      <c r="AN85" s="521"/>
      <c r="AO85" s="521"/>
      <c r="AP85" s="617"/>
      <c r="AQ85" s="617"/>
      <c r="AR85" s="618"/>
      <c r="AS85" s="521"/>
    </row>
    <row r="86" spans="2:45" s="662" customFormat="1" ht="21.75" customHeight="1" thickBot="1">
      <c r="B86" s="755"/>
      <c r="C86" s="756" t="s">
        <v>381</v>
      </c>
      <c r="D86" s="882"/>
      <c r="E86" s="647"/>
      <c r="F86" s="647"/>
      <c r="G86" s="647"/>
      <c r="H86" s="882">
        <v>100.11111111111111</v>
      </c>
      <c r="I86" s="882"/>
      <c r="J86" s="757" t="s">
        <v>259</v>
      </c>
      <c r="K86" s="639"/>
      <c r="L86" s="758"/>
      <c r="M86" s="531"/>
      <c r="N86" s="521"/>
      <c r="O86" s="521"/>
      <c r="P86" s="521"/>
      <c r="Q86" s="521"/>
      <c r="R86" s="521"/>
      <c r="S86" s="521"/>
      <c r="T86" s="521"/>
      <c r="U86" s="521"/>
      <c r="V86" s="521"/>
      <c r="W86" s="521"/>
      <c r="X86" s="521"/>
      <c r="Y86" s="521"/>
      <c r="Z86" s="521"/>
      <c r="AA86" s="521"/>
      <c r="AB86" s="521"/>
      <c r="AC86" s="521"/>
      <c r="AD86" s="521"/>
      <c r="AE86" s="521"/>
      <c r="AF86" s="521"/>
      <c r="AG86" s="521"/>
      <c r="AH86" s="521"/>
      <c r="AI86" s="522">
        <f>131.7*1.1</f>
        <v>144.87</v>
      </c>
      <c r="AJ86" s="521"/>
      <c r="AK86" s="521"/>
      <c r="AL86" s="521">
        <f>AI87-AI86</f>
        <v>-144.87</v>
      </c>
      <c r="AM86" s="521"/>
      <c r="AN86" s="521"/>
      <c r="AO86" s="523"/>
      <c r="AP86" s="521"/>
      <c r="AQ86" s="622"/>
      <c r="AR86" s="896"/>
      <c r="AS86" s="521"/>
    </row>
    <row r="87" spans="2:45" s="662" customFormat="1" ht="12" thickBot="1">
      <c r="B87" s="770"/>
      <c r="C87" s="941" t="s">
        <v>382</v>
      </c>
      <c r="D87" s="942"/>
      <c r="E87" s="942"/>
      <c r="F87" s="942"/>
      <c r="G87" s="942"/>
      <c r="H87" s="942"/>
      <c r="I87" s="942"/>
      <c r="J87" s="942"/>
      <c r="K87" s="942"/>
      <c r="L87" s="943"/>
      <c r="M87" s="582"/>
      <c r="N87" s="521"/>
      <c r="O87" s="521"/>
      <c r="P87" s="521"/>
      <c r="Q87" s="521"/>
      <c r="R87" s="521"/>
      <c r="S87" s="521"/>
      <c r="T87" s="521"/>
      <c r="U87" s="521"/>
      <c r="V87" s="521"/>
      <c r="W87" s="521"/>
      <c r="X87" s="521"/>
      <c r="Y87" s="521"/>
      <c r="Z87" s="521"/>
      <c r="AA87" s="521"/>
      <c r="AB87" s="521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  <c r="AP87" s="521"/>
      <c r="AQ87" s="521"/>
      <c r="AR87" s="521"/>
      <c r="AS87" s="521"/>
    </row>
    <row r="88" spans="2:45" s="662" customFormat="1" ht="23.25" customHeight="1">
      <c r="B88" s="745"/>
      <c r="C88" s="594" t="s">
        <v>383</v>
      </c>
      <c r="D88" s="882"/>
      <c r="E88" s="647"/>
      <c r="F88" s="888" t="str">
        <f>IF(ISBLANK(F72),"",F84+TIME(0,H84+H85,0))</f>
        <v/>
      </c>
      <c r="G88" s="888" t="str">
        <f>IF(ISBLANK($F$72),"",F88+TIME(0,H88,0))</f>
        <v/>
      </c>
      <c r="H88" s="544">
        <v>10</v>
      </c>
      <c r="I88" s="764" t="str">
        <f>IF(ISBLANK($F$72),"",(G88-F88)*24*60)</f>
        <v/>
      </c>
      <c r="J88" s="543"/>
      <c r="K88" s="765"/>
      <c r="L88" s="766"/>
      <c r="M88" s="531"/>
      <c r="N88" s="521"/>
      <c r="O88" s="521"/>
      <c r="P88" s="521"/>
      <c r="Q88" s="521"/>
      <c r="R88" s="521"/>
      <c r="S88" s="521"/>
      <c r="T88" s="521"/>
      <c r="U88" s="521"/>
      <c r="V88" s="521"/>
      <c r="W88" s="521"/>
      <c r="X88" s="521"/>
      <c r="Y88" s="521"/>
      <c r="Z88" s="521"/>
      <c r="AA88" s="521"/>
      <c r="AB88" s="521"/>
      <c r="AC88" s="521"/>
      <c r="AD88" s="521"/>
      <c r="AE88" s="521"/>
      <c r="AF88" s="521"/>
      <c r="AG88" s="521"/>
      <c r="AH88" s="521"/>
      <c r="AI88" s="522"/>
      <c r="AJ88" s="521"/>
      <c r="AK88" s="521"/>
      <c r="AL88" s="521"/>
      <c r="AM88" s="521"/>
      <c r="AN88" s="521"/>
      <c r="AO88" s="521"/>
      <c r="AP88" s="521"/>
      <c r="AQ88" s="521"/>
      <c r="AR88" s="521"/>
      <c r="AS88" s="521"/>
    </row>
    <row r="89" spans="2:45" s="662" customFormat="1" ht="19.5" customHeight="1">
      <c r="B89" s="744"/>
      <c r="C89" s="536" t="s">
        <v>384</v>
      </c>
      <c r="D89" s="448"/>
      <c r="E89" s="651"/>
      <c r="F89" s="648"/>
      <c r="G89" s="648"/>
      <c r="H89" s="448">
        <v>50</v>
      </c>
      <c r="I89" s="448"/>
      <c r="J89" s="539" t="s">
        <v>385</v>
      </c>
      <c r="K89" s="479">
        <v>269</v>
      </c>
      <c r="L89" s="540"/>
      <c r="M89" s="531"/>
      <c r="N89" s="521"/>
      <c r="O89" s="521"/>
      <c r="P89" s="521"/>
      <c r="Q89" s="521"/>
      <c r="R89" s="521"/>
      <c r="S89" s="521"/>
      <c r="T89" s="521"/>
      <c r="U89" s="521"/>
      <c r="V89" s="521"/>
      <c r="W89" s="521"/>
      <c r="X89" s="521"/>
      <c r="Y89" s="521"/>
      <c r="Z89" s="521"/>
      <c r="AA89" s="521"/>
      <c r="AB89" s="521"/>
      <c r="AC89" s="521"/>
      <c r="AD89" s="521"/>
      <c r="AE89" s="521"/>
      <c r="AF89" s="521"/>
      <c r="AG89" s="521"/>
      <c r="AH89" s="521"/>
      <c r="AI89" s="522"/>
      <c r="AJ89" s="521"/>
      <c r="AK89" s="521"/>
      <c r="AL89" s="521"/>
      <c r="AM89" s="521"/>
      <c r="AN89" s="521"/>
      <c r="AO89" s="521"/>
      <c r="AP89" s="521"/>
      <c r="AQ89" s="521"/>
      <c r="AR89" s="521"/>
      <c r="AS89" s="521"/>
    </row>
    <row r="90" spans="2:45" s="662" customFormat="1" ht="18.75" customHeight="1">
      <c r="B90" s="744"/>
      <c r="C90" s="539" t="s">
        <v>386</v>
      </c>
      <c r="D90" s="448"/>
      <c r="E90" s="651"/>
      <c r="F90" s="648"/>
      <c r="G90" s="648"/>
      <c r="H90" s="448">
        <v>15</v>
      </c>
      <c r="I90" s="448"/>
      <c r="J90" s="448"/>
      <c r="K90" s="448"/>
      <c r="L90" s="558"/>
      <c r="M90" s="531"/>
      <c r="N90" s="521"/>
      <c r="O90" s="521"/>
      <c r="P90" s="521"/>
      <c r="Q90" s="521"/>
      <c r="R90" s="521"/>
      <c r="S90" s="521"/>
      <c r="T90" s="521"/>
      <c r="U90" s="521"/>
      <c r="V90" s="521"/>
      <c r="W90" s="521"/>
      <c r="X90" s="521"/>
      <c r="Y90" s="521"/>
      <c r="Z90" s="521"/>
      <c r="AA90" s="521"/>
      <c r="AB90" s="521"/>
      <c r="AC90" s="521"/>
      <c r="AD90" s="521"/>
      <c r="AE90" s="521"/>
      <c r="AF90" s="521"/>
      <c r="AG90" s="521"/>
      <c r="AH90" s="521"/>
      <c r="AI90" s="522"/>
      <c r="AJ90" s="521"/>
      <c r="AK90" s="521"/>
      <c r="AL90" s="521"/>
      <c r="AM90" s="521"/>
      <c r="AN90" s="521"/>
      <c r="AO90" s="521"/>
      <c r="AP90" s="521"/>
      <c r="AQ90" s="521"/>
      <c r="AR90" s="521"/>
      <c r="AS90" s="521"/>
    </row>
    <row r="91" spans="2:45" s="662" customFormat="1" ht="17.25" customHeight="1">
      <c r="B91" s="744"/>
      <c r="C91" s="539" t="s">
        <v>387</v>
      </c>
      <c r="D91" s="448"/>
      <c r="E91" s="651"/>
      <c r="F91" s="648"/>
      <c r="G91" s="648"/>
      <c r="H91" s="448">
        <v>0</v>
      </c>
      <c r="I91" s="448"/>
      <c r="J91" s="623" t="s">
        <v>388</v>
      </c>
      <c r="K91" s="704"/>
      <c r="L91" s="558"/>
      <c r="M91" s="531"/>
      <c r="N91" s="521"/>
      <c r="O91" s="521"/>
      <c r="P91" s="521"/>
      <c r="Q91" s="521"/>
      <c r="R91" s="521"/>
      <c r="S91" s="521"/>
      <c r="T91" s="521"/>
      <c r="U91" s="521"/>
      <c r="V91" s="521"/>
      <c r="W91" s="521"/>
      <c r="X91" s="521"/>
      <c r="Y91" s="521"/>
      <c r="Z91" s="521"/>
      <c r="AA91" s="521"/>
      <c r="AB91" s="521"/>
      <c r="AC91" s="521"/>
      <c r="AD91" s="521"/>
      <c r="AE91" s="521"/>
      <c r="AF91" s="521"/>
      <c r="AG91" s="521"/>
      <c r="AH91" s="521"/>
      <c r="AI91" s="522"/>
      <c r="AJ91" s="521"/>
      <c r="AK91" s="521"/>
      <c r="AL91" s="521"/>
      <c r="AM91" s="521"/>
      <c r="AN91" s="521"/>
      <c r="AO91" s="521"/>
      <c r="AP91" s="521"/>
      <c r="AQ91" s="521"/>
      <c r="AR91" s="521"/>
      <c r="AS91" s="521"/>
    </row>
    <row r="92" spans="2:45" s="662" customFormat="1" ht="13.5" thickBot="1">
      <c r="B92" s="750"/>
      <c r="C92" s="577" t="s">
        <v>389</v>
      </c>
      <c r="D92" s="624"/>
      <c r="E92" s="659"/>
      <c r="F92" s="655"/>
      <c r="G92" s="655"/>
      <c r="H92" s="578">
        <f>SUM(H88:H91)</f>
        <v>75</v>
      </c>
      <c r="I92" s="578"/>
      <c r="J92" s="579"/>
      <c r="K92" s="448"/>
      <c r="L92" s="558"/>
      <c r="M92" s="531"/>
      <c r="N92" s="521"/>
      <c r="O92" s="521"/>
      <c r="P92" s="521"/>
      <c r="Q92" s="521"/>
      <c r="R92" s="521"/>
      <c r="S92" s="521"/>
      <c r="T92" s="521"/>
      <c r="U92" s="521"/>
      <c r="V92" s="521"/>
      <c r="W92" s="521"/>
      <c r="X92" s="521"/>
      <c r="Y92" s="521"/>
      <c r="Z92" s="521"/>
      <c r="AA92" s="521"/>
      <c r="AB92" s="521"/>
      <c r="AC92" s="521"/>
      <c r="AD92" s="521"/>
      <c r="AE92" s="521"/>
      <c r="AF92" s="521"/>
      <c r="AG92" s="521"/>
      <c r="AH92" s="521"/>
      <c r="AI92" s="522"/>
      <c r="AJ92" s="521"/>
      <c r="AK92" s="521"/>
      <c r="AL92" s="521"/>
      <c r="AM92" s="521"/>
      <c r="AN92" s="521"/>
      <c r="AO92" s="521"/>
      <c r="AP92" s="521"/>
      <c r="AQ92" s="521"/>
      <c r="AR92" s="521"/>
      <c r="AS92" s="521"/>
    </row>
    <row r="93" spans="2:45" s="662" customFormat="1" ht="12" hidden="1" thickBot="1">
      <c r="B93" s="525"/>
      <c r="C93" s="526" t="s">
        <v>390</v>
      </c>
      <c r="D93" s="527"/>
      <c r="E93" s="527"/>
      <c r="F93" s="527"/>
      <c r="G93" s="527"/>
      <c r="H93" s="527"/>
      <c r="I93" s="527"/>
      <c r="J93" s="528"/>
      <c r="K93" s="581"/>
      <c r="L93" s="529"/>
      <c r="M93" s="582"/>
      <c r="N93" s="521"/>
      <c r="O93" s="521"/>
      <c r="P93" s="521"/>
      <c r="Q93" s="521"/>
      <c r="R93" s="521"/>
      <c r="S93" s="521"/>
      <c r="T93" s="521"/>
      <c r="U93" s="521"/>
      <c r="V93" s="521"/>
      <c r="W93" s="521"/>
      <c r="X93" s="521"/>
      <c r="Y93" s="521"/>
      <c r="Z93" s="521"/>
      <c r="AA93" s="521"/>
      <c r="AB93" s="521"/>
      <c r="AC93" s="521"/>
      <c r="AD93" s="521"/>
      <c r="AE93" s="521"/>
      <c r="AF93" s="521"/>
      <c r="AG93" s="521"/>
      <c r="AH93" s="521"/>
      <c r="AI93" s="522"/>
      <c r="AJ93" s="521"/>
      <c r="AK93" s="521"/>
      <c r="AL93" s="521"/>
      <c r="AM93" s="521"/>
      <c r="AN93" s="521"/>
      <c r="AO93" s="521"/>
      <c r="AP93" s="521"/>
      <c r="AQ93" s="521"/>
      <c r="AR93" s="521"/>
      <c r="AS93" s="521"/>
    </row>
    <row r="94" spans="2:45" s="662" customFormat="1" ht="12" hidden="1" thickBot="1">
      <c r="B94" s="759"/>
      <c r="C94" s="760" t="s">
        <v>391</v>
      </c>
      <c r="D94" s="761"/>
      <c r="E94" s="761"/>
      <c r="F94" s="761"/>
      <c r="G94" s="761"/>
      <c r="H94" s="761"/>
      <c r="I94" s="761"/>
      <c r="J94" s="760"/>
      <c r="K94" s="762"/>
      <c r="L94" s="763"/>
      <c r="M94" s="582"/>
      <c r="N94" s="521"/>
      <c r="O94" s="521"/>
      <c r="P94" s="521"/>
      <c r="Q94" s="521"/>
      <c r="R94" s="521"/>
      <c r="S94" s="521"/>
      <c r="T94" s="521"/>
      <c r="U94" s="521"/>
      <c r="V94" s="521"/>
      <c r="W94" s="521"/>
      <c r="X94" s="521"/>
      <c r="Y94" s="521"/>
      <c r="Z94" s="521"/>
      <c r="AA94" s="521"/>
      <c r="AB94" s="521"/>
      <c r="AC94" s="521"/>
      <c r="AD94" s="521"/>
      <c r="AE94" s="521"/>
      <c r="AF94" s="521"/>
      <c r="AG94" s="521"/>
      <c r="AH94" s="521"/>
      <c r="AI94" s="522"/>
      <c r="AJ94" s="521"/>
      <c r="AK94" s="521"/>
      <c r="AL94" s="521"/>
      <c r="AM94" s="521"/>
      <c r="AN94" s="521"/>
      <c r="AO94" s="521"/>
      <c r="AP94" s="521"/>
      <c r="AQ94" s="521"/>
      <c r="AR94" s="521"/>
      <c r="AS94" s="521"/>
    </row>
    <row r="95" spans="2:45" s="662" customFormat="1" ht="12" thickBot="1">
      <c r="B95" s="770"/>
      <c r="C95" s="941" t="s">
        <v>392</v>
      </c>
      <c r="D95" s="942"/>
      <c r="E95" s="942"/>
      <c r="F95" s="942"/>
      <c r="G95" s="942"/>
      <c r="H95" s="942"/>
      <c r="I95" s="942"/>
      <c r="J95" s="942"/>
      <c r="K95" s="942"/>
      <c r="L95" s="943"/>
      <c r="M95" s="582"/>
      <c r="N95" s="521"/>
      <c r="O95" s="521"/>
      <c r="P95" s="521"/>
      <c r="Q95" s="521"/>
      <c r="R95" s="521"/>
      <c r="S95" s="521"/>
      <c r="T95" s="521"/>
      <c r="U95" s="521"/>
      <c r="V95" s="521"/>
      <c r="W95" s="521"/>
      <c r="X95" s="521"/>
      <c r="Y95" s="521"/>
      <c r="Z95" s="521"/>
      <c r="AA95" s="521"/>
      <c r="AB95" s="521"/>
      <c r="AC95" s="521"/>
      <c r="AD95" s="521"/>
      <c r="AE95" s="521"/>
      <c r="AF95" s="521"/>
      <c r="AG95" s="521"/>
      <c r="AH95" s="521"/>
      <c r="AI95" s="522"/>
      <c r="AJ95" s="521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2:45" s="662" customFormat="1" ht="21.75" customHeight="1">
      <c r="B96" s="767"/>
      <c r="C96" s="768" t="s">
        <v>393</v>
      </c>
      <c r="D96" s="882">
        <v>3</v>
      </c>
      <c r="E96" s="882"/>
      <c r="F96" s="944" t="s">
        <v>394</v>
      </c>
      <c r="G96" s="944"/>
      <c r="H96" s="944"/>
      <c r="I96" s="769"/>
      <c r="J96" s="543" t="s">
        <v>395</v>
      </c>
      <c r="K96" s="765" t="s">
        <v>396</v>
      </c>
      <c r="L96" s="743"/>
      <c r="M96" s="531"/>
      <c r="N96" s="521"/>
      <c r="O96" s="521"/>
      <c r="P96" s="521"/>
      <c r="Q96" s="521"/>
      <c r="R96" s="521"/>
      <c r="S96" s="521"/>
      <c r="T96" s="521"/>
      <c r="U96" s="521"/>
      <c r="V96" s="521"/>
      <c r="W96" s="521"/>
      <c r="X96" s="521"/>
      <c r="Y96" s="521"/>
      <c r="Z96" s="521"/>
      <c r="AA96" s="521"/>
      <c r="AB96" s="521"/>
      <c r="AC96" s="521"/>
      <c r="AD96" s="521"/>
      <c r="AE96" s="521"/>
      <c r="AF96" s="521"/>
      <c r="AG96" s="521"/>
      <c r="AH96" s="521"/>
      <c r="AI96" s="522"/>
      <c r="AJ96" s="521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2:48" s="662" customFormat="1" ht="19.5" customHeight="1">
      <c r="B97" s="744"/>
      <c r="C97" s="536" t="s">
        <v>397</v>
      </c>
      <c r="D97" s="448"/>
      <c r="E97" s="651"/>
      <c r="F97" s="648"/>
      <c r="G97" s="648"/>
      <c r="H97" s="448">
        <v>5</v>
      </c>
      <c r="I97" s="448"/>
      <c r="J97" s="539" t="s">
        <v>398</v>
      </c>
      <c r="K97" s="583" t="s">
        <v>399</v>
      </c>
      <c r="L97" s="722"/>
      <c r="M97" s="531"/>
      <c r="N97" s="521"/>
      <c r="O97" s="521"/>
      <c r="P97" s="521"/>
      <c r="Q97" s="521"/>
      <c r="R97" s="521"/>
      <c r="S97" s="521"/>
      <c r="T97" s="521" t="s">
        <v>400</v>
      </c>
      <c r="U97" s="521"/>
      <c r="V97" s="521"/>
      <c r="W97" s="521"/>
      <c r="X97" s="521"/>
      <c r="Y97" s="521"/>
      <c r="Z97" s="521"/>
      <c r="AA97" s="521"/>
      <c r="AB97" s="521"/>
      <c r="AC97" s="521"/>
      <c r="AD97" s="521"/>
      <c r="AE97" s="521"/>
      <c r="AF97" s="521"/>
      <c r="AG97" s="521"/>
      <c r="AH97" s="521"/>
      <c r="AI97" s="522"/>
      <c r="AJ97" s="521"/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2:48" s="662" customFormat="1" ht="21" customHeight="1">
      <c r="B98" s="744"/>
      <c r="C98" s="789" t="s">
        <v>401</v>
      </c>
      <c r="D98" s="479">
        <v>225</v>
      </c>
      <c r="E98" s="646"/>
      <c r="F98" s="648" t="str">
        <f>G88</f>
        <v/>
      </c>
      <c r="G98" s="648" t="str">
        <f>IF(ISBLANK($F$72),"",F98+TIME(0,H98,0))</f>
        <v/>
      </c>
      <c r="H98" s="448">
        <f>IF(E98="",50,IF((E98-D98)&lt;0,50-ROUND(ABS(E98-D98)/269*60+0.25,0),50+ROUND((E98-D98)/269*60+0.25,0)))</f>
        <v>50</v>
      </c>
      <c r="I98" s="685" t="str">
        <f>IF(ISBLANK($F$72),"",(G98-F98)*24*60)</f>
        <v/>
      </c>
      <c r="J98" s="539" t="s">
        <v>402</v>
      </c>
      <c r="K98" s="625">
        <v>10.5</v>
      </c>
      <c r="L98" s="561"/>
      <c r="M98" s="531"/>
      <c r="N98" s="521"/>
      <c r="O98" s="521"/>
      <c r="P98" s="521"/>
      <c r="Q98" s="521"/>
      <c r="R98" s="521"/>
      <c r="S98" s="521"/>
      <c r="T98" s="521"/>
      <c r="U98" s="521"/>
      <c r="V98" s="521"/>
      <c r="W98" s="521"/>
      <c r="X98" s="521"/>
      <c r="Y98" s="521"/>
      <c r="Z98" s="521"/>
      <c r="AA98" s="521"/>
      <c r="AB98" s="521"/>
      <c r="AC98" s="521"/>
      <c r="AD98" s="521"/>
      <c r="AE98" s="521"/>
      <c r="AF98" s="521"/>
      <c r="AG98" s="521"/>
      <c r="AH98" s="521"/>
      <c r="AI98" s="522"/>
      <c r="AJ98" s="521"/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2:48" s="662" customFormat="1" ht="26.25" customHeight="1">
      <c r="B99" s="744"/>
      <c r="C99" s="536" t="s">
        <v>403</v>
      </c>
      <c r="D99" s="557" t="str">
        <f>'10027'!D99</f>
        <v>0.48 scfb</v>
      </c>
      <c r="E99" s="945" t="s">
        <v>405</v>
      </c>
      <c r="F99" s="946"/>
      <c r="G99" s="646">
        <f>'10027'!G99</f>
        <v>14</v>
      </c>
      <c r="H99" s="448"/>
      <c r="I99" s="448"/>
      <c r="J99" s="585" t="s">
        <v>406</v>
      </c>
      <c r="K99" s="625">
        <v>13</v>
      </c>
      <c r="L99" s="708"/>
      <c r="M99" s="531"/>
      <c r="N99" s="521"/>
      <c r="O99" s="521"/>
      <c r="P99" s="521"/>
      <c r="Q99" s="521"/>
      <c r="R99" s="521"/>
      <c r="S99" s="521"/>
      <c r="T99" s="521"/>
      <c r="U99" s="521"/>
      <c r="V99" s="521" t="s">
        <v>407</v>
      </c>
      <c r="W99" s="521" t="s">
        <v>408</v>
      </c>
      <c r="X99" s="521"/>
      <c r="Y99" s="521"/>
      <c r="Z99" s="521"/>
      <c r="AA99" s="521"/>
      <c r="AB99" s="521"/>
      <c r="AC99" s="521"/>
      <c r="AD99" s="521"/>
      <c r="AE99" s="521"/>
      <c r="AF99" s="521"/>
      <c r="AG99" s="521"/>
      <c r="AH99" s="521"/>
      <c r="AI99" s="522"/>
      <c r="AJ99" s="521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2:48" s="662" customFormat="1" ht="24.75" customHeight="1">
      <c r="B100" s="744"/>
      <c r="C100" s="536" t="s">
        <v>409</v>
      </c>
      <c r="D100" s="448">
        <v>5</v>
      </c>
      <c r="E100" s="717"/>
      <c r="F100" s="448"/>
      <c r="G100" s="448"/>
      <c r="H100" s="448"/>
      <c r="I100" s="448"/>
      <c r="J100" s="539" t="s">
        <v>410</v>
      </c>
      <c r="K100" s="583">
        <v>80</v>
      </c>
      <c r="L100" s="558"/>
      <c r="M100" s="531"/>
      <c r="N100" s="521"/>
      <c r="O100" s="521"/>
      <c r="P100" s="521"/>
      <c r="Q100" s="521"/>
      <c r="R100" s="521"/>
      <c r="S100" s="521"/>
      <c r="T100" s="521"/>
      <c r="U100" s="521"/>
      <c r="V100" s="521"/>
      <c r="W100" s="521"/>
      <c r="X100" s="521"/>
      <c r="Y100" s="521"/>
      <c r="Z100" s="521"/>
      <c r="AA100" s="521"/>
      <c r="AB100" s="521"/>
      <c r="AC100" s="521"/>
      <c r="AD100" s="521"/>
      <c r="AE100" s="521"/>
      <c r="AF100" s="521"/>
      <c r="AG100" s="521"/>
      <c r="AH100" s="521"/>
      <c r="AI100" s="522"/>
      <c r="AJ100" s="521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2:48" s="662" customFormat="1" ht="20.25" customHeight="1" thickBot="1">
      <c r="B101" s="749"/>
      <c r="C101" s="626" t="s">
        <v>411</v>
      </c>
      <c r="D101" s="596"/>
      <c r="E101" s="596"/>
      <c r="F101" s="596"/>
      <c r="G101" s="596"/>
      <c r="H101" s="596">
        <v>2</v>
      </c>
      <c r="I101" s="596"/>
      <c r="J101" s="597" t="s">
        <v>412</v>
      </c>
      <c r="K101" s="627" t="s">
        <v>413</v>
      </c>
      <c r="L101" s="628"/>
      <c r="M101" s="629"/>
      <c r="N101" s="521"/>
      <c r="O101" s="521"/>
      <c r="P101" s="521"/>
      <c r="Q101" s="521"/>
      <c r="R101" s="521"/>
      <c r="S101" s="521"/>
      <c r="T101" s="521" t="s">
        <v>414</v>
      </c>
      <c r="U101" s="521"/>
      <c r="V101" s="521"/>
      <c r="W101" s="521"/>
      <c r="X101" s="521"/>
      <c r="Y101" s="521"/>
      <c r="Z101" s="521"/>
      <c r="AA101" s="521"/>
      <c r="AB101" s="521"/>
      <c r="AC101" s="521"/>
      <c r="AD101" s="521"/>
      <c r="AE101" s="521"/>
      <c r="AF101" s="521"/>
      <c r="AG101" s="521"/>
      <c r="AH101" s="521"/>
      <c r="AI101" s="522"/>
      <c r="AJ101" s="521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2:48" s="662" customFormat="1" ht="16.5" customHeight="1" thickBot="1">
      <c r="B102" s="630" t="s">
        <v>415</v>
      </c>
      <c r="C102" s="631"/>
      <c r="D102" s="675">
        <f>'10027'!D102</f>
        <v>6</v>
      </c>
      <c r="E102" s="676" t="s">
        <v>416</v>
      </c>
      <c r="F102" s="632"/>
      <c r="G102" s="632"/>
      <c r="H102" s="753">
        <f>SUM(H13:H31,H42:H49,H57,(D67/200)*60,2*5,H70:H73,H78:H81,H84:H85,H88:H89)/60</f>
        <v>6.161296296296296</v>
      </c>
      <c r="I102" s="754" t="str">
        <f>IF(OR(F13="",G98=""),"",IF(G98&gt;=F13,(G98-F13)*24,(G98+1-F13)*24))</f>
        <v/>
      </c>
      <c r="J102" s="631" t="s">
        <v>417</v>
      </c>
      <c r="K102" s="829"/>
      <c r="L102" s="830"/>
      <c r="M102" s="633"/>
      <c r="N102" s="521"/>
      <c r="O102" s="521"/>
      <c r="P102" s="521"/>
      <c r="Q102" s="521"/>
      <c r="R102" s="521"/>
      <c r="S102" s="521"/>
      <c r="T102" s="521"/>
      <c r="U102" s="521"/>
      <c r="V102" s="521"/>
      <c r="W102" s="521"/>
      <c r="X102" s="521"/>
      <c r="Y102" s="521"/>
      <c r="Z102" s="521"/>
      <c r="AA102" s="521"/>
      <c r="AB102" s="521"/>
      <c r="AC102" s="521"/>
      <c r="AD102" s="521"/>
      <c r="AE102" s="521"/>
      <c r="AF102" s="521"/>
      <c r="AG102" s="521"/>
      <c r="AH102" s="521"/>
      <c r="AI102" s="522"/>
      <c r="AJ102" s="521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2:48" s="664" customFormat="1" ht="20.149999999999999" customHeight="1">
      <c r="B103" s="817" t="s">
        <v>418</v>
      </c>
      <c r="C103" s="818" t="s">
        <v>419</v>
      </c>
      <c r="D103" s="819" t="s">
        <v>420</v>
      </c>
      <c r="E103" s="819"/>
      <c r="F103" s="820"/>
      <c r="G103" s="820"/>
      <c r="H103" s="820"/>
      <c r="I103" s="820"/>
      <c r="J103" s="677" t="s">
        <v>421</v>
      </c>
      <c r="K103" s="740">
        <f>D102</f>
        <v>6</v>
      </c>
      <c r="L103" s="739" t="str">
        <f>IF(OR(F13="",G98=""),"",IF(G98&gt;=F13,(G98-F13)*24,(G98+1-F13)*24))</f>
        <v/>
      </c>
      <c r="M103" s="634"/>
      <c r="N103" s="634"/>
      <c r="O103" s="634"/>
      <c r="P103" s="634"/>
      <c r="Q103" s="634"/>
      <c r="R103" s="634"/>
      <c r="S103" s="634"/>
      <c r="T103" s="634"/>
      <c r="U103" s="634"/>
      <c r="V103" s="634"/>
      <c r="W103" s="634"/>
      <c r="X103" s="634"/>
      <c r="Y103" s="634"/>
      <c r="Z103" s="634"/>
      <c r="AA103" s="634"/>
      <c r="AB103" s="634"/>
      <c r="AC103" s="634"/>
      <c r="AD103" s="634"/>
      <c r="AE103" s="634"/>
      <c r="AF103" s="634"/>
      <c r="AG103" s="634"/>
      <c r="AH103" s="634"/>
      <c r="AI103" s="634"/>
      <c r="AJ103" s="634"/>
      <c r="AK103" s="634"/>
      <c r="AL103" s="634"/>
      <c r="AM103" s="634"/>
      <c r="AN103" s="634"/>
      <c r="AO103" s="634"/>
      <c r="AP103" s="634"/>
      <c r="AQ103" s="634"/>
      <c r="AR103" s="634"/>
      <c r="AS103" s="634"/>
    </row>
    <row r="104" spans="2:48" s="664" customFormat="1" ht="20.149999999999999" customHeight="1">
      <c r="B104" s="821" t="s">
        <v>422</v>
      </c>
      <c r="C104" s="822"/>
      <c r="D104" s="820"/>
      <c r="E104" s="820"/>
      <c r="F104" s="820"/>
      <c r="G104" s="820"/>
      <c r="H104" s="823"/>
      <c r="I104" s="820"/>
      <c r="J104" s="677" t="s">
        <v>423</v>
      </c>
      <c r="K104" s="678">
        <v>8</v>
      </c>
      <c r="L104" s="739" t="str">
        <f>IF(OR(ISBLANK(E84),ISBLANK(E66)),"",(1-E84/E66)*100)</f>
        <v/>
      </c>
      <c r="M104" s="635"/>
      <c r="N104" s="634"/>
      <c r="O104" s="634"/>
      <c r="P104" s="634"/>
      <c r="Q104" s="634"/>
      <c r="R104" s="634"/>
      <c r="S104" s="634"/>
      <c r="T104" s="634"/>
      <c r="U104" s="634"/>
      <c r="V104" s="634"/>
      <c r="W104" s="634"/>
      <c r="X104" s="634"/>
      <c r="Y104" s="634"/>
      <c r="Z104" s="634"/>
      <c r="AA104" s="634"/>
      <c r="AB104" s="634"/>
      <c r="AC104" s="634"/>
      <c r="AD104" s="634"/>
      <c r="AE104" s="634"/>
      <c r="AF104" s="634"/>
      <c r="AG104" s="634"/>
      <c r="AH104" s="634"/>
      <c r="AI104" s="634"/>
      <c r="AJ104" s="634"/>
      <c r="AK104" s="634"/>
      <c r="AL104" s="634"/>
      <c r="AM104" s="634"/>
      <c r="AN104" s="634"/>
      <c r="AO104" s="634"/>
      <c r="AP104" s="634"/>
      <c r="AQ104" s="634"/>
      <c r="AR104" s="634"/>
      <c r="AS104" s="634"/>
      <c r="AT104" s="900" t="e">
        <f>CR20</f>
        <v>#DIV/0!</v>
      </c>
      <c r="AU104" s="662" t="s">
        <v>424</v>
      </c>
      <c r="AV104" s="662"/>
    </row>
    <row r="105" spans="2:48" s="664" customFormat="1" ht="20.149999999999999" customHeight="1">
      <c r="B105" s="804"/>
      <c r="C105" s="824"/>
      <c r="D105" s="825"/>
      <c r="E105" s="820"/>
      <c r="F105" s="820"/>
      <c r="G105" s="820"/>
      <c r="H105" s="826"/>
      <c r="I105" s="820"/>
      <c r="J105" s="677" t="s">
        <v>425</v>
      </c>
      <c r="K105" s="678">
        <v>230</v>
      </c>
      <c r="L105" s="739" t="str">
        <f>IF(OR(G98="",F58=""),"",IF(G98&gt;=F58,(G98-F58)*60*24,(G98+1-F58)*24*60))</f>
        <v/>
      </c>
      <c r="M105" s="635"/>
      <c r="N105" s="634"/>
      <c r="O105" s="634"/>
      <c r="P105" s="634"/>
      <c r="Q105" s="634"/>
      <c r="R105" s="634"/>
      <c r="S105" s="634"/>
      <c r="T105" s="634"/>
      <c r="U105" s="634"/>
      <c r="V105" s="634"/>
      <c r="W105" s="634"/>
      <c r="X105" s="634"/>
      <c r="Y105" s="634"/>
      <c r="Z105" s="634"/>
      <c r="AA105" s="634"/>
      <c r="AB105" s="634"/>
      <c r="AC105" s="634"/>
      <c r="AD105" s="634"/>
      <c r="AE105" s="634"/>
      <c r="AF105" s="634"/>
      <c r="AG105" s="634"/>
      <c r="AH105" s="634"/>
      <c r="AI105" s="634"/>
      <c r="AJ105" s="634"/>
      <c r="AK105" s="634"/>
      <c r="AL105" s="634"/>
      <c r="AM105" s="634"/>
      <c r="AN105" s="634"/>
      <c r="AO105" s="634"/>
      <c r="AP105" s="634"/>
      <c r="AQ105" s="634"/>
      <c r="AR105" s="634"/>
      <c r="AS105" s="634"/>
      <c r="AT105" s="901" t="str">
        <f>IF(OR(G98="",F70=""),"",IF(G98&gt;=F70,(G98-F70)*60*24,(G98+1-F70)*24*60))</f>
        <v/>
      </c>
      <c r="AU105" s="662" t="s">
        <v>426</v>
      </c>
      <c r="AV105" s="662"/>
    </row>
    <row r="106" spans="2:48" ht="20.149999999999999" customHeight="1">
      <c r="B106" s="804"/>
      <c r="C106" s="827"/>
      <c r="D106" s="827"/>
      <c r="E106" s="827"/>
      <c r="F106" s="828"/>
      <c r="G106" s="827"/>
      <c r="H106" s="827"/>
      <c r="I106" s="820"/>
      <c r="J106" s="677" t="s">
        <v>427</v>
      </c>
      <c r="K106" s="678">
        <v>300</v>
      </c>
      <c r="L106" s="739" t="str">
        <f>IF(OR(L105="",L104=""),"",ABS(L105-K105)*10+ABS(L104-K104)*100)</f>
        <v/>
      </c>
      <c r="M106" s="636"/>
      <c r="N106" s="636"/>
      <c r="O106" s="636"/>
      <c r="P106" s="636"/>
      <c r="Q106" s="636"/>
      <c r="R106" s="636"/>
      <c r="S106" s="636"/>
      <c r="T106" s="636"/>
      <c r="U106" s="636"/>
      <c r="V106" s="636"/>
      <c r="W106" s="636"/>
      <c r="X106" s="636"/>
      <c r="Y106" s="636"/>
      <c r="Z106" s="636"/>
      <c r="AA106" s="636"/>
      <c r="AB106" s="636"/>
      <c r="AC106" s="636"/>
      <c r="AD106" s="636"/>
      <c r="AE106" s="636"/>
      <c r="AF106" s="636"/>
      <c r="AG106" s="636"/>
      <c r="AH106" s="636"/>
      <c r="AI106" s="519"/>
      <c r="AJ106" s="519"/>
      <c r="AK106" s="519"/>
      <c r="AL106" s="519"/>
      <c r="AM106" s="519"/>
      <c r="AN106" s="519"/>
      <c r="AO106" s="519"/>
      <c r="AP106" s="519"/>
      <c r="AQ106" s="519"/>
      <c r="AR106" s="519"/>
      <c r="AS106" s="519"/>
    </row>
    <row r="107" spans="2:48" ht="24.75" customHeight="1">
      <c r="M107" s="519"/>
      <c r="N107" s="519"/>
      <c r="O107" s="519"/>
      <c r="P107" s="519"/>
      <c r="Q107" s="519"/>
      <c r="R107" s="519"/>
      <c r="S107" s="519"/>
      <c r="T107" s="519"/>
      <c r="U107" s="519"/>
      <c r="V107" s="519"/>
      <c r="W107" s="519"/>
      <c r="X107" s="519"/>
      <c r="Y107" s="519"/>
      <c r="Z107" s="519"/>
      <c r="AA107" s="519"/>
      <c r="AB107" s="519"/>
      <c r="AC107" s="519"/>
      <c r="AD107" s="519"/>
      <c r="AE107" s="519"/>
      <c r="AF107" s="519"/>
      <c r="AG107" s="519"/>
      <c r="AH107" s="519"/>
      <c r="AI107" s="519"/>
      <c r="AJ107" s="519"/>
      <c r="AK107" s="519"/>
      <c r="AL107" s="519"/>
      <c r="AM107" s="519"/>
      <c r="AN107" s="519"/>
      <c r="AO107" s="519"/>
      <c r="AP107" s="519"/>
      <c r="AQ107" s="519"/>
      <c r="AR107" s="519"/>
      <c r="AS107" s="519"/>
    </row>
    <row r="108" spans="2:48" ht="24.75" customHeight="1">
      <c r="M108" s="519"/>
      <c r="N108" s="519"/>
      <c r="O108" s="519"/>
      <c r="P108" s="519"/>
      <c r="Q108" s="519"/>
      <c r="R108" s="519"/>
      <c r="S108" s="519"/>
      <c r="T108" s="519"/>
      <c r="U108" s="519"/>
      <c r="V108" s="519"/>
      <c r="W108" s="519"/>
      <c r="X108" s="519"/>
      <c r="Y108" s="519"/>
      <c r="Z108" s="519"/>
      <c r="AA108" s="519"/>
      <c r="AB108" s="519"/>
      <c r="AC108" s="519"/>
      <c r="AD108" s="519"/>
      <c r="AE108" s="519"/>
      <c r="AF108" s="519"/>
      <c r="AG108" s="519"/>
      <c r="AH108" s="519"/>
      <c r="AI108" s="519"/>
      <c r="AJ108" s="519"/>
      <c r="AK108" s="519"/>
      <c r="AL108" s="519"/>
      <c r="AM108" s="519"/>
      <c r="AN108" s="519"/>
      <c r="AO108" s="519"/>
      <c r="AP108" s="519"/>
      <c r="AQ108" s="519"/>
      <c r="AR108" s="519"/>
      <c r="AS108" s="519"/>
    </row>
    <row r="109" spans="2:48" ht="27.75" customHeight="1">
      <c r="M109" s="519"/>
      <c r="N109" s="519"/>
      <c r="O109" s="519"/>
      <c r="P109" s="519"/>
      <c r="Q109" s="519"/>
      <c r="R109" s="519"/>
      <c r="S109" s="519"/>
      <c r="T109" s="519"/>
      <c r="U109" s="519"/>
      <c r="V109" s="519"/>
      <c r="W109" s="519"/>
      <c r="X109" s="519"/>
      <c r="Y109" s="519"/>
      <c r="Z109" s="519"/>
      <c r="AA109" s="519"/>
      <c r="AB109" s="519"/>
      <c r="AC109" s="519"/>
      <c r="AD109" s="519"/>
      <c r="AE109" s="519"/>
      <c r="AF109" s="519"/>
      <c r="AG109" s="519"/>
      <c r="AH109" s="519"/>
      <c r="AI109" s="519"/>
      <c r="AJ109" s="519"/>
      <c r="AK109" s="519"/>
      <c r="AL109" s="519"/>
      <c r="AM109" s="519"/>
      <c r="AN109" s="519"/>
      <c r="AO109" s="519"/>
      <c r="AP109" s="519"/>
      <c r="AQ109" s="519"/>
      <c r="AR109" s="519"/>
      <c r="AS109" s="519"/>
    </row>
  </sheetData>
  <mergeCells count="142">
    <mergeCell ref="EK4:EK7"/>
    <mergeCell ref="CS5:CS7"/>
    <mergeCell ref="DP5:DP7"/>
    <mergeCell ref="DU5:DU7"/>
    <mergeCell ref="EA5:EA7"/>
    <mergeCell ref="EI5:EI7"/>
    <mergeCell ref="EL5:EL7"/>
    <mergeCell ref="B1:M1"/>
    <mergeCell ref="BJ4:BJ7"/>
    <mergeCell ref="BU4:BU7"/>
    <mergeCell ref="CE4:CE7"/>
    <mergeCell ref="DH4:DH7"/>
    <mergeCell ref="DI4:DI7"/>
    <mergeCell ref="L5:L6"/>
    <mergeCell ref="M5:M6"/>
    <mergeCell ref="AU5:AU7"/>
    <mergeCell ref="AV5:AV7"/>
    <mergeCell ref="AX5:AX7"/>
    <mergeCell ref="AY5:AY7"/>
    <mergeCell ref="AZ5:AZ7"/>
    <mergeCell ref="BA5:BA7"/>
    <mergeCell ref="BB5:BB7"/>
    <mergeCell ref="BC5:BC7"/>
    <mergeCell ref="BD5:BD7"/>
    <mergeCell ref="BE5:BE7"/>
    <mergeCell ref="BF5:BF7"/>
    <mergeCell ref="BG5:BG7"/>
    <mergeCell ref="BH5:BH7"/>
    <mergeCell ref="DG4:DG7"/>
    <mergeCell ref="B5:B6"/>
    <mergeCell ref="C5:C6"/>
    <mergeCell ref="D5:E5"/>
    <mergeCell ref="F5:I5"/>
    <mergeCell ref="J5:J6"/>
    <mergeCell ref="K5:K6"/>
    <mergeCell ref="AW5:AW7"/>
    <mergeCell ref="BL5:BL7"/>
    <mergeCell ref="BM5:BM7"/>
    <mergeCell ref="BN5:BN7"/>
    <mergeCell ref="BO5:BO7"/>
    <mergeCell ref="EF4:EF7"/>
    <mergeCell ref="DV5:DV7"/>
    <mergeCell ref="DW5:DW7"/>
    <mergeCell ref="DX5:DX7"/>
    <mergeCell ref="DJ4:DJ7"/>
    <mergeCell ref="DK4:DK7"/>
    <mergeCell ref="DL4:DL7"/>
    <mergeCell ref="DM4:DM7"/>
    <mergeCell ref="DN4:DN7"/>
    <mergeCell ref="DO4:DO7"/>
    <mergeCell ref="DR4:DR7"/>
    <mergeCell ref="DZ4:DZ7"/>
    <mergeCell ref="EE4:EE7"/>
    <mergeCell ref="DS4:DS7"/>
    <mergeCell ref="DT4:DT7"/>
    <mergeCell ref="EN5:EN7"/>
    <mergeCell ref="C7:L7"/>
    <mergeCell ref="DY5:DY7"/>
    <mergeCell ref="EB5:EB7"/>
    <mergeCell ref="EC5:EC7"/>
    <mergeCell ref="ED5:ED7"/>
    <mergeCell ref="DC5:DC7"/>
    <mergeCell ref="DD5:DD7"/>
    <mergeCell ref="DE5:DE7"/>
    <mergeCell ref="DF5:DF7"/>
    <mergeCell ref="DQ5:DQ7"/>
    <mergeCell ref="CW5:CW7"/>
    <mergeCell ref="CX5:CX7"/>
    <mergeCell ref="CY5:CY7"/>
    <mergeCell ref="CZ5:CZ7"/>
    <mergeCell ref="DA5:DA7"/>
    <mergeCell ref="DB5:DB7"/>
    <mergeCell ref="CC5:CC7"/>
    <mergeCell ref="CD5:CD7"/>
    <mergeCell ref="CF5:CF7"/>
    <mergeCell ref="EG4:EG7"/>
    <mergeCell ref="EH4:EH7"/>
    <mergeCell ref="BI5:BI7"/>
    <mergeCell ref="BK5:BK7"/>
    <mergeCell ref="F8:G8"/>
    <mergeCell ref="AI9:AL9"/>
    <mergeCell ref="AI10:AL10"/>
    <mergeCell ref="AV10:AV11"/>
    <mergeCell ref="AW10:AW11"/>
    <mergeCell ref="AX10:AX11"/>
    <mergeCell ref="EJ5:EJ7"/>
    <mergeCell ref="EM5:EM7"/>
    <mergeCell ref="CT5:CT7"/>
    <mergeCell ref="CU5:CU7"/>
    <mergeCell ref="CV5:CV7"/>
    <mergeCell ref="BW5:BW7"/>
    <mergeCell ref="BX5:BX7"/>
    <mergeCell ref="BY5:BY7"/>
    <mergeCell ref="BZ5:BZ7"/>
    <mergeCell ref="CA5:CA7"/>
    <mergeCell ref="CB5:CB7"/>
    <mergeCell ref="BP5:BP7"/>
    <mergeCell ref="BQ5:BQ7"/>
    <mergeCell ref="BR5:BR7"/>
    <mergeCell ref="BS5:BS7"/>
    <mergeCell ref="BT5:BT7"/>
    <mergeCell ref="BV5:BV7"/>
    <mergeCell ref="BE10:BE11"/>
    <mergeCell ref="BC10:BC11"/>
    <mergeCell ref="BD10:BD11"/>
    <mergeCell ref="C53:L53"/>
    <mergeCell ref="C65:L65"/>
    <mergeCell ref="C69:L69"/>
    <mergeCell ref="C72:C73"/>
    <mergeCell ref="D72:D73"/>
    <mergeCell ref="E72:E73"/>
    <mergeCell ref="F72:F73"/>
    <mergeCell ref="G72:G73"/>
    <mergeCell ref="H72:H73"/>
    <mergeCell ref="I72:I73"/>
    <mergeCell ref="C11:L11"/>
    <mergeCell ref="T12:U12"/>
    <mergeCell ref="AL19:AN19"/>
    <mergeCell ref="C34:L34"/>
    <mergeCell ref="T35:U35"/>
    <mergeCell ref="AY10:AY11"/>
    <mergeCell ref="AZ10:AZ11"/>
    <mergeCell ref="BA10:BA11"/>
    <mergeCell ref="BB10:BB11"/>
    <mergeCell ref="C87:L87"/>
    <mergeCell ref="C95:L95"/>
    <mergeCell ref="F96:H96"/>
    <mergeCell ref="E99:F99"/>
    <mergeCell ref="I78:I79"/>
    <mergeCell ref="C80:C81"/>
    <mergeCell ref="D80:D81"/>
    <mergeCell ref="E80:E81"/>
    <mergeCell ref="F80:F81"/>
    <mergeCell ref="G80:G81"/>
    <mergeCell ref="H80:H81"/>
    <mergeCell ref="I80:I81"/>
    <mergeCell ref="C78:C79"/>
    <mergeCell ref="D78:D79"/>
    <mergeCell ref="E78:E79"/>
    <mergeCell ref="F78:F79"/>
    <mergeCell ref="G78:G79"/>
    <mergeCell ref="H78:H79"/>
  </mergeCells>
  <conditionalFormatting sqref="I1:I6 I66:I68 I84:I86 I96:I1048576 I88:I94 I72 I54:I63 I12:I33 I35:I52 I78 I80">
    <cfRule type="cellIs" dxfId="92" priority="28" operator="lessThanOrEqual">
      <formula>0</formula>
    </cfRule>
  </conditionalFormatting>
  <conditionalFormatting sqref="I102">
    <cfRule type="cellIs" dxfId="91" priority="29" operator="lessThanOrEqual">
      <formula>0</formula>
    </cfRule>
    <cfRule type="cellIs" dxfId="90" priority="30" operator="between">
      <formula>$D$102-0.2</formula>
      <formula>$D$102+0.2</formula>
    </cfRule>
    <cfRule type="cellIs" dxfId="89" priority="31" operator="notBetween">
      <formula>$D$102-0.2</formula>
      <formula>$D$102+0.2</formula>
    </cfRule>
  </conditionalFormatting>
  <conditionalFormatting sqref="BU19">
    <cfRule type="cellIs" dxfId="88" priority="26" operator="between">
      <formula>16.25</formula>
      <formula>16.75</formula>
    </cfRule>
    <cfRule type="cellIs" dxfId="87" priority="27" operator="between">
      <formula>17.75</formula>
      <formula>18.25</formula>
    </cfRule>
  </conditionalFormatting>
  <conditionalFormatting sqref="CK19:CO19">
    <cfRule type="cellIs" dxfId="86" priority="25" operator="lessThan">
      <formula>230</formula>
    </cfRule>
  </conditionalFormatting>
  <conditionalFormatting sqref="CL19">
    <cfRule type="cellIs" dxfId="85" priority="24" operator="lessThan">
      <formula>270</formula>
    </cfRule>
  </conditionalFormatting>
  <conditionalFormatting sqref="CM19">
    <cfRule type="cellIs" dxfId="84" priority="23" operator="lessThan">
      <formula>2600</formula>
    </cfRule>
  </conditionalFormatting>
  <conditionalFormatting sqref="I83">
    <cfRule type="cellIs" dxfId="83" priority="22" operator="lessThanOrEqual">
      <formula>0</formula>
    </cfRule>
  </conditionalFormatting>
  <conditionalFormatting sqref="E10">
    <cfRule type="cellIs" dxfId="82" priority="21" operator="lessThanOrEqual">
      <formula>0</formula>
    </cfRule>
  </conditionalFormatting>
  <conditionalFormatting sqref="G10">
    <cfRule type="cellIs" dxfId="81" priority="20" operator="lessThanOrEqual">
      <formula>0</formula>
    </cfRule>
  </conditionalFormatting>
  <conditionalFormatting sqref="I9:I10">
    <cfRule type="cellIs" dxfId="80" priority="19" operator="lessThanOrEqual">
      <formula>0</formula>
    </cfRule>
  </conditionalFormatting>
  <conditionalFormatting sqref="E8">
    <cfRule type="cellIs" dxfId="79" priority="18" operator="lessThanOrEqual">
      <formula>0</formula>
    </cfRule>
  </conditionalFormatting>
  <conditionalFormatting sqref="L84">
    <cfRule type="cellIs" dxfId="78" priority="16" operator="notBetween">
      <formula>K84-0.25</formula>
      <formula>K84+0.25</formula>
    </cfRule>
    <cfRule type="cellIs" dxfId="77" priority="17" operator="between">
      <formula>K84-0.25</formula>
      <formula>K84+0.25</formula>
    </cfRule>
  </conditionalFormatting>
  <conditionalFormatting sqref="L85">
    <cfRule type="containsBlanks" dxfId="76" priority="13">
      <formula>LEN(TRIM(L85))=0</formula>
    </cfRule>
    <cfRule type="cellIs" dxfId="75" priority="14" operator="notBetween">
      <formula>VALUE(LEFT(K85,4))-0.2</formula>
      <formula>VALUE(LEFT(K85,4))+0.2</formula>
    </cfRule>
    <cfRule type="cellIs" dxfId="74" priority="15" operator="between">
      <formula>VALUE(LEFT(K85,4))-0.2</formula>
      <formula>VALUE(LEFT(K85,4))+0.2</formula>
    </cfRule>
  </conditionalFormatting>
  <conditionalFormatting sqref="L96">
    <cfRule type="cellIs" dxfId="73" priority="9" operator="notBetween">
      <formula>VALUE(LEFT(K96,5))</formula>
      <formula>VALUE(RIGHT(K96,5))</formula>
    </cfRule>
    <cfRule type="cellIs" dxfId="72" priority="10" operator="between">
      <formula>VALUE(LEFT(K96,5))</formula>
      <formula>VALUE(RIGHT(K96,5))</formula>
    </cfRule>
  </conditionalFormatting>
  <conditionalFormatting sqref="L96:L97">
    <cfRule type="containsBlanks" dxfId="71" priority="8">
      <formula>LEN(TRIM(L96))=0</formula>
    </cfRule>
  </conditionalFormatting>
  <conditionalFormatting sqref="L97">
    <cfRule type="cellIs" dxfId="70" priority="11" operator="between">
      <formula>VALUE(LEFT(K97,4))</formula>
      <formula>VALUE(RIGHT(K97,4))</formula>
    </cfRule>
    <cfRule type="cellIs" dxfId="69" priority="12" operator="notBetween">
      <formula>VALUE(LEFT(K97,4))</formula>
      <formula>VALUE(RIGHT(K97,4))</formula>
    </cfRule>
  </conditionalFormatting>
  <conditionalFormatting sqref="I70:I71">
    <cfRule type="cellIs" dxfId="68" priority="7" operator="lessThanOrEqual">
      <formula>0</formula>
    </cfRule>
  </conditionalFormatting>
  <conditionalFormatting sqref="L103">
    <cfRule type="cellIs" dxfId="67" priority="1" operator="notBetween">
      <formula>$K$103-0.2</formula>
      <formula>$K$103+0.2</formula>
    </cfRule>
    <cfRule type="cellIs" dxfId="66" priority="2" operator="between">
      <formula>$K$103-0.2</formula>
      <formula>$K$103+0.2</formula>
    </cfRule>
  </conditionalFormatting>
  <conditionalFormatting sqref="L105">
    <cfRule type="cellIs" dxfId="65" priority="5" operator="lessThan">
      <formula>$K$105+20</formula>
    </cfRule>
    <cfRule type="cellIs" dxfId="64" priority="6" operator="greaterThanOrEqual">
      <formula>$K$105+20</formula>
    </cfRule>
  </conditionalFormatting>
  <conditionalFormatting sqref="L106">
    <cfRule type="cellIs" dxfId="63" priority="3" operator="lessThan">
      <formula>$K$106</formula>
    </cfRule>
    <cfRule type="cellIs" dxfId="62" priority="4" operator="greaterThanOrEqual">
      <formula>$K$106</formula>
    </cfRule>
  </conditionalFormatting>
  <dataValidations count="2">
    <dataValidation type="list" allowBlank="1" showInputMessage="1" showErrorMessage="1" sqref="E8" xr:uid="{B1B7E975-2F4C-4BC7-A86C-4A02001A9BC0}">
      <formula1>$AU$1:$AU$4</formula1>
    </dataValidation>
    <dataValidation type="list" allowBlank="1" showInputMessage="1" showErrorMessage="1" sqref="C3" xr:uid="{0C63ACFA-540A-43CB-89E8-6D142499418A}">
      <formula1>$AV$1:$AV$4</formula1>
    </dataValidation>
  </dataValidations>
  <printOptions horizontalCentered="1" verticalCentered="1"/>
  <pageMargins left="0.2" right="0" top="0" bottom="0" header="0" footer="0"/>
  <pageSetup paperSize="9" scale="81" orientation="portrait" r:id="rId1"/>
  <headerFooter alignWithMargins="0">
    <oddFooter>Page &amp;P</oddFooter>
  </headerFooter>
  <rowBreaks count="1" manualBreakCount="1">
    <brk id="5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5185" r:id="rId4" name="Check Box 1">
              <controlPr defaultSize="0" autoFill="0" autoLine="0" autoPict="0">
                <anchor moveWithCells="1">
                  <from>
                    <xdr:col>4</xdr:col>
                    <xdr:colOff>139700</xdr:colOff>
                    <xdr:row>37</xdr:row>
                    <xdr:rowOff>50800</xdr:rowOff>
                  </from>
                  <to>
                    <xdr:col>4</xdr:col>
                    <xdr:colOff>349250</xdr:colOff>
                    <xdr:row>37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6" r:id="rId5" name="Check Box 2">
              <controlPr defaultSize="0" autoFill="0" autoLine="0" autoPict="0">
                <anchor moveWithCells="1">
                  <from>
                    <xdr:col>4</xdr:col>
                    <xdr:colOff>127000</xdr:colOff>
                    <xdr:row>15</xdr:row>
                    <xdr:rowOff>38100</xdr:rowOff>
                  </from>
                  <to>
                    <xdr:col>4</xdr:col>
                    <xdr:colOff>342900</xdr:colOff>
                    <xdr:row>15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7" r:id="rId6" name="Check Box 3">
              <controlPr defaultSize="0" autoFill="0" autoLine="0" autoPict="0">
                <anchor moveWithCells="1">
                  <from>
                    <xdr:col>4</xdr:col>
                    <xdr:colOff>139700</xdr:colOff>
                    <xdr:row>73</xdr:row>
                    <xdr:rowOff>44450</xdr:rowOff>
                  </from>
                  <to>
                    <xdr:col>4</xdr:col>
                    <xdr:colOff>349250</xdr:colOff>
                    <xdr:row>73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8" r:id="rId7" name="Check Box 4">
              <controlPr defaultSize="0" autoFill="0" autoLine="0" autoPict="0">
                <anchor moveWithCells="1">
                  <from>
                    <xdr:col>4</xdr:col>
                    <xdr:colOff>139700</xdr:colOff>
                    <xdr:row>74</xdr:row>
                    <xdr:rowOff>44450</xdr:rowOff>
                  </from>
                  <to>
                    <xdr:col>4</xdr:col>
                    <xdr:colOff>349250</xdr:colOff>
                    <xdr:row>74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9" r:id="rId8" name="Check Box 5">
              <controlPr defaultSize="0" autoFill="0" autoLine="0" autoPict="0">
                <anchor moveWithCells="1">
                  <from>
                    <xdr:col>4</xdr:col>
                    <xdr:colOff>139700</xdr:colOff>
                    <xdr:row>75</xdr:row>
                    <xdr:rowOff>44450</xdr:rowOff>
                  </from>
                  <to>
                    <xdr:col>4</xdr:col>
                    <xdr:colOff>349250</xdr:colOff>
                    <xdr:row>75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0" r:id="rId9" name="Check Box 6">
              <controlPr defaultSize="0" autoFill="0" autoLine="0" autoPict="0">
                <anchor moveWithCells="1">
                  <from>
                    <xdr:col>4</xdr:col>
                    <xdr:colOff>139700</xdr:colOff>
                    <xdr:row>76</xdr:row>
                    <xdr:rowOff>44450</xdr:rowOff>
                  </from>
                  <to>
                    <xdr:col>4</xdr:col>
                    <xdr:colOff>349250</xdr:colOff>
                    <xdr:row>76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1" r:id="rId10" name="Check Box 7">
              <controlPr defaultSize="0" autoFill="0" autoLine="0" autoPict="0">
                <anchor moveWithCells="1">
                  <from>
                    <xdr:col>4</xdr:col>
                    <xdr:colOff>139700</xdr:colOff>
                    <xdr:row>82</xdr:row>
                    <xdr:rowOff>88900</xdr:rowOff>
                  </from>
                  <to>
                    <xdr:col>4</xdr:col>
                    <xdr:colOff>349250</xdr:colOff>
                    <xdr:row>82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2" r:id="rId11" name="Check Box 8">
              <controlPr defaultSize="0" autoFill="0" autoLine="0" autoPict="0">
                <anchor moveWithCells="1">
                  <from>
                    <xdr:col>10</xdr:col>
                    <xdr:colOff>241300</xdr:colOff>
                    <xdr:row>9</xdr:row>
                    <xdr:rowOff>69850</xdr:rowOff>
                  </from>
                  <to>
                    <xdr:col>10</xdr:col>
                    <xdr:colOff>457200</xdr:colOff>
                    <xdr:row>9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3" r:id="rId12" name="Check Box 9">
              <controlPr defaultSize="0" autoFill="0" autoLine="0" autoPict="0">
                <anchor moveWithCells="1">
                  <from>
                    <xdr:col>10</xdr:col>
                    <xdr:colOff>450850</xdr:colOff>
                    <xdr:row>57</xdr:row>
                    <xdr:rowOff>63500</xdr:rowOff>
                  </from>
                  <to>
                    <xdr:col>10</xdr:col>
                    <xdr:colOff>673100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4" r:id="rId13" name="Check Box 10">
              <controlPr defaultSize="0" autoFill="0" autoLine="0" autoPict="0">
                <anchor moveWithCells="1">
                  <from>
                    <xdr:col>11</xdr:col>
                    <xdr:colOff>254000</xdr:colOff>
                    <xdr:row>57</xdr:row>
                    <xdr:rowOff>63500</xdr:rowOff>
                  </from>
                  <to>
                    <xdr:col>11</xdr:col>
                    <xdr:colOff>469900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5" r:id="rId14" name="Check Box 11">
              <controlPr defaultSize="0" autoFill="0" autoLine="0" autoPict="0">
                <anchor moveWithCells="1">
                  <from>
                    <xdr:col>10</xdr:col>
                    <xdr:colOff>450850</xdr:colOff>
                    <xdr:row>58</xdr:row>
                    <xdr:rowOff>63500</xdr:rowOff>
                  </from>
                  <to>
                    <xdr:col>10</xdr:col>
                    <xdr:colOff>673100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6" r:id="rId15" name="Check Box 12">
              <controlPr defaultSize="0" autoFill="0" autoLine="0" autoPict="0">
                <anchor moveWithCells="1">
                  <from>
                    <xdr:col>11</xdr:col>
                    <xdr:colOff>254000</xdr:colOff>
                    <xdr:row>58</xdr:row>
                    <xdr:rowOff>63500</xdr:rowOff>
                  </from>
                  <to>
                    <xdr:col>11</xdr:col>
                    <xdr:colOff>469900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7" r:id="rId16" name="Check Box 13">
              <controlPr defaultSize="0" autoFill="0" autoLine="0" autoPict="0">
                <anchor moveWithCells="1">
                  <from>
                    <xdr:col>4</xdr:col>
                    <xdr:colOff>139700</xdr:colOff>
                    <xdr:row>81</xdr:row>
                    <xdr:rowOff>44450</xdr:rowOff>
                  </from>
                  <to>
                    <xdr:col>4</xdr:col>
                    <xdr:colOff>349250</xdr:colOff>
                    <xdr:row>81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8" r:id="rId17" name="Check Box 14">
              <controlPr defaultSize="0" autoFill="0" autoLine="0" autoPict="0">
                <anchor moveWithCells="1">
                  <from>
                    <xdr:col>10</xdr:col>
                    <xdr:colOff>450850</xdr:colOff>
                    <xdr:row>57</xdr:row>
                    <xdr:rowOff>63500</xdr:rowOff>
                  </from>
                  <to>
                    <xdr:col>10</xdr:col>
                    <xdr:colOff>673100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9" r:id="rId18" name="Check Box 15">
              <controlPr defaultSize="0" autoFill="0" autoLine="0" autoPict="0">
                <anchor moveWithCells="1">
                  <from>
                    <xdr:col>11</xdr:col>
                    <xdr:colOff>254000</xdr:colOff>
                    <xdr:row>57</xdr:row>
                    <xdr:rowOff>63500</xdr:rowOff>
                  </from>
                  <to>
                    <xdr:col>11</xdr:col>
                    <xdr:colOff>469900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0" r:id="rId19" name="Check Box 16">
              <controlPr defaultSize="0" autoFill="0" autoLine="0" autoPict="0">
                <anchor moveWithCells="1">
                  <from>
                    <xdr:col>10</xdr:col>
                    <xdr:colOff>450850</xdr:colOff>
                    <xdr:row>58</xdr:row>
                    <xdr:rowOff>63500</xdr:rowOff>
                  </from>
                  <to>
                    <xdr:col>10</xdr:col>
                    <xdr:colOff>673100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1" r:id="rId20" name="Check Box 17">
              <controlPr defaultSize="0" autoFill="0" autoLine="0" autoPict="0">
                <anchor moveWithCells="1">
                  <from>
                    <xdr:col>11</xdr:col>
                    <xdr:colOff>254000</xdr:colOff>
                    <xdr:row>58</xdr:row>
                    <xdr:rowOff>63500</xdr:rowOff>
                  </from>
                  <to>
                    <xdr:col>11</xdr:col>
                    <xdr:colOff>469900</xdr:colOff>
                    <xdr:row>58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950FB-31A7-406E-A9B3-3D008EB0F0B7}">
  <sheetPr>
    <tabColor rgb="FFFF0000"/>
  </sheetPr>
  <dimension ref="B1:ER109"/>
  <sheetViews>
    <sheetView zoomScaleNormal="100" workbookViewId="0">
      <pane xSplit="45" topLeftCell="AT1" activePane="topRight" state="frozen"/>
      <selection activeCell="H2" sqref="H2"/>
      <selection pane="topRight" activeCell="H2" sqref="H2"/>
    </sheetView>
  </sheetViews>
  <sheetFormatPr defaultColWidth="9.1796875" defaultRowHeight="12.5"/>
  <cols>
    <col min="1" max="1" width="2.1796875" style="661" customWidth="1"/>
    <col min="2" max="2" width="6.1796875" style="665" customWidth="1"/>
    <col min="3" max="3" width="31.81640625" style="666" customWidth="1"/>
    <col min="4" max="4" width="7.54296875" style="667" customWidth="1"/>
    <col min="5" max="5" width="7.1796875" style="667" customWidth="1"/>
    <col min="6" max="6" width="9.54296875" style="667" customWidth="1"/>
    <col min="7" max="7" width="9.453125" style="667" customWidth="1"/>
    <col min="8" max="8" width="7.81640625" style="667" customWidth="1"/>
    <col min="9" max="9" width="8.453125" style="667" customWidth="1"/>
    <col min="10" max="10" width="19.81640625" style="668" customWidth="1"/>
    <col min="11" max="11" width="10.54296875" style="669" customWidth="1"/>
    <col min="12" max="12" width="7.81640625" style="670" customWidth="1"/>
    <col min="13" max="13" width="7.453125" style="661" hidden="1" customWidth="1"/>
    <col min="14" max="19" width="8" style="661" hidden="1" customWidth="1"/>
    <col min="20" max="20" width="9.1796875" style="661" hidden="1" customWidth="1"/>
    <col min="21" max="21" width="11.1796875" style="661" hidden="1" customWidth="1"/>
    <col min="22" max="23" width="9.1796875" style="661" hidden="1" customWidth="1"/>
    <col min="24" max="24" width="9.1796875" style="661" hidden="1" customWidth="1" collapsed="1"/>
    <col min="25" max="34" width="9.1796875" style="661" hidden="1" customWidth="1"/>
    <col min="35" max="35" width="6.54296875" style="661" hidden="1" customWidth="1"/>
    <col min="36" max="37" width="9.1796875" style="661" hidden="1" customWidth="1"/>
    <col min="38" max="38" width="10.1796875" style="661" hidden="1" customWidth="1"/>
    <col min="39" max="39" width="13" style="661" hidden="1" customWidth="1"/>
    <col min="40" max="40" width="11.81640625" style="661" hidden="1" customWidth="1"/>
    <col min="41" max="41" width="14.1796875" style="661" hidden="1" customWidth="1"/>
    <col min="42" max="42" width="16.1796875" style="661" hidden="1" customWidth="1"/>
    <col min="43" max="43" width="13.81640625" style="661" hidden="1" customWidth="1"/>
    <col min="44" max="44" width="13" style="661" hidden="1" customWidth="1"/>
    <col min="45" max="45" width="9.1796875" style="661" hidden="1" customWidth="1"/>
    <col min="46" max="46" width="9.1796875" style="661" customWidth="1"/>
    <col min="47" max="47" width="5.54296875" style="661" customWidth="1"/>
    <col min="48" max="48" width="12" style="661" customWidth="1"/>
    <col min="49" max="49" width="11.54296875" style="661" customWidth="1"/>
    <col min="50" max="50" width="12.1796875" style="661" customWidth="1"/>
    <col min="51" max="51" width="6.1796875" style="661" customWidth="1"/>
    <col min="52" max="52" width="6.54296875" style="661" customWidth="1"/>
    <col min="53" max="53" width="10.1796875" style="661" customWidth="1"/>
    <col min="54" max="54" width="6.54296875" style="661" customWidth="1"/>
    <col min="55" max="55" width="7.81640625" style="661" customWidth="1"/>
    <col min="56" max="56" width="11.1796875" style="661" customWidth="1"/>
    <col min="57" max="57" width="11.54296875" style="661" bestFit="1" customWidth="1"/>
    <col min="58" max="58" width="5.54296875" style="661" customWidth="1"/>
    <col min="59" max="60" width="6.81640625" style="661" customWidth="1"/>
    <col min="61" max="61" width="8.54296875" style="661" customWidth="1"/>
    <col min="62" max="62" width="8.81640625" style="661" customWidth="1"/>
    <col min="63" max="65" width="9.1796875" style="661" customWidth="1"/>
    <col min="66" max="66" width="7.54296875" style="661" customWidth="1"/>
    <col min="67" max="67" width="7.1796875" style="661" customWidth="1"/>
    <col min="68" max="68" width="8.81640625" style="661" customWidth="1"/>
    <col min="69" max="69" width="7.54296875" style="661" customWidth="1"/>
    <col min="70" max="70" width="8.1796875" style="661" customWidth="1"/>
    <col min="71" max="71" width="7.1796875" style="661" customWidth="1"/>
    <col min="72" max="72" width="6.54296875" style="661" customWidth="1"/>
    <col min="73" max="73" width="9.1796875" style="661" customWidth="1"/>
    <col min="74" max="74" width="7.1796875" style="661" customWidth="1"/>
    <col min="75" max="75" width="5.81640625" style="661" customWidth="1"/>
    <col min="76" max="78" width="6.1796875" style="661" customWidth="1"/>
    <col min="79" max="80" width="9.1796875" style="661" customWidth="1"/>
    <col min="81" max="81" width="5.54296875" style="661" customWidth="1"/>
    <col min="82" max="82" width="6" style="661" customWidth="1"/>
    <col min="83" max="83" width="5.453125" style="661" customWidth="1"/>
    <col min="84" max="97" width="6.81640625" style="661" customWidth="1"/>
    <col min="98" max="98" width="7.54296875" style="661" customWidth="1"/>
    <col min="99" max="99" width="6.1796875" style="661" customWidth="1"/>
    <col min="100" max="100" width="6" style="661" customWidth="1"/>
    <col min="101" max="101" width="6.453125" style="661" customWidth="1"/>
    <col min="102" max="102" width="5.453125" style="661" customWidth="1"/>
    <col min="103" max="103" width="6.81640625" style="661" customWidth="1"/>
    <col min="104" max="104" width="6.453125" style="661" customWidth="1"/>
    <col min="105" max="105" width="11.54296875" style="661" customWidth="1"/>
    <col min="106" max="106" width="7.81640625" style="661" customWidth="1"/>
    <col min="107" max="107" width="7.453125" style="661" customWidth="1"/>
    <col min="108" max="108" width="6.1796875" style="661" customWidth="1"/>
    <col min="109" max="109" width="6.81640625" style="661" customWidth="1"/>
    <col min="110" max="110" width="5.1796875" style="661" customWidth="1"/>
    <col min="111" max="112" width="8" style="661" customWidth="1"/>
    <col min="113" max="113" width="7.453125" style="661" customWidth="1"/>
    <col min="114" max="116" width="6.1796875" style="661" customWidth="1"/>
    <col min="117" max="117" width="6.81640625" style="661" customWidth="1"/>
    <col min="118" max="118" width="10.1796875" style="661" customWidth="1"/>
    <col min="119" max="119" width="6" style="661" customWidth="1"/>
    <col min="120" max="120" width="6.81640625" style="661" customWidth="1"/>
    <col min="121" max="121" width="7" style="661" customWidth="1"/>
    <col min="122" max="122" width="7.54296875" style="661" customWidth="1"/>
    <col min="123" max="124" width="9.1796875" style="661" customWidth="1"/>
    <col min="125" max="125" width="6.1796875" style="661" customWidth="1"/>
    <col min="126" max="126" width="7.1796875" style="661" customWidth="1"/>
    <col min="127" max="127" width="6.54296875" style="661" customWidth="1"/>
    <col min="128" max="128" width="5.1796875" style="661" customWidth="1"/>
    <col min="129" max="129" width="6.81640625" style="661" customWidth="1"/>
    <col min="130" max="130" width="8.1796875" style="661" customWidth="1"/>
    <col min="131" max="131" width="7" style="661" customWidth="1"/>
    <col min="132" max="132" width="6.1796875" style="661" customWidth="1"/>
    <col min="133" max="133" width="7.1796875" style="661" customWidth="1"/>
    <col min="134" max="134" width="6.81640625" style="661" customWidth="1"/>
    <col min="135" max="135" width="7.1796875" style="661" customWidth="1"/>
    <col min="136" max="136" width="7.453125" style="661" customWidth="1"/>
    <col min="137" max="137" width="7.54296875" style="661" customWidth="1"/>
    <col min="138" max="138" width="6.1796875" style="661" customWidth="1"/>
    <col min="139" max="140" width="6.81640625" style="661" customWidth="1"/>
    <col min="141" max="141" width="6.54296875" style="661" customWidth="1"/>
    <col min="142" max="142" width="5.1796875" style="661" customWidth="1"/>
    <col min="143" max="143" width="7.81640625" style="661" customWidth="1"/>
    <col min="144" max="144" width="5.81640625" style="661" customWidth="1"/>
    <col min="145" max="145" width="5.54296875" style="661" customWidth="1"/>
    <col min="146" max="146" width="9.1796875" style="661" customWidth="1"/>
    <col min="147" max="16384" width="9.1796875" style="661"/>
  </cols>
  <sheetData>
    <row r="1" spans="2:148" s="660" customFormat="1" ht="33.75" customHeight="1" thickBot="1">
      <c r="B1" s="994" t="s">
        <v>24</v>
      </c>
      <c r="C1" s="994"/>
      <c r="D1" s="994"/>
      <c r="E1" s="994"/>
      <c r="F1" s="994"/>
      <c r="G1" s="994"/>
      <c r="H1" s="994"/>
      <c r="I1" s="994"/>
      <c r="J1" s="994"/>
      <c r="K1" s="994"/>
      <c r="L1" s="994"/>
      <c r="M1" s="994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3"/>
      <c r="AG1" s="233"/>
      <c r="AH1" s="233"/>
      <c r="AI1" s="233"/>
      <c r="AJ1" s="233"/>
      <c r="AK1" s="233"/>
      <c r="AL1" s="233"/>
      <c r="AM1" s="233"/>
      <c r="AN1" s="233"/>
      <c r="AO1" s="233"/>
      <c r="AP1" s="233"/>
      <c r="AQ1" s="233"/>
      <c r="AR1" s="233"/>
      <c r="AS1" s="233"/>
      <c r="AU1" s="720">
        <v>1</v>
      </c>
      <c r="AV1" s="721" t="s">
        <v>25</v>
      </c>
      <c r="AW1" s="672"/>
      <c r="AX1" s="672"/>
      <c r="AY1" s="672"/>
      <c r="AZ1" s="672"/>
      <c r="BA1" s="672"/>
      <c r="BB1" s="672"/>
      <c r="BC1" s="672"/>
      <c r="BD1" s="672"/>
      <c r="BE1" s="672"/>
      <c r="BF1" s="672"/>
      <c r="BG1" s="672"/>
      <c r="BH1" s="672"/>
      <c r="BI1" s="672"/>
      <c r="BJ1" s="672"/>
      <c r="BK1" s="672"/>
      <c r="BL1" s="672"/>
      <c r="BM1" s="672"/>
      <c r="BN1" s="672"/>
      <c r="BO1" s="672"/>
      <c r="BP1" s="672"/>
      <c r="BQ1" s="672"/>
      <c r="BR1" s="672"/>
      <c r="BS1" s="672"/>
      <c r="BT1" s="672"/>
      <c r="BU1" s="672"/>
      <c r="BV1" s="672"/>
      <c r="BW1" s="672"/>
      <c r="BX1" s="672"/>
      <c r="BY1" s="672"/>
      <c r="BZ1" s="672"/>
      <c r="CA1" s="672"/>
      <c r="CB1" s="672"/>
      <c r="CC1" s="672"/>
      <c r="CD1" s="672"/>
      <c r="CE1" s="672"/>
      <c r="CF1" s="672"/>
      <c r="CG1" s="672"/>
      <c r="CH1" s="672"/>
      <c r="CI1" s="672"/>
      <c r="CJ1" s="672"/>
      <c r="CK1" s="672"/>
      <c r="CL1" s="672"/>
      <c r="CM1" s="672"/>
      <c r="CN1" s="672"/>
      <c r="CO1" s="672"/>
      <c r="CP1" s="672"/>
      <c r="CQ1" s="672"/>
      <c r="CR1" s="672"/>
      <c r="CS1" s="672"/>
      <c r="CT1" s="672"/>
      <c r="CU1" s="672"/>
      <c r="CV1" s="672"/>
      <c r="CW1" s="672"/>
      <c r="CX1" s="672"/>
      <c r="CY1" s="672"/>
      <c r="CZ1" s="672"/>
      <c r="DA1" s="672"/>
      <c r="DB1" s="672"/>
      <c r="DC1" s="672"/>
      <c r="DD1" s="672"/>
      <c r="DE1" s="672"/>
      <c r="DF1" s="672"/>
      <c r="DG1" s="672"/>
      <c r="DH1" s="672"/>
      <c r="DI1" s="672"/>
      <c r="DJ1" s="672"/>
      <c r="DK1" s="672"/>
      <c r="DL1" s="672"/>
      <c r="DM1" s="672"/>
      <c r="DN1" s="672"/>
      <c r="DO1" s="672"/>
      <c r="DP1" s="672"/>
      <c r="DQ1" s="672"/>
      <c r="DR1" s="672"/>
      <c r="DS1" s="672"/>
      <c r="DT1" s="672"/>
      <c r="DU1" s="672"/>
      <c r="DV1" s="672"/>
      <c r="DW1" s="672"/>
      <c r="DX1" s="672"/>
      <c r="DY1" s="672"/>
      <c r="DZ1" s="672"/>
      <c r="EA1" s="672"/>
      <c r="EB1" s="672"/>
      <c r="EC1" s="672"/>
      <c r="ED1" s="672"/>
      <c r="EE1" s="672"/>
      <c r="EF1" s="672"/>
      <c r="EG1" s="672"/>
      <c r="EH1" s="672"/>
      <c r="EI1" s="672"/>
      <c r="EJ1" s="672"/>
      <c r="EK1" s="672"/>
      <c r="EL1" s="672"/>
      <c r="EM1" s="672"/>
      <c r="EN1" s="672"/>
      <c r="EO1" s="672"/>
      <c r="EP1" s="672"/>
      <c r="EQ1" s="671"/>
      <c r="ER1" s="671"/>
    </row>
    <row r="2" spans="2:148" s="660" customFormat="1" ht="14.5">
      <c r="B2" s="798"/>
      <c r="C2" s="798" t="s">
        <v>26</v>
      </c>
      <c r="D2" s="799" t="s">
        <v>27</v>
      </c>
      <c r="E2" s="752" t="s">
        <v>28</v>
      </c>
      <c r="F2" s="752"/>
      <c r="G2" s="799" t="s">
        <v>29</v>
      </c>
      <c r="H2" s="832"/>
      <c r="I2" s="798"/>
      <c r="J2" s="800"/>
      <c r="K2" s="801"/>
      <c r="L2" s="802"/>
      <c r="M2" s="803"/>
      <c r="N2" s="233"/>
      <c r="O2" s="233"/>
      <c r="P2" s="233"/>
      <c r="Q2" s="233"/>
      <c r="R2" s="233"/>
      <c r="S2" s="233"/>
      <c r="T2" s="233"/>
      <c r="U2" s="233"/>
      <c r="V2" s="233"/>
      <c r="W2" s="233"/>
      <c r="X2" s="233"/>
      <c r="Y2" s="233"/>
      <c r="Z2" s="233"/>
      <c r="AA2" s="233"/>
      <c r="AB2" s="233"/>
      <c r="AC2" s="233"/>
      <c r="AD2" s="233"/>
      <c r="AE2" s="233"/>
      <c r="AF2" s="233"/>
      <c r="AG2" s="233"/>
      <c r="AH2" s="233"/>
      <c r="AI2" s="233"/>
      <c r="AJ2" s="233"/>
      <c r="AK2" s="233"/>
      <c r="AL2" s="515" t="s">
        <v>30</v>
      </c>
      <c r="AM2" s="516" t="s">
        <v>31</v>
      </c>
      <c r="AN2" s="516" t="s">
        <v>32</v>
      </c>
      <c r="AO2" s="233"/>
      <c r="AP2" s="233"/>
      <c r="AQ2" s="233"/>
      <c r="AR2" s="233"/>
      <c r="AS2" s="233"/>
      <c r="AU2" s="720">
        <v>2</v>
      </c>
      <c r="AV2" s="721" t="s">
        <v>33</v>
      </c>
      <c r="AW2" s="672"/>
      <c r="AX2" s="672"/>
      <c r="AY2" s="673"/>
      <c r="AZ2" s="674"/>
      <c r="BA2" s="672"/>
      <c r="BB2" s="674"/>
      <c r="BC2" s="672"/>
      <c r="BD2" s="672"/>
      <c r="BE2" s="672"/>
      <c r="BF2" s="672"/>
      <c r="BG2" s="672"/>
      <c r="BH2" s="672"/>
      <c r="BI2" s="672"/>
      <c r="BJ2" s="672"/>
      <c r="BK2" s="672"/>
      <c r="BL2" s="672"/>
      <c r="BM2" s="672"/>
      <c r="BN2" s="672"/>
      <c r="BO2" s="672"/>
      <c r="BP2" s="672"/>
      <c r="BQ2" s="672"/>
      <c r="BR2" s="672"/>
      <c r="BS2" s="672"/>
      <c r="BT2" s="672"/>
      <c r="BU2" s="672"/>
      <c r="BV2" s="672"/>
      <c r="BW2" s="672"/>
      <c r="BX2" s="672"/>
      <c r="BY2" s="672"/>
      <c r="BZ2" s="672"/>
      <c r="CA2" s="672"/>
      <c r="CB2" s="672"/>
      <c r="CC2" s="672"/>
      <c r="CD2" s="672"/>
      <c r="CE2" s="672"/>
      <c r="CF2" s="672"/>
      <c r="CG2" s="672"/>
      <c r="CH2" s="672"/>
      <c r="CI2" s="672"/>
      <c r="CJ2" s="672"/>
      <c r="CK2" s="672"/>
      <c r="CL2" s="672"/>
      <c r="CM2" s="672"/>
      <c r="CN2" s="672"/>
      <c r="CO2" s="672"/>
      <c r="CP2" s="672"/>
      <c r="CQ2" s="672"/>
      <c r="CR2" s="672"/>
      <c r="CS2" s="672"/>
      <c r="CT2" s="672"/>
      <c r="CU2" s="672"/>
      <c r="CV2" s="672"/>
      <c r="CW2" s="672"/>
      <c r="CX2" s="672"/>
      <c r="CY2" s="672"/>
      <c r="CZ2" s="672"/>
      <c r="DA2" s="672"/>
      <c r="DB2" s="672"/>
      <c r="DC2" s="672"/>
      <c r="DD2" s="672"/>
      <c r="DE2" s="672"/>
      <c r="DF2" s="672"/>
      <c r="DG2" s="672"/>
      <c r="DH2" s="672"/>
      <c r="DI2" s="672"/>
      <c r="DJ2" s="672"/>
      <c r="DK2" s="672"/>
      <c r="DL2" s="672"/>
      <c r="DM2" s="672"/>
      <c r="DN2" s="672"/>
      <c r="DO2" s="672"/>
      <c r="DP2" s="672"/>
      <c r="DQ2" s="672"/>
      <c r="DR2" s="672"/>
      <c r="DS2" s="672"/>
      <c r="DT2" s="672"/>
      <c r="DU2" s="672"/>
      <c r="DV2" s="672"/>
      <c r="DW2" s="672"/>
      <c r="DX2" s="672"/>
      <c r="DY2" s="672"/>
      <c r="DZ2" s="672"/>
      <c r="EA2" s="672"/>
      <c r="EB2" s="672"/>
      <c r="EC2" s="672"/>
      <c r="ED2" s="672"/>
      <c r="EE2" s="672"/>
      <c r="EF2" s="672"/>
      <c r="EG2" s="672"/>
      <c r="EH2" s="672"/>
      <c r="EI2" s="672"/>
      <c r="EJ2" s="672"/>
      <c r="EK2" s="672"/>
      <c r="EL2" s="672"/>
      <c r="EM2" s="672"/>
      <c r="EN2" s="672"/>
      <c r="EO2" s="672"/>
      <c r="EP2" s="672"/>
      <c r="EQ2" s="671"/>
      <c r="ER2" s="671"/>
    </row>
    <row r="3" spans="2:148" s="660" customFormat="1" ht="15" thickBot="1">
      <c r="B3" s="798"/>
      <c r="C3" s="831"/>
      <c r="D3" s="801" t="s">
        <v>35</v>
      </c>
      <c r="E3" s="801">
        <v>10026</v>
      </c>
      <c r="F3" s="801"/>
      <c r="G3" s="800" t="s">
        <v>36</v>
      </c>
      <c r="H3" s="832">
        <f>10000+H2</f>
        <v>10000</v>
      </c>
      <c r="I3" s="800" t="s">
        <v>37</v>
      </c>
      <c r="J3" s="833"/>
      <c r="K3" s="800" t="s">
        <v>38</v>
      </c>
      <c r="L3" s="834">
        <f>'10027'!L3</f>
        <v>14</v>
      </c>
      <c r="M3" s="798"/>
      <c r="N3" s="233"/>
      <c r="O3" s="233"/>
      <c r="P3" s="233">
        <f>36+5</f>
        <v>41</v>
      </c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517" t="e">
        <f>(K9)/(D9+K15)*100</f>
        <v>#VALUE!</v>
      </c>
      <c r="AM3" s="518" t="e">
        <f>(K8)/(D8-K15)*100</f>
        <v>#VALUE!</v>
      </c>
      <c r="AN3" s="518" t="e">
        <f>(K8+K9)/(D8+D9)*100</f>
        <v>#VALUE!</v>
      </c>
      <c r="AO3" s="233"/>
      <c r="AP3" s="233"/>
      <c r="AQ3" s="233"/>
      <c r="AR3" s="233"/>
      <c r="AS3" s="233"/>
      <c r="AU3" s="720">
        <v>3</v>
      </c>
      <c r="AV3" s="721" t="s">
        <v>34</v>
      </c>
    </row>
    <row r="4" spans="2:148" ht="15.75" customHeight="1" thickBot="1">
      <c r="B4" s="804"/>
      <c r="C4" s="805"/>
      <c r="D4" s="806"/>
      <c r="E4" s="806"/>
      <c r="F4" s="806"/>
      <c r="G4" s="806"/>
      <c r="H4" s="806"/>
      <c r="I4" s="806"/>
      <c r="J4" s="807"/>
      <c r="K4" s="808"/>
      <c r="L4" s="809"/>
      <c r="M4" s="810"/>
      <c r="N4" s="519"/>
      <c r="O4" s="519"/>
      <c r="P4" s="519">
        <f>P3+15</f>
        <v>56</v>
      </c>
      <c r="Q4" s="519"/>
      <c r="R4" s="519"/>
      <c r="S4" s="519"/>
      <c r="T4" s="520" t="s">
        <v>39</v>
      </c>
      <c r="U4" s="519"/>
      <c r="V4" s="519"/>
      <c r="W4" s="519"/>
      <c r="X4" s="519"/>
      <c r="Y4" s="519"/>
      <c r="Z4" s="519"/>
      <c r="AA4" s="519"/>
      <c r="AB4" s="519"/>
      <c r="AC4" s="519"/>
      <c r="AD4" s="519"/>
      <c r="AE4" s="519"/>
      <c r="AF4" s="519"/>
      <c r="AG4" s="519"/>
      <c r="AH4" s="519"/>
      <c r="AI4" s="519"/>
      <c r="AJ4" s="519"/>
      <c r="AK4" s="519"/>
      <c r="AL4" s="519"/>
      <c r="AM4" s="519"/>
      <c r="AN4" s="519"/>
      <c r="AO4" s="519"/>
      <c r="AP4" s="519"/>
      <c r="AQ4" s="519"/>
      <c r="AR4" s="519"/>
      <c r="AS4" s="519"/>
      <c r="AV4" s="811"/>
      <c r="BJ4" s="989" t="s">
        <v>40</v>
      </c>
      <c r="BU4" s="989" t="s">
        <v>41</v>
      </c>
      <c r="CE4" s="989" t="s">
        <v>42</v>
      </c>
      <c r="DG4" s="980" t="s">
        <v>43</v>
      </c>
      <c r="DH4" s="980" t="s">
        <v>44</v>
      </c>
      <c r="DI4" s="980" t="s">
        <v>45</v>
      </c>
      <c r="DJ4" s="980" t="s">
        <v>46</v>
      </c>
      <c r="DK4" s="980" t="s">
        <v>46</v>
      </c>
      <c r="DL4" s="980" t="s">
        <v>47</v>
      </c>
      <c r="DM4" s="981" t="s">
        <v>48</v>
      </c>
      <c r="DN4" s="980" t="s">
        <v>49</v>
      </c>
      <c r="DO4" s="980" t="s">
        <v>50</v>
      </c>
      <c r="DR4" s="980" t="s">
        <v>51</v>
      </c>
      <c r="DS4" s="980" t="s">
        <v>52</v>
      </c>
      <c r="DT4" s="980" t="s">
        <v>53</v>
      </c>
      <c r="DZ4" s="980" t="s">
        <v>54</v>
      </c>
      <c r="EE4" s="980" t="s">
        <v>55</v>
      </c>
      <c r="EF4" s="980" t="s">
        <v>56</v>
      </c>
      <c r="EG4" s="980" t="s">
        <v>57</v>
      </c>
      <c r="EH4" s="980" t="s">
        <v>58</v>
      </c>
      <c r="EK4" s="989" t="s">
        <v>59</v>
      </c>
    </row>
    <row r="5" spans="2:148" s="695" customFormat="1" ht="15" customHeight="1">
      <c r="B5" s="982" t="s">
        <v>60</v>
      </c>
      <c r="C5" s="984" t="s">
        <v>61</v>
      </c>
      <c r="D5" s="986" t="s">
        <v>62</v>
      </c>
      <c r="E5" s="986"/>
      <c r="F5" s="986" t="s">
        <v>63</v>
      </c>
      <c r="G5" s="986"/>
      <c r="H5" s="986"/>
      <c r="I5" s="986"/>
      <c r="J5" s="984" t="s">
        <v>64</v>
      </c>
      <c r="K5" s="987" t="s">
        <v>65</v>
      </c>
      <c r="L5" s="995" t="s">
        <v>66</v>
      </c>
      <c r="M5" s="997" t="s">
        <v>67</v>
      </c>
      <c r="N5" s="693"/>
      <c r="O5" s="693"/>
      <c r="P5" s="693"/>
      <c r="Q5" s="693"/>
      <c r="R5" s="693"/>
      <c r="S5" s="693"/>
      <c r="T5" s="693"/>
      <c r="U5" s="693"/>
      <c r="V5" s="693"/>
      <c r="W5" s="693"/>
      <c r="X5" s="693"/>
      <c r="Y5" s="693"/>
      <c r="Z5" s="693"/>
      <c r="AA5" s="693"/>
      <c r="AB5" s="693"/>
      <c r="AC5" s="693"/>
      <c r="AD5" s="693"/>
      <c r="AE5" s="693"/>
      <c r="AF5" s="693"/>
      <c r="AG5" s="693"/>
      <c r="AH5" s="693"/>
      <c r="AI5" s="694"/>
      <c r="AJ5" s="693"/>
      <c r="AK5" s="693" t="s">
        <v>68</v>
      </c>
      <c r="AL5" s="693"/>
      <c r="AM5" s="693"/>
      <c r="AN5" s="693"/>
      <c r="AO5" s="693"/>
      <c r="AP5" s="693"/>
      <c r="AQ5" s="693"/>
      <c r="AR5" s="693"/>
      <c r="AS5" s="693"/>
      <c r="AU5" s="980" t="s">
        <v>69</v>
      </c>
      <c r="AV5" s="980" t="s">
        <v>70</v>
      </c>
      <c r="AW5" s="980" t="s">
        <v>71</v>
      </c>
      <c r="AX5" s="971" t="s">
        <v>72</v>
      </c>
      <c r="AY5" s="971" t="s">
        <v>73</v>
      </c>
      <c r="AZ5" s="980" t="s">
        <v>74</v>
      </c>
      <c r="BA5" s="980" t="s">
        <v>75</v>
      </c>
      <c r="BB5" s="980" t="s">
        <v>76</v>
      </c>
      <c r="BC5" s="971" t="s">
        <v>77</v>
      </c>
      <c r="BD5" s="971" t="s">
        <v>78</v>
      </c>
      <c r="BE5" s="971" t="s">
        <v>79</v>
      </c>
      <c r="BF5" s="971" t="s">
        <v>71</v>
      </c>
      <c r="BG5" s="971" t="s">
        <v>80</v>
      </c>
      <c r="BH5" s="971" t="s">
        <v>81</v>
      </c>
      <c r="BI5" s="971" t="s">
        <v>82</v>
      </c>
      <c r="BJ5" s="989"/>
      <c r="BK5" s="971" t="s">
        <v>83</v>
      </c>
      <c r="BL5" s="971" t="s">
        <v>84</v>
      </c>
      <c r="BM5" s="971" t="s">
        <v>85</v>
      </c>
      <c r="BN5" s="971" t="s">
        <v>74</v>
      </c>
      <c r="BO5" s="971" t="s">
        <v>86</v>
      </c>
      <c r="BP5" s="971" t="s">
        <v>87</v>
      </c>
      <c r="BQ5" s="971" t="s">
        <v>88</v>
      </c>
      <c r="BR5" s="971" t="s">
        <v>89</v>
      </c>
      <c r="BS5" s="971" t="s">
        <v>90</v>
      </c>
      <c r="BT5" s="971" t="s">
        <v>91</v>
      </c>
      <c r="BU5" s="989"/>
      <c r="BV5" s="971" t="s">
        <v>92</v>
      </c>
      <c r="BW5" s="971" t="s">
        <v>93</v>
      </c>
      <c r="BX5" s="971" t="s">
        <v>94</v>
      </c>
      <c r="BY5" s="971" t="s">
        <v>95</v>
      </c>
      <c r="BZ5" s="971" t="s">
        <v>96</v>
      </c>
      <c r="CA5" s="971" t="s">
        <v>97</v>
      </c>
      <c r="CB5" s="971" t="s">
        <v>98</v>
      </c>
      <c r="CC5" s="971" t="s">
        <v>99</v>
      </c>
      <c r="CD5" s="971" t="s">
        <v>100</v>
      </c>
      <c r="CE5" s="989"/>
      <c r="CF5" s="971" t="s">
        <v>101</v>
      </c>
      <c r="CG5" s="914"/>
      <c r="CH5" s="914"/>
      <c r="CI5" s="914"/>
      <c r="CJ5" s="914"/>
      <c r="CK5" s="914"/>
      <c r="CL5" s="914"/>
      <c r="CM5" s="914"/>
      <c r="CN5" s="914"/>
      <c r="CO5" s="914"/>
      <c r="CP5" s="914"/>
      <c r="CQ5" s="914"/>
      <c r="CR5" s="914"/>
      <c r="CS5" s="971" t="s">
        <v>102</v>
      </c>
      <c r="CT5" s="971" t="s">
        <v>103</v>
      </c>
      <c r="CU5" s="971" t="s">
        <v>104</v>
      </c>
      <c r="CV5" s="971" t="s">
        <v>105</v>
      </c>
      <c r="CW5" s="971" t="s">
        <v>105</v>
      </c>
      <c r="CX5" s="971" t="s">
        <v>106</v>
      </c>
      <c r="CY5" s="971" t="s">
        <v>107</v>
      </c>
      <c r="CZ5" s="971" t="s">
        <v>108</v>
      </c>
      <c r="DA5" s="971" t="s">
        <v>109</v>
      </c>
      <c r="DB5" s="971" t="s">
        <v>110</v>
      </c>
      <c r="DC5" s="971" t="s">
        <v>111</v>
      </c>
      <c r="DD5" s="971" t="s">
        <v>112</v>
      </c>
      <c r="DE5" s="971" t="s">
        <v>113</v>
      </c>
      <c r="DF5" s="977" t="s">
        <v>114</v>
      </c>
      <c r="DG5" s="980"/>
      <c r="DH5" s="980"/>
      <c r="DI5" s="980"/>
      <c r="DJ5" s="980"/>
      <c r="DK5" s="980"/>
      <c r="DL5" s="980"/>
      <c r="DM5" s="981"/>
      <c r="DN5" s="980"/>
      <c r="DO5" s="980"/>
      <c r="DP5" s="991" t="s">
        <v>115</v>
      </c>
      <c r="DQ5" s="977" t="s">
        <v>116</v>
      </c>
      <c r="DR5" s="980"/>
      <c r="DS5" s="980"/>
      <c r="DT5" s="980"/>
      <c r="DU5" s="971" t="s">
        <v>117</v>
      </c>
      <c r="DV5" s="971" t="s">
        <v>118</v>
      </c>
      <c r="DW5" s="971" t="s">
        <v>119</v>
      </c>
      <c r="DX5" s="971" t="s">
        <v>120</v>
      </c>
      <c r="DY5" s="977" t="s">
        <v>121</v>
      </c>
      <c r="DZ5" s="980"/>
      <c r="EA5" s="971" t="s">
        <v>122</v>
      </c>
      <c r="EB5" s="971" t="s">
        <v>123</v>
      </c>
      <c r="EC5" s="971" t="s">
        <v>124</v>
      </c>
      <c r="ED5" s="977" t="s">
        <v>125</v>
      </c>
      <c r="EE5" s="980"/>
      <c r="EF5" s="980"/>
      <c r="EG5" s="980"/>
      <c r="EH5" s="980"/>
      <c r="EI5" s="991" t="s">
        <v>126</v>
      </c>
      <c r="EJ5" s="971" t="s">
        <v>127</v>
      </c>
      <c r="EK5" s="989"/>
      <c r="EL5" s="971" t="s">
        <v>128</v>
      </c>
      <c r="EM5" s="971" t="s">
        <v>129</v>
      </c>
      <c r="EN5" s="971" t="s">
        <v>130</v>
      </c>
    </row>
    <row r="6" spans="2:148" s="698" customFormat="1" ht="12" thickBot="1">
      <c r="B6" s="983"/>
      <c r="C6" s="985"/>
      <c r="D6" s="794" t="s">
        <v>131</v>
      </c>
      <c r="E6" s="794" t="s">
        <v>66</v>
      </c>
      <c r="F6" s="794" t="s">
        <v>132</v>
      </c>
      <c r="G6" s="794" t="s">
        <v>133</v>
      </c>
      <c r="H6" s="794" t="s">
        <v>134</v>
      </c>
      <c r="I6" s="794" t="s">
        <v>66</v>
      </c>
      <c r="J6" s="985"/>
      <c r="K6" s="988"/>
      <c r="L6" s="996"/>
      <c r="M6" s="998"/>
      <c r="N6" s="696"/>
      <c r="O6" s="696"/>
      <c r="P6" s="696"/>
      <c r="Q6" s="696"/>
      <c r="R6" s="696"/>
      <c r="S6" s="696"/>
      <c r="T6" s="696" t="s">
        <v>135</v>
      </c>
      <c r="U6" s="696"/>
      <c r="V6" s="696"/>
      <c r="W6" s="696"/>
      <c r="X6" s="696"/>
      <c r="Y6" s="696"/>
      <c r="Z6" s="696"/>
      <c r="AA6" s="696"/>
      <c r="AB6" s="696"/>
      <c r="AC6" s="696"/>
      <c r="AD6" s="696"/>
      <c r="AE6" s="696"/>
      <c r="AF6" s="696"/>
      <c r="AG6" s="696"/>
      <c r="AH6" s="696"/>
      <c r="AI6" s="697"/>
      <c r="AJ6" s="696"/>
      <c r="AK6" s="696"/>
      <c r="AL6" s="696"/>
      <c r="AM6" s="696"/>
      <c r="AN6" s="696"/>
      <c r="AO6" s="696"/>
      <c r="AP6" s="696"/>
      <c r="AQ6" s="696"/>
      <c r="AR6" s="696"/>
      <c r="AS6" s="696"/>
      <c r="AU6" s="980"/>
      <c r="AV6" s="980"/>
      <c r="AW6" s="980"/>
      <c r="AX6" s="972"/>
      <c r="AY6" s="972"/>
      <c r="AZ6" s="980"/>
      <c r="BA6" s="980"/>
      <c r="BB6" s="980"/>
      <c r="BC6" s="972"/>
      <c r="BD6" s="972"/>
      <c r="BE6" s="972"/>
      <c r="BF6" s="972"/>
      <c r="BG6" s="972"/>
      <c r="BH6" s="972"/>
      <c r="BI6" s="972"/>
      <c r="BJ6" s="989"/>
      <c r="BK6" s="972"/>
      <c r="BL6" s="972"/>
      <c r="BM6" s="972"/>
      <c r="BN6" s="972"/>
      <c r="BO6" s="972"/>
      <c r="BP6" s="972"/>
      <c r="BQ6" s="972"/>
      <c r="BR6" s="972"/>
      <c r="BS6" s="972"/>
      <c r="BT6" s="972"/>
      <c r="BU6" s="989"/>
      <c r="BV6" s="972"/>
      <c r="BW6" s="972"/>
      <c r="BX6" s="972"/>
      <c r="BY6" s="972"/>
      <c r="BZ6" s="972"/>
      <c r="CA6" s="972"/>
      <c r="CB6" s="972"/>
      <c r="CC6" s="972"/>
      <c r="CD6" s="972"/>
      <c r="CE6" s="989"/>
      <c r="CF6" s="972"/>
      <c r="CG6" s="915"/>
      <c r="CH6" s="915"/>
      <c r="CI6" s="915"/>
      <c r="CJ6" s="915"/>
      <c r="CK6" s="915"/>
      <c r="CL6" s="915"/>
      <c r="CM6" s="915"/>
      <c r="CN6" s="915"/>
      <c r="CO6" s="915"/>
      <c r="CP6" s="915"/>
      <c r="CQ6" s="915"/>
      <c r="CR6" s="915"/>
      <c r="CS6" s="972"/>
      <c r="CT6" s="972"/>
      <c r="CU6" s="972"/>
      <c r="CV6" s="972"/>
      <c r="CW6" s="972"/>
      <c r="CX6" s="972"/>
      <c r="CY6" s="972"/>
      <c r="CZ6" s="972"/>
      <c r="DA6" s="972"/>
      <c r="DB6" s="972"/>
      <c r="DC6" s="972"/>
      <c r="DD6" s="972"/>
      <c r="DE6" s="972"/>
      <c r="DF6" s="978"/>
      <c r="DG6" s="980"/>
      <c r="DH6" s="980"/>
      <c r="DI6" s="980"/>
      <c r="DJ6" s="980"/>
      <c r="DK6" s="980"/>
      <c r="DL6" s="980"/>
      <c r="DM6" s="981"/>
      <c r="DN6" s="980"/>
      <c r="DO6" s="980"/>
      <c r="DP6" s="992"/>
      <c r="DQ6" s="978"/>
      <c r="DR6" s="980"/>
      <c r="DS6" s="980"/>
      <c r="DT6" s="980"/>
      <c r="DU6" s="972"/>
      <c r="DV6" s="972"/>
      <c r="DW6" s="972"/>
      <c r="DX6" s="972"/>
      <c r="DY6" s="978"/>
      <c r="DZ6" s="980"/>
      <c r="EA6" s="972"/>
      <c r="EB6" s="972"/>
      <c r="EC6" s="972"/>
      <c r="ED6" s="978"/>
      <c r="EE6" s="980"/>
      <c r="EF6" s="980"/>
      <c r="EG6" s="980"/>
      <c r="EH6" s="980"/>
      <c r="EI6" s="992"/>
      <c r="EJ6" s="972"/>
      <c r="EK6" s="989"/>
      <c r="EL6" s="972"/>
      <c r="EM6" s="972"/>
      <c r="EN6" s="972"/>
    </row>
    <row r="7" spans="2:148" s="695" customFormat="1" ht="12.75" customHeight="1" thickBot="1">
      <c r="B7" s="797"/>
      <c r="C7" s="974" t="s">
        <v>136</v>
      </c>
      <c r="D7" s="975"/>
      <c r="E7" s="975"/>
      <c r="F7" s="975"/>
      <c r="G7" s="975"/>
      <c r="H7" s="975"/>
      <c r="I7" s="975"/>
      <c r="J7" s="975"/>
      <c r="K7" s="975"/>
      <c r="L7" s="976"/>
      <c r="M7" s="699"/>
      <c r="N7" s="693"/>
      <c r="O7" s="693"/>
      <c r="P7" s="693"/>
      <c r="Q7" s="693"/>
      <c r="R7" s="693"/>
      <c r="S7" s="693"/>
      <c r="T7" s="693"/>
      <c r="U7" s="693"/>
      <c r="V7" s="700" t="s">
        <v>137</v>
      </c>
      <c r="W7" s="700" t="s">
        <v>138</v>
      </c>
      <c r="X7" s="693"/>
      <c r="Y7" s="693"/>
      <c r="Z7" s="693"/>
      <c r="AA7" s="693"/>
      <c r="AB7" s="693"/>
      <c r="AC7" s="693"/>
      <c r="AD7" s="693"/>
      <c r="AE7" s="693"/>
      <c r="AF7" s="693"/>
      <c r="AG7" s="693"/>
      <c r="AH7" s="693"/>
      <c r="AI7" s="694"/>
      <c r="AJ7" s="693"/>
      <c r="AK7" s="693"/>
      <c r="AL7" s="693"/>
      <c r="AM7" s="693"/>
      <c r="AN7" s="693"/>
      <c r="AO7" s="693"/>
      <c r="AP7" s="693"/>
      <c r="AQ7" s="701" t="s">
        <v>139</v>
      </c>
      <c r="AR7" s="701" t="s">
        <v>140</v>
      </c>
      <c r="AS7" s="701" t="s">
        <v>141</v>
      </c>
      <c r="AU7" s="980"/>
      <c r="AV7" s="980"/>
      <c r="AW7" s="980"/>
      <c r="AX7" s="973"/>
      <c r="AY7" s="973"/>
      <c r="AZ7" s="980"/>
      <c r="BA7" s="980"/>
      <c r="BB7" s="980"/>
      <c r="BC7" s="973"/>
      <c r="BD7" s="973"/>
      <c r="BE7" s="973"/>
      <c r="BF7" s="973"/>
      <c r="BG7" s="973"/>
      <c r="BH7" s="973"/>
      <c r="BI7" s="973"/>
      <c r="BJ7" s="990"/>
      <c r="BK7" s="973"/>
      <c r="BL7" s="973"/>
      <c r="BM7" s="973"/>
      <c r="BN7" s="973"/>
      <c r="BO7" s="973"/>
      <c r="BP7" s="973"/>
      <c r="BQ7" s="973"/>
      <c r="BR7" s="973"/>
      <c r="BS7" s="973"/>
      <c r="BT7" s="973"/>
      <c r="BU7" s="990"/>
      <c r="BV7" s="973"/>
      <c r="BW7" s="973"/>
      <c r="BX7" s="973"/>
      <c r="BY7" s="973"/>
      <c r="BZ7" s="973"/>
      <c r="CA7" s="973"/>
      <c r="CB7" s="973"/>
      <c r="CC7" s="973"/>
      <c r="CD7" s="973"/>
      <c r="CE7" s="990"/>
      <c r="CF7" s="973"/>
      <c r="CG7" s="916"/>
      <c r="CH7" s="916"/>
      <c r="CI7" s="916"/>
      <c r="CJ7" s="916"/>
      <c r="CK7" s="916"/>
      <c r="CL7" s="916"/>
      <c r="CM7" s="916"/>
      <c r="CN7" s="916"/>
      <c r="CO7" s="916"/>
      <c r="CP7" s="916"/>
      <c r="CQ7" s="916"/>
      <c r="CR7" s="916"/>
      <c r="CS7" s="973"/>
      <c r="CT7" s="973"/>
      <c r="CU7" s="973"/>
      <c r="CV7" s="973"/>
      <c r="CW7" s="973"/>
      <c r="CX7" s="973"/>
      <c r="CY7" s="973"/>
      <c r="CZ7" s="973"/>
      <c r="DA7" s="973"/>
      <c r="DB7" s="973"/>
      <c r="DC7" s="973"/>
      <c r="DD7" s="973"/>
      <c r="DE7" s="973"/>
      <c r="DF7" s="979"/>
      <c r="DG7" s="980"/>
      <c r="DH7" s="980"/>
      <c r="DI7" s="980"/>
      <c r="DJ7" s="980"/>
      <c r="DK7" s="980"/>
      <c r="DL7" s="980"/>
      <c r="DM7" s="981"/>
      <c r="DN7" s="980"/>
      <c r="DO7" s="980"/>
      <c r="DP7" s="993"/>
      <c r="DQ7" s="979"/>
      <c r="DR7" s="980"/>
      <c r="DS7" s="980"/>
      <c r="DT7" s="980"/>
      <c r="DU7" s="973"/>
      <c r="DV7" s="973"/>
      <c r="DW7" s="973"/>
      <c r="DX7" s="973"/>
      <c r="DY7" s="979"/>
      <c r="DZ7" s="980"/>
      <c r="EA7" s="973"/>
      <c r="EB7" s="973"/>
      <c r="EC7" s="973"/>
      <c r="ED7" s="979"/>
      <c r="EE7" s="980"/>
      <c r="EF7" s="980"/>
      <c r="EG7" s="980"/>
      <c r="EH7" s="980"/>
      <c r="EI7" s="993"/>
      <c r="EJ7" s="973"/>
      <c r="EK7" s="990"/>
      <c r="EL7" s="973"/>
      <c r="EM7" s="973"/>
      <c r="EN7" s="973"/>
    </row>
    <row r="8" spans="2:148" s="662" customFormat="1" ht="22.5" customHeight="1">
      <c r="B8" s="745"/>
      <c r="C8" s="813"/>
      <c r="D8" s="544" t="s">
        <v>142</v>
      </c>
      <c r="E8" s="795"/>
      <c r="F8" s="966" t="s">
        <v>143</v>
      </c>
      <c r="G8" s="967"/>
      <c r="H8" s="814">
        <f>IF(E9="",0,E9-D9)+IF(E10="",0,E10-D10)</f>
        <v>0</v>
      </c>
      <c r="I8" s="812" t="s">
        <v>144</v>
      </c>
      <c r="J8" s="543" t="s">
        <v>145</v>
      </c>
      <c r="K8" s="882">
        <f>D37+D36</f>
        <v>94</v>
      </c>
      <c r="L8" s="796">
        <f>E37+E36</f>
        <v>0</v>
      </c>
      <c r="M8" s="531"/>
      <c r="N8" s="521" t="e">
        <v>#VALUE!</v>
      </c>
      <c r="O8" s="521" t="e">
        <f>(D8-K15)/133+K8</f>
        <v>#VALUE!</v>
      </c>
      <c r="P8" s="521" t="s">
        <v>146</v>
      </c>
      <c r="Q8" s="521"/>
      <c r="R8" s="532" t="e">
        <f>D8/0.667</f>
        <v>#VALUE!</v>
      </c>
      <c r="S8" s="521"/>
      <c r="T8" s="521">
        <f>K8*100</f>
        <v>9400</v>
      </c>
      <c r="U8" s="521" t="e">
        <f>(D8-K15)*0.67</f>
        <v>#VALUE!</v>
      </c>
      <c r="V8" s="521" t="e">
        <f>T8+U8</f>
        <v>#VALUE!</v>
      </c>
      <c r="W8" s="521">
        <v>44</v>
      </c>
      <c r="X8" s="521" t="e">
        <f>V8*W8</f>
        <v>#VALUE!</v>
      </c>
      <c r="Y8" s="521" t="s">
        <v>147</v>
      </c>
      <c r="Z8" s="521"/>
      <c r="AA8" s="521" t="e">
        <f>V8/100</f>
        <v>#VALUE!</v>
      </c>
      <c r="AB8" s="521">
        <f>(235*0.67+800)</f>
        <v>957.45</v>
      </c>
      <c r="AC8" s="521">
        <f>AB8/100</f>
        <v>9.5745000000000005</v>
      </c>
      <c r="AD8" s="521" t="e">
        <f>AA8+AC8</f>
        <v>#VALUE!</v>
      </c>
      <c r="AE8" s="521"/>
      <c r="AF8" s="521"/>
      <c r="AG8" s="532"/>
      <c r="AH8" s="521">
        <f>98+47</f>
        <v>145</v>
      </c>
      <c r="AI8" s="522"/>
      <c r="AJ8" s="521"/>
      <c r="AK8" s="521"/>
      <c r="AL8" s="521"/>
      <c r="AM8" s="533" t="s">
        <v>148</v>
      </c>
      <c r="AN8" s="534" t="s">
        <v>149</v>
      </c>
      <c r="AO8" s="534" t="s">
        <v>150</v>
      </c>
      <c r="AP8" s="521"/>
      <c r="AQ8" s="535" t="s">
        <v>151</v>
      </c>
      <c r="AR8" s="535">
        <v>261</v>
      </c>
      <c r="AS8" s="705">
        <v>163</v>
      </c>
      <c r="AT8" s="706"/>
      <c r="AU8" s="688" t="e">
        <f>L15/E10%</f>
        <v>#DIV/0!</v>
      </c>
      <c r="AV8" s="690" t="e">
        <f>I13+I14</f>
        <v>#VALUE!</v>
      </c>
      <c r="AW8" s="688" t="e">
        <f>L9/(L15+E10)%</f>
        <v>#DIV/0!</v>
      </c>
      <c r="AX8" s="689">
        <f>E20</f>
        <v>0</v>
      </c>
      <c r="AY8" s="690" t="str">
        <f>I20</f>
        <v/>
      </c>
      <c r="AZ8" s="689"/>
      <c r="BA8" s="690" t="str">
        <f>I22</f>
        <v/>
      </c>
      <c r="BB8" s="703">
        <f>E22</f>
        <v>0</v>
      </c>
      <c r="BC8" s="690" t="str">
        <f>I33</f>
        <v/>
      </c>
      <c r="BD8" s="689">
        <f>SUM(I13:I15)</f>
        <v>0</v>
      </c>
      <c r="BE8" s="689">
        <f ca="1">L37</f>
        <v>46.7</v>
      </c>
      <c r="BF8" s="688" t="e">
        <f>L8/E9%</f>
        <v>#DIV/0!</v>
      </c>
      <c r="BG8" s="689">
        <f>E40</f>
        <v>0</v>
      </c>
      <c r="BH8" s="690" t="str">
        <f>I40</f>
        <v/>
      </c>
      <c r="BI8" s="703">
        <f>K41</f>
        <v>0</v>
      </c>
      <c r="BJ8" s="690">
        <f>K42</f>
        <v>0</v>
      </c>
      <c r="BK8" s="689">
        <f>E43</f>
        <v>0</v>
      </c>
      <c r="BL8" s="690" t="str">
        <f>I43</f>
        <v/>
      </c>
      <c r="BM8" s="690" t="str">
        <f>I45</f>
        <v/>
      </c>
      <c r="BN8" s="689"/>
      <c r="BO8" s="690">
        <f>E47</f>
        <v>0</v>
      </c>
      <c r="BP8" s="690" t="str">
        <f>I51</f>
        <v/>
      </c>
      <c r="BQ8" s="690" t="str">
        <f>I57</f>
        <v/>
      </c>
      <c r="BR8" s="703">
        <f>E57</f>
        <v>0</v>
      </c>
      <c r="BS8" s="689">
        <f>L55</f>
        <v>0</v>
      </c>
      <c r="BT8" s="689">
        <f>L63</f>
        <v>0</v>
      </c>
      <c r="BU8" s="689">
        <f>L64</f>
        <v>0</v>
      </c>
      <c r="BV8" s="690">
        <f>E61</f>
        <v>0</v>
      </c>
      <c r="BW8" s="690">
        <f>E60</f>
        <v>0</v>
      </c>
      <c r="BX8" s="690">
        <f>E58</f>
        <v>0</v>
      </c>
      <c r="BY8" s="690">
        <f>E59</f>
        <v>0</v>
      </c>
      <c r="BZ8" s="688">
        <f ca="1">L60</f>
        <v>16.32</v>
      </c>
      <c r="CA8" s="688">
        <f>BX8/(L8+L9+12)%</f>
        <v>0</v>
      </c>
      <c r="CB8" s="688" t="e">
        <f>BX8/BY8%</f>
        <v>#DIV/0!</v>
      </c>
      <c r="CC8" s="689"/>
      <c r="CD8" s="690" t="e">
        <f>I59+I58</f>
        <v>#VALUE!</v>
      </c>
      <c r="CE8" s="690" t="str">
        <f>I64</f>
        <v/>
      </c>
      <c r="CF8" s="689">
        <f ca="1">L56</f>
        <v>80.099999999999994</v>
      </c>
      <c r="CG8" s="689"/>
      <c r="CH8" s="689"/>
      <c r="CI8" s="689"/>
      <c r="CJ8" s="689"/>
      <c r="CK8" s="689"/>
      <c r="CL8" s="689"/>
      <c r="CM8" s="689"/>
      <c r="CN8" s="689"/>
      <c r="CO8" s="689"/>
      <c r="CP8" s="689"/>
      <c r="CQ8" s="689"/>
      <c r="CR8" s="689"/>
      <c r="CS8" s="689" t="s">
        <v>152</v>
      </c>
      <c r="CT8" s="689" t="s">
        <v>153</v>
      </c>
      <c r="CU8" s="690">
        <f>E72</f>
        <v>0</v>
      </c>
      <c r="CV8" s="689"/>
      <c r="CW8" s="689"/>
      <c r="CX8" s="690">
        <f>E78</f>
        <v>0</v>
      </c>
      <c r="CY8" s="703">
        <f ca="1">I77</f>
        <v>100.8</v>
      </c>
      <c r="CZ8" s="724"/>
      <c r="DA8" s="691" t="str">
        <f>I72</f>
        <v/>
      </c>
      <c r="DB8" s="691" t="e">
        <f>I78+I80</f>
        <v>#VALUE!</v>
      </c>
      <c r="DC8" s="691" t="e">
        <f>DA8+DB8</f>
        <v>#VALUE!</v>
      </c>
      <c r="DD8" s="691" t="e">
        <f>DC8-75</f>
        <v>#VALUE!</v>
      </c>
      <c r="DE8" s="687" t="s">
        <v>154</v>
      </c>
      <c r="DF8" s="691"/>
      <c r="DG8" s="691">
        <f>I74</f>
        <v>5</v>
      </c>
      <c r="DH8" s="691">
        <f>I75</f>
        <v>10</v>
      </c>
      <c r="DI8" s="692" t="s">
        <v>155</v>
      </c>
      <c r="DJ8" s="692" t="e">
        <f>(E78-E84)/E78%</f>
        <v>#DIV/0!</v>
      </c>
      <c r="DK8" s="702"/>
      <c r="DL8" s="687"/>
      <c r="DM8" s="687"/>
      <c r="DN8" s="692" t="e">
        <f>(E66-E98-10.5)/E66%</f>
        <v>#DIV/0!</v>
      </c>
      <c r="DO8" s="691">
        <f>I76</f>
        <v>0</v>
      </c>
      <c r="DP8" s="712">
        <f ca="1">L77</f>
        <v>101.2</v>
      </c>
      <c r="DQ8" s="687"/>
      <c r="DR8" s="687"/>
      <c r="DS8" s="687"/>
      <c r="DT8" s="691" t="str">
        <f>K83</f>
        <v/>
      </c>
      <c r="DU8" s="691" t="e">
        <f>K83+K75</f>
        <v>#VALUE!</v>
      </c>
      <c r="DV8" s="687"/>
      <c r="DW8" s="691" t="str">
        <f>I84</f>
        <v/>
      </c>
      <c r="DX8" s="691" t="str">
        <f>I88</f>
        <v/>
      </c>
      <c r="DY8" s="691" t="e">
        <f>DX8-10</f>
        <v>#VALUE!</v>
      </c>
      <c r="DZ8" s="687"/>
      <c r="EA8" s="710" t="e">
        <f>D83/E98</f>
        <v>#DIV/0!</v>
      </c>
      <c r="EB8" s="691" t="str">
        <f>I98</f>
        <v/>
      </c>
      <c r="EC8" s="687">
        <f>L98</f>
        <v>0</v>
      </c>
      <c r="ED8" s="692">
        <f>E100</f>
        <v>0</v>
      </c>
      <c r="EE8" s="692" t="e">
        <f>ED8*1000/E98</f>
        <v>#DIV/0!</v>
      </c>
      <c r="EF8" s="687"/>
      <c r="EG8" s="691">
        <f>E98</f>
        <v>0</v>
      </c>
      <c r="EH8" s="691" t="str">
        <f>L105</f>
        <v/>
      </c>
      <c r="EI8" s="687" t="e">
        <f>ABS(L105-K105)</f>
        <v>#VALUE!</v>
      </c>
      <c r="EJ8" s="692" t="str">
        <f>L103</f>
        <v/>
      </c>
      <c r="EK8" s="687" t="e">
        <f>ABS(L103-K103)</f>
        <v>#VALUE!</v>
      </c>
      <c r="EL8" s="692" t="str">
        <f>L106</f>
        <v/>
      </c>
      <c r="EM8" s="687">
        <f>L96</f>
        <v>0</v>
      </c>
      <c r="EN8" s="687">
        <f>L97</f>
        <v>0</v>
      </c>
    </row>
    <row r="9" spans="2:148" s="662" customFormat="1" ht="22.5" customHeight="1">
      <c r="B9" s="744"/>
      <c r="C9" s="536" t="s">
        <v>156</v>
      </c>
      <c r="D9" s="479">
        <v>3950</v>
      </c>
      <c r="E9" s="646"/>
      <c r="F9" s="714"/>
      <c r="G9" s="714"/>
      <c r="H9" s="448" t="str">
        <f>IF(OR(F9="",G9=""),"",IF(G9&gt;=F9,(G9-F9)*24*60,(1+G9-F9)*24*60))</f>
        <v/>
      </c>
      <c r="I9" s="685" t="str">
        <f>IF(OR(F15="",G9=""),"",IF(F15&gt;=G9,(F15-G9)*24*60,(1+F15-G9)*24*60))</f>
        <v/>
      </c>
      <c r="J9" s="539" t="s">
        <v>157</v>
      </c>
      <c r="K9" s="448">
        <f>D14+D13+D15</f>
        <v>55</v>
      </c>
      <c r="L9" s="707">
        <f>E14+E13+E15</f>
        <v>0</v>
      </c>
      <c r="M9" s="531"/>
      <c r="N9" s="521">
        <v>2840</v>
      </c>
      <c r="O9" s="521" t="e">
        <f>(D9+K15)/133+K9+D15</f>
        <v>#VALUE!</v>
      </c>
      <c r="P9" s="521" t="s">
        <v>158</v>
      </c>
      <c r="Q9" s="521"/>
      <c r="R9" s="521">
        <f>52+15</f>
        <v>67</v>
      </c>
      <c r="S9" s="521">
        <v>236</v>
      </c>
      <c r="T9" s="521">
        <f>(D13+D15)*100</f>
        <v>5100</v>
      </c>
      <c r="U9" s="521" t="e">
        <f>D9*0.7+K15*0.67</f>
        <v>#VALUE!</v>
      </c>
      <c r="V9" s="521" t="e">
        <f>T9+U9</f>
        <v>#VALUE!</v>
      </c>
      <c r="W9" s="521">
        <v>100</v>
      </c>
      <c r="X9" s="521" t="e">
        <f>V9*W9</f>
        <v>#VALUE!</v>
      </c>
      <c r="Y9" s="521" t="s">
        <v>159</v>
      </c>
      <c r="Z9" s="521"/>
      <c r="AA9" s="521" t="e">
        <f>V9/100</f>
        <v>#VALUE!</v>
      </c>
      <c r="AB9" s="521"/>
      <c r="AC9" s="521"/>
      <c r="AD9" s="521"/>
      <c r="AE9" s="521"/>
      <c r="AF9" s="521"/>
      <c r="AG9" s="521"/>
      <c r="AH9" s="521">
        <f>AH8+10+2+16</f>
        <v>173</v>
      </c>
      <c r="AI9" s="968" t="s">
        <v>160</v>
      </c>
      <c r="AJ9" s="969"/>
      <c r="AK9" s="969"/>
      <c r="AL9" s="970"/>
      <c r="AM9" s="541">
        <v>44</v>
      </c>
      <c r="AN9" s="542">
        <v>44</v>
      </c>
      <c r="AO9" s="542">
        <v>20</v>
      </c>
      <c r="AP9" s="521"/>
      <c r="AQ9" s="535" t="s">
        <v>161</v>
      </c>
      <c r="AR9" s="535">
        <v>96</v>
      </c>
      <c r="AS9" s="535">
        <v>99</v>
      </c>
    </row>
    <row r="10" spans="2:148" s="662" customFormat="1" ht="24.75" customHeight="1" thickBot="1">
      <c r="B10" s="745"/>
      <c r="C10" s="536" t="s">
        <v>162</v>
      </c>
      <c r="D10" s="479">
        <v>1750</v>
      </c>
      <c r="E10" s="646"/>
      <c r="F10" s="714"/>
      <c r="G10" s="714"/>
      <c r="H10" s="815" t="str">
        <f>IF(OR(F10="",G10=""),"",IF(G10&gt;=F10,(G10-F10)*24*60,(1+G10-F10)*24*60))</f>
        <v/>
      </c>
      <c r="I10" s="685" t="str">
        <f>IF(OR(F13="",G10=""),"",IF(F13&gt;=G10,(F13-G10)*24*60,(1+F13-G10)*24*60))</f>
        <v/>
      </c>
      <c r="J10" s="543" t="s">
        <v>163</v>
      </c>
      <c r="K10" s="792"/>
      <c r="L10" s="645"/>
      <c r="M10" s="545"/>
      <c r="N10" s="521"/>
      <c r="O10" s="521"/>
      <c r="P10" s="521"/>
      <c r="Q10" s="521"/>
      <c r="R10" s="521"/>
      <c r="S10" s="521"/>
      <c r="T10" s="521"/>
      <c r="U10" s="521"/>
      <c r="V10" s="521"/>
      <c r="W10" s="521"/>
      <c r="X10" s="521"/>
      <c r="Y10" s="521"/>
      <c r="Z10" s="521"/>
      <c r="AA10" s="521"/>
      <c r="AB10" s="521"/>
      <c r="AC10" s="521"/>
      <c r="AD10" s="521"/>
      <c r="AE10" s="521"/>
      <c r="AF10" s="521"/>
      <c r="AG10" s="521"/>
      <c r="AH10" s="521"/>
      <c r="AI10" s="968" t="s">
        <v>164</v>
      </c>
      <c r="AJ10" s="969"/>
      <c r="AK10" s="969"/>
      <c r="AL10" s="969"/>
      <c r="AM10" s="546">
        <f>(K8+K9+D31+D49+D54)-D58</f>
        <v>42</v>
      </c>
      <c r="AN10" s="546">
        <f>K61+AM10-(D59-D58)</f>
        <v>56</v>
      </c>
      <c r="AO10" s="546">
        <f>AN10+K62-D61</f>
        <v>16</v>
      </c>
      <c r="AP10" s="521"/>
      <c r="AQ10" s="535"/>
      <c r="AR10" s="535"/>
      <c r="AS10" s="535"/>
      <c r="AV10" s="959" t="s">
        <v>165</v>
      </c>
      <c r="AW10" s="959" t="s">
        <v>166</v>
      </c>
      <c r="AX10" s="959" t="s">
        <v>167</v>
      </c>
      <c r="AY10" s="959" t="s">
        <v>168</v>
      </c>
      <c r="AZ10" s="959" t="s">
        <v>169</v>
      </c>
      <c r="BA10" s="959" t="s">
        <v>170</v>
      </c>
      <c r="BB10" s="959" t="s">
        <v>171</v>
      </c>
      <c r="BC10" s="959" t="s">
        <v>172</v>
      </c>
      <c r="BD10" s="959" t="s">
        <v>173</v>
      </c>
      <c r="BE10" s="959" t="s">
        <v>174</v>
      </c>
    </row>
    <row r="11" spans="2:148" s="662" customFormat="1" ht="15" customHeight="1" thickBot="1">
      <c r="B11" s="770"/>
      <c r="C11" s="941" t="s">
        <v>175</v>
      </c>
      <c r="D11" s="942"/>
      <c r="E11" s="942"/>
      <c r="F11" s="942"/>
      <c r="G11" s="942"/>
      <c r="H11" s="942"/>
      <c r="I11" s="942"/>
      <c r="J11" s="942"/>
      <c r="K11" s="942"/>
      <c r="L11" s="943"/>
      <c r="M11" s="530"/>
      <c r="N11" s="521"/>
      <c r="O11" s="521">
        <v>47</v>
      </c>
      <c r="P11" s="521">
        <v>50</v>
      </c>
      <c r="Q11" s="521"/>
      <c r="R11" s="521"/>
      <c r="S11" s="521"/>
      <c r="T11" s="521"/>
      <c r="U11" s="521"/>
      <c r="V11" s="521"/>
      <c r="W11" s="547" t="e">
        <f>((O8*W8)+(O9*W9))/SUM(O8:O9)</f>
        <v>#VALUE!</v>
      </c>
      <c r="X11" s="521"/>
      <c r="Y11" s="521"/>
      <c r="Z11" s="521"/>
      <c r="AA11" s="521"/>
      <c r="AB11" s="521"/>
      <c r="AC11" s="521"/>
      <c r="AD11" s="521">
        <f>226</f>
        <v>226</v>
      </c>
      <c r="AE11" s="521"/>
      <c r="AF11" s="521"/>
      <c r="AG11" s="521"/>
      <c r="AH11" s="521"/>
      <c r="AI11" s="522"/>
      <c r="AJ11" s="521"/>
      <c r="AK11" s="521"/>
      <c r="AL11" s="521"/>
      <c r="AM11" s="521"/>
      <c r="AN11" s="521"/>
      <c r="AO11" s="521"/>
      <c r="AP11" s="521"/>
      <c r="AQ11" s="535" t="s">
        <v>176</v>
      </c>
      <c r="AR11" s="535">
        <v>45</v>
      </c>
      <c r="AS11" s="535">
        <v>30</v>
      </c>
      <c r="AV11" s="959"/>
      <c r="AW11" s="959"/>
      <c r="AX11" s="959"/>
      <c r="AY11" s="959"/>
      <c r="AZ11" s="959"/>
      <c r="BA11" s="959"/>
      <c r="BB11" s="959"/>
      <c r="BC11" s="959"/>
      <c r="BD11" s="959"/>
      <c r="BE11" s="959"/>
    </row>
    <row r="12" spans="2:148" s="662" customFormat="1" ht="23.25" customHeight="1">
      <c r="B12" s="767"/>
      <c r="C12" s="756" t="s">
        <v>177</v>
      </c>
      <c r="D12" s="882">
        <v>5</v>
      </c>
      <c r="E12" s="647"/>
      <c r="F12" s="775"/>
      <c r="G12" s="775"/>
      <c r="H12" s="882">
        <v>1</v>
      </c>
      <c r="I12" s="882"/>
      <c r="J12" s="790" t="s">
        <v>178</v>
      </c>
      <c r="K12" s="882">
        <v>180</v>
      </c>
      <c r="L12" s="793">
        <v>180</v>
      </c>
      <c r="M12" s="548"/>
      <c r="N12" s="521"/>
      <c r="O12" s="521"/>
      <c r="P12" s="521">
        <v>91</v>
      </c>
      <c r="Q12" s="521"/>
      <c r="R12" s="521"/>
      <c r="S12" s="521"/>
      <c r="T12" s="964" t="s">
        <v>179</v>
      </c>
      <c r="U12" s="964"/>
      <c r="V12" s="532">
        <f>D9/H13*1.2</f>
        <v>384.32432432432438</v>
      </c>
      <c r="W12" s="521"/>
      <c r="X12" s="549" t="s">
        <v>180</v>
      </c>
      <c r="Y12" s="550" t="e">
        <f>D9+K15+(K9+D15)*100</f>
        <v>#VALUE!</v>
      </c>
      <c r="Z12" s="521"/>
      <c r="AA12" s="521"/>
      <c r="AB12" s="521"/>
      <c r="AC12" s="521"/>
      <c r="AD12" s="521">
        <v>150</v>
      </c>
      <c r="AE12" s="521"/>
      <c r="AF12" s="521"/>
      <c r="AG12" s="532">
        <f>K8+K9+D15+D31+D49+D54</f>
        <v>192</v>
      </c>
      <c r="AH12" s="532">
        <f>AG12-59</f>
        <v>133</v>
      </c>
      <c r="AI12" s="522"/>
      <c r="AJ12" s="521"/>
      <c r="AK12" s="521"/>
      <c r="AL12" s="521"/>
      <c r="AM12" s="521"/>
      <c r="AN12" s="521"/>
      <c r="AO12" s="521"/>
      <c r="AP12" s="521"/>
      <c r="AQ12" s="535" t="s">
        <v>181</v>
      </c>
      <c r="AR12" s="535">
        <v>269</v>
      </c>
      <c r="AS12" s="535">
        <v>265</v>
      </c>
      <c r="AV12" s="724">
        <f>$J$3+F13</f>
        <v>0</v>
      </c>
      <c r="AW12" s="724">
        <f>IF(F58&gt;=F13,$J$3+F58,$J$3+1+F58)</f>
        <v>0</v>
      </c>
      <c r="AX12" s="724">
        <f>IF(F70&gt;=F13,$J$3+F70,$J$3+1+F70)</f>
        <v>0</v>
      </c>
      <c r="AY12" s="724">
        <f>IF(F72&gt;=F13,$J$3+F72,$J$3+1+F72)</f>
        <v>0</v>
      </c>
      <c r="AZ12" s="718"/>
      <c r="BA12" s="719">
        <f>E78</f>
        <v>0</v>
      </c>
      <c r="BB12" s="724" t="e">
        <f>IF(G80&gt;=F13,$J$3+G80,$J$3+1+G80)</f>
        <v>#VALUE!</v>
      </c>
      <c r="BC12" s="718"/>
      <c r="BD12" s="719">
        <f>E84</f>
        <v>0</v>
      </c>
      <c r="BE12" s="724" t="e">
        <f>IF(G98&gt;=F13,$J$3+G98,$J$3+1+G98)</f>
        <v>#VALUE!</v>
      </c>
    </row>
    <row r="13" spans="2:148" s="662" customFormat="1" ht="28.5" customHeight="1">
      <c r="B13" s="746"/>
      <c r="C13" s="551" t="s">
        <v>182</v>
      </c>
      <c r="D13" s="448">
        <v>37</v>
      </c>
      <c r="E13" s="646"/>
      <c r="F13" s="714"/>
      <c r="G13" s="648"/>
      <c r="H13" s="448">
        <f>D13/K12*60</f>
        <v>12.333333333333332</v>
      </c>
      <c r="I13" s="685" t="str">
        <f>IF(OR(F14="",F13=""),"",IF(F14&gt;=F13,(F14-F13)*24*60,(1+F14-F13)*24*60))</f>
        <v/>
      </c>
      <c r="J13" s="552" t="s">
        <v>183</v>
      </c>
      <c r="K13" s="583">
        <v>61</v>
      </c>
      <c r="L13" s="561">
        <f ca="1">K13+RANDBETWEEN(-2,2)/10</f>
        <v>61.2</v>
      </c>
      <c r="M13" s="554"/>
      <c r="N13" s="521"/>
      <c r="O13" s="521"/>
      <c r="P13" s="521"/>
      <c r="Q13" s="521"/>
      <c r="R13" s="521"/>
      <c r="S13" s="521"/>
      <c r="T13" s="555" t="s">
        <v>184</v>
      </c>
      <c r="U13" s="521"/>
      <c r="V13" s="556" t="e">
        <f>(K9+D15)/(D9+K15)*100</f>
        <v>#VALUE!</v>
      </c>
      <c r="W13" s="521"/>
      <c r="X13" s="521"/>
      <c r="Y13" s="521"/>
      <c r="Z13" s="521"/>
      <c r="AA13" s="521"/>
      <c r="AB13" s="521"/>
      <c r="AC13" s="521"/>
      <c r="AD13" s="521">
        <f>AD11-AD12</f>
        <v>76</v>
      </c>
      <c r="AE13" s="521">
        <f>AD13/280*60</f>
        <v>16.285714285714285</v>
      </c>
      <c r="AF13" s="521"/>
      <c r="AG13" s="532">
        <f>AG12-35</f>
        <v>157</v>
      </c>
      <c r="AH13" s="521"/>
      <c r="AI13" s="522"/>
      <c r="AJ13" s="521"/>
      <c r="AK13" s="521"/>
      <c r="AL13" s="521"/>
      <c r="AM13" s="521"/>
      <c r="AN13" s="521"/>
      <c r="AO13" s="521"/>
      <c r="AP13" s="521"/>
      <c r="AQ13" s="535" t="s">
        <v>185</v>
      </c>
      <c r="AR13" s="535">
        <v>3.2</v>
      </c>
      <c r="AS13" s="535">
        <v>3.3</v>
      </c>
    </row>
    <row r="14" spans="2:148" s="662" customFormat="1" ht="20.25" customHeight="1">
      <c r="B14" s="746"/>
      <c r="C14" s="536" t="s">
        <v>186</v>
      </c>
      <c r="D14" s="448">
        <v>4</v>
      </c>
      <c r="E14" s="646"/>
      <c r="F14" s="714"/>
      <c r="G14" s="648"/>
      <c r="H14" s="448">
        <v>1</v>
      </c>
      <c r="I14" s="685" t="str">
        <f>IF(OR(F15="",F14=""),"",IF(F15&gt;=F14,(F15-F14)*24*60,(1+F15-F14)*24*60))</f>
        <v/>
      </c>
      <c r="J14" s="552" t="s">
        <v>187</v>
      </c>
      <c r="K14" s="583">
        <v>60</v>
      </c>
      <c r="L14" s="561">
        <f ca="1">57+RANDBETWEEN(-5,5)/10</f>
        <v>56.8</v>
      </c>
      <c r="M14" s="554"/>
      <c r="N14" s="521"/>
      <c r="O14" s="521"/>
      <c r="P14" s="521"/>
      <c r="Q14" s="521"/>
      <c r="R14" s="521"/>
      <c r="S14" s="521"/>
      <c r="T14" s="555"/>
      <c r="U14" s="521"/>
      <c r="V14" s="556"/>
      <c r="W14" s="521"/>
      <c r="X14" s="521"/>
      <c r="Y14" s="521"/>
      <c r="Z14" s="521"/>
      <c r="AA14" s="521"/>
      <c r="AB14" s="521"/>
      <c r="AC14" s="521"/>
      <c r="AD14" s="521"/>
      <c r="AE14" s="521"/>
      <c r="AF14" s="521"/>
      <c r="AG14" s="532"/>
      <c r="AH14" s="521"/>
      <c r="AI14" s="522"/>
      <c r="AJ14" s="521"/>
      <c r="AK14" s="521"/>
      <c r="AL14" s="521"/>
      <c r="AM14" s="521"/>
      <c r="AN14" s="521"/>
      <c r="AO14" s="521"/>
      <c r="AP14" s="521"/>
      <c r="AQ14" s="535" t="s">
        <v>188</v>
      </c>
      <c r="AR14" s="535">
        <v>2.9</v>
      </c>
      <c r="AS14" s="535">
        <v>2.9</v>
      </c>
    </row>
    <row r="15" spans="2:148" s="663" customFormat="1" ht="33.75" customHeight="1">
      <c r="B15" s="744"/>
      <c r="C15" s="536" t="s">
        <v>189</v>
      </c>
      <c r="D15" s="448">
        <v>14</v>
      </c>
      <c r="E15" s="646"/>
      <c r="F15" s="714"/>
      <c r="G15" s="648"/>
      <c r="H15" s="448">
        <f>D15/K35*60</f>
        <v>3.7333333333333334</v>
      </c>
      <c r="I15" s="685" t="str">
        <f>IF(OR(F19="",F15=""),"",IF(F19&gt;=F15,(F19-F15)*24*60,(1+F19-F15)*24*60))</f>
        <v/>
      </c>
      <c r="J15" s="539" t="s">
        <v>190</v>
      </c>
      <c r="K15" s="448" t="s">
        <v>191</v>
      </c>
      <c r="L15" s="640"/>
      <c r="M15" s="531">
        <v>270</v>
      </c>
      <c r="N15" s="523"/>
      <c r="O15" s="523"/>
      <c r="P15" s="523"/>
      <c r="Q15" s="523"/>
      <c r="R15" s="523"/>
      <c r="S15" s="523"/>
      <c r="T15" s="523"/>
      <c r="U15" s="523"/>
      <c r="V15" s="523"/>
      <c r="W15" s="523"/>
      <c r="X15" s="523">
        <v>109</v>
      </c>
      <c r="Y15" s="523"/>
      <c r="Z15" s="523"/>
      <c r="AA15" s="523"/>
      <c r="AB15" s="523"/>
      <c r="AC15" s="523"/>
      <c r="AD15" s="523">
        <f>150/240*60</f>
        <v>37.5</v>
      </c>
      <c r="AE15" s="523"/>
      <c r="AF15" s="523"/>
      <c r="AG15" s="523"/>
      <c r="AH15" s="523"/>
      <c r="AI15" s="524"/>
      <c r="AJ15" s="523"/>
      <c r="AK15" s="523"/>
      <c r="AL15" s="523"/>
      <c r="AM15" s="523"/>
      <c r="AN15" s="523"/>
      <c r="AO15" s="523"/>
      <c r="AP15" s="523"/>
      <c r="AQ15" s="535" t="s">
        <v>192</v>
      </c>
      <c r="AR15" s="535">
        <v>0.36</v>
      </c>
      <c r="AS15" s="535">
        <v>0.3</v>
      </c>
    </row>
    <row r="16" spans="2:148" s="662" customFormat="1" ht="20.25" customHeight="1">
      <c r="B16" s="744"/>
      <c r="C16" s="536" t="s">
        <v>193</v>
      </c>
      <c r="D16" s="557">
        <v>3</v>
      </c>
      <c r="E16" s="646"/>
      <c r="F16" s="648"/>
      <c r="G16" s="648"/>
      <c r="H16" s="448"/>
      <c r="I16" s="448"/>
      <c r="J16" s="448"/>
      <c r="K16" s="448"/>
      <c r="L16" s="558"/>
      <c r="M16" s="531"/>
      <c r="N16" s="521"/>
      <c r="O16" s="521"/>
      <c r="P16" s="521"/>
      <c r="Q16" s="521"/>
      <c r="R16" s="521"/>
      <c r="S16" s="521"/>
      <c r="T16" s="521"/>
      <c r="U16" s="521"/>
      <c r="V16" s="521" t="e">
        <f>#REF!/100</f>
        <v>#REF!</v>
      </c>
      <c r="W16" s="521"/>
      <c r="X16" s="521"/>
      <c r="Y16" s="521"/>
      <c r="Z16" s="521"/>
      <c r="AA16" s="521"/>
      <c r="AB16" s="521"/>
      <c r="AC16" s="521"/>
      <c r="AD16" s="521">
        <f>AD15+AE13</f>
        <v>53.785714285714285</v>
      </c>
      <c r="AE16" s="521"/>
      <c r="AF16" s="521"/>
      <c r="AG16" s="521"/>
      <c r="AH16" s="521"/>
      <c r="AI16" s="522"/>
      <c r="AJ16" s="521"/>
      <c r="AK16" s="521"/>
      <c r="AL16" s="521"/>
      <c r="AM16" s="521"/>
      <c r="AN16" s="521"/>
      <c r="AO16" s="521"/>
      <c r="AP16" s="521"/>
      <c r="AQ16" s="521"/>
      <c r="AR16" s="521"/>
      <c r="AS16" s="521"/>
    </row>
    <row r="17" spans="2:99" s="662" customFormat="1" ht="24" hidden="1" customHeight="1">
      <c r="B17" s="747"/>
      <c r="C17" s="551" t="s">
        <v>194</v>
      </c>
      <c r="D17" s="557"/>
      <c r="E17" s="649"/>
      <c r="F17" s="650"/>
      <c r="G17" s="648"/>
      <c r="H17" s="559"/>
      <c r="I17" s="559"/>
      <c r="J17" s="560"/>
      <c r="K17" s="560"/>
      <c r="L17" s="561"/>
      <c r="M17" s="531"/>
      <c r="N17" s="521"/>
      <c r="O17" s="521"/>
      <c r="P17" s="521"/>
      <c r="Q17" s="521"/>
      <c r="R17" s="521"/>
      <c r="S17" s="521"/>
      <c r="T17" s="521"/>
      <c r="U17" s="521"/>
      <c r="V17" s="521"/>
      <c r="W17" s="521"/>
      <c r="X17" s="521"/>
      <c r="Y17" s="521"/>
      <c r="Z17" s="521"/>
      <c r="AA17" s="521"/>
      <c r="AB17" s="521"/>
      <c r="AC17" s="521"/>
      <c r="AD17" s="521"/>
      <c r="AE17" s="521"/>
      <c r="AF17" s="521"/>
      <c r="AG17" s="521"/>
      <c r="AH17" s="521"/>
      <c r="AI17" s="522"/>
      <c r="AJ17" s="521"/>
      <c r="AK17" s="521"/>
      <c r="AL17" s="521"/>
      <c r="AM17" s="521"/>
      <c r="AN17" s="521"/>
      <c r="AO17" s="521"/>
      <c r="AP17" s="521"/>
      <c r="AQ17" s="521"/>
      <c r="AR17" s="521"/>
      <c r="AS17" s="521"/>
    </row>
    <row r="18" spans="2:99" s="662" customFormat="1" ht="24" hidden="1" customHeight="1">
      <c r="B18" s="747"/>
      <c r="C18" s="551" t="s">
        <v>195</v>
      </c>
      <c r="D18" s="557"/>
      <c r="E18" s="649"/>
      <c r="F18" s="650"/>
      <c r="G18" s="648"/>
      <c r="H18" s="559"/>
      <c r="I18" s="559"/>
      <c r="J18" s="560"/>
      <c r="K18" s="560"/>
      <c r="L18" s="561"/>
      <c r="M18" s="531"/>
      <c r="N18" s="521"/>
      <c r="O18" s="523"/>
      <c r="P18" s="523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2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</row>
    <row r="19" spans="2:99" s="662" customFormat="1" ht="27.75" customHeight="1">
      <c r="B19" s="744"/>
      <c r="C19" s="536" t="s">
        <v>196</v>
      </c>
      <c r="D19" s="562">
        <v>78</v>
      </c>
      <c r="E19" s="651"/>
      <c r="F19" s="714"/>
      <c r="G19" s="648"/>
      <c r="H19" s="448">
        <v>9</v>
      </c>
      <c r="I19" s="685" t="str">
        <f>IF(OR(F20="",F19=""),"",IF(F20&gt;=F19,(F20-F19)*24*60,(1+F20-F19)*24*60))</f>
        <v/>
      </c>
      <c r="J19" s="585" t="s">
        <v>197</v>
      </c>
      <c r="K19" s="448">
        <v>520</v>
      </c>
      <c r="L19" s="564"/>
      <c r="M19" s="531"/>
      <c r="N19" s="521"/>
      <c r="O19" s="521"/>
      <c r="P19" s="521"/>
      <c r="Q19" s="521"/>
      <c r="R19" s="521"/>
      <c r="S19" s="521"/>
      <c r="T19" s="521">
        <f>K19*H19/60</f>
        <v>78</v>
      </c>
      <c r="U19" s="521"/>
      <c r="V19" s="521">
        <f>9/60</f>
        <v>0.15</v>
      </c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2"/>
      <c r="AJ19" s="521"/>
      <c r="AK19" s="521"/>
      <c r="AL19" s="965" t="s">
        <v>198</v>
      </c>
      <c r="AM19" s="965"/>
      <c r="AN19" s="965"/>
      <c r="AO19" s="521"/>
      <c r="AP19" s="521"/>
      <c r="AQ19" s="521"/>
      <c r="AR19" s="521"/>
      <c r="AS19" s="521"/>
      <c r="AU19" s="726" t="s">
        <v>142</v>
      </c>
      <c r="AV19" s="727" t="s">
        <v>199</v>
      </c>
      <c r="AW19" s="727" t="s">
        <v>200</v>
      </c>
      <c r="AX19" s="728" t="s">
        <v>201</v>
      </c>
      <c r="AY19" s="728" t="s">
        <v>202</v>
      </c>
      <c r="AZ19" s="728" t="s">
        <v>203</v>
      </c>
      <c r="BA19" s="728" t="s">
        <v>204</v>
      </c>
      <c r="BB19" s="727" t="s">
        <v>205</v>
      </c>
      <c r="BC19" s="728" t="s">
        <v>206</v>
      </c>
      <c r="BD19" s="729" t="s">
        <v>207</v>
      </c>
      <c r="BE19" s="729" t="s">
        <v>208</v>
      </c>
      <c r="BF19" s="728" t="s">
        <v>209</v>
      </c>
      <c r="BG19" s="727" t="s">
        <v>210</v>
      </c>
      <c r="BH19" s="727" t="s">
        <v>211</v>
      </c>
      <c r="BI19" s="727" t="s">
        <v>212</v>
      </c>
      <c r="BJ19" s="727" t="s">
        <v>213</v>
      </c>
      <c r="BK19" s="727" t="s">
        <v>214</v>
      </c>
      <c r="BL19" s="727" t="s">
        <v>215</v>
      </c>
      <c r="BM19" s="727" t="s">
        <v>216</v>
      </c>
      <c r="BN19" s="727" t="s">
        <v>217</v>
      </c>
      <c r="BO19" s="727" t="s">
        <v>218</v>
      </c>
      <c r="BP19" s="730" t="s">
        <v>219</v>
      </c>
      <c r="BQ19" s="727" t="s">
        <v>220</v>
      </c>
      <c r="BR19" s="727" t="s">
        <v>221</v>
      </c>
      <c r="BS19" s="727" t="s">
        <v>222</v>
      </c>
      <c r="BT19" s="730" t="s">
        <v>223</v>
      </c>
      <c r="BU19" s="730" t="s">
        <v>224</v>
      </c>
      <c r="BV19" s="730" t="s">
        <v>225</v>
      </c>
      <c r="BW19" s="727" t="s">
        <v>226</v>
      </c>
      <c r="BX19" s="730" t="s">
        <v>227</v>
      </c>
      <c r="BY19" s="730" t="s">
        <v>228</v>
      </c>
      <c r="BZ19" s="730"/>
      <c r="CA19" s="731" t="s">
        <v>229</v>
      </c>
      <c r="CB19" s="728" t="s">
        <v>209</v>
      </c>
      <c r="CC19" s="727" t="s">
        <v>230</v>
      </c>
      <c r="CD19" s="730" t="s">
        <v>231</v>
      </c>
      <c r="CE19" s="730" t="s">
        <v>232</v>
      </c>
      <c r="CF19" s="730" t="s">
        <v>233</v>
      </c>
      <c r="CG19" s="727" t="s">
        <v>234</v>
      </c>
      <c r="CH19" s="727" t="s">
        <v>235</v>
      </c>
      <c r="CI19" s="727" t="s">
        <v>229</v>
      </c>
      <c r="CJ19" s="727" t="s">
        <v>236</v>
      </c>
      <c r="CK19" s="732" t="s">
        <v>237</v>
      </c>
      <c r="CL19" s="732" t="s">
        <v>238</v>
      </c>
      <c r="CM19" s="732" t="s">
        <v>239</v>
      </c>
      <c r="CN19" s="733" t="s">
        <v>240</v>
      </c>
      <c r="CO19" s="727" t="s">
        <v>241</v>
      </c>
      <c r="CR19" s="841" t="s">
        <v>242</v>
      </c>
      <c r="CU19" s="842" t="s">
        <v>243</v>
      </c>
    </row>
    <row r="20" spans="2:99" s="662" customFormat="1" ht="23.25" customHeight="1">
      <c r="B20" s="744"/>
      <c r="C20" s="566" t="s">
        <v>244</v>
      </c>
      <c r="D20" s="448"/>
      <c r="E20" s="652"/>
      <c r="F20" s="714"/>
      <c r="G20" s="648" t="str">
        <f>IF(ISBLANK(F20),"",F20+TIME(0,H20,0))</f>
        <v/>
      </c>
      <c r="H20" s="479">
        <v>10</v>
      </c>
      <c r="I20" s="685" t="str">
        <f>IF(OR(F21="",F20=""),"",IF(F21&gt;=F20,(F21-F20)*24*60,(1+F21-F20)*24*60))</f>
        <v/>
      </c>
      <c r="J20" s="539" t="s">
        <v>245</v>
      </c>
      <c r="K20" s="583" t="s">
        <v>246</v>
      </c>
      <c r="L20" s="564"/>
      <c r="M20" s="567" t="s">
        <v>247</v>
      </c>
      <c r="N20" s="521"/>
      <c r="O20" s="521"/>
      <c r="P20" s="521"/>
      <c r="Q20" s="521"/>
      <c r="R20" s="521"/>
      <c r="S20" s="521"/>
      <c r="T20" s="521"/>
      <c r="U20" s="521"/>
      <c r="V20" s="521" t="e">
        <f>V16/V19</f>
        <v>#REF!</v>
      </c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2"/>
      <c r="AJ20" s="521"/>
      <c r="AK20" s="521"/>
      <c r="AL20" s="521">
        <v>96</v>
      </c>
      <c r="AM20" s="521">
        <f>K9*100+D9</f>
        <v>9450</v>
      </c>
      <c r="AN20" s="521" t="e">
        <f>(AL20*AM20+AL21*AM21)/(AM20+AM21)</f>
        <v>#VALUE!</v>
      </c>
      <c r="AO20" s="521"/>
      <c r="AP20" s="521"/>
      <c r="AQ20" s="521"/>
      <c r="AR20" s="521"/>
      <c r="AS20" s="521"/>
      <c r="AU20" s="734">
        <f>E8</f>
        <v>0</v>
      </c>
      <c r="AV20" s="735" t="str">
        <f>"BUD"&amp;RIGHT(H3,3)</f>
        <v>BUD000</v>
      </c>
      <c r="AW20" s="734">
        <f>E9</f>
        <v>0</v>
      </c>
      <c r="AX20" s="736">
        <v>0.80700000000000005</v>
      </c>
      <c r="AY20" s="736">
        <v>4.4699999999999997E-2</v>
      </c>
      <c r="AZ20" s="736"/>
      <c r="BA20" s="736">
        <v>0.3</v>
      </c>
      <c r="BB20" s="734">
        <f>E10</f>
        <v>0</v>
      </c>
      <c r="BC20" s="736">
        <v>0.8</v>
      </c>
      <c r="BD20" s="736" t="e">
        <f>AW20/(AW20+BB20)</f>
        <v>#DIV/0!</v>
      </c>
      <c r="BE20" s="736" t="e">
        <f>BB20/(AW20+BB20)</f>
        <v>#DIV/0!</v>
      </c>
      <c r="BF20" s="734">
        <f>(AW20-AZ20-0)*AX20*(100%-AY20)+AZ20*BA20+(BB20+0)*BC20</f>
        <v>0</v>
      </c>
      <c r="BG20" s="737">
        <f>D16</f>
        <v>3</v>
      </c>
      <c r="BH20" s="737">
        <f>D38</f>
        <v>4</v>
      </c>
      <c r="BI20" s="737">
        <f>D74</f>
        <v>2.5</v>
      </c>
      <c r="BJ20" s="738"/>
      <c r="BK20" s="738">
        <f>D75</f>
        <v>2.48</v>
      </c>
      <c r="BL20" s="735"/>
      <c r="BM20" s="738">
        <f>D76</f>
        <v>2.2000000000000002</v>
      </c>
      <c r="BN20" s="738">
        <f>D77</f>
        <v>2.41</v>
      </c>
      <c r="BO20" s="737">
        <f>D82</f>
        <v>2.1</v>
      </c>
      <c r="BP20" s="737">
        <f>D83</f>
        <v>152</v>
      </c>
      <c r="BQ20" s="734">
        <f>E98</f>
        <v>0</v>
      </c>
      <c r="BR20" s="737">
        <f>E100</f>
        <v>0</v>
      </c>
      <c r="BS20" s="734">
        <f>E85</f>
        <v>0</v>
      </c>
      <c r="BT20" s="735">
        <f>L55</f>
        <v>0</v>
      </c>
      <c r="BU20" s="735">
        <f>L96</f>
        <v>0</v>
      </c>
      <c r="BV20" s="738">
        <f>K91</f>
        <v>0</v>
      </c>
      <c r="BW20" s="735">
        <f>C3</f>
        <v>0</v>
      </c>
      <c r="BX20" s="735">
        <f>L97</f>
        <v>0</v>
      </c>
      <c r="BY20" s="735"/>
      <c r="BZ20" s="735"/>
      <c r="CA20" s="735">
        <f>IF(BU20="","",+BU20*(1+(BU20-0.4644)/238.4)-0.02)</f>
        <v>-0.02</v>
      </c>
      <c r="CB20" s="735">
        <f>IF(OR(CA20="",BQ20=""),"",BQ20*CA20)</f>
        <v>0</v>
      </c>
      <c r="CC20" s="734">
        <f>E66</f>
        <v>0</v>
      </c>
      <c r="CD20" s="735">
        <f>L63</f>
        <v>0</v>
      </c>
      <c r="CE20" s="735">
        <f>L64</f>
        <v>0</v>
      </c>
      <c r="CF20" s="734">
        <f>E61</f>
        <v>0</v>
      </c>
      <c r="CG20" s="735"/>
      <c r="CH20" s="735"/>
      <c r="CI20" s="735"/>
      <c r="CJ20" s="735"/>
      <c r="CK20" s="734">
        <f>K30</f>
        <v>0</v>
      </c>
      <c r="CL20" s="735">
        <f>K48</f>
        <v>0</v>
      </c>
      <c r="CM20" s="734">
        <f>K86</f>
        <v>0</v>
      </c>
      <c r="CN20" s="734">
        <f>BF20-CB20-CJ20</f>
        <v>0</v>
      </c>
      <c r="CO20" s="738" t="e">
        <f>IF(BV20="","",CN20/BF20%)</f>
        <v>#DIV/0!</v>
      </c>
      <c r="CR20" s="736" t="e">
        <f>(CC20-BQ20-BS20-10.5)/CC20</f>
        <v>#DIV/0!</v>
      </c>
      <c r="CU20" s="734">
        <f>SUM(CK20:CM20)</f>
        <v>0</v>
      </c>
    </row>
    <row r="21" spans="2:99" s="662" customFormat="1" ht="26.25" customHeight="1">
      <c r="B21" s="744"/>
      <c r="C21" s="536" t="s">
        <v>248</v>
      </c>
      <c r="D21" s="562">
        <v>95</v>
      </c>
      <c r="E21" s="816"/>
      <c r="F21" s="680" t="str">
        <f>G20</f>
        <v/>
      </c>
      <c r="G21" s="648"/>
      <c r="H21" s="448">
        <v>9</v>
      </c>
      <c r="I21" s="685" t="str">
        <f>IF(OR(F22="",F21=""),"",IF(F22&gt;=F21,(F22-F21)*24*60,(1+F22-F21)*24*60))</f>
        <v/>
      </c>
      <c r="J21" s="585" t="s">
        <v>197</v>
      </c>
      <c r="K21" s="448">
        <v>520</v>
      </c>
      <c r="L21" s="564"/>
      <c r="M21" s="568"/>
      <c r="N21" s="521"/>
      <c r="O21" s="521"/>
      <c r="P21" s="521"/>
      <c r="Q21" s="521"/>
      <c r="R21" s="521"/>
      <c r="S21" s="521"/>
      <c r="T21" s="521">
        <f>K21*H21/60</f>
        <v>78</v>
      </c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2"/>
      <c r="AJ21" s="521"/>
      <c r="AK21" s="521"/>
      <c r="AL21" s="521">
        <v>44</v>
      </c>
      <c r="AM21" s="521" t="e">
        <f>K8*100+D8</f>
        <v>#VALUE!</v>
      </c>
      <c r="AN21" s="521"/>
      <c r="AO21" s="521"/>
      <c r="AP21" s="521"/>
      <c r="AQ21" s="521"/>
      <c r="AR21" s="521"/>
      <c r="AS21" s="521"/>
    </row>
    <row r="22" spans="2:99" s="662" customFormat="1" ht="21.75" customHeight="1">
      <c r="B22" s="744"/>
      <c r="C22" s="566" t="s">
        <v>249</v>
      </c>
      <c r="D22" s="448"/>
      <c r="E22" s="652"/>
      <c r="F22" s="714"/>
      <c r="G22" s="648" t="str">
        <f>IF(ISBLANK(F22),"",F22+TIME(0,H22,0))</f>
        <v/>
      </c>
      <c r="H22" s="479">
        <v>2</v>
      </c>
      <c r="I22" s="685" t="str">
        <f>IF(OR(F30="",F22=""),"",IF(F30&gt;=F22,(F30-F22)*24*60,(1+F30-F22)*24*60))</f>
        <v/>
      </c>
      <c r="J22" s="539" t="s">
        <v>245</v>
      </c>
      <c r="K22" s="583" t="s">
        <v>246</v>
      </c>
      <c r="L22" s="564"/>
      <c r="M22" s="570"/>
      <c r="N22" s="521"/>
      <c r="O22" s="523"/>
      <c r="P22" s="523"/>
      <c r="Q22" s="521"/>
      <c r="R22" s="521"/>
      <c r="S22" s="521"/>
      <c r="T22" s="521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2"/>
      <c r="AJ22" s="521"/>
      <c r="AK22" s="521"/>
      <c r="AL22" s="521"/>
      <c r="AM22" s="521"/>
      <c r="AN22" s="521"/>
      <c r="AO22" s="521"/>
      <c r="AP22" s="521"/>
      <c r="AQ22" s="521"/>
      <c r="AR22" s="521"/>
      <c r="AS22" s="521"/>
    </row>
    <row r="23" spans="2:99" s="662" customFormat="1" ht="21.75" hidden="1" customHeight="1">
      <c r="B23" s="744"/>
      <c r="C23" s="536" t="s">
        <v>250</v>
      </c>
      <c r="D23" s="448"/>
      <c r="E23" s="646"/>
      <c r="F23" s="715"/>
      <c r="G23" s="648"/>
      <c r="H23" s="565"/>
      <c r="I23" s="685" t="str">
        <f t="shared" ref="I23:I29" si="0">IF(OR(F24="",F23=""),"",IF(F24&gt;F23,(F24-F23)*24*60,(1+F24-F23)*24*60))</f>
        <v/>
      </c>
      <c r="J23" s="571" t="s">
        <v>251</v>
      </c>
      <c r="K23" s="572"/>
      <c r="L23" s="564"/>
      <c r="M23" s="568"/>
      <c r="N23" s="521"/>
      <c r="O23" s="521"/>
      <c r="P23" s="521"/>
      <c r="Q23" s="521"/>
      <c r="R23" s="521"/>
      <c r="S23" s="521"/>
      <c r="T23" s="521"/>
      <c r="U23" s="521"/>
      <c r="V23" s="521"/>
      <c r="W23" s="521"/>
      <c r="X23" s="521"/>
      <c r="Y23" s="521"/>
      <c r="Z23" s="521"/>
      <c r="AA23" s="521"/>
      <c r="AB23" s="521"/>
      <c r="AC23" s="521"/>
      <c r="AD23" s="521"/>
      <c r="AE23" s="521"/>
      <c r="AF23" s="521"/>
      <c r="AG23" s="521"/>
      <c r="AH23" s="521"/>
      <c r="AI23" s="522"/>
      <c r="AJ23" s="521"/>
      <c r="AK23" s="521"/>
      <c r="AL23" s="521"/>
      <c r="AM23" s="521"/>
      <c r="AN23" s="521"/>
      <c r="AO23" s="521"/>
      <c r="AP23" s="521"/>
      <c r="AQ23" s="521"/>
      <c r="AR23" s="521"/>
      <c r="AS23" s="521"/>
    </row>
    <row r="24" spans="2:99" s="662" customFormat="1" ht="15" hidden="1" customHeight="1">
      <c r="B24" s="744"/>
      <c r="C24" s="573" t="s">
        <v>252</v>
      </c>
      <c r="D24" s="448"/>
      <c r="E24" s="646"/>
      <c r="F24" s="715"/>
      <c r="G24" s="648"/>
      <c r="H24" s="565"/>
      <c r="I24" s="685" t="str">
        <f t="shared" si="0"/>
        <v/>
      </c>
      <c r="J24" s="559"/>
      <c r="K24" s="559"/>
      <c r="L24" s="564"/>
      <c r="M24" s="531"/>
      <c r="N24" s="521"/>
      <c r="O24" s="521"/>
      <c r="P24" s="521"/>
      <c r="Q24" s="521"/>
      <c r="R24" s="521"/>
      <c r="S24" s="521"/>
      <c r="T24" s="521"/>
      <c r="U24" s="521"/>
      <c r="V24" s="521"/>
      <c r="W24" s="521"/>
      <c r="X24" s="521"/>
      <c r="Y24" s="521"/>
      <c r="Z24" s="521"/>
      <c r="AA24" s="521"/>
      <c r="AB24" s="521"/>
      <c r="AC24" s="521"/>
      <c r="AD24" s="521"/>
      <c r="AE24" s="521"/>
      <c r="AF24" s="521"/>
      <c r="AG24" s="521"/>
      <c r="AH24" s="521"/>
      <c r="AI24" s="522"/>
      <c r="AJ24" s="521"/>
      <c r="AK24" s="521"/>
      <c r="AL24" s="521"/>
      <c r="AM24" s="521"/>
      <c r="AN24" s="521"/>
      <c r="AO24" s="521"/>
      <c r="AP24" s="521"/>
      <c r="AQ24" s="521"/>
      <c r="AR24" s="521"/>
      <c r="AS24" s="521"/>
    </row>
    <row r="25" spans="2:99" s="662" customFormat="1" ht="22.5" hidden="1" customHeight="1">
      <c r="B25" s="744"/>
      <c r="C25" s="551" t="s">
        <v>253</v>
      </c>
      <c r="D25" s="448"/>
      <c r="E25" s="646"/>
      <c r="F25" s="715"/>
      <c r="G25" s="648"/>
      <c r="H25" s="565"/>
      <c r="I25" s="685" t="str">
        <f t="shared" si="0"/>
        <v/>
      </c>
      <c r="J25" s="559"/>
      <c r="K25" s="559"/>
      <c r="L25" s="564"/>
      <c r="M25" s="531"/>
      <c r="N25" s="521"/>
      <c r="O25" s="521"/>
      <c r="P25" s="521"/>
      <c r="Q25" s="521"/>
      <c r="R25" s="521"/>
      <c r="S25" s="521"/>
      <c r="T25" s="521"/>
      <c r="U25" s="521"/>
      <c r="V25" s="521"/>
      <c r="W25" s="521"/>
      <c r="X25" s="521"/>
      <c r="Y25" s="521"/>
      <c r="Z25" s="521"/>
      <c r="AA25" s="521"/>
      <c r="AB25" s="521"/>
      <c r="AC25" s="521"/>
      <c r="AD25" s="521"/>
      <c r="AE25" s="521"/>
      <c r="AF25" s="521"/>
      <c r="AG25" s="521"/>
      <c r="AH25" s="521"/>
      <c r="AI25" s="522"/>
      <c r="AJ25" s="521"/>
      <c r="AK25" s="521"/>
      <c r="AL25" s="521"/>
      <c r="AM25" s="521"/>
      <c r="AN25" s="521"/>
      <c r="AO25" s="521"/>
      <c r="AP25" s="521"/>
      <c r="AQ25" s="521"/>
      <c r="AR25" s="521"/>
      <c r="AS25" s="521"/>
    </row>
    <row r="26" spans="2:99" s="662" customFormat="1" ht="14.25" hidden="1" customHeight="1">
      <c r="B26" s="744"/>
      <c r="C26" s="573" t="s">
        <v>254</v>
      </c>
      <c r="D26" s="448"/>
      <c r="E26" s="646"/>
      <c r="F26" s="715"/>
      <c r="G26" s="648"/>
      <c r="H26" s="565"/>
      <c r="I26" s="685" t="str">
        <f t="shared" si="0"/>
        <v/>
      </c>
      <c r="J26" s="559"/>
      <c r="K26" s="559"/>
      <c r="L26" s="564"/>
      <c r="M26" s="531"/>
      <c r="N26" s="521"/>
      <c r="O26" s="521"/>
      <c r="P26" s="521"/>
      <c r="Q26" s="521"/>
      <c r="R26" s="521"/>
      <c r="S26" s="521"/>
      <c r="T26" s="521"/>
      <c r="U26" s="521"/>
      <c r="V26" s="521"/>
      <c r="W26" s="521"/>
      <c r="X26" s="521"/>
      <c r="Y26" s="521"/>
      <c r="Z26" s="521"/>
      <c r="AA26" s="521"/>
      <c r="AB26" s="521"/>
      <c r="AC26" s="521"/>
      <c r="AD26" s="521"/>
      <c r="AE26" s="521"/>
      <c r="AF26" s="521"/>
      <c r="AG26" s="521"/>
      <c r="AH26" s="521"/>
      <c r="AI26" s="522"/>
      <c r="AJ26" s="521"/>
      <c r="AK26" s="521"/>
      <c r="AL26" s="521"/>
      <c r="AM26" s="521"/>
      <c r="AN26" s="521"/>
      <c r="AO26" s="521"/>
      <c r="AP26" s="521"/>
      <c r="AQ26" s="521"/>
      <c r="AR26" s="521"/>
      <c r="AS26" s="521"/>
    </row>
    <row r="27" spans="2:99" s="662" customFormat="1" ht="17.25" hidden="1" customHeight="1">
      <c r="B27" s="744"/>
      <c r="C27" s="536" t="s">
        <v>255</v>
      </c>
      <c r="D27" s="448"/>
      <c r="E27" s="646"/>
      <c r="F27" s="715"/>
      <c r="G27" s="648"/>
      <c r="H27" s="565"/>
      <c r="I27" s="685" t="str">
        <f t="shared" si="0"/>
        <v/>
      </c>
      <c r="J27" s="559"/>
      <c r="K27" s="559"/>
      <c r="L27" s="564"/>
      <c r="M27" s="531"/>
      <c r="N27" s="521"/>
      <c r="O27" s="521"/>
      <c r="P27" s="521"/>
      <c r="Q27" s="521"/>
      <c r="R27" s="521"/>
      <c r="S27" s="521"/>
      <c r="T27" s="521"/>
      <c r="U27" s="521"/>
      <c r="V27" s="521"/>
      <c r="W27" s="521"/>
      <c r="X27" s="521"/>
      <c r="Y27" s="521"/>
      <c r="Z27" s="521"/>
      <c r="AA27" s="521"/>
      <c r="AB27" s="521"/>
      <c r="AC27" s="521"/>
      <c r="AD27" s="521"/>
      <c r="AE27" s="521"/>
      <c r="AF27" s="521"/>
      <c r="AG27" s="521"/>
      <c r="AH27" s="521"/>
      <c r="AI27" s="522"/>
      <c r="AJ27" s="521"/>
      <c r="AK27" s="521"/>
      <c r="AL27" s="521"/>
      <c r="AM27" s="521"/>
      <c r="AN27" s="521"/>
      <c r="AO27" s="521"/>
      <c r="AP27" s="521"/>
      <c r="AQ27" s="521"/>
      <c r="AR27" s="521"/>
      <c r="AS27" s="521"/>
    </row>
    <row r="28" spans="2:99" s="662" customFormat="1" ht="15.75" hidden="1" customHeight="1">
      <c r="B28" s="744"/>
      <c r="C28" s="573" t="s">
        <v>256</v>
      </c>
      <c r="D28" s="448"/>
      <c r="E28" s="646"/>
      <c r="F28" s="715"/>
      <c r="G28" s="648"/>
      <c r="H28" s="565"/>
      <c r="I28" s="685" t="str">
        <f t="shared" si="0"/>
        <v/>
      </c>
      <c r="J28" s="559"/>
      <c r="K28" s="559"/>
      <c r="L28" s="564"/>
      <c r="M28" s="531"/>
      <c r="N28" s="521"/>
      <c r="O28" s="521"/>
      <c r="P28" s="521"/>
      <c r="Q28" s="521"/>
      <c r="R28" s="521"/>
      <c r="S28" s="521"/>
      <c r="T28" s="521"/>
      <c r="U28" s="521"/>
      <c r="V28" s="521"/>
      <c r="W28" s="521"/>
      <c r="X28" s="521"/>
      <c r="Y28" s="521"/>
      <c r="Z28" s="521"/>
      <c r="AA28" s="521"/>
      <c r="AB28" s="521"/>
      <c r="AC28" s="521"/>
      <c r="AD28" s="521"/>
      <c r="AE28" s="521"/>
      <c r="AF28" s="521"/>
      <c r="AG28" s="521"/>
      <c r="AH28" s="521"/>
      <c r="AI28" s="522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</row>
    <row r="29" spans="2:99" s="662" customFormat="1" ht="23.25" hidden="1" customHeight="1">
      <c r="B29" s="748"/>
      <c r="C29" s="536" t="s">
        <v>257</v>
      </c>
      <c r="D29" s="448"/>
      <c r="E29" s="646"/>
      <c r="F29" s="715"/>
      <c r="G29" s="648"/>
      <c r="H29" s="537"/>
      <c r="I29" s="685" t="str">
        <f t="shared" si="0"/>
        <v/>
      </c>
      <c r="J29" s="571" t="s">
        <v>251</v>
      </c>
      <c r="K29" s="572"/>
      <c r="L29" s="564"/>
      <c r="M29" s="568"/>
      <c r="N29" s="521"/>
      <c r="O29" s="521"/>
      <c r="P29" s="521"/>
      <c r="Q29" s="521"/>
      <c r="R29" s="521"/>
      <c r="S29" s="521"/>
      <c r="T29" s="521"/>
      <c r="U29" s="521"/>
      <c r="V29" s="521"/>
      <c r="W29" s="521"/>
      <c r="X29" s="521"/>
      <c r="Y29" s="521"/>
      <c r="Z29" s="521"/>
      <c r="AA29" s="521"/>
      <c r="AB29" s="521"/>
      <c r="AC29" s="521"/>
      <c r="AD29" s="521"/>
      <c r="AE29" s="521"/>
      <c r="AF29" s="521"/>
      <c r="AG29" s="521"/>
      <c r="AH29" s="521"/>
      <c r="AI29" s="522"/>
      <c r="AJ29" s="521"/>
      <c r="AK29" s="521"/>
      <c r="AL29" s="521"/>
      <c r="AM29" s="521"/>
      <c r="AN29" s="521"/>
      <c r="AO29" s="521"/>
      <c r="AP29" s="521"/>
      <c r="AQ29" s="521"/>
      <c r="AR29" s="521"/>
      <c r="AS29" s="521"/>
    </row>
    <row r="30" spans="2:99" s="662" customFormat="1" ht="24.75" customHeight="1" collapsed="1">
      <c r="B30" s="744"/>
      <c r="C30" s="536" t="s">
        <v>258</v>
      </c>
      <c r="D30" s="448"/>
      <c r="E30" s="651"/>
      <c r="F30" s="714"/>
      <c r="G30" s="648"/>
      <c r="H30" s="448">
        <v>7</v>
      </c>
      <c r="I30" s="685" t="str">
        <f>IF(OR(F31="",F30=""),"",IF(F31&gt;=F30,(F31-F30)*24*60,(1+F31-F30)*24*60))</f>
        <v/>
      </c>
      <c r="J30" s="574" t="s">
        <v>259</v>
      </c>
      <c r="K30" s="537"/>
      <c r="L30" s="569"/>
      <c r="M30" s="531"/>
      <c r="N30" s="521"/>
      <c r="O30" s="521"/>
      <c r="P30" s="521"/>
      <c r="Q30" s="521"/>
      <c r="R30" s="521"/>
      <c r="S30" s="521"/>
      <c r="T30" s="521"/>
      <c r="U30" s="521"/>
      <c r="V30" s="521"/>
      <c r="W30" s="521"/>
      <c r="X30" s="521"/>
      <c r="Y30" s="521"/>
      <c r="Z30" s="521"/>
      <c r="AA30" s="521"/>
      <c r="AB30" s="521"/>
      <c r="AC30" s="521"/>
      <c r="AD30" s="521"/>
      <c r="AE30" s="521"/>
      <c r="AF30" s="521"/>
      <c r="AG30" s="521"/>
      <c r="AH30" s="521"/>
      <c r="AI30" s="522"/>
      <c r="AJ30" s="521"/>
      <c r="AK30" s="521"/>
      <c r="AL30" s="521"/>
      <c r="AM30" s="535" t="s">
        <v>260</v>
      </c>
      <c r="AN30" s="535" t="s">
        <v>261</v>
      </c>
      <c r="AO30" s="535" t="s">
        <v>199</v>
      </c>
      <c r="AP30" s="535" t="s">
        <v>262</v>
      </c>
      <c r="AQ30" s="535" t="s">
        <v>263</v>
      </c>
      <c r="AR30" s="575" t="s">
        <v>264</v>
      </c>
      <c r="AS30" s="521"/>
    </row>
    <row r="31" spans="2:99" s="662" customFormat="1" ht="24.75" customHeight="1">
      <c r="B31" s="744"/>
      <c r="C31" s="536" t="s">
        <v>265</v>
      </c>
      <c r="D31" s="448">
        <v>7</v>
      </c>
      <c r="E31" s="651"/>
      <c r="F31" s="714"/>
      <c r="G31" s="648" t="str">
        <f>IF(F42="","",F42)</f>
        <v/>
      </c>
      <c r="H31" s="448">
        <v>1</v>
      </c>
      <c r="I31" s="685" t="str">
        <f>IF(OR(G31="",F31=""),"",IF(G31&gt;=F31,(G31-F31)*24*60,(1+G31-F31)*24*60))</f>
        <v/>
      </c>
      <c r="J31" s="539"/>
      <c r="K31" s="539"/>
      <c r="L31" s="641"/>
      <c r="M31" s="554"/>
      <c r="N31" s="521"/>
      <c r="O31" s="521"/>
      <c r="P31" s="521"/>
      <c r="Q31" s="521"/>
      <c r="R31" s="521"/>
      <c r="S31" s="521"/>
      <c r="T31" s="521"/>
      <c r="U31" s="521"/>
      <c r="V31" s="521"/>
      <c r="W31" s="521"/>
      <c r="X31" s="521"/>
      <c r="Y31" s="521"/>
      <c r="Z31" s="521"/>
      <c r="AA31" s="521"/>
      <c r="AB31" s="521"/>
      <c r="AC31" s="521"/>
      <c r="AD31" s="521"/>
      <c r="AE31" s="521"/>
      <c r="AF31" s="521"/>
      <c r="AG31" s="521"/>
      <c r="AH31" s="521"/>
      <c r="AI31" s="522"/>
      <c r="AJ31" s="521"/>
      <c r="AK31" s="521"/>
      <c r="AL31" s="521"/>
      <c r="AM31" s="535"/>
      <c r="AN31" s="535">
        <v>80</v>
      </c>
      <c r="AO31" s="535">
        <v>30</v>
      </c>
      <c r="AP31" s="535">
        <v>60</v>
      </c>
      <c r="AQ31" s="535">
        <v>180</v>
      </c>
      <c r="AR31" s="575">
        <f>AQ31*AO32</f>
        <v>72</v>
      </c>
      <c r="AS31" s="521"/>
    </row>
    <row r="32" spans="2:99" s="662" customFormat="1" ht="24.75" customHeight="1">
      <c r="B32" s="744"/>
      <c r="C32" s="536" t="s">
        <v>266</v>
      </c>
      <c r="D32" s="448">
        <v>2</v>
      </c>
      <c r="E32" s="651"/>
      <c r="F32" s="651"/>
      <c r="G32" s="651"/>
      <c r="H32" s="448">
        <v>0</v>
      </c>
      <c r="I32" s="448"/>
      <c r="J32" s="539"/>
      <c r="K32" s="539"/>
      <c r="L32" s="641"/>
      <c r="M32" s="554"/>
      <c r="N32" s="521"/>
      <c r="O32" s="521"/>
      <c r="P32" s="521"/>
      <c r="Q32" s="521"/>
      <c r="R32" s="521"/>
      <c r="S32" s="521"/>
      <c r="T32" s="521"/>
      <c r="U32" s="521"/>
      <c r="V32" s="521"/>
      <c r="W32" s="521"/>
      <c r="X32" s="521"/>
      <c r="Y32" s="521"/>
      <c r="Z32" s="521"/>
      <c r="AA32" s="521"/>
      <c r="AB32" s="521"/>
      <c r="AC32" s="521"/>
      <c r="AD32" s="521"/>
      <c r="AE32" s="521"/>
      <c r="AF32" s="521"/>
      <c r="AG32" s="521"/>
      <c r="AH32" s="521"/>
      <c r="AI32" s="522"/>
      <c r="AJ32" s="521"/>
      <c r="AK32" s="521"/>
      <c r="AL32" s="521"/>
      <c r="AM32" s="535"/>
      <c r="AN32" s="535">
        <v>0.6</v>
      </c>
      <c r="AO32" s="535">
        <f>1-AN32</f>
        <v>0.4</v>
      </c>
      <c r="AP32" s="576">
        <f>AN31*AN32+AO31*AO32</f>
        <v>60</v>
      </c>
      <c r="AQ32" s="535"/>
      <c r="AR32" s="535"/>
      <c r="AS32" s="521"/>
    </row>
    <row r="33" spans="2:45" s="662" customFormat="1" ht="22.5" customHeight="1" thickBot="1">
      <c r="B33" s="745"/>
      <c r="C33" s="779" t="s">
        <v>267</v>
      </c>
      <c r="D33" s="882"/>
      <c r="E33" s="882"/>
      <c r="F33" s="882"/>
      <c r="G33" s="882"/>
      <c r="H33" s="882">
        <f>SUM(H12:H32)</f>
        <v>56.066666666666663</v>
      </c>
      <c r="I33" s="882" t="str">
        <f>IF(OR(G31="",F13=""),"",IF(G31&gt;=F13,(G31-F13)*24*60,(G31+1-F13)*24*60))</f>
        <v/>
      </c>
      <c r="J33" s="543"/>
      <c r="K33" s="543"/>
      <c r="L33" s="643"/>
      <c r="M33" s="580"/>
      <c r="N33" s="521"/>
      <c r="O33" s="521"/>
      <c r="P33" s="521"/>
      <c r="Q33" s="521"/>
      <c r="R33" s="521"/>
      <c r="S33" s="521"/>
      <c r="T33" s="521"/>
      <c r="U33" s="521"/>
      <c r="V33" s="521"/>
      <c r="W33" s="521"/>
      <c r="X33" s="521"/>
      <c r="Y33" s="521"/>
      <c r="Z33" s="521"/>
      <c r="AA33" s="521"/>
      <c r="AB33" s="521"/>
      <c r="AC33" s="521"/>
      <c r="AD33" s="521"/>
      <c r="AE33" s="521"/>
      <c r="AF33" s="521"/>
      <c r="AG33" s="521"/>
      <c r="AH33" s="521"/>
      <c r="AI33" s="522"/>
      <c r="AJ33" s="521"/>
      <c r="AK33" s="521"/>
      <c r="AL33" s="521"/>
      <c r="AM33" s="521"/>
      <c r="AN33" s="521"/>
      <c r="AO33" s="521"/>
      <c r="AP33" s="521"/>
      <c r="AQ33" s="521"/>
      <c r="AR33" s="521"/>
      <c r="AS33" s="521"/>
    </row>
    <row r="34" spans="2:45" s="662" customFormat="1" ht="15" customHeight="1" thickBot="1">
      <c r="B34" s="770"/>
      <c r="C34" s="941" t="s">
        <v>268</v>
      </c>
      <c r="D34" s="942"/>
      <c r="E34" s="942"/>
      <c r="F34" s="942"/>
      <c r="G34" s="942"/>
      <c r="H34" s="942"/>
      <c r="I34" s="942"/>
      <c r="J34" s="942"/>
      <c r="K34" s="942"/>
      <c r="L34" s="943"/>
      <c r="M34" s="582"/>
      <c r="N34" s="521"/>
      <c r="O34" s="521"/>
      <c r="P34" s="521"/>
      <c r="Q34" s="521"/>
      <c r="R34" s="521"/>
      <c r="S34" s="521"/>
      <c r="T34" s="521"/>
      <c r="U34" s="521"/>
      <c r="V34" s="521"/>
      <c r="W34" s="521"/>
      <c r="X34" s="521"/>
      <c r="Y34" s="521"/>
      <c r="Z34" s="521"/>
      <c r="AA34" s="521"/>
      <c r="AB34" s="521"/>
      <c r="AC34" s="521"/>
      <c r="AD34" s="521"/>
      <c r="AE34" s="521"/>
      <c r="AF34" s="521"/>
      <c r="AG34" s="521"/>
      <c r="AH34" s="521"/>
      <c r="AI34" s="522"/>
      <c r="AJ34" s="521"/>
      <c r="AK34" s="521"/>
      <c r="AL34" s="521"/>
      <c r="AM34" s="521"/>
      <c r="AN34" s="521"/>
      <c r="AO34" s="521"/>
      <c r="AP34" s="521"/>
      <c r="AQ34" s="521"/>
      <c r="AR34" s="521"/>
      <c r="AS34" s="521"/>
    </row>
    <row r="35" spans="2:45" s="662" customFormat="1" ht="24.75" customHeight="1">
      <c r="B35" s="745"/>
      <c r="C35" s="594" t="s">
        <v>269</v>
      </c>
      <c r="D35" s="882">
        <v>10</v>
      </c>
      <c r="E35" s="647"/>
      <c r="F35" s="775"/>
      <c r="G35" s="775"/>
      <c r="H35" s="882">
        <v>2</v>
      </c>
      <c r="I35" s="882"/>
      <c r="J35" s="790" t="s">
        <v>178</v>
      </c>
      <c r="K35" s="791">
        <v>225</v>
      </c>
      <c r="L35" s="713">
        <v>225</v>
      </c>
      <c r="M35" s="584"/>
      <c r="N35" s="521"/>
      <c r="O35" s="521"/>
      <c r="P35" s="521"/>
      <c r="Q35" s="521"/>
      <c r="R35" s="521"/>
      <c r="S35" s="521"/>
      <c r="T35" s="964" t="s">
        <v>270</v>
      </c>
      <c r="U35" s="964"/>
      <c r="V35" s="521" t="e">
        <f>(D8-K15)/H36*1.2</f>
        <v>#VALUE!</v>
      </c>
      <c r="W35" s="521"/>
      <c r="X35" s="521"/>
      <c r="Y35" s="521"/>
      <c r="Z35" s="521"/>
      <c r="AA35" s="521"/>
      <c r="AB35" s="521"/>
      <c r="AC35" s="521"/>
      <c r="AD35" s="521"/>
      <c r="AE35" s="521"/>
      <c r="AF35" s="521"/>
      <c r="AG35" s="521"/>
      <c r="AH35" s="521"/>
      <c r="AI35" s="522"/>
      <c r="AJ35" s="521"/>
      <c r="AK35" s="521"/>
      <c r="AL35" s="521"/>
      <c r="AM35" s="535" t="s">
        <v>271</v>
      </c>
      <c r="AN35" s="535" t="s">
        <v>261</v>
      </c>
      <c r="AO35" s="535" t="s">
        <v>199</v>
      </c>
      <c r="AP35" s="535" t="s">
        <v>272</v>
      </c>
      <c r="AQ35" s="535" t="s">
        <v>273</v>
      </c>
      <c r="AR35" s="575" t="s">
        <v>264</v>
      </c>
      <c r="AS35" s="521"/>
    </row>
    <row r="36" spans="2:45" s="663" customFormat="1" ht="24" customHeight="1">
      <c r="B36" s="744"/>
      <c r="C36" s="536" t="s">
        <v>274</v>
      </c>
      <c r="D36" s="448">
        <v>80</v>
      </c>
      <c r="E36" s="646"/>
      <c r="F36" s="648" t="str">
        <f>IF(F19="","",F19)</f>
        <v/>
      </c>
      <c r="G36" s="648"/>
      <c r="H36" s="448">
        <f>D36/K35*60</f>
        <v>21.333333333333336</v>
      </c>
      <c r="I36" s="685" t="str">
        <f>IF(OR(F37="",F36=""),"",IF(F37&gt;=F36,(F37-F36)*24*60,(1+F37-F36)*24*60))</f>
        <v/>
      </c>
      <c r="J36" s="585" t="s">
        <v>275</v>
      </c>
      <c r="K36" s="583">
        <v>43.8</v>
      </c>
      <c r="L36" s="561">
        <f ca="1">43.8+RANDBETWEEN(-2,2)/10</f>
        <v>43.599999999999994</v>
      </c>
      <c r="M36" s="586"/>
      <c r="N36" s="523"/>
      <c r="O36" s="523"/>
      <c r="P36" s="523"/>
      <c r="Q36" s="523"/>
      <c r="R36" s="523"/>
      <c r="S36" s="523"/>
      <c r="T36" s="555" t="s">
        <v>184</v>
      </c>
      <c r="U36" s="523"/>
      <c r="V36" s="587" t="e">
        <f>(K8)/(D8-K15)*100</f>
        <v>#VALUE!</v>
      </c>
      <c r="W36" s="523"/>
      <c r="X36" s="523"/>
      <c r="Y36" s="523"/>
      <c r="Z36" s="523"/>
      <c r="AA36" s="523"/>
      <c r="AB36" s="523"/>
      <c r="AC36" s="523"/>
      <c r="AD36" s="523"/>
      <c r="AE36" s="523"/>
      <c r="AF36" s="523"/>
      <c r="AG36" s="523"/>
      <c r="AH36" s="523"/>
      <c r="AI36" s="524"/>
      <c r="AJ36" s="523"/>
      <c r="AK36" s="523"/>
      <c r="AL36" s="523"/>
      <c r="AM36" s="588"/>
      <c r="AN36" s="535">
        <v>80</v>
      </c>
      <c r="AO36" s="535">
        <v>30</v>
      </c>
      <c r="AP36" s="535">
        <v>41</v>
      </c>
      <c r="AQ36" s="535">
        <v>240</v>
      </c>
      <c r="AR36" s="575">
        <f>AQ36*AO37</f>
        <v>187.20000000000002</v>
      </c>
      <c r="AS36" s="523"/>
    </row>
    <row r="37" spans="2:45" s="663" customFormat="1" ht="24" customHeight="1">
      <c r="B37" s="744"/>
      <c r="C37" s="536" t="s">
        <v>276</v>
      </c>
      <c r="D37" s="448">
        <v>14</v>
      </c>
      <c r="E37" s="646"/>
      <c r="F37" s="714"/>
      <c r="G37" s="648"/>
      <c r="H37" s="448">
        <f>D37/280*60</f>
        <v>3</v>
      </c>
      <c r="I37" s="685" t="str">
        <f>IF(OR(F40="",F37=""),"",IF(F40&gt;=F37,(F40-F37)*24*60,(1+F40-F37)*24*60))</f>
        <v/>
      </c>
      <c r="J37" s="552" t="s">
        <v>187</v>
      </c>
      <c r="K37" s="583">
        <v>46.5</v>
      </c>
      <c r="L37" s="561">
        <f ca="1">46.7+RANDBETWEEN(-1,3)/10</f>
        <v>46.7</v>
      </c>
      <c r="M37" s="586"/>
      <c r="N37" s="523"/>
      <c r="O37" s="523"/>
      <c r="P37" s="523"/>
      <c r="Q37" s="523"/>
      <c r="R37" s="523"/>
      <c r="S37" s="523"/>
      <c r="T37" s="555"/>
      <c r="U37" s="523"/>
      <c r="V37" s="587"/>
      <c r="W37" s="523"/>
      <c r="X37" s="523"/>
      <c r="Y37" s="523"/>
      <c r="Z37" s="523"/>
      <c r="AA37" s="523"/>
      <c r="AB37" s="523"/>
      <c r="AC37" s="523"/>
      <c r="AD37" s="523"/>
      <c r="AE37" s="523"/>
      <c r="AF37" s="523"/>
      <c r="AG37" s="523"/>
      <c r="AH37" s="523"/>
      <c r="AI37" s="524"/>
      <c r="AJ37" s="523"/>
      <c r="AK37" s="523"/>
      <c r="AL37" s="523"/>
      <c r="AM37" s="588"/>
      <c r="AN37" s="535">
        <v>0.22</v>
      </c>
      <c r="AO37" s="535">
        <f>1-AN37</f>
        <v>0.78</v>
      </c>
      <c r="AP37" s="576">
        <f>AN36*AN37+AO36*AO37</f>
        <v>41</v>
      </c>
      <c r="AQ37" s="535"/>
      <c r="AR37" s="535"/>
      <c r="AS37" s="523"/>
    </row>
    <row r="38" spans="2:45" s="662" customFormat="1" ht="24" customHeight="1">
      <c r="B38" s="744"/>
      <c r="C38" s="536" t="s">
        <v>193</v>
      </c>
      <c r="D38" s="557">
        <v>4</v>
      </c>
      <c r="E38" s="646"/>
      <c r="F38" s="648"/>
      <c r="G38" s="648"/>
      <c r="H38" s="448"/>
      <c r="I38" s="448"/>
      <c r="J38" s="585"/>
      <c r="K38" s="557"/>
      <c r="L38" s="589"/>
      <c r="M38" s="590"/>
      <c r="N38" s="521"/>
      <c r="O38" s="521"/>
      <c r="P38" s="521"/>
      <c r="Q38" s="521"/>
      <c r="R38" s="521"/>
      <c r="S38" s="521"/>
      <c r="T38" s="521"/>
      <c r="U38" s="521"/>
      <c r="V38" s="521"/>
      <c r="W38" s="521"/>
      <c r="X38" s="521"/>
      <c r="Y38" s="521"/>
      <c r="Z38" s="521"/>
      <c r="AA38" s="521"/>
      <c r="AB38" s="521"/>
      <c r="AC38" s="521"/>
      <c r="AD38" s="521"/>
      <c r="AE38" s="521"/>
      <c r="AF38" s="521"/>
      <c r="AG38" s="521"/>
      <c r="AH38" s="521"/>
      <c r="AI38" s="522"/>
      <c r="AJ38" s="521"/>
      <c r="AK38" s="521"/>
      <c r="AL38" s="521"/>
      <c r="AM38" s="521"/>
      <c r="AN38" s="521"/>
      <c r="AO38" s="521"/>
      <c r="AP38" s="521"/>
      <c r="AQ38" s="521"/>
      <c r="AR38" s="521"/>
      <c r="AS38" s="521"/>
    </row>
    <row r="39" spans="2:45" s="662" customFormat="1" ht="20.25" customHeight="1">
      <c r="B39" s="747"/>
      <c r="C39" s="536" t="s">
        <v>277</v>
      </c>
      <c r="D39" s="557"/>
      <c r="E39" s="651"/>
      <c r="F39" s="715"/>
      <c r="G39" s="648"/>
      <c r="H39" s="448"/>
      <c r="I39" s="448"/>
      <c r="J39" s="563"/>
      <c r="K39" s="557"/>
      <c r="L39" s="540"/>
      <c r="M39" s="586"/>
      <c r="N39" s="521"/>
      <c r="O39" s="521"/>
      <c r="P39" s="521"/>
      <c r="Q39" s="521"/>
      <c r="R39" s="521"/>
      <c r="S39" s="521"/>
      <c r="T39" s="521"/>
      <c r="U39" s="521"/>
      <c r="V39" s="521"/>
      <c r="W39" s="521"/>
      <c r="X39" s="521"/>
      <c r="Y39" s="521"/>
      <c r="Z39" s="521"/>
      <c r="AA39" s="521"/>
      <c r="AB39" s="521"/>
      <c r="AC39" s="521"/>
      <c r="AD39" s="521"/>
      <c r="AE39" s="521"/>
      <c r="AF39" s="521"/>
      <c r="AG39" s="521"/>
      <c r="AH39" s="521"/>
      <c r="AI39" s="522"/>
      <c r="AJ39" s="521"/>
      <c r="AK39" s="521"/>
      <c r="AL39" s="521"/>
      <c r="AM39" s="521"/>
      <c r="AN39" s="521"/>
      <c r="AO39" s="521"/>
      <c r="AP39" s="521"/>
      <c r="AQ39" s="521"/>
      <c r="AR39" s="521"/>
      <c r="AS39" s="521"/>
    </row>
    <row r="40" spans="2:45" s="662" customFormat="1" ht="24" customHeight="1">
      <c r="B40" s="747"/>
      <c r="C40" s="563" t="s">
        <v>278</v>
      </c>
      <c r="D40" s="557"/>
      <c r="E40" s="652"/>
      <c r="F40" s="714"/>
      <c r="G40" s="648" t="str">
        <f>IF(ISBLANK(F40),"",F40+TIME(0,H40,0))</f>
        <v/>
      </c>
      <c r="H40" s="479">
        <v>5</v>
      </c>
      <c r="I40" s="685" t="str">
        <f t="shared" ref="I40:I48" si="1">IF(OR(F41="",F40=""),"",IF(F41&gt;=F40,(F41-F40)*24*60,(1+F41-F40)*24*60))</f>
        <v/>
      </c>
      <c r="J40" s="566"/>
      <c r="K40" s="557"/>
      <c r="L40" s="540"/>
      <c r="M40" s="586"/>
      <c r="N40" s="521"/>
      <c r="O40" s="521"/>
      <c r="P40" s="521"/>
      <c r="Q40" s="521"/>
      <c r="R40" s="521"/>
      <c r="S40" s="521"/>
      <c r="T40" s="521"/>
      <c r="U40" s="521"/>
      <c r="V40" s="521"/>
      <c r="W40" s="521"/>
      <c r="X40" s="521"/>
      <c r="Y40" s="521"/>
      <c r="Z40" s="521"/>
      <c r="AA40" s="521"/>
      <c r="AB40" s="521"/>
      <c r="AC40" s="521"/>
      <c r="AD40" s="521"/>
      <c r="AE40" s="521"/>
      <c r="AF40" s="521"/>
      <c r="AG40" s="521"/>
      <c r="AH40" s="521"/>
      <c r="AI40" s="522"/>
      <c r="AJ40" s="521"/>
      <c r="AK40" s="521"/>
      <c r="AL40" s="521"/>
      <c r="AM40" s="535" t="s">
        <v>279</v>
      </c>
      <c r="AN40" s="535" t="s">
        <v>261</v>
      </c>
      <c r="AO40" s="535" t="s">
        <v>199</v>
      </c>
      <c r="AP40" s="535" t="s">
        <v>280</v>
      </c>
      <c r="AQ40" s="535" t="s">
        <v>263</v>
      </c>
      <c r="AR40" s="575" t="s">
        <v>264</v>
      </c>
      <c r="AS40" s="521"/>
    </row>
    <row r="41" spans="2:45" s="662" customFormat="1" ht="24" customHeight="1">
      <c r="B41" s="744"/>
      <c r="C41" s="536" t="s">
        <v>281</v>
      </c>
      <c r="D41" s="557"/>
      <c r="E41" s="653"/>
      <c r="F41" s="680" t="str">
        <f>IF(F30="","",F30)</f>
        <v/>
      </c>
      <c r="G41" s="648"/>
      <c r="H41" s="448">
        <f>SUM(H30,H31)</f>
        <v>8</v>
      </c>
      <c r="I41" s="685" t="str">
        <f t="shared" si="1"/>
        <v/>
      </c>
      <c r="J41" s="574" t="s">
        <v>282</v>
      </c>
      <c r="K41" s="681"/>
      <c r="L41" s="558"/>
      <c r="M41" s="586"/>
      <c r="N41" s="521"/>
      <c r="O41" s="521"/>
      <c r="P41" s="521"/>
      <c r="Q41" s="521"/>
      <c r="R41" s="521"/>
      <c r="S41" s="521"/>
      <c r="T41" s="521"/>
      <c r="U41" s="521"/>
      <c r="V41" s="521"/>
      <c r="W41" s="521"/>
      <c r="X41" s="521"/>
      <c r="Y41" s="521"/>
      <c r="Z41" s="521"/>
      <c r="AA41" s="521"/>
      <c r="AB41" s="521"/>
      <c r="AC41" s="521"/>
      <c r="AD41" s="521"/>
      <c r="AE41" s="521"/>
      <c r="AF41" s="521"/>
      <c r="AG41" s="521"/>
      <c r="AH41" s="521"/>
      <c r="AI41" s="522"/>
      <c r="AJ41" s="521"/>
      <c r="AK41" s="521"/>
      <c r="AL41" s="521"/>
      <c r="AM41" s="588"/>
      <c r="AN41" s="535">
        <v>80</v>
      </c>
      <c r="AO41" s="535">
        <v>30</v>
      </c>
      <c r="AP41" s="535">
        <v>80</v>
      </c>
      <c r="AQ41" s="535">
        <v>220</v>
      </c>
      <c r="AR41" s="575">
        <f>AQ41*AO42</f>
        <v>0</v>
      </c>
      <c r="AS41" s="521"/>
    </row>
    <row r="42" spans="2:45" s="662" customFormat="1" ht="24" customHeight="1">
      <c r="B42" s="744"/>
      <c r="C42" s="536" t="s">
        <v>283</v>
      </c>
      <c r="D42" s="448"/>
      <c r="E42" s="651"/>
      <c r="F42" s="714"/>
      <c r="G42" s="648"/>
      <c r="H42" s="448">
        <v>0</v>
      </c>
      <c r="I42" s="685" t="str">
        <f t="shared" si="1"/>
        <v/>
      </c>
      <c r="J42" s="539" t="s">
        <v>259</v>
      </c>
      <c r="K42" s="591"/>
      <c r="L42" s="558"/>
      <c r="M42" s="586"/>
      <c r="N42" s="521"/>
      <c r="O42" s="521"/>
      <c r="P42" s="521"/>
      <c r="Q42" s="521"/>
      <c r="R42" s="521"/>
      <c r="S42" s="521"/>
      <c r="T42" s="555" t="s">
        <v>184</v>
      </c>
      <c r="U42" s="521"/>
      <c r="V42" s="556" t="e">
        <f>(K8+K9+D15)/(D8+D9)*100</f>
        <v>#VALUE!</v>
      </c>
      <c r="W42" s="521"/>
      <c r="X42" s="549" t="s">
        <v>284</v>
      </c>
      <c r="Y42" s="550" t="e">
        <f>D8+D9+(K8+K9+D15+D31)*100</f>
        <v>#VALUE!</v>
      </c>
      <c r="Z42" s="521"/>
      <c r="AA42" s="521"/>
      <c r="AB42" s="521"/>
      <c r="AC42" s="521"/>
      <c r="AD42" s="521"/>
      <c r="AE42" s="521"/>
      <c r="AF42" s="521"/>
      <c r="AG42" s="521"/>
      <c r="AH42" s="521"/>
      <c r="AI42" s="522"/>
      <c r="AJ42" s="521"/>
      <c r="AK42" s="521"/>
      <c r="AL42" s="521"/>
      <c r="AM42" s="588"/>
      <c r="AN42" s="535">
        <v>1</v>
      </c>
      <c r="AO42" s="535">
        <f>1-AN42</f>
        <v>0</v>
      </c>
      <c r="AP42" s="576">
        <f>AN41*AN42+AO41*AO42</f>
        <v>80</v>
      </c>
      <c r="AQ42" s="535"/>
      <c r="AR42" s="535"/>
      <c r="AS42" s="521"/>
    </row>
    <row r="43" spans="2:45" s="662" customFormat="1" ht="25.5" customHeight="1">
      <c r="B43" s="744"/>
      <c r="C43" s="566" t="s">
        <v>285</v>
      </c>
      <c r="D43" s="562">
        <v>65.5</v>
      </c>
      <c r="E43" s="652"/>
      <c r="F43" s="714"/>
      <c r="G43" s="648" t="str">
        <f>IF(ISBLANK(F43),"",F43+TIME(0,H43,0))</f>
        <v/>
      </c>
      <c r="H43" s="479">
        <v>50</v>
      </c>
      <c r="I43" s="685" t="str">
        <f t="shared" si="1"/>
        <v/>
      </c>
      <c r="J43" s="539" t="s">
        <v>286</v>
      </c>
      <c r="K43" s="583" t="s">
        <v>287</v>
      </c>
      <c r="L43" s="708"/>
      <c r="M43" s="567"/>
      <c r="N43" s="521"/>
      <c r="O43" s="521"/>
      <c r="P43" s="521"/>
      <c r="Q43" s="521"/>
      <c r="R43" s="521"/>
      <c r="S43" s="521"/>
      <c r="T43" s="521"/>
      <c r="U43" s="521"/>
      <c r="V43" s="521"/>
      <c r="W43" s="521"/>
      <c r="X43" s="521"/>
      <c r="Y43" s="521"/>
      <c r="Z43" s="521"/>
      <c r="AA43" s="521"/>
      <c r="AB43" s="521"/>
      <c r="AC43" s="521"/>
      <c r="AD43" s="521"/>
      <c r="AE43" s="521"/>
      <c r="AF43" s="521"/>
      <c r="AG43" s="521"/>
      <c r="AH43" s="521"/>
      <c r="AI43" s="522"/>
      <c r="AJ43" s="521"/>
      <c r="AK43" s="521"/>
      <c r="AL43" s="521"/>
      <c r="AM43" s="521"/>
      <c r="AN43" s="521"/>
      <c r="AO43" s="521"/>
      <c r="AP43" s="521"/>
      <c r="AQ43" s="521"/>
      <c r="AR43" s="521"/>
      <c r="AS43" s="521"/>
    </row>
    <row r="44" spans="2:45" s="662" customFormat="1" ht="25.5" customHeight="1">
      <c r="B44" s="747"/>
      <c r="C44" s="536" t="s">
        <v>288</v>
      </c>
      <c r="D44" s="448"/>
      <c r="E44" s="651"/>
      <c r="F44" s="680" t="str">
        <f>G43</f>
        <v/>
      </c>
      <c r="G44" s="648"/>
      <c r="H44" s="448">
        <v>7</v>
      </c>
      <c r="I44" s="685" t="str">
        <f t="shared" si="1"/>
        <v/>
      </c>
      <c r="J44" s="566" t="s">
        <v>289</v>
      </c>
      <c r="K44" s="553" t="s">
        <v>290</v>
      </c>
      <c r="L44" s="708"/>
      <c r="M44" s="531"/>
      <c r="N44" s="521"/>
      <c r="O44" s="521"/>
      <c r="P44" s="521"/>
      <c r="Q44" s="521"/>
      <c r="R44" s="521"/>
      <c r="S44" s="521"/>
      <c r="T44" s="521"/>
      <c r="U44" s="521"/>
      <c r="V44" s="521"/>
      <c r="W44" s="521"/>
      <c r="X44" s="521"/>
      <c r="Y44" s="521"/>
      <c r="Z44" s="521"/>
      <c r="AA44" s="521"/>
      <c r="AB44" s="521"/>
      <c r="AC44" s="521"/>
      <c r="AD44" s="521"/>
      <c r="AE44" s="521"/>
      <c r="AF44" s="521"/>
      <c r="AG44" s="521"/>
      <c r="AH44" s="521"/>
      <c r="AI44" s="522"/>
      <c r="AJ44" s="521"/>
      <c r="AK44" s="521"/>
      <c r="AL44" s="521"/>
      <c r="AM44" s="535" t="s">
        <v>291</v>
      </c>
      <c r="AN44" s="535" t="s">
        <v>261</v>
      </c>
      <c r="AO44" s="535" t="s">
        <v>199</v>
      </c>
      <c r="AP44" s="535" t="s">
        <v>272</v>
      </c>
      <c r="AQ44" s="535" t="s">
        <v>263</v>
      </c>
      <c r="AR44" s="575" t="s">
        <v>264</v>
      </c>
      <c r="AS44" s="521"/>
    </row>
    <row r="45" spans="2:45" s="662" customFormat="1" ht="25.5" customHeight="1">
      <c r="B45" s="747"/>
      <c r="C45" s="566" t="s">
        <v>292</v>
      </c>
      <c r="D45" s="448"/>
      <c r="E45" s="652"/>
      <c r="F45" s="714"/>
      <c r="G45" s="648" t="str">
        <f>IF(ISBLANK(F45),"",F45+TIME(0,H45,0))</f>
        <v/>
      </c>
      <c r="H45" s="479">
        <v>10</v>
      </c>
      <c r="I45" s="685" t="str">
        <f t="shared" si="1"/>
        <v/>
      </c>
      <c r="J45" s="566"/>
      <c r="K45" s="553"/>
      <c r="L45" s="708"/>
      <c r="M45" s="531"/>
      <c r="N45" s="521"/>
      <c r="O45" s="521"/>
      <c r="P45" s="521"/>
      <c r="Q45" s="521"/>
      <c r="R45" s="521"/>
      <c r="S45" s="521"/>
      <c r="T45" s="521"/>
      <c r="U45" s="521"/>
      <c r="V45" s="521"/>
      <c r="W45" s="521"/>
      <c r="X45" s="521"/>
      <c r="Y45" s="521"/>
      <c r="Z45" s="521"/>
      <c r="AA45" s="521"/>
      <c r="AB45" s="521"/>
      <c r="AC45" s="521"/>
      <c r="AD45" s="521"/>
      <c r="AE45" s="521"/>
      <c r="AF45" s="521"/>
      <c r="AG45" s="521"/>
      <c r="AH45" s="521"/>
      <c r="AI45" s="522"/>
      <c r="AJ45" s="521"/>
      <c r="AK45" s="521"/>
      <c r="AL45" s="521"/>
      <c r="AM45" s="535"/>
      <c r="AN45" s="535"/>
      <c r="AO45" s="535"/>
      <c r="AP45" s="535"/>
      <c r="AQ45" s="535"/>
      <c r="AR45" s="575"/>
      <c r="AS45" s="521"/>
    </row>
    <row r="46" spans="2:45" s="662" customFormat="1" ht="25.5" customHeight="1">
      <c r="B46" s="747"/>
      <c r="C46" s="536" t="s">
        <v>293</v>
      </c>
      <c r="D46" s="448"/>
      <c r="E46" s="651"/>
      <c r="F46" s="680" t="str">
        <f>G45</f>
        <v/>
      </c>
      <c r="G46" s="648"/>
      <c r="H46" s="448">
        <v>5</v>
      </c>
      <c r="I46" s="685" t="str">
        <f t="shared" si="1"/>
        <v/>
      </c>
      <c r="J46" s="566"/>
      <c r="K46" s="553"/>
      <c r="L46" s="708"/>
      <c r="M46" s="531"/>
      <c r="N46" s="521"/>
      <c r="O46" s="521"/>
      <c r="P46" s="521"/>
      <c r="Q46" s="521"/>
      <c r="R46" s="521"/>
      <c r="S46" s="521"/>
      <c r="T46" s="521"/>
      <c r="U46" s="521"/>
      <c r="V46" s="521"/>
      <c r="W46" s="521"/>
      <c r="X46" s="521"/>
      <c r="Y46" s="521"/>
      <c r="Z46" s="521"/>
      <c r="AA46" s="521"/>
      <c r="AB46" s="521"/>
      <c r="AC46" s="521"/>
      <c r="AD46" s="521"/>
      <c r="AE46" s="521"/>
      <c r="AF46" s="521"/>
      <c r="AG46" s="521"/>
      <c r="AH46" s="521"/>
      <c r="AI46" s="522"/>
      <c r="AJ46" s="521"/>
      <c r="AK46" s="521"/>
      <c r="AL46" s="521"/>
      <c r="AM46" s="535"/>
      <c r="AN46" s="535"/>
      <c r="AO46" s="535"/>
      <c r="AP46" s="535"/>
      <c r="AQ46" s="535"/>
      <c r="AR46" s="575"/>
      <c r="AS46" s="521"/>
    </row>
    <row r="47" spans="2:45" s="662" customFormat="1" ht="24" customHeight="1">
      <c r="B47" s="744"/>
      <c r="C47" s="536" t="s">
        <v>294</v>
      </c>
      <c r="D47" s="448"/>
      <c r="E47" s="652"/>
      <c r="F47" s="714"/>
      <c r="G47" s="648"/>
      <c r="H47" s="448">
        <v>0</v>
      </c>
      <c r="I47" s="685" t="str">
        <f t="shared" si="1"/>
        <v/>
      </c>
      <c r="J47" s="539" t="s">
        <v>245</v>
      </c>
      <c r="K47" s="583" t="s">
        <v>246</v>
      </c>
      <c r="L47" s="642"/>
      <c r="M47" s="568"/>
      <c r="N47" s="521"/>
      <c r="O47" s="521"/>
      <c r="P47" s="521"/>
      <c r="Q47" s="521"/>
      <c r="R47" s="521"/>
      <c r="S47" s="521"/>
      <c r="T47" s="521"/>
      <c r="U47" s="521"/>
      <c r="V47" s="521"/>
      <c r="W47" s="521"/>
      <c r="X47" s="521"/>
      <c r="Y47" s="521"/>
      <c r="Z47" s="521"/>
      <c r="AA47" s="521"/>
      <c r="AB47" s="521"/>
      <c r="AC47" s="521"/>
      <c r="AD47" s="521"/>
      <c r="AE47" s="521"/>
      <c r="AF47" s="521"/>
      <c r="AG47" s="521"/>
      <c r="AH47" s="521"/>
      <c r="AI47" s="522"/>
      <c r="AJ47" s="521"/>
      <c r="AK47" s="521"/>
      <c r="AL47" s="521"/>
      <c r="AM47" s="588"/>
      <c r="AN47" s="535">
        <v>0.88</v>
      </c>
      <c r="AO47" s="535">
        <f>1-AN47</f>
        <v>0.12</v>
      </c>
      <c r="AP47" s="576" t="e">
        <f>#REF!*AN47+#REF!*AO47</f>
        <v>#REF!</v>
      </c>
      <c r="AQ47" s="535"/>
      <c r="AR47" s="535"/>
      <c r="AS47" s="521"/>
    </row>
    <row r="48" spans="2:45" s="663" customFormat="1" ht="22.5" customHeight="1">
      <c r="B48" s="746"/>
      <c r="C48" s="573" t="s">
        <v>295</v>
      </c>
      <c r="D48" s="479"/>
      <c r="E48" s="651"/>
      <c r="F48" s="714"/>
      <c r="G48" s="648"/>
      <c r="H48" s="479">
        <v>8</v>
      </c>
      <c r="I48" s="685" t="str">
        <f t="shared" si="1"/>
        <v/>
      </c>
      <c r="J48" s="539" t="s">
        <v>259</v>
      </c>
      <c r="K48" s="591"/>
      <c r="L48" s="592"/>
      <c r="M48" s="593"/>
      <c r="N48" s="523"/>
      <c r="O48" s="523"/>
      <c r="P48" s="523"/>
      <c r="Q48" s="523"/>
      <c r="R48" s="523"/>
      <c r="S48" s="523"/>
      <c r="T48" s="523"/>
      <c r="U48" s="523"/>
      <c r="V48" s="523"/>
      <c r="W48" s="523"/>
      <c r="X48" s="523"/>
      <c r="Y48" s="523"/>
      <c r="Z48" s="523"/>
      <c r="AA48" s="523"/>
      <c r="AB48" s="523"/>
      <c r="AC48" s="523"/>
      <c r="AD48" s="523"/>
      <c r="AE48" s="523"/>
      <c r="AF48" s="523"/>
      <c r="AG48" s="523"/>
      <c r="AH48" s="523"/>
      <c r="AI48" s="524"/>
      <c r="AJ48" s="523"/>
      <c r="AK48" s="523"/>
      <c r="AL48" s="523"/>
      <c r="AM48" s="523"/>
      <c r="AN48" s="523"/>
      <c r="AO48" s="523"/>
      <c r="AP48" s="523"/>
      <c r="AQ48" s="523"/>
      <c r="AR48" s="523"/>
      <c r="AS48" s="523" t="s">
        <v>296</v>
      </c>
    </row>
    <row r="49" spans="2:46" s="662" customFormat="1" ht="20.25" customHeight="1">
      <c r="B49" s="745"/>
      <c r="C49" s="594" t="s">
        <v>297</v>
      </c>
      <c r="D49" s="882">
        <v>10</v>
      </c>
      <c r="E49" s="647"/>
      <c r="F49" s="714"/>
      <c r="G49" s="648" t="str">
        <f>IF(F57="","",F57)</f>
        <v/>
      </c>
      <c r="H49" s="882">
        <v>2</v>
      </c>
      <c r="I49" s="685" t="str">
        <f>IF(OR(G49="",F49=""),"",IF(G49&gt;=F49,(G49-F49)*24*60,(1+G49-F49)*24*60))</f>
        <v/>
      </c>
      <c r="J49" s="543"/>
      <c r="K49" s="543"/>
      <c r="L49" s="643"/>
      <c r="M49" s="548"/>
      <c r="N49" s="521"/>
      <c r="O49" s="521"/>
      <c r="P49" s="521"/>
      <c r="Q49" s="521"/>
      <c r="R49" s="521"/>
      <c r="S49" s="521"/>
      <c r="T49" s="521"/>
      <c r="U49" s="521"/>
      <c r="V49" s="521"/>
      <c r="W49" s="521"/>
      <c r="X49" s="521"/>
      <c r="Y49" s="521"/>
      <c r="Z49" s="521"/>
      <c r="AA49" s="521"/>
      <c r="AB49" s="521"/>
      <c r="AC49" s="521"/>
      <c r="AD49" s="521"/>
      <c r="AE49" s="521"/>
      <c r="AF49" s="521"/>
      <c r="AG49" s="521"/>
      <c r="AH49" s="521"/>
      <c r="AI49" s="522"/>
      <c r="AJ49" s="521"/>
      <c r="AK49" s="521"/>
      <c r="AL49" s="521"/>
      <c r="AM49" s="521"/>
      <c r="AN49" s="521"/>
      <c r="AO49" s="521"/>
      <c r="AP49" s="521" t="s">
        <v>298</v>
      </c>
      <c r="AQ49" s="521">
        <v>6</v>
      </c>
      <c r="AR49" s="521" t="e">
        <f>#REF!</f>
        <v>#REF!</v>
      </c>
      <c r="AS49" s="521" t="e">
        <f>(AQ49*AR49+AQ50*AR50)/(AR49+AR50)</f>
        <v>#REF!</v>
      </c>
    </row>
    <row r="50" spans="2:46" s="662" customFormat="1" ht="20.25" customHeight="1">
      <c r="B50" s="744"/>
      <c r="C50" s="536" t="s">
        <v>266</v>
      </c>
      <c r="D50" s="448">
        <v>2</v>
      </c>
      <c r="E50" s="651"/>
      <c r="F50" s="648"/>
      <c r="G50" s="648"/>
      <c r="H50" s="448">
        <v>1</v>
      </c>
      <c r="I50" s="448"/>
      <c r="J50" s="539"/>
      <c r="K50" s="539"/>
      <c r="L50" s="641"/>
      <c r="M50" s="554"/>
      <c r="N50" s="521"/>
      <c r="O50" s="521"/>
      <c r="P50" s="521"/>
      <c r="Q50" s="521"/>
      <c r="R50" s="521"/>
      <c r="S50" s="521"/>
      <c r="T50" s="521"/>
      <c r="U50" s="521"/>
      <c r="V50" s="521"/>
      <c r="W50" s="521"/>
      <c r="X50" s="521"/>
      <c r="Y50" s="521"/>
      <c r="Z50" s="521"/>
      <c r="AA50" s="521"/>
      <c r="AB50" s="521"/>
      <c r="AC50" s="521"/>
      <c r="AD50" s="521"/>
      <c r="AE50" s="521"/>
      <c r="AF50" s="521"/>
      <c r="AG50" s="521"/>
      <c r="AH50" s="521"/>
      <c r="AI50" s="522"/>
      <c r="AJ50" s="521"/>
      <c r="AK50" s="521"/>
      <c r="AL50" s="521"/>
      <c r="AM50" s="521"/>
      <c r="AN50" s="521"/>
      <c r="AO50" s="521"/>
      <c r="AP50" s="521" t="s">
        <v>299</v>
      </c>
      <c r="AQ50" s="521">
        <v>6.4</v>
      </c>
      <c r="AR50" s="521" t="e">
        <f>#REF!-AR49</f>
        <v>#REF!</v>
      </c>
      <c r="AS50" s="521"/>
    </row>
    <row r="51" spans="2:46" s="662" customFormat="1" ht="22.5" customHeight="1" thickBot="1">
      <c r="B51" s="749"/>
      <c r="C51" s="595" t="s">
        <v>300</v>
      </c>
      <c r="D51" s="596"/>
      <c r="E51" s="654"/>
      <c r="F51" s="596"/>
      <c r="G51" s="654"/>
      <c r="H51" s="596">
        <f>SUM(H35:H50)</f>
        <v>122.33333333333334</v>
      </c>
      <c r="I51" s="596" t="str">
        <f>IF(OR(G49="",F36=""),"",IF(G49&gt;=F36,(G49-F36)*24*60,(G49+1-F36)*24*60))</f>
        <v/>
      </c>
      <c r="J51" s="597"/>
      <c r="K51" s="597"/>
      <c r="L51" s="644"/>
      <c r="M51" s="598"/>
      <c r="N51" s="521"/>
      <c r="O51" s="521"/>
      <c r="P51" s="521"/>
      <c r="Q51" s="521"/>
      <c r="R51" s="521"/>
      <c r="S51" s="521"/>
      <c r="T51" s="521"/>
      <c r="U51" s="521"/>
      <c r="V51" s="521"/>
      <c r="W51" s="521"/>
      <c r="X51" s="521"/>
      <c r="Y51" s="521"/>
      <c r="Z51" s="521"/>
      <c r="AA51" s="521"/>
      <c r="AB51" s="521"/>
      <c r="AC51" s="521"/>
      <c r="AD51" s="521"/>
      <c r="AE51" s="521"/>
      <c r="AF51" s="521"/>
      <c r="AG51" s="521"/>
      <c r="AH51" s="521"/>
      <c r="AI51" s="522"/>
      <c r="AJ51" s="521"/>
      <c r="AK51" s="521"/>
      <c r="AL51" s="521"/>
      <c r="AM51" s="521"/>
      <c r="AN51" s="521"/>
      <c r="AO51" s="521"/>
      <c r="AP51" s="521"/>
      <c r="AQ51" s="521"/>
      <c r="AR51" s="521"/>
      <c r="AS51" s="521"/>
    </row>
    <row r="52" spans="2:46" s="662" customFormat="1" ht="22.5" hidden="1" customHeight="1" thickBot="1">
      <c r="B52" s="749"/>
      <c r="C52" s="835"/>
      <c r="D52" s="836"/>
      <c r="E52" s="837"/>
      <c r="F52" s="836"/>
      <c r="G52" s="837"/>
      <c r="H52" s="836"/>
      <c r="I52" s="836"/>
      <c r="J52" s="838"/>
      <c r="K52" s="838"/>
      <c r="L52" s="839"/>
      <c r="M52" s="548"/>
      <c r="N52" s="521"/>
      <c r="O52" s="521"/>
      <c r="P52" s="521"/>
      <c r="Q52" s="521"/>
      <c r="R52" s="521"/>
      <c r="S52" s="521"/>
      <c r="T52" s="521"/>
      <c r="U52" s="521"/>
      <c r="V52" s="521"/>
      <c r="W52" s="521"/>
      <c r="X52" s="521"/>
      <c r="Y52" s="521"/>
      <c r="Z52" s="521"/>
      <c r="AA52" s="521"/>
      <c r="AB52" s="521"/>
      <c r="AC52" s="521"/>
      <c r="AD52" s="521"/>
      <c r="AE52" s="521"/>
      <c r="AF52" s="521"/>
      <c r="AG52" s="521"/>
      <c r="AH52" s="521"/>
      <c r="AI52" s="522"/>
      <c r="AJ52" s="521"/>
      <c r="AK52" s="521"/>
      <c r="AL52" s="521"/>
      <c r="AM52" s="521"/>
      <c r="AN52" s="521"/>
      <c r="AO52" s="521"/>
      <c r="AP52" s="521"/>
      <c r="AQ52" s="521"/>
      <c r="AR52" s="521"/>
      <c r="AS52" s="521"/>
    </row>
    <row r="53" spans="2:46" s="662" customFormat="1" ht="15" customHeight="1" thickBot="1">
      <c r="B53" s="770"/>
      <c r="C53" s="941" t="s">
        <v>301</v>
      </c>
      <c r="D53" s="942"/>
      <c r="E53" s="942"/>
      <c r="F53" s="942"/>
      <c r="G53" s="942"/>
      <c r="H53" s="942"/>
      <c r="I53" s="942"/>
      <c r="J53" s="942"/>
      <c r="K53" s="942"/>
      <c r="L53" s="943"/>
      <c r="M53" s="599"/>
      <c r="N53" s="521"/>
      <c r="O53" s="521"/>
      <c r="P53" s="521"/>
      <c r="Q53" s="521"/>
      <c r="R53" s="521"/>
      <c r="S53" s="521"/>
      <c r="T53" s="521"/>
      <c r="U53" s="521"/>
      <c r="V53" s="521"/>
      <c r="W53" s="521"/>
      <c r="X53" s="521"/>
      <c r="Y53" s="521"/>
      <c r="Z53" s="521"/>
      <c r="AA53" s="521"/>
      <c r="AB53" s="521"/>
      <c r="AC53" s="521"/>
      <c r="AD53" s="521"/>
      <c r="AE53" s="521"/>
      <c r="AF53" s="521"/>
      <c r="AG53" s="521"/>
      <c r="AH53" s="521"/>
      <c r="AI53" s="522"/>
      <c r="AJ53" s="521"/>
      <c r="AK53" s="521"/>
      <c r="AL53" s="521"/>
      <c r="AM53" s="521"/>
      <c r="AN53" s="521"/>
      <c r="AO53" s="521"/>
      <c r="AP53" s="521"/>
      <c r="AQ53" s="521"/>
      <c r="AR53" s="521"/>
      <c r="AS53" s="521"/>
    </row>
    <row r="54" spans="2:46" s="662" customFormat="1" ht="22.5" customHeight="1">
      <c r="B54" s="745"/>
      <c r="C54" s="594" t="s">
        <v>302</v>
      </c>
      <c r="D54" s="882">
        <v>12</v>
      </c>
      <c r="E54" s="647"/>
      <c r="F54" s="775"/>
      <c r="G54" s="775"/>
      <c r="H54" s="882">
        <v>2</v>
      </c>
      <c r="I54" s="764" t="str">
        <f>IF(OR(G54="",F54=""),"",IF(G54&gt;=F54,(G54-F54)*24*60,(1+G54-F54)*24*60))</f>
        <v/>
      </c>
      <c r="J54" s="543" t="s">
        <v>303</v>
      </c>
      <c r="K54" s="787">
        <v>200</v>
      </c>
      <c r="L54" s="788">
        <v>200</v>
      </c>
      <c r="M54" s="600"/>
      <c r="N54" s="532">
        <f>K8+K9+D15+D31+D49+D54</f>
        <v>192</v>
      </c>
      <c r="O54" s="521"/>
      <c r="P54" s="521"/>
      <c r="Q54" s="521"/>
      <c r="R54" s="521"/>
      <c r="S54" s="521"/>
      <c r="T54" s="521"/>
      <c r="U54" s="521"/>
      <c r="V54" s="521"/>
      <c r="W54" s="521"/>
      <c r="X54" s="521"/>
      <c r="Y54" s="521"/>
      <c r="Z54" s="521"/>
      <c r="AA54" s="521"/>
      <c r="AB54" s="521"/>
      <c r="AC54" s="521"/>
      <c r="AD54" s="521"/>
      <c r="AE54" s="521"/>
      <c r="AF54" s="521"/>
      <c r="AG54" s="521"/>
      <c r="AH54" s="521"/>
      <c r="AI54" s="522"/>
      <c r="AJ54" s="521"/>
      <c r="AK54" s="521"/>
      <c r="AL54" s="521"/>
      <c r="AM54" s="521"/>
      <c r="AN54" s="521"/>
      <c r="AO54" s="521"/>
      <c r="AP54" s="523"/>
      <c r="AQ54" s="523"/>
      <c r="AR54" s="523"/>
      <c r="AS54" s="523" t="s">
        <v>296</v>
      </c>
    </row>
    <row r="55" spans="2:46" s="662" customFormat="1" ht="21" customHeight="1">
      <c r="B55" s="744"/>
      <c r="C55" s="536" t="s">
        <v>304</v>
      </c>
      <c r="D55" s="448"/>
      <c r="E55" s="651"/>
      <c r="F55" s="680" t="str">
        <f>IF(F48="","",F48)</f>
        <v/>
      </c>
      <c r="G55" s="648"/>
      <c r="H55" s="448">
        <f>H48</f>
        <v>8</v>
      </c>
      <c r="I55" s="685" t="str">
        <f>IF(OR(F57="",F55=""),"",IF(F57&gt;=F55,(F57-F55)*24*60,(1+F57-F55)*24*60))</f>
        <v/>
      </c>
      <c r="J55" s="539" t="s">
        <v>305</v>
      </c>
      <c r="K55" s="562" t="s">
        <v>306</v>
      </c>
      <c r="L55" s="722"/>
      <c r="M55" s="601"/>
      <c r="N55" s="521" t="e">
        <f>#REF!/N54</f>
        <v>#REF!</v>
      </c>
      <c r="O55" s="521"/>
      <c r="P55" s="521"/>
      <c r="Q55" s="521"/>
      <c r="R55" s="521"/>
      <c r="S55" s="521"/>
      <c r="T55" s="521"/>
      <c r="U55" s="521"/>
      <c r="V55" s="521"/>
      <c r="W55" s="521"/>
      <c r="X55" s="521"/>
      <c r="Y55" s="521"/>
      <c r="Z55" s="521"/>
      <c r="AA55" s="521"/>
      <c r="AB55" s="521"/>
      <c r="AC55" s="521"/>
      <c r="AD55" s="521"/>
      <c r="AE55" s="521"/>
      <c r="AF55" s="521"/>
      <c r="AG55" s="521"/>
      <c r="AH55" s="521"/>
      <c r="AI55" s="522"/>
      <c r="AJ55" s="521"/>
      <c r="AK55" s="521"/>
      <c r="AL55" s="521"/>
      <c r="AM55" s="521"/>
      <c r="AN55" s="521"/>
      <c r="AO55" s="521"/>
      <c r="AP55" s="521" t="s">
        <v>307</v>
      </c>
      <c r="AQ55" s="521">
        <v>6</v>
      </c>
      <c r="AR55" s="521">
        <v>21.999999999999996</v>
      </c>
      <c r="AS55" s="521">
        <f>(AQ55*AR55+AQ56*AR56)/(AR55+AR56)</f>
        <v>6.36</v>
      </c>
    </row>
    <row r="56" spans="2:46" s="662" customFormat="1" ht="20.25" customHeight="1">
      <c r="B56" s="744"/>
      <c r="C56" s="536" t="s">
        <v>308</v>
      </c>
      <c r="D56" s="448"/>
      <c r="E56" s="651"/>
      <c r="F56" s="648" t="str">
        <f>IF(F49="","",F49)</f>
        <v/>
      </c>
      <c r="G56" s="648"/>
      <c r="H56" s="448">
        <v>2</v>
      </c>
      <c r="I56" s="448"/>
      <c r="J56" s="539" t="s">
        <v>309</v>
      </c>
      <c r="K56" s="448">
        <v>80</v>
      </c>
      <c r="L56" s="741">
        <f ca="1">80+RANDBETWEEN(-3,3)/10</f>
        <v>80.099999999999994</v>
      </c>
      <c r="M56" s="602"/>
      <c r="N56" s="521"/>
      <c r="O56" s="521"/>
      <c r="P56" s="521"/>
      <c r="Q56" s="521"/>
      <c r="R56" s="521"/>
      <c r="S56" s="521"/>
      <c r="T56" s="521"/>
      <c r="U56" s="521"/>
      <c r="V56" s="521"/>
      <c r="W56" s="521">
        <v>2100</v>
      </c>
      <c r="X56" s="521"/>
      <c r="Y56" s="521"/>
      <c r="Z56" s="521"/>
      <c r="AA56" s="521"/>
      <c r="AB56" s="521"/>
      <c r="AC56" s="521"/>
      <c r="AD56" s="521"/>
      <c r="AE56" s="521"/>
      <c r="AF56" s="521"/>
      <c r="AG56" s="521"/>
      <c r="AH56" s="521"/>
      <c r="AI56" s="522"/>
      <c r="AJ56" s="521"/>
      <c r="AK56" s="521"/>
      <c r="AL56" s="521"/>
      <c r="AM56" s="521"/>
      <c r="AN56" s="521"/>
      <c r="AO56" s="521"/>
      <c r="AP56" s="521" t="s">
        <v>299</v>
      </c>
      <c r="AQ56" s="521">
        <v>6.4</v>
      </c>
      <c r="AR56" s="521">
        <v>198</v>
      </c>
      <c r="AS56" s="521"/>
    </row>
    <row r="57" spans="2:46" s="662" customFormat="1" ht="23.25" customHeight="1">
      <c r="B57" s="744"/>
      <c r="C57" s="536" t="s">
        <v>310</v>
      </c>
      <c r="D57" s="479" t="s">
        <v>311</v>
      </c>
      <c r="E57" s="652"/>
      <c r="F57" s="714"/>
      <c r="G57" s="648"/>
      <c r="H57" s="448">
        <v>7</v>
      </c>
      <c r="I57" s="685" t="str">
        <f>IF(OR(F58="",F57=""),"",IF(F58&gt;=F57,(F58-F57)*24*60,(1+F58-F57)*24*60))</f>
        <v/>
      </c>
      <c r="J57" s="539" t="s">
        <v>312</v>
      </c>
      <c r="K57" s="583">
        <v>210</v>
      </c>
      <c r="L57" s="708">
        <v>210</v>
      </c>
      <c r="M57" s="531"/>
      <c r="N57" s="521"/>
      <c r="O57" s="521"/>
      <c r="P57" s="521"/>
      <c r="Q57" s="521"/>
      <c r="R57" s="521"/>
      <c r="S57" s="521"/>
      <c r="T57" s="521"/>
      <c r="U57" s="532"/>
      <c r="V57" s="521"/>
      <c r="W57" s="521">
        <v>1106</v>
      </c>
      <c r="X57" s="521"/>
      <c r="Y57" s="521"/>
      <c r="Z57" s="521"/>
      <c r="AA57" s="521"/>
      <c r="AB57" s="521"/>
      <c r="AC57" s="521"/>
      <c r="AD57" s="521"/>
      <c r="AE57" s="521"/>
      <c r="AF57" s="521"/>
      <c r="AG57" s="521"/>
      <c r="AH57" s="521"/>
      <c r="AI57" s="522"/>
      <c r="AJ57" s="521"/>
      <c r="AK57" s="521"/>
      <c r="AL57" s="521"/>
      <c r="AM57" s="521"/>
      <c r="AN57" s="521"/>
      <c r="AO57" s="521"/>
      <c r="AP57" s="521"/>
      <c r="AQ57" s="521"/>
      <c r="AR57" s="521"/>
      <c r="AS57" s="521"/>
    </row>
    <row r="58" spans="2:46" s="662" customFormat="1" ht="24" customHeight="1">
      <c r="B58" s="744"/>
      <c r="C58" s="539" t="s">
        <v>313</v>
      </c>
      <c r="D58" s="303">
        <v>136</v>
      </c>
      <c r="E58" s="646"/>
      <c r="F58" s="714"/>
      <c r="G58" s="648"/>
      <c r="H58" s="448">
        <f>D58/K54*60</f>
        <v>40.800000000000004</v>
      </c>
      <c r="I58" s="685" t="str">
        <f>IF(OR(F59="",F58=""),"",IF(F59&gt;=F58,(F59-F58)*24*60,(1+F59-F58)*24*60))</f>
        <v/>
      </c>
      <c r="J58" s="539" t="s">
        <v>314</v>
      </c>
      <c r="K58" s="603" t="s">
        <v>315</v>
      </c>
      <c r="L58" s="686" t="s">
        <v>316</v>
      </c>
      <c r="M58" s="604"/>
      <c r="N58" s="521"/>
      <c r="O58" s="521"/>
      <c r="P58" s="521"/>
      <c r="Q58" s="521"/>
      <c r="R58" s="521"/>
      <c r="S58" s="521"/>
      <c r="T58" s="532">
        <f>170-D58</f>
        <v>34</v>
      </c>
      <c r="U58" s="532">
        <f>K8+K9+D15+D31+D49+D54</f>
        <v>192</v>
      </c>
      <c r="V58" s="521"/>
      <c r="W58" s="521">
        <f>W56-W57</f>
        <v>994</v>
      </c>
      <c r="X58" s="521"/>
      <c r="Y58" s="521"/>
      <c r="Z58" s="521"/>
      <c r="AA58" s="521"/>
      <c r="AB58" s="521"/>
      <c r="AC58" s="521"/>
      <c r="AD58" s="521"/>
      <c r="AE58" s="521"/>
      <c r="AF58" s="521"/>
      <c r="AG58" s="521"/>
      <c r="AH58" s="521"/>
      <c r="AI58" s="522"/>
      <c r="AJ58" s="521"/>
      <c r="AK58" s="521"/>
      <c r="AL58" s="521"/>
      <c r="AM58" s="521"/>
      <c r="AN58" s="521"/>
      <c r="AO58" s="521"/>
      <c r="AP58" s="521"/>
      <c r="AQ58" s="521"/>
      <c r="AR58" s="521"/>
      <c r="AS58" s="521"/>
    </row>
    <row r="59" spans="2:46" s="662" customFormat="1" ht="24" customHeight="1">
      <c r="B59" s="744"/>
      <c r="C59" s="539" t="s">
        <v>317</v>
      </c>
      <c r="D59" s="479">
        <v>257</v>
      </c>
      <c r="E59" s="646"/>
      <c r="F59" s="714"/>
      <c r="G59" s="648"/>
      <c r="H59" s="448">
        <f>(D59-D58)/K57*60</f>
        <v>34.571428571428569</v>
      </c>
      <c r="I59" s="685" t="str">
        <f>IF(OR(F61="",F59=""),"",IF(F61&gt;=F59,(F61-F59)*24*60,(1+F61-F59)*24*60))</f>
        <v/>
      </c>
      <c r="J59" s="539" t="s">
        <v>314</v>
      </c>
      <c r="K59" s="603" t="s">
        <v>315</v>
      </c>
      <c r="L59" s="686" t="s">
        <v>316</v>
      </c>
      <c r="M59" s="605"/>
      <c r="N59" s="532"/>
      <c r="O59" s="521"/>
      <c r="P59" s="521"/>
      <c r="Q59" s="521"/>
      <c r="R59" s="521"/>
      <c r="S59" s="521"/>
      <c r="T59" s="521">
        <f>T58/K57*60</f>
        <v>9.7142857142857153</v>
      </c>
      <c r="U59" s="532" t="e">
        <f>U58+K61-D60</f>
        <v>#VALUE!</v>
      </c>
      <c r="V59" s="532"/>
      <c r="W59" s="521">
        <f>W58/1000</f>
        <v>0.99399999999999999</v>
      </c>
      <c r="X59" s="521">
        <f>4400/1000</f>
        <v>4.4000000000000004</v>
      </c>
      <c r="Y59" s="521"/>
      <c r="Z59" s="521"/>
      <c r="AA59" s="521"/>
      <c r="AB59" s="521"/>
      <c r="AC59" s="521"/>
      <c r="AD59" s="521"/>
      <c r="AE59" s="521"/>
      <c r="AF59" s="521"/>
      <c r="AG59" s="521"/>
      <c r="AH59" s="521"/>
      <c r="AI59" s="522"/>
      <c r="AJ59" s="521"/>
      <c r="AK59" s="521"/>
      <c r="AL59" s="521"/>
      <c r="AM59" s="521"/>
      <c r="AN59" s="532"/>
      <c r="AO59" s="532"/>
      <c r="AP59" s="521"/>
      <c r="AQ59" s="521"/>
      <c r="AR59" s="521"/>
      <c r="AS59" s="521"/>
    </row>
    <row r="60" spans="2:46" s="662" customFormat="1" ht="24" customHeight="1">
      <c r="B60" s="744"/>
      <c r="C60" s="536" t="s">
        <v>318</v>
      </c>
      <c r="D60" s="479" t="s">
        <v>319</v>
      </c>
      <c r="E60" s="646"/>
      <c r="F60" s="648"/>
      <c r="G60" s="648"/>
      <c r="H60" s="448">
        <f>E60*5.5</f>
        <v>0</v>
      </c>
      <c r="I60" s="448"/>
      <c r="J60" s="539" t="s">
        <v>320</v>
      </c>
      <c r="K60" s="448">
        <v>17</v>
      </c>
      <c r="L60" s="722">
        <f ca="1">16+RANDBETWEEN(23,62)/100</f>
        <v>16.32</v>
      </c>
      <c r="M60" s="605"/>
      <c r="N60" s="532"/>
      <c r="O60" s="521"/>
      <c r="P60" s="521"/>
      <c r="Q60" s="521"/>
      <c r="R60" s="521"/>
      <c r="S60" s="521"/>
      <c r="T60" s="532">
        <f>T59+H58</f>
        <v>50.51428571428572</v>
      </c>
      <c r="U60" s="532"/>
      <c r="V60" s="532"/>
      <c r="W60" s="521">
        <f>PI()*(X59/2)^2*W59</f>
        <v>15.114076592714353</v>
      </c>
      <c r="X60" s="521"/>
      <c r="Y60" s="521"/>
      <c r="Z60" s="521"/>
      <c r="AA60" s="521"/>
      <c r="AB60" s="521"/>
      <c r="AC60" s="521"/>
      <c r="AD60" s="521"/>
      <c r="AE60" s="521"/>
      <c r="AF60" s="521"/>
      <c r="AG60" s="521"/>
      <c r="AH60" s="521"/>
      <c r="AI60" s="522"/>
      <c r="AJ60" s="521"/>
      <c r="AK60" s="521"/>
      <c r="AL60" s="521"/>
      <c r="AM60" s="521"/>
      <c r="AN60" s="521"/>
      <c r="AO60" s="521"/>
      <c r="AP60" s="521"/>
      <c r="AQ60" s="521"/>
      <c r="AR60" s="521"/>
      <c r="AS60" s="521"/>
      <c r="AT60" s="725"/>
    </row>
    <row r="61" spans="2:46" s="662" customFormat="1" ht="21.75" customHeight="1">
      <c r="B61" s="744"/>
      <c r="C61" s="536" t="s">
        <v>321</v>
      </c>
      <c r="D61" s="479">
        <v>75</v>
      </c>
      <c r="E61" s="646"/>
      <c r="F61" s="714"/>
      <c r="G61" s="648" t="str">
        <f>IF(ISBLANK(F61),"",F61+TIME(0,E61/220*60,0))</f>
        <v/>
      </c>
      <c r="H61" s="448">
        <f>D61/K57*60</f>
        <v>21.428571428571431</v>
      </c>
      <c r="I61" s="685" t="str">
        <f>IF(OR(G61="",F61=""),"",IF(G61&gt;=F61,(G61-F61)*24*60,(1+G61-F61)*24*60))</f>
        <v/>
      </c>
      <c r="J61" s="539" t="s">
        <v>322</v>
      </c>
      <c r="K61" s="448">
        <v>135</v>
      </c>
      <c r="L61" s="709">
        <v>135</v>
      </c>
      <c r="M61" s="606"/>
      <c r="N61" s="521"/>
      <c r="O61" s="521"/>
      <c r="P61" s="521"/>
      <c r="Q61" s="521"/>
      <c r="R61" s="521"/>
      <c r="S61" s="521"/>
      <c r="T61" s="532" t="e">
        <f>D61-D60</f>
        <v>#VALUE!</v>
      </c>
      <c r="U61" s="532"/>
      <c r="V61" s="521"/>
      <c r="W61" s="521"/>
      <c r="X61" s="521"/>
      <c r="Y61" s="521"/>
      <c r="Z61" s="521"/>
      <c r="AA61" s="521"/>
      <c r="AB61" s="521"/>
      <c r="AC61" s="521"/>
      <c r="AD61" s="521"/>
      <c r="AE61" s="521"/>
      <c r="AF61" s="521"/>
      <c r="AG61" s="521"/>
      <c r="AH61" s="521"/>
      <c r="AI61" s="522"/>
      <c r="AJ61" s="521"/>
      <c r="AK61" s="521"/>
      <c r="AL61" s="521"/>
      <c r="AM61" s="521"/>
      <c r="AN61" s="521"/>
      <c r="AO61" s="521"/>
      <c r="AP61" s="521"/>
      <c r="AQ61" s="521"/>
      <c r="AR61" s="521"/>
      <c r="AS61" s="521"/>
    </row>
    <row r="62" spans="2:46" s="662" customFormat="1" ht="18.75" customHeight="1">
      <c r="B62" s="744"/>
      <c r="C62" s="536" t="s">
        <v>323</v>
      </c>
      <c r="D62" s="448"/>
      <c r="E62" s="651"/>
      <c r="F62" s="648"/>
      <c r="G62" s="648"/>
      <c r="H62" s="448">
        <v>10</v>
      </c>
      <c r="I62" s="448"/>
      <c r="J62" s="539" t="s">
        <v>324</v>
      </c>
      <c r="K62" s="448">
        <v>35</v>
      </c>
      <c r="L62" s="708">
        <v>35</v>
      </c>
      <c r="M62" s="531"/>
      <c r="N62" s="521"/>
      <c r="O62" s="521"/>
      <c r="P62" s="521"/>
      <c r="Q62" s="521"/>
      <c r="R62" s="521"/>
      <c r="S62" s="521"/>
      <c r="T62" s="521"/>
      <c r="U62" s="521"/>
      <c r="V62" s="521"/>
      <c r="W62" s="521"/>
      <c r="X62" s="521"/>
      <c r="Y62" s="521"/>
      <c r="Z62" s="521"/>
      <c r="AA62" s="521"/>
      <c r="AB62" s="521"/>
      <c r="AC62" s="521"/>
      <c r="AD62" s="521"/>
      <c r="AE62" s="521"/>
      <c r="AF62" s="521"/>
      <c r="AG62" s="521"/>
      <c r="AH62" s="521"/>
      <c r="AI62" s="522"/>
      <c r="AJ62" s="521"/>
      <c r="AK62" s="521"/>
      <c r="AL62" s="521"/>
      <c r="AM62" s="521"/>
      <c r="AN62" s="521"/>
      <c r="AO62" s="521"/>
      <c r="AP62" s="521"/>
      <c r="AQ62" s="521"/>
      <c r="AR62" s="521"/>
      <c r="AS62" s="521"/>
    </row>
    <row r="63" spans="2:46" s="662" customFormat="1" ht="20.149999999999999" customHeight="1">
      <c r="B63" s="744"/>
      <c r="C63" s="536" t="s">
        <v>325</v>
      </c>
      <c r="D63" s="448"/>
      <c r="E63" s="651"/>
      <c r="F63" s="648"/>
      <c r="G63" s="648"/>
      <c r="H63" s="448">
        <v>3</v>
      </c>
      <c r="I63" s="448"/>
      <c r="J63" s="539" t="s">
        <v>326</v>
      </c>
      <c r="K63" s="583" t="s">
        <v>327</v>
      </c>
      <c r="L63" s="561"/>
      <c r="M63" s="531"/>
      <c r="N63" s="521"/>
      <c r="O63" s="521"/>
      <c r="P63" s="521"/>
      <c r="Q63" s="521"/>
      <c r="R63" s="521"/>
      <c r="S63" s="521"/>
      <c r="T63" s="521"/>
      <c r="U63" s="521"/>
      <c r="V63" s="521"/>
      <c r="W63" s="521"/>
      <c r="X63" s="521"/>
      <c r="Y63" s="521"/>
      <c r="Z63" s="521"/>
      <c r="AA63" s="521"/>
      <c r="AB63" s="521"/>
      <c r="AC63" s="521"/>
      <c r="AD63" s="521"/>
      <c r="AE63" s="521"/>
      <c r="AF63" s="521"/>
      <c r="AG63" s="521"/>
      <c r="AH63" s="521"/>
      <c r="AI63" s="522"/>
      <c r="AJ63" s="521"/>
      <c r="AK63" s="521"/>
      <c r="AL63" s="521"/>
      <c r="AM63" s="521"/>
      <c r="AN63" s="521"/>
      <c r="AO63" s="521"/>
      <c r="AP63" s="521"/>
      <c r="AQ63" s="521"/>
      <c r="AR63" s="521"/>
      <c r="AS63" s="521"/>
    </row>
    <row r="64" spans="2:46" s="662" customFormat="1" ht="20.149999999999999" customHeight="1" thickBot="1">
      <c r="B64" s="755"/>
      <c r="C64" s="756" t="s">
        <v>328</v>
      </c>
      <c r="D64" s="882"/>
      <c r="E64" s="647"/>
      <c r="F64" s="647"/>
      <c r="G64" s="647"/>
      <c r="H64" s="882">
        <f>SUM(H54:H63)</f>
        <v>128.80000000000001</v>
      </c>
      <c r="I64" s="882" t="str">
        <f>IF(OR(G61="",F55=""),"",IF(G61&gt;=F55,(G61-F55)*24*60,(G61+1-F55)*24*60))</f>
        <v/>
      </c>
      <c r="J64" s="780" t="s">
        <v>329</v>
      </c>
      <c r="K64" s="781" t="s">
        <v>330</v>
      </c>
      <c r="L64" s="713"/>
      <c r="M64" s="531"/>
      <c r="N64" s="521"/>
      <c r="O64" s="521"/>
      <c r="P64" s="521"/>
      <c r="Q64" s="521"/>
      <c r="R64" s="521"/>
      <c r="S64" s="521"/>
      <c r="T64" s="521"/>
      <c r="U64" s="521"/>
      <c r="V64" s="521"/>
      <c r="W64" s="521"/>
      <c r="X64" s="521"/>
      <c r="Y64" s="521"/>
      <c r="Z64" s="521"/>
      <c r="AA64" s="521"/>
      <c r="AB64" s="521"/>
      <c r="AC64" s="521"/>
      <c r="AD64" s="521"/>
      <c r="AE64" s="521"/>
      <c r="AF64" s="521"/>
      <c r="AG64" s="521"/>
      <c r="AH64" s="521"/>
      <c r="AI64" s="522"/>
      <c r="AJ64" s="521"/>
      <c r="AK64" s="521"/>
      <c r="AL64" s="521"/>
      <c r="AM64" s="521"/>
      <c r="AN64" s="521"/>
      <c r="AO64" s="521"/>
      <c r="AP64" s="521"/>
      <c r="AQ64" s="521"/>
      <c r="AR64" s="521"/>
      <c r="AS64" s="521"/>
    </row>
    <row r="65" spans="2:45" s="662" customFormat="1" ht="12" thickBot="1">
      <c r="B65" s="770"/>
      <c r="C65" s="941" t="s">
        <v>331</v>
      </c>
      <c r="D65" s="942"/>
      <c r="E65" s="942"/>
      <c r="F65" s="942"/>
      <c r="G65" s="942"/>
      <c r="H65" s="942"/>
      <c r="I65" s="942"/>
      <c r="J65" s="942"/>
      <c r="K65" s="942"/>
      <c r="L65" s="943"/>
      <c r="M65" s="582"/>
      <c r="N65" s="521"/>
      <c r="O65" s="521"/>
      <c r="P65" s="521"/>
      <c r="Q65" s="521"/>
      <c r="R65" s="521"/>
      <c r="S65" s="521"/>
      <c r="T65" s="521"/>
      <c r="U65" s="521"/>
      <c r="V65" s="521"/>
      <c r="W65" s="521"/>
      <c r="X65" s="521"/>
      <c r="Y65" s="521"/>
      <c r="Z65" s="521"/>
      <c r="AA65" s="521"/>
      <c r="AB65" s="521"/>
      <c r="AC65" s="521"/>
      <c r="AD65" s="521"/>
      <c r="AE65" s="521"/>
      <c r="AF65" s="521"/>
      <c r="AG65" s="521"/>
      <c r="AH65" s="521"/>
      <c r="AI65" s="522"/>
      <c r="AJ65" s="521"/>
      <c r="AK65" s="521"/>
      <c r="AL65" s="521"/>
      <c r="AM65" s="521"/>
      <c r="AN65" s="521"/>
      <c r="AO65" s="521"/>
      <c r="AP65" s="521"/>
      <c r="AQ65" s="521"/>
      <c r="AR65" s="521"/>
      <c r="AS65" s="521"/>
    </row>
    <row r="66" spans="2:45" s="662" customFormat="1" ht="17.25" customHeight="1">
      <c r="B66" s="782"/>
      <c r="C66" s="783" t="s">
        <v>332</v>
      </c>
      <c r="D66" s="884">
        <f>D59</f>
        <v>257</v>
      </c>
      <c r="E66" s="895"/>
      <c r="F66" s="888"/>
      <c r="G66" s="888"/>
      <c r="H66" s="769">
        <f>H58+H59</f>
        <v>75.371428571428567</v>
      </c>
      <c r="I66" s="769"/>
      <c r="J66" s="784" t="s">
        <v>333</v>
      </c>
      <c r="K66" s="785">
        <v>72</v>
      </c>
      <c r="L66" s="786"/>
      <c r="M66" s="607"/>
      <c r="N66" s="521"/>
      <c r="O66" s="521"/>
      <c r="P66" s="521"/>
      <c r="Q66" s="521"/>
      <c r="R66" s="521"/>
      <c r="S66" s="521"/>
      <c r="T66" s="521"/>
      <c r="U66" s="521"/>
      <c r="V66" s="521"/>
      <c r="W66" s="521"/>
      <c r="X66" s="521"/>
      <c r="Y66" s="521"/>
      <c r="Z66" s="521"/>
      <c r="AA66" s="521"/>
      <c r="AB66" s="521"/>
      <c r="AC66" s="521"/>
      <c r="AD66" s="521"/>
      <c r="AE66" s="521"/>
      <c r="AF66" s="521"/>
      <c r="AG66" s="521"/>
      <c r="AH66" s="521"/>
      <c r="AI66" s="522"/>
      <c r="AJ66" s="521"/>
      <c r="AK66" s="521"/>
      <c r="AL66" s="521"/>
      <c r="AM66" s="521"/>
      <c r="AN66" s="521"/>
      <c r="AO66" s="521"/>
      <c r="AP66" s="521"/>
      <c r="AQ66" s="521"/>
      <c r="AR66" s="521"/>
      <c r="AS66" s="521"/>
    </row>
    <row r="67" spans="2:45" s="662" customFormat="1" ht="23">
      <c r="B67" s="744"/>
      <c r="C67" s="136" t="s">
        <v>334</v>
      </c>
      <c r="D67" s="479">
        <v>115</v>
      </c>
      <c r="E67" s="651"/>
      <c r="F67" s="899" t="s">
        <v>335</v>
      </c>
      <c r="G67" s="448">
        <v>300</v>
      </c>
      <c r="H67" s="448"/>
      <c r="I67" s="448"/>
      <c r="J67" s="566" t="s">
        <v>336</v>
      </c>
      <c r="K67" s="553">
        <v>88</v>
      </c>
      <c r="L67" s="638"/>
      <c r="M67" s="608"/>
      <c r="N67" s="521"/>
      <c r="O67" s="521"/>
      <c r="P67" s="521"/>
      <c r="Q67" s="521"/>
      <c r="R67" s="521"/>
      <c r="S67" s="521"/>
      <c r="T67" s="521"/>
      <c r="U67" s="521"/>
      <c r="V67" s="521"/>
      <c r="W67" s="521"/>
      <c r="X67" s="521"/>
      <c r="Y67" s="521"/>
      <c r="Z67" s="521"/>
      <c r="AA67" s="521"/>
      <c r="AB67" s="521"/>
      <c r="AC67" s="521"/>
      <c r="AD67" s="521"/>
      <c r="AE67" s="521"/>
      <c r="AF67" s="521"/>
      <c r="AG67" s="521"/>
      <c r="AH67" s="521"/>
      <c r="AI67" s="522"/>
      <c r="AJ67" s="521"/>
      <c r="AK67" s="521"/>
      <c r="AL67" s="521"/>
      <c r="AM67" s="521"/>
      <c r="AN67" s="521"/>
      <c r="AO67" s="521"/>
      <c r="AP67" s="521"/>
      <c r="AQ67" s="521"/>
      <c r="AR67" s="521"/>
      <c r="AS67" s="521"/>
    </row>
    <row r="68" spans="2:45" s="662" customFormat="1" ht="13.5" thickBot="1">
      <c r="B68" s="751"/>
      <c r="C68" s="613" t="s">
        <v>337</v>
      </c>
      <c r="D68" s="883">
        <v>3</v>
      </c>
      <c r="E68" s="887"/>
      <c r="F68" s="887"/>
      <c r="G68" s="887"/>
      <c r="H68" s="538">
        <v>2</v>
      </c>
      <c r="I68" s="538"/>
      <c r="J68" s="771" t="s">
        <v>338</v>
      </c>
      <c r="K68" s="772">
        <v>92</v>
      </c>
      <c r="L68" s="773"/>
      <c r="M68" s="608"/>
      <c r="N68" s="521"/>
      <c r="O68" s="521"/>
      <c r="P68" s="521"/>
      <c r="Q68" s="521"/>
      <c r="R68" s="521"/>
      <c r="S68" s="521"/>
      <c r="T68" s="521"/>
      <c r="U68" s="521"/>
      <c r="V68" s="521"/>
      <c r="W68" s="521"/>
      <c r="X68" s="521"/>
      <c r="Y68" s="521"/>
      <c r="Z68" s="521"/>
      <c r="AA68" s="521"/>
      <c r="AB68" s="521"/>
      <c r="AC68" s="521"/>
      <c r="AD68" s="521"/>
      <c r="AE68" s="521"/>
      <c r="AF68" s="521"/>
      <c r="AG68" s="521"/>
      <c r="AH68" s="521"/>
      <c r="AI68" s="522"/>
      <c r="AJ68" s="521"/>
      <c r="AK68" s="521"/>
      <c r="AL68" s="521"/>
      <c r="AM68" s="521"/>
      <c r="AN68" s="521"/>
      <c r="AO68" s="521"/>
      <c r="AP68" s="521"/>
      <c r="AQ68" s="521"/>
      <c r="AR68" s="521"/>
      <c r="AS68" s="521"/>
    </row>
    <row r="69" spans="2:45" s="662" customFormat="1" ht="12" thickBot="1">
      <c r="B69" s="778"/>
      <c r="C69" s="941" t="s">
        <v>339</v>
      </c>
      <c r="D69" s="942"/>
      <c r="E69" s="942"/>
      <c r="F69" s="942"/>
      <c r="G69" s="942"/>
      <c r="H69" s="942"/>
      <c r="I69" s="942"/>
      <c r="J69" s="942"/>
      <c r="K69" s="942"/>
      <c r="L69" s="943"/>
      <c r="M69" s="582"/>
      <c r="N69" s="521"/>
      <c r="O69" s="521"/>
      <c r="P69" s="521"/>
      <c r="Q69" s="521"/>
      <c r="R69" s="521"/>
      <c r="S69" s="521"/>
      <c r="T69" s="521"/>
      <c r="U69" s="521"/>
      <c r="V69" s="521"/>
      <c r="W69" s="521"/>
      <c r="X69" s="521"/>
      <c r="Y69" s="521"/>
      <c r="Z69" s="521"/>
      <c r="AA69" s="521"/>
      <c r="AB69" s="521"/>
      <c r="AC69" s="521"/>
      <c r="AD69" s="521"/>
      <c r="AE69" s="521"/>
      <c r="AF69" s="521"/>
      <c r="AG69" s="521"/>
      <c r="AH69" s="521"/>
      <c r="AI69" s="522"/>
      <c r="AJ69" s="521"/>
      <c r="AK69" s="521"/>
      <c r="AL69" s="521"/>
      <c r="AM69" s="521"/>
      <c r="AN69" s="521"/>
      <c r="AO69" s="521"/>
      <c r="AP69" s="521"/>
      <c r="AQ69" s="521"/>
      <c r="AR69" s="521"/>
      <c r="AS69" s="521"/>
    </row>
    <row r="70" spans="2:45" s="662" customFormat="1" ht="24" customHeight="1">
      <c r="B70" s="745"/>
      <c r="C70" s="594" t="s">
        <v>340</v>
      </c>
      <c r="D70" s="544">
        <v>65</v>
      </c>
      <c r="E70" s="647"/>
      <c r="F70" s="774"/>
      <c r="G70" s="775"/>
      <c r="H70" s="882">
        <f>(D70)/G67*60</f>
        <v>13</v>
      </c>
      <c r="I70" s="764" t="str">
        <f>IF(OR(F71="",F70=""),"",IF(F71&gt;=F70,(F71-F70)*24*60,(1+F71-F70)*24*60))</f>
        <v/>
      </c>
      <c r="J70" s="776" t="s">
        <v>341</v>
      </c>
      <c r="K70" s="769">
        <v>2400</v>
      </c>
      <c r="L70" s="777" t="s">
        <v>342</v>
      </c>
      <c r="M70" s="531"/>
      <c r="N70" s="521"/>
      <c r="O70" s="521"/>
      <c r="P70" s="521"/>
      <c r="Q70" s="521"/>
      <c r="R70" s="521"/>
      <c r="S70" s="521"/>
      <c r="T70" s="521"/>
      <c r="U70" s="521"/>
      <c r="V70" s="521"/>
      <c r="W70" s="521"/>
      <c r="X70" s="521"/>
      <c r="Y70" s="521"/>
      <c r="Z70" s="521"/>
      <c r="AA70" s="521"/>
      <c r="AB70" s="521"/>
      <c r="AC70" s="521"/>
      <c r="AD70" s="521"/>
      <c r="AE70" s="521"/>
      <c r="AF70" s="521"/>
      <c r="AG70" s="521"/>
      <c r="AH70" s="521"/>
      <c r="AI70" s="522"/>
      <c r="AJ70" s="521"/>
      <c r="AK70" s="521"/>
      <c r="AL70" s="521"/>
      <c r="AM70" s="521"/>
      <c r="AN70" s="521"/>
      <c r="AO70" s="521"/>
      <c r="AP70" s="521"/>
      <c r="AQ70" s="521"/>
      <c r="AR70" s="521"/>
      <c r="AS70" s="521"/>
    </row>
    <row r="71" spans="2:45" s="662" customFormat="1" ht="24" customHeight="1">
      <c r="B71" s="744"/>
      <c r="C71" s="536" t="s">
        <v>343</v>
      </c>
      <c r="D71" s="448"/>
      <c r="E71" s="651"/>
      <c r="F71" s="648" t="str">
        <f>IF(ISBLANK(F70),"",F70+TIME(0,H70,0))</f>
        <v/>
      </c>
      <c r="G71" s="648"/>
      <c r="H71" s="448">
        <f>(180-D70)/G67*60</f>
        <v>23</v>
      </c>
      <c r="I71" s="685" t="str">
        <f>IF(OR(F72="",F71=""),"",IF(F72&gt;=F71,(F72-F71)*24*60,(1+F72-F71)*24*60))</f>
        <v/>
      </c>
      <c r="J71" s="539" t="s">
        <v>341</v>
      </c>
      <c r="K71" s="610">
        <v>1100</v>
      </c>
      <c r="L71" s="609" t="s">
        <v>344</v>
      </c>
      <c r="M71" s="531"/>
      <c r="N71" s="521"/>
      <c r="O71" s="521">
        <f>K71*4/60</f>
        <v>73.333333333333329</v>
      </c>
      <c r="P71" s="521"/>
      <c r="Q71" s="521">
        <v>734</v>
      </c>
      <c r="R71" s="521"/>
      <c r="S71" s="521"/>
      <c r="T71" s="521"/>
      <c r="U71" s="521"/>
      <c r="V71" s="521"/>
      <c r="W71" s="521"/>
      <c r="X71" s="521"/>
      <c r="Y71" s="521"/>
      <c r="Z71" s="521"/>
      <c r="AA71" s="521"/>
      <c r="AB71" s="521"/>
      <c r="AC71" s="521"/>
      <c r="AD71" s="521"/>
      <c r="AE71" s="521"/>
      <c r="AF71" s="521"/>
      <c r="AG71" s="521"/>
      <c r="AH71" s="521"/>
      <c r="AI71" s="522"/>
      <c r="AJ71" s="521"/>
      <c r="AK71" s="521"/>
      <c r="AL71" s="521"/>
      <c r="AM71" s="521"/>
      <c r="AN71" s="521"/>
      <c r="AO71" s="521"/>
      <c r="AP71" s="521"/>
      <c r="AQ71" s="521"/>
      <c r="AR71" s="521"/>
      <c r="AS71" s="521"/>
    </row>
    <row r="72" spans="2:45" s="662" customFormat="1" ht="16" customHeight="1">
      <c r="B72" s="885"/>
      <c r="C72" s="949" t="s">
        <v>345</v>
      </c>
      <c r="D72" s="951" t="s">
        <v>346</v>
      </c>
      <c r="E72" s="960"/>
      <c r="F72" s="962"/>
      <c r="G72" s="955" t="str">
        <f>IF(ISBLANK($F$72),"",F72+TIME(0,H72,0))</f>
        <v/>
      </c>
      <c r="H72" s="951">
        <v>30</v>
      </c>
      <c r="I72" s="947" t="str">
        <f>IF(ISBLANK($F$72),"",(G72-F72)*24*60)</f>
        <v/>
      </c>
      <c r="J72" s="566" t="s">
        <v>347</v>
      </c>
      <c r="K72" s="479">
        <v>1700</v>
      </c>
      <c r="L72" s="611"/>
      <c r="M72" s="593"/>
      <c r="N72" s="521"/>
      <c r="O72" s="521">
        <f>K72*H72/60</f>
        <v>850</v>
      </c>
      <c r="P72" s="521"/>
      <c r="Q72" s="521">
        <v>1763</v>
      </c>
      <c r="R72" s="521"/>
      <c r="S72" s="521"/>
      <c r="T72" s="521"/>
      <c r="U72" s="521"/>
      <c r="V72" s="521"/>
      <c r="W72" s="521"/>
      <c r="X72" s="521"/>
      <c r="Y72" s="521"/>
      <c r="Z72" s="521"/>
      <c r="AA72" s="521"/>
      <c r="AB72" s="521"/>
      <c r="AC72" s="521"/>
      <c r="AD72" s="521"/>
      <c r="AE72" s="521"/>
      <c r="AF72" s="521"/>
      <c r="AG72" s="521"/>
      <c r="AH72" s="521"/>
      <c r="AI72" s="522"/>
      <c r="AJ72" s="521"/>
      <c r="AK72" s="521"/>
      <c r="AL72" s="521"/>
      <c r="AM72" s="521"/>
      <c r="AN72" s="521"/>
      <c r="AO72" s="521"/>
      <c r="AP72" s="521"/>
      <c r="AQ72" s="521"/>
      <c r="AR72" s="521"/>
      <c r="AS72" s="521"/>
    </row>
    <row r="73" spans="2:45" s="662" customFormat="1" ht="16" customHeight="1">
      <c r="B73" s="886"/>
      <c r="C73" s="950"/>
      <c r="D73" s="952"/>
      <c r="E73" s="961"/>
      <c r="F73" s="963"/>
      <c r="G73" s="956"/>
      <c r="H73" s="952"/>
      <c r="I73" s="948"/>
      <c r="J73" s="566" t="s">
        <v>348</v>
      </c>
      <c r="K73" s="883">
        <v>1100</v>
      </c>
      <c r="L73" s="611"/>
      <c r="M73" s="612"/>
      <c r="N73" s="521"/>
      <c r="O73" s="521"/>
      <c r="P73" s="521"/>
      <c r="Q73" s="521"/>
      <c r="R73" s="521"/>
      <c r="S73" s="521"/>
      <c r="T73" s="521"/>
      <c r="U73" s="521"/>
      <c r="V73" s="521"/>
      <c r="W73" s="521"/>
      <c r="X73" s="521"/>
      <c r="Y73" s="521"/>
      <c r="Z73" s="521"/>
      <c r="AA73" s="521"/>
      <c r="AB73" s="521"/>
      <c r="AC73" s="521"/>
      <c r="AD73" s="521"/>
      <c r="AE73" s="521"/>
      <c r="AF73" s="521"/>
      <c r="AG73" s="521"/>
      <c r="AH73" s="521"/>
      <c r="AI73" s="522"/>
      <c r="AJ73" s="521"/>
      <c r="AK73" s="521"/>
      <c r="AL73" s="521"/>
      <c r="AM73" s="521"/>
      <c r="AN73" s="521"/>
      <c r="AO73" s="521"/>
      <c r="AP73" s="521"/>
      <c r="AQ73" s="521"/>
      <c r="AR73" s="521"/>
      <c r="AS73" s="521"/>
    </row>
    <row r="74" spans="2:45" s="662" customFormat="1" ht="20.149999999999999" customHeight="1">
      <c r="B74" s="751"/>
      <c r="C74" s="613" t="s">
        <v>349</v>
      </c>
      <c r="D74" s="614">
        <v>2.5</v>
      </c>
      <c r="E74" s="656"/>
      <c r="F74" s="889" t="s">
        <v>350</v>
      </c>
      <c r="G74" s="890"/>
      <c r="H74" s="891"/>
      <c r="I74" s="682">
        <v>5</v>
      </c>
      <c r="J74" s="574" t="s">
        <v>351</v>
      </c>
      <c r="K74" s="639"/>
      <c r="L74" s="645"/>
      <c r="M74" s="615"/>
      <c r="N74" s="521"/>
      <c r="O74" s="521"/>
      <c r="P74" s="521"/>
      <c r="Q74" s="521"/>
      <c r="R74" s="521"/>
      <c r="S74" s="521"/>
      <c r="T74" s="521"/>
      <c r="U74" s="521"/>
      <c r="V74" s="521"/>
      <c r="W74" s="521"/>
      <c r="X74" s="521"/>
      <c r="Y74" s="521"/>
      <c r="Z74" s="521"/>
      <c r="AA74" s="521"/>
      <c r="AB74" s="521"/>
      <c r="AC74" s="521"/>
      <c r="AD74" s="521"/>
      <c r="AE74" s="521"/>
      <c r="AF74" s="521"/>
      <c r="AG74" s="521"/>
      <c r="AH74" s="521"/>
      <c r="AI74" s="522"/>
      <c r="AJ74" s="521"/>
      <c r="AK74" s="521"/>
      <c r="AL74" s="521"/>
      <c r="AM74" s="521"/>
      <c r="AN74" s="521"/>
      <c r="AO74" s="521"/>
      <c r="AP74" s="521"/>
      <c r="AQ74" s="521"/>
      <c r="AR74" s="521"/>
      <c r="AS74" s="521"/>
    </row>
    <row r="75" spans="2:45" s="662" customFormat="1" ht="20.149999999999999" customHeight="1">
      <c r="B75" s="744"/>
      <c r="C75" s="536" t="str">
        <f>'10027'!C75</f>
        <v>Hop pellet Herkules 12.8% aa, kg</v>
      </c>
      <c r="D75" s="637">
        <f>'10027'!D75</f>
        <v>2.48</v>
      </c>
      <c r="E75" s="657"/>
      <c r="F75" s="892" t="s">
        <v>353</v>
      </c>
      <c r="G75" s="893"/>
      <c r="H75" s="894"/>
      <c r="I75" s="682">
        <v>10</v>
      </c>
      <c r="J75" s="716" t="s">
        <v>354</v>
      </c>
      <c r="K75" s="639"/>
      <c r="L75" s="540"/>
      <c r="M75" s="615"/>
      <c r="N75" s="521"/>
      <c r="O75" s="521"/>
      <c r="P75" s="521"/>
      <c r="Q75" s="521"/>
      <c r="R75" s="521"/>
      <c r="S75" s="521"/>
      <c r="T75" s="521"/>
      <c r="U75" s="521"/>
      <c r="V75" s="521"/>
      <c r="W75" s="521"/>
      <c r="X75" s="521"/>
      <c r="Y75" s="521"/>
      <c r="Z75" s="521"/>
      <c r="AA75" s="521"/>
      <c r="AB75" s="521"/>
      <c r="AC75" s="521"/>
      <c r="AD75" s="521"/>
      <c r="AE75" s="521"/>
      <c r="AF75" s="521"/>
      <c r="AG75" s="521"/>
      <c r="AH75" s="521"/>
      <c r="AI75" s="522"/>
      <c r="AJ75" s="521" t="e">
        <v>#N/A</v>
      </c>
      <c r="AK75" s="521" t="e">
        <v>#N/A</v>
      </c>
      <c r="AL75" s="521"/>
      <c r="AM75" s="521" t="s">
        <v>355</v>
      </c>
      <c r="AN75" s="521"/>
      <c r="AO75" s="521"/>
      <c r="AP75" s="521"/>
      <c r="AQ75" s="521"/>
      <c r="AR75" s="521"/>
      <c r="AS75" s="521"/>
    </row>
    <row r="76" spans="2:45" s="662" customFormat="1" ht="20.149999999999999" customHeight="1">
      <c r="B76" s="744"/>
      <c r="C76" s="536" t="str">
        <f>'10027'!C76</f>
        <v>Hop Rainer 7.1% aa, kg</v>
      </c>
      <c r="D76" s="637">
        <f>'10027'!D76</f>
        <v>2.2000000000000002</v>
      </c>
      <c r="E76" s="657"/>
      <c r="F76" s="892" t="s">
        <v>357</v>
      </c>
      <c r="G76" s="894"/>
      <c r="H76" s="538">
        <v>0</v>
      </c>
      <c r="I76" s="682">
        <v>0</v>
      </c>
      <c r="J76" s="539" t="s">
        <v>358</v>
      </c>
      <c r="K76" s="583" t="s">
        <v>359</v>
      </c>
      <c r="L76" s="723"/>
      <c r="M76" s="615"/>
      <c r="N76" s="521"/>
      <c r="O76" s="521"/>
      <c r="P76" s="521"/>
      <c r="Q76" s="521"/>
      <c r="R76" s="521"/>
      <c r="S76" s="521"/>
      <c r="T76" s="521"/>
      <c r="U76" s="521"/>
      <c r="V76" s="521"/>
      <c r="W76" s="521"/>
      <c r="X76" s="521"/>
      <c r="Y76" s="521"/>
      <c r="Z76" s="521"/>
      <c r="AA76" s="521"/>
      <c r="AB76" s="521"/>
      <c r="AC76" s="521"/>
      <c r="AD76" s="521"/>
      <c r="AE76" s="521"/>
      <c r="AF76" s="521"/>
      <c r="AG76" s="521"/>
      <c r="AH76" s="521"/>
      <c r="AI76" s="522"/>
      <c r="AJ76" s="521"/>
      <c r="AK76" s="521"/>
      <c r="AL76" s="521"/>
      <c r="AM76" s="521"/>
      <c r="AN76" s="521"/>
      <c r="AO76" s="521"/>
      <c r="AP76" s="521"/>
      <c r="AQ76" s="521"/>
      <c r="AR76" s="521"/>
      <c r="AS76" s="521"/>
    </row>
    <row r="77" spans="2:45" s="662" customFormat="1" ht="20.149999999999999" customHeight="1">
      <c r="B77" s="744"/>
      <c r="C77" s="536" t="str">
        <f>'10027'!C77</f>
        <v>Hop pellet Opal 8.6% aa, kg</v>
      </c>
      <c r="D77" s="637">
        <f>'10027'!D77</f>
        <v>2.41</v>
      </c>
      <c r="E77" s="658"/>
      <c r="F77" s="892" t="s">
        <v>361</v>
      </c>
      <c r="G77" s="894"/>
      <c r="H77" s="538" t="s">
        <v>362</v>
      </c>
      <c r="I77" s="682">
        <f ca="1">101+RANDBETWEEN(-3,1)/10</f>
        <v>100.8</v>
      </c>
      <c r="J77" s="574" t="s">
        <v>363</v>
      </c>
      <c r="K77" s="562" t="s">
        <v>364</v>
      </c>
      <c r="L77" s="711">
        <f ca="1">101+RANDBETWEEN(-1,2)/10</f>
        <v>101.2</v>
      </c>
      <c r="M77" s="615"/>
      <c r="N77" s="521"/>
      <c r="O77" s="521"/>
      <c r="P77" s="521"/>
      <c r="Q77" s="521"/>
      <c r="R77" s="521"/>
      <c r="S77" s="521"/>
      <c r="T77" s="521"/>
      <c r="U77" s="521"/>
      <c r="V77" s="521"/>
      <c r="W77" s="521"/>
      <c r="X77" s="521"/>
      <c r="Y77" s="521"/>
      <c r="Z77" s="521"/>
      <c r="AA77" s="521"/>
      <c r="AB77" s="521"/>
      <c r="AC77" s="521"/>
      <c r="AD77" s="521"/>
      <c r="AE77" s="521"/>
      <c r="AF77" s="521"/>
      <c r="AG77" s="521"/>
      <c r="AH77" s="521"/>
      <c r="AI77" s="522"/>
      <c r="AJ77" s="521"/>
      <c r="AK77" s="521"/>
      <c r="AL77" s="521"/>
      <c r="AM77" s="521"/>
      <c r="AN77" s="521"/>
      <c r="AO77" s="521"/>
      <c r="AP77" s="521"/>
      <c r="AQ77" s="521"/>
      <c r="AR77" s="521"/>
      <c r="AS77" s="521"/>
    </row>
    <row r="78" spans="2:45" s="662" customFormat="1" ht="16" customHeight="1">
      <c r="B78" s="885"/>
      <c r="C78" s="949" t="s">
        <v>365</v>
      </c>
      <c r="D78" s="951" t="s">
        <v>366</v>
      </c>
      <c r="E78" s="957">
        <f>E66</f>
        <v>0</v>
      </c>
      <c r="F78" s="955" t="str">
        <f>G72</f>
        <v/>
      </c>
      <c r="G78" s="955" t="str">
        <f>IF(ISBLANK($F$72),"",F78+TIME(0,H78,0))</f>
        <v/>
      </c>
      <c r="H78" s="951">
        <v>25</v>
      </c>
      <c r="I78" s="947" t="str">
        <f>IF(ISBLANK($F$72),"",(G78-F78)*24*60)</f>
        <v/>
      </c>
      <c r="J78" s="566" t="s">
        <v>347</v>
      </c>
      <c r="K78" s="479">
        <v>750</v>
      </c>
      <c r="L78" s="558"/>
      <c r="M78" s="593"/>
      <c r="N78" s="521"/>
      <c r="O78" s="521">
        <f>K78*45/60</f>
        <v>562.5</v>
      </c>
      <c r="P78" s="521"/>
      <c r="Q78" s="521"/>
      <c r="R78" s="521"/>
      <c r="S78" s="521"/>
      <c r="T78" s="616"/>
      <c r="U78" s="521"/>
      <c r="V78" s="521"/>
      <c r="W78" s="521"/>
      <c r="X78" s="521"/>
      <c r="Y78" s="521"/>
      <c r="Z78" s="521"/>
      <c r="AA78" s="521"/>
      <c r="AB78" s="521"/>
      <c r="AC78" s="521"/>
      <c r="AD78" s="521"/>
      <c r="AE78" s="521"/>
      <c r="AF78" s="521"/>
      <c r="AG78" s="521"/>
      <c r="AH78" s="521"/>
      <c r="AI78" s="522"/>
      <c r="AJ78" s="521"/>
      <c r="AK78" s="521"/>
      <c r="AL78" s="521"/>
      <c r="AM78" s="521"/>
      <c r="AN78" s="521"/>
      <c r="AO78" s="433"/>
      <c r="AP78" s="433"/>
      <c r="AQ78" s="433"/>
      <c r="AR78" s="896"/>
      <c r="AS78" s="896"/>
    </row>
    <row r="79" spans="2:45" s="662" customFormat="1" ht="16" customHeight="1">
      <c r="B79" s="886"/>
      <c r="C79" s="950"/>
      <c r="D79" s="952"/>
      <c r="E79" s="958"/>
      <c r="F79" s="956"/>
      <c r="G79" s="956"/>
      <c r="H79" s="952"/>
      <c r="I79" s="948"/>
      <c r="J79" s="566" t="s">
        <v>348</v>
      </c>
      <c r="K79" s="479">
        <v>450</v>
      </c>
      <c r="L79" s="558"/>
      <c r="M79" s="593"/>
      <c r="N79" s="521"/>
      <c r="O79" s="521"/>
      <c r="P79" s="521"/>
      <c r="Q79" s="521"/>
      <c r="R79" s="521"/>
      <c r="S79" s="521"/>
      <c r="T79" s="616"/>
      <c r="U79" s="521"/>
      <c r="V79" s="521"/>
      <c r="W79" s="521"/>
      <c r="X79" s="521"/>
      <c r="Y79" s="521"/>
      <c r="Z79" s="521"/>
      <c r="AA79" s="521"/>
      <c r="AB79" s="521"/>
      <c r="AC79" s="521"/>
      <c r="AD79" s="521"/>
      <c r="AE79" s="521"/>
      <c r="AF79" s="521"/>
      <c r="AG79" s="521"/>
      <c r="AH79" s="521"/>
      <c r="AI79" s="522"/>
      <c r="AJ79" s="521"/>
      <c r="AK79" s="521"/>
      <c r="AL79" s="521"/>
      <c r="AM79" s="521">
        <v>17</v>
      </c>
      <c r="AN79" s="521">
        <v>8</v>
      </c>
      <c r="AO79" s="521"/>
      <c r="AP79" s="617"/>
      <c r="AQ79" s="617"/>
      <c r="AR79" s="618"/>
      <c r="AS79" s="521"/>
    </row>
    <row r="80" spans="2:45" s="662" customFormat="1" ht="16" customHeight="1">
      <c r="B80" s="885"/>
      <c r="C80" s="949" t="s">
        <v>367</v>
      </c>
      <c r="D80" s="951" t="s">
        <v>366</v>
      </c>
      <c r="E80" s="953"/>
      <c r="F80" s="955" t="str">
        <f>G78</f>
        <v/>
      </c>
      <c r="G80" s="955" t="str">
        <f>IF(ISBLANK($F$72),"",F80+TIME(0,H80,0))</f>
        <v/>
      </c>
      <c r="H80" s="951">
        <v>20</v>
      </c>
      <c r="I80" s="947" t="str">
        <f>IF(ISBLANK($F$72),"",(G80-F80)*24*60)</f>
        <v/>
      </c>
      <c r="J80" s="566" t="s">
        <v>347</v>
      </c>
      <c r="K80" s="479">
        <v>1700</v>
      </c>
      <c r="L80" s="558"/>
      <c r="M80" s="593"/>
      <c r="N80" s="521"/>
      <c r="O80" s="521">
        <f>K80*45/60</f>
        <v>1275</v>
      </c>
      <c r="P80" s="521"/>
      <c r="Q80" s="521"/>
      <c r="R80" s="521"/>
      <c r="S80" s="521"/>
      <c r="T80" s="616"/>
      <c r="U80" s="521"/>
      <c r="V80" s="521"/>
      <c r="W80" s="521"/>
      <c r="X80" s="521"/>
      <c r="Y80" s="521"/>
      <c r="Z80" s="521"/>
      <c r="AA80" s="521"/>
      <c r="AB80" s="521"/>
      <c r="AC80" s="521"/>
      <c r="AD80" s="521"/>
      <c r="AE80" s="521"/>
      <c r="AF80" s="521"/>
      <c r="AG80" s="521"/>
      <c r="AH80" s="521"/>
      <c r="AI80" s="522"/>
      <c r="AJ80" s="521"/>
      <c r="AK80" s="521"/>
      <c r="AL80" s="521"/>
      <c r="AM80" s="521">
        <v>4</v>
      </c>
      <c r="AN80" s="521">
        <v>23</v>
      </c>
      <c r="AO80" s="433"/>
      <c r="AP80" s="433"/>
      <c r="AQ80" s="433"/>
      <c r="AR80" s="896"/>
      <c r="AS80" s="896"/>
    </row>
    <row r="81" spans="2:45" s="662" customFormat="1" ht="16" customHeight="1">
      <c r="B81" s="886"/>
      <c r="C81" s="950"/>
      <c r="D81" s="952"/>
      <c r="E81" s="954"/>
      <c r="F81" s="956"/>
      <c r="G81" s="956"/>
      <c r="H81" s="952"/>
      <c r="I81" s="948"/>
      <c r="J81" s="566" t="s">
        <v>348</v>
      </c>
      <c r="K81" s="479">
        <v>1100</v>
      </c>
      <c r="L81" s="558"/>
      <c r="M81" s="593"/>
      <c r="N81" s="521"/>
      <c r="O81" s="521"/>
      <c r="P81" s="521"/>
      <c r="Q81" s="521"/>
      <c r="R81" s="521"/>
      <c r="S81" s="521"/>
      <c r="T81" s="616"/>
      <c r="U81" s="521"/>
      <c r="V81" s="521"/>
      <c r="W81" s="521"/>
      <c r="X81" s="521"/>
      <c r="Y81" s="521"/>
      <c r="Z81" s="521"/>
      <c r="AA81" s="521"/>
      <c r="AB81" s="521"/>
      <c r="AC81" s="521"/>
      <c r="AD81" s="521"/>
      <c r="AE81" s="521"/>
      <c r="AF81" s="521"/>
      <c r="AG81" s="521"/>
      <c r="AH81" s="521"/>
      <c r="AI81" s="522"/>
      <c r="AJ81" s="521"/>
      <c r="AK81" s="521"/>
      <c r="AL81" s="521"/>
      <c r="AM81" s="521"/>
      <c r="AN81" s="521">
        <v>17</v>
      </c>
      <c r="AO81" s="521">
        <v>161</v>
      </c>
      <c r="AP81" s="617"/>
      <c r="AQ81" s="617"/>
      <c r="AR81" s="618"/>
      <c r="AS81" s="521"/>
    </row>
    <row r="82" spans="2:45" s="662" customFormat="1" ht="18.649999999999999" customHeight="1">
      <c r="B82" s="846"/>
      <c r="C82" s="613" t="s">
        <v>368</v>
      </c>
      <c r="D82" s="850">
        <f>'10027'!D82</f>
        <v>2.1</v>
      </c>
      <c r="E82" s="847"/>
      <c r="F82" s="848"/>
      <c r="G82" s="848"/>
      <c r="H82" s="849"/>
      <c r="I82" s="849"/>
      <c r="J82" s="883"/>
      <c r="K82" s="883"/>
      <c r="L82" s="611"/>
      <c r="M82" s="593"/>
      <c r="N82" s="521"/>
      <c r="O82" s="521"/>
      <c r="P82" s="521"/>
      <c r="Q82" s="521"/>
      <c r="R82" s="521"/>
      <c r="S82" s="521"/>
      <c r="T82" s="616"/>
      <c r="U82" s="521"/>
      <c r="V82" s="521"/>
      <c r="W82" s="521"/>
      <c r="X82" s="521"/>
      <c r="Y82" s="521"/>
      <c r="Z82" s="521"/>
      <c r="AA82" s="521"/>
      <c r="AB82" s="521"/>
      <c r="AC82" s="521"/>
      <c r="AD82" s="521"/>
      <c r="AE82" s="521"/>
      <c r="AF82" s="521"/>
      <c r="AG82" s="521"/>
      <c r="AH82" s="521"/>
      <c r="AI82" s="522"/>
      <c r="AJ82" s="521"/>
      <c r="AK82" s="521"/>
      <c r="AL82" s="521"/>
      <c r="AM82" s="521"/>
      <c r="AN82" s="521"/>
      <c r="AO82" s="521"/>
      <c r="AP82" s="617"/>
      <c r="AQ82" s="617"/>
      <c r="AR82" s="618"/>
      <c r="AS82" s="521"/>
    </row>
    <row r="83" spans="2:45" s="662" customFormat="1" ht="28" customHeight="1">
      <c r="B83" s="744"/>
      <c r="C83" s="536" t="s">
        <v>369</v>
      </c>
      <c r="D83" s="679">
        <f>'10027'!D83</f>
        <v>152</v>
      </c>
      <c r="E83" s="537"/>
      <c r="F83" s="683" t="s">
        <v>370</v>
      </c>
      <c r="G83" s="684" t="s">
        <v>371</v>
      </c>
      <c r="H83" s="897" t="s">
        <v>372</v>
      </c>
      <c r="I83" s="898" t="s">
        <v>373</v>
      </c>
      <c r="J83" s="716" t="s">
        <v>374</v>
      </c>
      <c r="K83" s="840" t="str">
        <f>IF(K86="","",K86-K75-K74)</f>
        <v/>
      </c>
      <c r="L83" s="645"/>
      <c r="M83" s="531"/>
      <c r="N83" s="521"/>
      <c r="O83" s="521"/>
      <c r="P83" s="521"/>
      <c r="Q83" s="521"/>
      <c r="R83" s="521"/>
      <c r="S83" s="521"/>
      <c r="T83" s="619"/>
      <c r="U83" s="521"/>
      <c r="V83" s="521"/>
      <c r="W83" s="521"/>
      <c r="X83" s="521"/>
      <c r="Y83" s="521"/>
      <c r="Z83" s="521"/>
      <c r="AA83" s="521"/>
      <c r="AB83" s="521"/>
      <c r="AC83" s="521"/>
      <c r="AD83" s="521"/>
      <c r="AE83" s="521"/>
      <c r="AF83" s="521"/>
      <c r="AG83" s="521"/>
      <c r="AH83" s="521"/>
      <c r="AI83" s="522">
        <f>82.3*1.1</f>
        <v>90.53</v>
      </c>
      <c r="AJ83" s="521"/>
      <c r="AK83" s="521"/>
      <c r="AL83" s="521">
        <f>AI84-AI83</f>
        <v>6.0499999999999972</v>
      </c>
      <c r="AM83" s="521"/>
      <c r="AN83" s="521">
        <v>23</v>
      </c>
      <c r="AO83" s="521">
        <v>50</v>
      </c>
      <c r="AP83" s="617"/>
      <c r="AQ83" s="617"/>
      <c r="AR83" s="618"/>
      <c r="AS83" s="521"/>
    </row>
    <row r="84" spans="2:45" s="662" customFormat="1" ht="25.5" customHeight="1">
      <c r="B84" s="744"/>
      <c r="C84" s="536" t="s">
        <v>375</v>
      </c>
      <c r="D84" s="620" t="s">
        <v>376</v>
      </c>
      <c r="E84" s="646"/>
      <c r="F84" s="648" t="str">
        <f>G80</f>
        <v/>
      </c>
      <c r="G84" s="648"/>
      <c r="H84" s="448">
        <v>9</v>
      </c>
      <c r="I84" s="685" t="str">
        <f>IF(ISBLANK($F$72),"",(F88-F84)*24*60)</f>
        <v/>
      </c>
      <c r="J84" s="539" t="s">
        <v>377</v>
      </c>
      <c r="K84" s="557">
        <v>18</v>
      </c>
      <c r="L84" s="742"/>
      <c r="M84" s="531"/>
      <c r="N84" s="521"/>
      <c r="O84" s="521"/>
      <c r="P84" s="521"/>
      <c r="Q84" s="521"/>
      <c r="R84" s="616"/>
      <c r="S84" s="521"/>
      <c r="T84" s="532"/>
      <c r="U84" s="521"/>
      <c r="V84" s="521"/>
      <c r="W84" s="521"/>
      <c r="X84" s="521"/>
      <c r="Y84" s="521"/>
      <c r="Z84" s="521"/>
      <c r="AA84" s="521"/>
      <c r="AB84" s="521"/>
      <c r="AC84" s="521"/>
      <c r="AD84" s="521"/>
      <c r="AE84" s="521"/>
      <c r="AF84" s="521"/>
      <c r="AG84" s="521"/>
      <c r="AH84" s="521"/>
      <c r="AI84" s="522">
        <f>87.8*1.1</f>
        <v>96.58</v>
      </c>
      <c r="AJ84" s="521"/>
      <c r="AK84" s="521"/>
      <c r="AL84" s="521">
        <f>AI85-AI84</f>
        <v>35.42</v>
      </c>
      <c r="AM84" s="521"/>
      <c r="AN84" s="521">
        <f>161/23</f>
        <v>7</v>
      </c>
      <c r="AO84" s="521"/>
      <c r="AP84" s="617"/>
      <c r="AQ84" s="617"/>
      <c r="AR84" s="618"/>
      <c r="AS84" s="521"/>
    </row>
    <row r="85" spans="2:45" s="662" customFormat="1" ht="24" customHeight="1">
      <c r="B85" s="744"/>
      <c r="C85" s="536" t="s">
        <v>378</v>
      </c>
      <c r="D85" s="448">
        <v>5</v>
      </c>
      <c r="E85" s="651"/>
      <c r="F85" s="648"/>
      <c r="G85" s="648"/>
      <c r="H85" s="448">
        <v>1.1111111111111112</v>
      </c>
      <c r="I85" s="448"/>
      <c r="J85" s="566" t="s">
        <v>379</v>
      </c>
      <c r="K85" s="621" t="s">
        <v>380</v>
      </c>
      <c r="L85" s="743"/>
      <c r="M85" s="531"/>
      <c r="N85" s="521"/>
      <c r="O85" s="521"/>
      <c r="P85" s="521"/>
      <c r="Q85" s="521"/>
      <c r="R85" s="521"/>
      <c r="S85" s="521"/>
      <c r="T85" s="521"/>
      <c r="U85" s="521"/>
      <c r="V85" s="521"/>
      <c r="W85" s="521"/>
      <c r="X85" s="521"/>
      <c r="Y85" s="521"/>
      <c r="Z85" s="521"/>
      <c r="AA85" s="521"/>
      <c r="AB85" s="521"/>
      <c r="AC85" s="521"/>
      <c r="AD85" s="521"/>
      <c r="AE85" s="521"/>
      <c r="AF85" s="521"/>
      <c r="AG85" s="521"/>
      <c r="AH85" s="521"/>
      <c r="AI85" s="522">
        <f>120*1.1</f>
        <v>132</v>
      </c>
      <c r="AJ85" s="521"/>
      <c r="AK85" s="521"/>
      <c r="AL85" s="521">
        <f>AI86-AI85</f>
        <v>12.870000000000005</v>
      </c>
      <c r="AM85" s="521"/>
      <c r="AN85" s="521"/>
      <c r="AO85" s="521"/>
      <c r="AP85" s="617"/>
      <c r="AQ85" s="617"/>
      <c r="AR85" s="618"/>
      <c r="AS85" s="521"/>
    </row>
    <row r="86" spans="2:45" s="662" customFormat="1" ht="21.75" customHeight="1" thickBot="1">
      <c r="B86" s="755"/>
      <c r="C86" s="756" t="s">
        <v>381</v>
      </c>
      <c r="D86" s="882"/>
      <c r="E86" s="647"/>
      <c r="F86" s="647"/>
      <c r="G86" s="647"/>
      <c r="H86" s="882">
        <v>100.11111111111111</v>
      </c>
      <c r="I86" s="882"/>
      <c r="J86" s="757" t="s">
        <v>259</v>
      </c>
      <c r="K86" s="639"/>
      <c r="L86" s="758"/>
      <c r="M86" s="531"/>
      <c r="N86" s="521"/>
      <c r="O86" s="521"/>
      <c r="P86" s="521"/>
      <c r="Q86" s="521"/>
      <c r="R86" s="521"/>
      <c r="S86" s="521"/>
      <c r="T86" s="521"/>
      <c r="U86" s="521"/>
      <c r="V86" s="521"/>
      <c r="W86" s="521"/>
      <c r="X86" s="521"/>
      <c r="Y86" s="521"/>
      <c r="Z86" s="521"/>
      <c r="AA86" s="521"/>
      <c r="AB86" s="521"/>
      <c r="AC86" s="521"/>
      <c r="AD86" s="521"/>
      <c r="AE86" s="521"/>
      <c r="AF86" s="521"/>
      <c r="AG86" s="521"/>
      <c r="AH86" s="521"/>
      <c r="AI86" s="522">
        <f>131.7*1.1</f>
        <v>144.87</v>
      </c>
      <c r="AJ86" s="521"/>
      <c r="AK86" s="521"/>
      <c r="AL86" s="521">
        <f>AI87-AI86</f>
        <v>-144.87</v>
      </c>
      <c r="AM86" s="521"/>
      <c r="AN86" s="521"/>
      <c r="AO86" s="523"/>
      <c r="AP86" s="521"/>
      <c r="AQ86" s="622"/>
      <c r="AR86" s="896"/>
      <c r="AS86" s="521"/>
    </row>
    <row r="87" spans="2:45" s="662" customFormat="1" ht="12" thickBot="1">
      <c r="B87" s="770"/>
      <c r="C87" s="941" t="s">
        <v>382</v>
      </c>
      <c r="D87" s="942"/>
      <c r="E87" s="942"/>
      <c r="F87" s="942"/>
      <c r="G87" s="942"/>
      <c r="H87" s="942"/>
      <c r="I87" s="942"/>
      <c r="J87" s="942"/>
      <c r="K87" s="942"/>
      <c r="L87" s="943"/>
      <c r="M87" s="582"/>
      <c r="N87" s="521"/>
      <c r="O87" s="521"/>
      <c r="P87" s="521"/>
      <c r="Q87" s="521"/>
      <c r="R87" s="521"/>
      <c r="S87" s="521"/>
      <c r="T87" s="521"/>
      <c r="U87" s="521"/>
      <c r="V87" s="521"/>
      <c r="W87" s="521"/>
      <c r="X87" s="521"/>
      <c r="Y87" s="521"/>
      <c r="Z87" s="521"/>
      <c r="AA87" s="521"/>
      <c r="AB87" s="521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  <c r="AP87" s="521"/>
      <c r="AQ87" s="521"/>
      <c r="AR87" s="521"/>
      <c r="AS87" s="521"/>
    </row>
    <row r="88" spans="2:45" s="662" customFormat="1" ht="23.25" customHeight="1">
      <c r="B88" s="745"/>
      <c r="C88" s="594" t="s">
        <v>383</v>
      </c>
      <c r="D88" s="882"/>
      <c r="E88" s="647"/>
      <c r="F88" s="888" t="str">
        <f>IF(ISBLANK(F72),"",F84+TIME(0,H84+H85,0))</f>
        <v/>
      </c>
      <c r="G88" s="888" t="str">
        <f>IF(ISBLANK($F$72),"",F88+TIME(0,H88,0))</f>
        <v/>
      </c>
      <c r="H88" s="544">
        <v>10</v>
      </c>
      <c r="I88" s="764" t="str">
        <f>IF(ISBLANK($F$72),"",(G88-F88)*24*60)</f>
        <v/>
      </c>
      <c r="J88" s="543"/>
      <c r="K88" s="765"/>
      <c r="L88" s="766"/>
      <c r="M88" s="531"/>
      <c r="N88" s="521"/>
      <c r="O88" s="521"/>
      <c r="P88" s="521"/>
      <c r="Q88" s="521"/>
      <c r="R88" s="521"/>
      <c r="S88" s="521"/>
      <c r="T88" s="521"/>
      <c r="U88" s="521"/>
      <c r="V88" s="521"/>
      <c r="W88" s="521"/>
      <c r="X88" s="521"/>
      <c r="Y88" s="521"/>
      <c r="Z88" s="521"/>
      <c r="AA88" s="521"/>
      <c r="AB88" s="521"/>
      <c r="AC88" s="521"/>
      <c r="AD88" s="521"/>
      <c r="AE88" s="521"/>
      <c r="AF88" s="521"/>
      <c r="AG88" s="521"/>
      <c r="AH88" s="521"/>
      <c r="AI88" s="522"/>
      <c r="AJ88" s="521"/>
      <c r="AK88" s="521"/>
      <c r="AL88" s="521"/>
      <c r="AM88" s="521"/>
      <c r="AN88" s="521"/>
      <c r="AO88" s="521"/>
      <c r="AP88" s="521"/>
      <c r="AQ88" s="521"/>
      <c r="AR88" s="521"/>
      <c r="AS88" s="521"/>
    </row>
    <row r="89" spans="2:45" s="662" customFormat="1" ht="19.5" customHeight="1">
      <c r="B89" s="744"/>
      <c r="C89" s="536" t="s">
        <v>384</v>
      </c>
      <c r="D89" s="448"/>
      <c r="E89" s="651"/>
      <c r="F89" s="648"/>
      <c r="G89" s="648"/>
      <c r="H89" s="448">
        <v>50</v>
      </c>
      <c r="I89" s="448"/>
      <c r="J89" s="539" t="s">
        <v>385</v>
      </c>
      <c r="K89" s="479">
        <v>269</v>
      </c>
      <c r="L89" s="540"/>
      <c r="M89" s="531"/>
      <c r="N89" s="521"/>
      <c r="O89" s="521"/>
      <c r="P89" s="521"/>
      <c r="Q89" s="521"/>
      <c r="R89" s="521"/>
      <c r="S89" s="521"/>
      <c r="T89" s="521"/>
      <c r="U89" s="521"/>
      <c r="V89" s="521"/>
      <c r="W89" s="521"/>
      <c r="X89" s="521"/>
      <c r="Y89" s="521"/>
      <c r="Z89" s="521"/>
      <c r="AA89" s="521"/>
      <c r="AB89" s="521"/>
      <c r="AC89" s="521"/>
      <c r="AD89" s="521"/>
      <c r="AE89" s="521"/>
      <c r="AF89" s="521"/>
      <c r="AG89" s="521"/>
      <c r="AH89" s="521"/>
      <c r="AI89" s="522"/>
      <c r="AJ89" s="521"/>
      <c r="AK89" s="521"/>
      <c r="AL89" s="521"/>
      <c r="AM89" s="521"/>
      <c r="AN89" s="521"/>
      <c r="AO89" s="521"/>
      <c r="AP89" s="521"/>
      <c r="AQ89" s="521"/>
      <c r="AR89" s="521"/>
      <c r="AS89" s="521"/>
    </row>
    <row r="90" spans="2:45" s="662" customFormat="1" ht="18.75" customHeight="1">
      <c r="B90" s="744"/>
      <c r="C90" s="539" t="s">
        <v>386</v>
      </c>
      <c r="D90" s="448"/>
      <c r="E90" s="651"/>
      <c r="F90" s="648"/>
      <c r="G90" s="648"/>
      <c r="H90" s="448">
        <v>15</v>
      </c>
      <c r="I90" s="448"/>
      <c r="J90" s="448"/>
      <c r="K90" s="448"/>
      <c r="L90" s="558"/>
      <c r="M90" s="531"/>
      <c r="N90" s="521"/>
      <c r="O90" s="521"/>
      <c r="P90" s="521"/>
      <c r="Q90" s="521"/>
      <c r="R90" s="521"/>
      <c r="S90" s="521"/>
      <c r="T90" s="521"/>
      <c r="U90" s="521"/>
      <c r="V90" s="521"/>
      <c r="W90" s="521"/>
      <c r="X90" s="521"/>
      <c r="Y90" s="521"/>
      <c r="Z90" s="521"/>
      <c r="AA90" s="521"/>
      <c r="AB90" s="521"/>
      <c r="AC90" s="521"/>
      <c r="AD90" s="521"/>
      <c r="AE90" s="521"/>
      <c r="AF90" s="521"/>
      <c r="AG90" s="521"/>
      <c r="AH90" s="521"/>
      <c r="AI90" s="522"/>
      <c r="AJ90" s="521"/>
      <c r="AK90" s="521"/>
      <c r="AL90" s="521"/>
      <c r="AM90" s="521"/>
      <c r="AN90" s="521"/>
      <c r="AO90" s="521"/>
      <c r="AP90" s="521"/>
      <c r="AQ90" s="521"/>
      <c r="AR90" s="521"/>
      <c r="AS90" s="521"/>
    </row>
    <row r="91" spans="2:45" s="662" customFormat="1" ht="17.25" customHeight="1">
      <c r="B91" s="744"/>
      <c r="C91" s="539" t="s">
        <v>387</v>
      </c>
      <c r="D91" s="448"/>
      <c r="E91" s="651"/>
      <c r="F91" s="648"/>
      <c r="G91" s="648"/>
      <c r="H91" s="448">
        <v>0</v>
      </c>
      <c r="I91" s="448"/>
      <c r="J91" s="623" t="s">
        <v>388</v>
      </c>
      <c r="K91" s="704"/>
      <c r="L91" s="558"/>
      <c r="M91" s="531"/>
      <c r="N91" s="521"/>
      <c r="O91" s="521"/>
      <c r="P91" s="521"/>
      <c r="Q91" s="521"/>
      <c r="R91" s="521"/>
      <c r="S91" s="521"/>
      <c r="T91" s="521"/>
      <c r="U91" s="521"/>
      <c r="V91" s="521"/>
      <c r="W91" s="521"/>
      <c r="X91" s="521"/>
      <c r="Y91" s="521"/>
      <c r="Z91" s="521"/>
      <c r="AA91" s="521"/>
      <c r="AB91" s="521"/>
      <c r="AC91" s="521"/>
      <c r="AD91" s="521"/>
      <c r="AE91" s="521"/>
      <c r="AF91" s="521"/>
      <c r="AG91" s="521"/>
      <c r="AH91" s="521"/>
      <c r="AI91" s="522"/>
      <c r="AJ91" s="521"/>
      <c r="AK91" s="521"/>
      <c r="AL91" s="521"/>
      <c r="AM91" s="521"/>
      <c r="AN91" s="521"/>
      <c r="AO91" s="521"/>
      <c r="AP91" s="521"/>
      <c r="AQ91" s="521"/>
      <c r="AR91" s="521"/>
      <c r="AS91" s="521"/>
    </row>
    <row r="92" spans="2:45" s="662" customFormat="1" ht="13.5" thickBot="1">
      <c r="B92" s="750"/>
      <c r="C92" s="577" t="s">
        <v>389</v>
      </c>
      <c r="D92" s="624"/>
      <c r="E92" s="659"/>
      <c r="F92" s="655"/>
      <c r="G92" s="655"/>
      <c r="H92" s="578">
        <f>SUM(H88:H91)</f>
        <v>75</v>
      </c>
      <c r="I92" s="578"/>
      <c r="J92" s="579"/>
      <c r="K92" s="448"/>
      <c r="L92" s="558"/>
      <c r="M92" s="531"/>
      <c r="N92" s="521"/>
      <c r="O92" s="521"/>
      <c r="P92" s="521"/>
      <c r="Q92" s="521"/>
      <c r="R92" s="521"/>
      <c r="S92" s="521"/>
      <c r="T92" s="521"/>
      <c r="U92" s="521"/>
      <c r="V92" s="521"/>
      <c r="W92" s="521"/>
      <c r="X92" s="521"/>
      <c r="Y92" s="521"/>
      <c r="Z92" s="521"/>
      <c r="AA92" s="521"/>
      <c r="AB92" s="521"/>
      <c r="AC92" s="521"/>
      <c r="AD92" s="521"/>
      <c r="AE92" s="521"/>
      <c r="AF92" s="521"/>
      <c r="AG92" s="521"/>
      <c r="AH92" s="521"/>
      <c r="AI92" s="522"/>
      <c r="AJ92" s="521"/>
      <c r="AK92" s="521"/>
      <c r="AL92" s="521"/>
      <c r="AM92" s="521"/>
      <c r="AN92" s="521"/>
      <c r="AO92" s="521"/>
      <c r="AP92" s="521"/>
      <c r="AQ92" s="521"/>
      <c r="AR92" s="521"/>
      <c r="AS92" s="521"/>
    </row>
    <row r="93" spans="2:45" s="662" customFormat="1" ht="12" hidden="1" thickBot="1">
      <c r="B93" s="525"/>
      <c r="C93" s="526" t="s">
        <v>390</v>
      </c>
      <c r="D93" s="527"/>
      <c r="E93" s="527"/>
      <c r="F93" s="527"/>
      <c r="G93" s="527"/>
      <c r="H93" s="527"/>
      <c r="I93" s="527"/>
      <c r="J93" s="528"/>
      <c r="K93" s="581"/>
      <c r="L93" s="529"/>
      <c r="M93" s="582"/>
      <c r="N93" s="521"/>
      <c r="O93" s="521"/>
      <c r="P93" s="521"/>
      <c r="Q93" s="521"/>
      <c r="R93" s="521"/>
      <c r="S93" s="521"/>
      <c r="T93" s="521"/>
      <c r="U93" s="521"/>
      <c r="V93" s="521"/>
      <c r="W93" s="521"/>
      <c r="X93" s="521"/>
      <c r="Y93" s="521"/>
      <c r="Z93" s="521"/>
      <c r="AA93" s="521"/>
      <c r="AB93" s="521"/>
      <c r="AC93" s="521"/>
      <c r="AD93" s="521"/>
      <c r="AE93" s="521"/>
      <c r="AF93" s="521"/>
      <c r="AG93" s="521"/>
      <c r="AH93" s="521"/>
      <c r="AI93" s="522"/>
      <c r="AJ93" s="521"/>
      <c r="AK93" s="521"/>
      <c r="AL93" s="521"/>
      <c r="AM93" s="521"/>
      <c r="AN93" s="521"/>
      <c r="AO93" s="521"/>
      <c r="AP93" s="521"/>
      <c r="AQ93" s="521"/>
      <c r="AR93" s="521"/>
      <c r="AS93" s="521"/>
    </row>
    <row r="94" spans="2:45" s="662" customFormat="1" ht="12" hidden="1" thickBot="1">
      <c r="B94" s="759"/>
      <c r="C94" s="760" t="s">
        <v>391</v>
      </c>
      <c r="D94" s="761"/>
      <c r="E94" s="761"/>
      <c r="F94" s="761"/>
      <c r="G94" s="761"/>
      <c r="H94" s="761"/>
      <c r="I94" s="761"/>
      <c r="J94" s="760"/>
      <c r="K94" s="762"/>
      <c r="L94" s="763"/>
      <c r="M94" s="582"/>
      <c r="N94" s="521"/>
      <c r="O94" s="521"/>
      <c r="P94" s="521"/>
      <c r="Q94" s="521"/>
      <c r="R94" s="521"/>
      <c r="S94" s="521"/>
      <c r="T94" s="521"/>
      <c r="U94" s="521"/>
      <c r="V94" s="521"/>
      <c r="W94" s="521"/>
      <c r="X94" s="521"/>
      <c r="Y94" s="521"/>
      <c r="Z94" s="521"/>
      <c r="AA94" s="521"/>
      <c r="AB94" s="521"/>
      <c r="AC94" s="521"/>
      <c r="AD94" s="521"/>
      <c r="AE94" s="521"/>
      <c r="AF94" s="521"/>
      <c r="AG94" s="521"/>
      <c r="AH94" s="521"/>
      <c r="AI94" s="522"/>
      <c r="AJ94" s="521"/>
      <c r="AK94" s="521"/>
      <c r="AL94" s="521"/>
      <c r="AM94" s="521"/>
      <c r="AN94" s="521"/>
      <c r="AO94" s="521"/>
      <c r="AP94" s="521"/>
      <c r="AQ94" s="521"/>
      <c r="AR94" s="521"/>
      <c r="AS94" s="521"/>
    </row>
    <row r="95" spans="2:45" s="662" customFormat="1" ht="12" thickBot="1">
      <c r="B95" s="770"/>
      <c r="C95" s="941" t="s">
        <v>392</v>
      </c>
      <c r="D95" s="942"/>
      <c r="E95" s="942"/>
      <c r="F95" s="942"/>
      <c r="G95" s="942"/>
      <c r="H95" s="942"/>
      <c r="I95" s="942"/>
      <c r="J95" s="942"/>
      <c r="K95" s="942"/>
      <c r="L95" s="943"/>
      <c r="M95" s="582"/>
      <c r="N95" s="521"/>
      <c r="O95" s="521"/>
      <c r="P95" s="521"/>
      <c r="Q95" s="521"/>
      <c r="R95" s="521"/>
      <c r="S95" s="521"/>
      <c r="T95" s="521"/>
      <c r="U95" s="521"/>
      <c r="V95" s="521"/>
      <c r="W95" s="521"/>
      <c r="X95" s="521"/>
      <c r="Y95" s="521"/>
      <c r="Z95" s="521"/>
      <c r="AA95" s="521"/>
      <c r="AB95" s="521"/>
      <c r="AC95" s="521"/>
      <c r="AD95" s="521"/>
      <c r="AE95" s="521"/>
      <c r="AF95" s="521"/>
      <c r="AG95" s="521"/>
      <c r="AH95" s="521"/>
      <c r="AI95" s="522"/>
      <c r="AJ95" s="521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2:45" s="662" customFormat="1" ht="21.75" customHeight="1">
      <c r="B96" s="767"/>
      <c r="C96" s="768" t="s">
        <v>393</v>
      </c>
      <c r="D96" s="882">
        <v>3</v>
      </c>
      <c r="E96" s="882"/>
      <c r="F96" s="944" t="s">
        <v>394</v>
      </c>
      <c r="G96" s="944"/>
      <c r="H96" s="944"/>
      <c r="I96" s="769"/>
      <c r="J96" s="543" t="s">
        <v>395</v>
      </c>
      <c r="K96" s="765" t="s">
        <v>396</v>
      </c>
      <c r="L96" s="743"/>
      <c r="M96" s="531"/>
      <c r="N96" s="521"/>
      <c r="O96" s="521"/>
      <c r="P96" s="521"/>
      <c r="Q96" s="521"/>
      <c r="R96" s="521"/>
      <c r="S96" s="521"/>
      <c r="T96" s="521"/>
      <c r="U96" s="521"/>
      <c r="V96" s="521"/>
      <c r="W96" s="521"/>
      <c r="X96" s="521"/>
      <c r="Y96" s="521"/>
      <c r="Z96" s="521"/>
      <c r="AA96" s="521"/>
      <c r="AB96" s="521"/>
      <c r="AC96" s="521"/>
      <c r="AD96" s="521"/>
      <c r="AE96" s="521"/>
      <c r="AF96" s="521"/>
      <c r="AG96" s="521"/>
      <c r="AH96" s="521"/>
      <c r="AI96" s="522"/>
      <c r="AJ96" s="521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2:48" s="662" customFormat="1" ht="19.5" customHeight="1">
      <c r="B97" s="744"/>
      <c r="C97" s="536" t="s">
        <v>397</v>
      </c>
      <c r="D97" s="448"/>
      <c r="E97" s="651"/>
      <c r="F97" s="648"/>
      <c r="G97" s="648"/>
      <c r="H97" s="448">
        <v>5</v>
      </c>
      <c r="I97" s="448"/>
      <c r="J97" s="539" t="s">
        <v>398</v>
      </c>
      <c r="K97" s="583" t="s">
        <v>399</v>
      </c>
      <c r="L97" s="722"/>
      <c r="M97" s="531"/>
      <c r="N97" s="521"/>
      <c r="O97" s="521"/>
      <c r="P97" s="521"/>
      <c r="Q97" s="521"/>
      <c r="R97" s="521"/>
      <c r="S97" s="521"/>
      <c r="T97" s="521" t="s">
        <v>400</v>
      </c>
      <c r="U97" s="521"/>
      <c r="V97" s="521"/>
      <c r="W97" s="521"/>
      <c r="X97" s="521"/>
      <c r="Y97" s="521"/>
      <c r="Z97" s="521"/>
      <c r="AA97" s="521"/>
      <c r="AB97" s="521"/>
      <c r="AC97" s="521"/>
      <c r="AD97" s="521"/>
      <c r="AE97" s="521"/>
      <c r="AF97" s="521"/>
      <c r="AG97" s="521"/>
      <c r="AH97" s="521"/>
      <c r="AI97" s="522"/>
      <c r="AJ97" s="521"/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2:48" s="662" customFormat="1" ht="21" customHeight="1">
      <c r="B98" s="744"/>
      <c r="C98" s="789" t="s">
        <v>401</v>
      </c>
      <c r="D98" s="479">
        <v>225</v>
      </c>
      <c r="E98" s="646"/>
      <c r="F98" s="648" t="str">
        <f>G88</f>
        <v/>
      </c>
      <c r="G98" s="648" t="str">
        <f>IF(ISBLANK($F$72),"",F98+TIME(0,H98,0))</f>
        <v/>
      </c>
      <c r="H98" s="448">
        <f>IF(E98="",50,IF((E98-D98)&lt;0,50-ROUND(ABS(E98-D98)/269*60+0.25,0),50+ROUND((E98-D98)/269*60+0.25,0)))</f>
        <v>50</v>
      </c>
      <c r="I98" s="685" t="str">
        <f>IF(ISBLANK($F$72),"",(G98-F98)*24*60)</f>
        <v/>
      </c>
      <c r="J98" s="539" t="s">
        <v>402</v>
      </c>
      <c r="K98" s="625">
        <v>10.5</v>
      </c>
      <c r="L98" s="561"/>
      <c r="M98" s="531"/>
      <c r="N98" s="521"/>
      <c r="O98" s="521"/>
      <c r="P98" s="521"/>
      <c r="Q98" s="521"/>
      <c r="R98" s="521"/>
      <c r="S98" s="521"/>
      <c r="T98" s="521"/>
      <c r="U98" s="521"/>
      <c r="V98" s="521"/>
      <c r="W98" s="521"/>
      <c r="X98" s="521"/>
      <c r="Y98" s="521"/>
      <c r="Z98" s="521"/>
      <c r="AA98" s="521"/>
      <c r="AB98" s="521"/>
      <c r="AC98" s="521"/>
      <c r="AD98" s="521"/>
      <c r="AE98" s="521"/>
      <c r="AF98" s="521"/>
      <c r="AG98" s="521"/>
      <c r="AH98" s="521"/>
      <c r="AI98" s="522"/>
      <c r="AJ98" s="521"/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2:48" s="662" customFormat="1" ht="26.25" customHeight="1">
      <c r="B99" s="744"/>
      <c r="C99" s="536" t="s">
        <v>403</v>
      </c>
      <c r="D99" s="557" t="str">
        <f>'10027'!D99</f>
        <v>0.48 scfb</v>
      </c>
      <c r="E99" s="945" t="s">
        <v>405</v>
      </c>
      <c r="F99" s="946"/>
      <c r="G99" s="646">
        <f>'10027'!G99</f>
        <v>14</v>
      </c>
      <c r="H99" s="448"/>
      <c r="I99" s="448"/>
      <c r="J99" s="585" t="s">
        <v>406</v>
      </c>
      <c r="K99" s="625">
        <v>13</v>
      </c>
      <c r="L99" s="708"/>
      <c r="M99" s="531"/>
      <c r="N99" s="521"/>
      <c r="O99" s="521"/>
      <c r="P99" s="521"/>
      <c r="Q99" s="521"/>
      <c r="R99" s="521"/>
      <c r="S99" s="521"/>
      <c r="T99" s="521"/>
      <c r="U99" s="521"/>
      <c r="V99" s="521" t="s">
        <v>407</v>
      </c>
      <c r="W99" s="521" t="s">
        <v>408</v>
      </c>
      <c r="X99" s="521"/>
      <c r="Y99" s="521"/>
      <c r="Z99" s="521"/>
      <c r="AA99" s="521"/>
      <c r="AB99" s="521"/>
      <c r="AC99" s="521"/>
      <c r="AD99" s="521"/>
      <c r="AE99" s="521"/>
      <c r="AF99" s="521"/>
      <c r="AG99" s="521"/>
      <c r="AH99" s="521"/>
      <c r="AI99" s="522"/>
      <c r="AJ99" s="521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2:48" s="662" customFormat="1" ht="24.75" customHeight="1">
      <c r="B100" s="744"/>
      <c r="C100" s="536" t="s">
        <v>409</v>
      </c>
      <c r="D100" s="448">
        <v>5</v>
      </c>
      <c r="E100" s="717"/>
      <c r="F100" s="448"/>
      <c r="G100" s="448"/>
      <c r="H100" s="448"/>
      <c r="I100" s="448"/>
      <c r="J100" s="539" t="s">
        <v>410</v>
      </c>
      <c r="K100" s="583">
        <v>80</v>
      </c>
      <c r="L100" s="558"/>
      <c r="M100" s="531"/>
      <c r="N100" s="521"/>
      <c r="O100" s="521"/>
      <c r="P100" s="521"/>
      <c r="Q100" s="521"/>
      <c r="R100" s="521"/>
      <c r="S100" s="521"/>
      <c r="T100" s="521"/>
      <c r="U100" s="521"/>
      <c r="V100" s="521"/>
      <c r="W100" s="521"/>
      <c r="X100" s="521"/>
      <c r="Y100" s="521"/>
      <c r="Z100" s="521"/>
      <c r="AA100" s="521"/>
      <c r="AB100" s="521"/>
      <c r="AC100" s="521"/>
      <c r="AD100" s="521"/>
      <c r="AE100" s="521"/>
      <c r="AF100" s="521"/>
      <c r="AG100" s="521"/>
      <c r="AH100" s="521"/>
      <c r="AI100" s="522"/>
      <c r="AJ100" s="521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2:48" s="662" customFormat="1" ht="20.25" customHeight="1" thickBot="1">
      <c r="B101" s="749"/>
      <c r="C101" s="626" t="s">
        <v>411</v>
      </c>
      <c r="D101" s="596"/>
      <c r="E101" s="596"/>
      <c r="F101" s="596"/>
      <c r="G101" s="596"/>
      <c r="H101" s="596">
        <v>2</v>
      </c>
      <c r="I101" s="596"/>
      <c r="J101" s="597" t="s">
        <v>412</v>
      </c>
      <c r="K101" s="627" t="s">
        <v>413</v>
      </c>
      <c r="L101" s="628"/>
      <c r="M101" s="629"/>
      <c r="N101" s="521"/>
      <c r="O101" s="521"/>
      <c r="P101" s="521"/>
      <c r="Q101" s="521"/>
      <c r="R101" s="521"/>
      <c r="S101" s="521"/>
      <c r="T101" s="521" t="s">
        <v>414</v>
      </c>
      <c r="U101" s="521"/>
      <c r="V101" s="521"/>
      <c r="W101" s="521"/>
      <c r="X101" s="521"/>
      <c r="Y101" s="521"/>
      <c r="Z101" s="521"/>
      <c r="AA101" s="521"/>
      <c r="AB101" s="521"/>
      <c r="AC101" s="521"/>
      <c r="AD101" s="521"/>
      <c r="AE101" s="521"/>
      <c r="AF101" s="521"/>
      <c r="AG101" s="521"/>
      <c r="AH101" s="521"/>
      <c r="AI101" s="522"/>
      <c r="AJ101" s="521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2:48" s="662" customFormat="1" ht="16.5" customHeight="1" thickBot="1">
      <c r="B102" s="630" t="s">
        <v>415</v>
      </c>
      <c r="C102" s="631"/>
      <c r="D102" s="675">
        <f>'10027'!D102</f>
        <v>6</v>
      </c>
      <c r="E102" s="676" t="s">
        <v>416</v>
      </c>
      <c r="F102" s="632"/>
      <c r="G102" s="632"/>
      <c r="H102" s="753">
        <f>SUM(H13:H31,H42:H49,H57,(D67/200)*60,2*5,H70:H73,H78:H81,H84:H85,H88:H89)/60</f>
        <v>6.161296296296296</v>
      </c>
      <c r="I102" s="754" t="str">
        <f>IF(OR(F13="",G98=""),"",IF(G98&gt;=F13,(G98-F13)*24,(G98+1-F13)*24))</f>
        <v/>
      </c>
      <c r="J102" s="631" t="s">
        <v>417</v>
      </c>
      <c r="K102" s="829"/>
      <c r="L102" s="830"/>
      <c r="M102" s="633"/>
      <c r="N102" s="521"/>
      <c r="O102" s="521"/>
      <c r="P102" s="521"/>
      <c r="Q102" s="521"/>
      <c r="R102" s="521"/>
      <c r="S102" s="521"/>
      <c r="T102" s="521"/>
      <c r="U102" s="521"/>
      <c r="V102" s="521"/>
      <c r="W102" s="521"/>
      <c r="X102" s="521"/>
      <c r="Y102" s="521"/>
      <c r="Z102" s="521"/>
      <c r="AA102" s="521"/>
      <c r="AB102" s="521"/>
      <c r="AC102" s="521"/>
      <c r="AD102" s="521"/>
      <c r="AE102" s="521"/>
      <c r="AF102" s="521"/>
      <c r="AG102" s="521"/>
      <c r="AH102" s="521"/>
      <c r="AI102" s="522"/>
      <c r="AJ102" s="521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2:48" s="664" customFormat="1" ht="20.149999999999999" customHeight="1">
      <c r="B103" s="817" t="s">
        <v>418</v>
      </c>
      <c r="C103" s="818" t="s">
        <v>419</v>
      </c>
      <c r="D103" s="819" t="s">
        <v>420</v>
      </c>
      <c r="E103" s="819"/>
      <c r="F103" s="820"/>
      <c r="G103" s="820"/>
      <c r="H103" s="820"/>
      <c r="I103" s="820"/>
      <c r="J103" s="677" t="s">
        <v>421</v>
      </c>
      <c r="K103" s="740">
        <f>D102</f>
        <v>6</v>
      </c>
      <c r="L103" s="739" t="str">
        <f>IF(OR(F13="",G98=""),"",IF(G98&gt;=F13,(G98-F13)*24,(G98+1-F13)*24))</f>
        <v/>
      </c>
      <c r="M103" s="634"/>
      <c r="N103" s="634"/>
      <c r="O103" s="634"/>
      <c r="P103" s="634"/>
      <c r="Q103" s="634"/>
      <c r="R103" s="634"/>
      <c r="S103" s="634"/>
      <c r="T103" s="634"/>
      <c r="U103" s="634"/>
      <c r="V103" s="634"/>
      <c r="W103" s="634"/>
      <c r="X103" s="634"/>
      <c r="Y103" s="634"/>
      <c r="Z103" s="634"/>
      <c r="AA103" s="634"/>
      <c r="AB103" s="634"/>
      <c r="AC103" s="634"/>
      <c r="AD103" s="634"/>
      <c r="AE103" s="634"/>
      <c r="AF103" s="634"/>
      <c r="AG103" s="634"/>
      <c r="AH103" s="634"/>
      <c r="AI103" s="634"/>
      <c r="AJ103" s="634"/>
      <c r="AK103" s="634"/>
      <c r="AL103" s="634"/>
      <c r="AM103" s="634"/>
      <c r="AN103" s="634"/>
      <c r="AO103" s="634"/>
      <c r="AP103" s="634"/>
      <c r="AQ103" s="634"/>
      <c r="AR103" s="634"/>
      <c r="AS103" s="634"/>
    </row>
    <row r="104" spans="2:48" s="664" customFormat="1" ht="20.149999999999999" customHeight="1">
      <c r="B104" s="821" t="s">
        <v>422</v>
      </c>
      <c r="C104" s="822"/>
      <c r="D104" s="820"/>
      <c r="E104" s="820"/>
      <c r="F104" s="820"/>
      <c r="G104" s="820"/>
      <c r="H104" s="823"/>
      <c r="I104" s="820"/>
      <c r="J104" s="677" t="s">
        <v>423</v>
      </c>
      <c r="K104" s="678">
        <v>8</v>
      </c>
      <c r="L104" s="739" t="str">
        <f>IF(OR(ISBLANK(E84),ISBLANK(E66)),"",(1-E84/E66)*100)</f>
        <v/>
      </c>
      <c r="M104" s="635"/>
      <c r="N104" s="634"/>
      <c r="O104" s="634"/>
      <c r="P104" s="634"/>
      <c r="Q104" s="634"/>
      <c r="R104" s="634"/>
      <c r="S104" s="634"/>
      <c r="T104" s="634"/>
      <c r="U104" s="634"/>
      <c r="V104" s="634"/>
      <c r="W104" s="634"/>
      <c r="X104" s="634"/>
      <c r="Y104" s="634"/>
      <c r="Z104" s="634"/>
      <c r="AA104" s="634"/>
      <c r="AB104" s="634"/>
      <c r="AC104" s="634"/>
      <c r="AD104" s="634"/>
      <c r="AE104" s="634"/>
      <c r="AF104" s="634"/>
      <c r="AG104" s="634"/>
      <c r="AH104" s="634"/>
      <c r="AI104" s="634"/>
      <c r="AJ104" s="634"/>
      <c r="AK104" s="634"/>
      <c r="AL104" s="634"/>
      <c r="AM104" s="634"/>
      <c r="AN104" s="634"/>
      <c r="AO104" s="634"/>
      <c r="AP104" s="634"/>
      <c r="AQ104" s="634"/>
      <c r="AR104" s="634"/>
      <c r="AS104" s="634"/>
      <c r="AT104" s="900" t="e">
        <f>CR20</f>
        <v>#DIV/0!</v>
      </c>
      <c r="AU104" s="662" t="s">
        <v>424</v>
      </c>
      <c r="AV104" s="662"/>
    </row>
    <row r="105" spans="2:48" s="664" customFormat="1" ht="20.149999999999999" customHeight="1">
      <c r="B105" s="804"/>
      <c r="C105" s="824"/>
      <c r="D105" s="825"/>
      <c r="E105" s="820"/>
      <c r="F105" s="820"/>
      <c r="G105" s="820"/>
      <c r="H105" s="826"/>
      <c r="I105" s="820"/>
      <c r="J105" s="677" t="s">
        <v>425</v>
      </c>
      <c r="K105" s="678">
        <v>230</v>
      </c>
      <c r="L105" s="739" t="str">
        <f>IF(OR(G98="",F58=""),"",IF(G98&gt;=F58,(G98-F58)*60*24,(G98+1-F58)*24*60))</f>
        <v/>
      </c>
      <c r="M105" s="635"/>
      <c r="N105" s="634"/>
      <c r="O105" s="634"/>
      <c r="P105" s="634"/>
      <c r="Q105" s="634"/>
      <c r="R105" s="634"/>
      <c r="S105" s="634"/>
      <c r="T105" s="634"/>
      <c r="U105" s="634"/>
      <c r="V105" s="634"/>
      <c r="W105" s="634"/>
      <c r="X105" s="634"/>
      <c r="Y105" s="634"/>
      <c r="Z105" s="634"/>
      <c r="AA105" s="634"/>
      <c r="AB105" s="634"/>
      <c r="AC105" s="634"/>
      <c r="AD105" s="634"/>
      <c r="AE105" s="634"/>
      <c r="AF105" s="634"/>
      <c r="AG105" s="634"/>
      <c r="AH105" s="634"/>
      <c r="AI105" s="634"/>
      <c r="AJ105" s="634"/>
      <c r="AK105" s="634"/>
      <c r="AL105" s="634"/>
      <c r="AM105" s="634"/>
      <c r="AN105" s="634"/>
      <c r="AO105" s="634"/>
      <c r="AP105" s="634"/>
      <c r="AQ105" s="634"/>
      <c r="AR105" s="634"/>
      <c r="AS105" s="634"/>
      <c r="AT105" s="901" t="str">
        <f>IF(OR(G98="",F70=""),"",IF(G98&gt;=F70,(G98-F70)*60*24,(G98+1-F70)*24*60))</f>
        <v/>
      </c>
      <c r="AU105" s="662" t="s">
        <v>426</v>
      </c>
      <c r="AV105" s="662"/>
    </row>
    <row r="106" spans="2:48" ht="20.149999999999999" customHeight="1">
      <c r="B106" s="804"/>
      <c r="C106" s="827"/>
      <c r="D106" s="827"/>
      <c r="E106" s="827"/>
      <c r="F106" s="828"/>
      <c r="G106" s="827"/>
      <c r="H106" s="827"/>
      <c r="I106" s="820"/>
      <c r="J106" s="677" t="s">
        <v>427</v>
      </c>
      <c r="K106" s="678">
        <v>300</v>
      </c>
      <c r="L106" s="739" t="str">
        <f>IF(OR(L105="",L104=""),"",ABS(L105-K105)*10+ABS(L104-K104)*100)</f>
        <v/>
      </c>
      <c r="M106" s="636"/>
      <c r="N106" s="636"/>
      <c r="O106" s="636"/>
      <c r="P106" s="636"/>
      <c r="Q106" s="636"/>
      <c r="R106" s="636"/>
      <c r="S106" s="636"/>
      <c r="T106" s="636"/>
      <c r="U106" s="636"/>
      <c r="V106" s="636"/>
      <c r="W106" s="636"/>
      <c r="X106" s="636"/>
      <c r="Y106" s="636"/>
      <c r="Z106" s="636"/>
      <c r="AA106" s="636"/>
      <c r="AB106" s="636"/>
      <c r="AC106" s="636"/>
      <c r="AD106" s="636"/>
      <c r="AE106" s="636"/>
      <c r="AF106" s="636"/>
      <c r="AG106" s="636"/>
      <c r="AH106" s="636"/>
      <c r="AI106" s="519"/>
      <c r="AJ106" s="519"/>
      <c r="AK106" s="519"/>
      <c r="AL106" s="519"/>
      <c r="AM106" s="519"/>
      <c r="AN106" s="519"/>
      <c r="AO106" s="519"/>
      <c r="AP106" s="519"/>
      <c r="AQ106" s="519"/>
      <c r="AR106" s="519"/>
      <c r="AS106" s="519"/>
    </row>
    <row r="107" spans="2:48" ht="24.75" customHeight="1">
      <c r="M107" s="519"/>
      <c r="N107" s="519"/>
      <c r="O107" s="519"/>
      <c r="P107" s="519"/>
      <c r="Q107" s="519"/>
      <c r="R107" s="519"/>
      <c r="S107" s="519"/>
      <c r="T107" s="519"/>
      <c r="U107" s="519"/>
      <c r="V107" s="519"/>
      <c r="W107" s="519"/>
      <c r="X107" s="519"/>
      <c r="Y107" s="519"/>
      <c r="Z107" s="519"/>
      <c r="AA107" s="519"/>
      <c r="AB107" s="519"/>
      <c r="AC107" s="519"/>
      <c r="AD107" s="519"/>
      <c r="AE107" s="519"/>
      <c r="AF107" s="519"/>
      <c r="AG107" s="519"/>
      <c r="AH107" s="519"/>
      <c r="AI107" s="519"/>
      <c r="AJ107" s="519"/>
      <c r="AK107" s="519"/>
      <c r="AL107" s="519"/>
      <c r="AM107" s="519"/>
      <c r="AN107" s="519"/>
      <c r="AO107" s="519"/>
      <c r="AP107" s="519"/>
      <c r="AQ107" s="519"/>
      <c r="AR107" s="519"/>
      <c r="AS107" s="519"/>
    </row>
    <row r="108" spans="2:48" ht="24.75" customHeight="1">
      <c r="M108" s="519"/>
      <c r="N108" s="519"/>
      <c r="O108" s="519"/>
      <c r="P108" s="519"/>
      <c r="Q108" s="519"/>
      <c r="R108" s="519"/>
      <c r="S108" s="519"/>
      <c r="T108" s="519"/>
      <c r="U108" s="519"/>
      <c r="V108" s="519"/>
      <c r="W108" s="519"/>
      <c r="X108" s="519"/>
      <c r="Y108" s="519"/>
      <c r="Z108" s="519"/>
      <c r="AA108" s="519"/>
      <c r="AB108" s="519"/>
      <c r="AC108" s="519"/>
      <c r="AD108" s="519"/>
      <c r="AE108" s="519"/>
      <c r="AF108" s="519"/>
      <c r="AG108" s="519"/>
      <c r="AH108" s="519"/>
      <c r="AI108" s="519"/>
      <c r="AJ108" s="519"/>
      <c r="AK108" s="519"/>
      <c r="AL108" s="519"/>
      <c r="AM108" s="519"/>
      <c r="AN108" s="519"/>
      <c r="AO108" s="519"/>
      <c r="AP108" s="519"/>
      <c r="AQ108" s="519"/>
      <c r="AR108" s="519"/>
      <c r="AS108" s="519"/>
    </row>
    <row r="109" spans="2:48" ht="27.75" customHeight="1">
      <c r="M109" s="519"/>
      <c r="N109" s="519"/>
      <c r="O109" s="519"/>
      <c r="P109" s="519"/>
      <c r="Q109" s="519"/>
      <c r="R109" s="519"/>
      <c r="S109" s="519"/>
      <c r="T109" s="519"/>
      <c r="U109" s="519"/>
      <c r="V109" s="519"/>
      <c r="W109" s="519"/>
      <c r="X109" s="519"/>
      <c r="Y109" s="519"/>
      <c r="Z109" s="519"/>
      <c r="AA109" s="519"/>
      <c r="AB109" s="519"/>
      <c r="AC109" s="519"/>
      <c r="AD109" s="519"/>
      <c r="AE109" s="519"/>
      <c r="AF109" s="519"/>
      <c r="AG109" s="519"/>
      <c r="AH109" s="519"/>
      <c r="AI109" s="519"/>
      <c r="AJ109" s="519"/>
      <c r="AK109" s="519"/>
      <c r="AL109" s="519"/>
      <c r="AM109" s="519"/>
      <c r="AN109" s="519"/>
      <c r="AO109" s="519"/>
      <c r="AP109" s="519"/>
      <c r="AQ109" s="519"/>
      <c r="AR109" s="519"/>
      <c r="AS109" s="519"/>
    </row>
  </sheetData>
  <mergeCells count="142">
    <mergeCell ref="EK4:EK7"/>
    <mergeCell ref="CS5:CS7"/>
    <mergeCell ref="DP5:DP7"/>
    <mergeCell ref="DU5:DU7"/>
    <mergeCell ref="EA5:EA7"/>
    <mergeCell ref="EI5:EI7"/>
    <mergeCell ref="EL5:EL7"/>
    <mergeCell ref="B1:M1"/>
    <mergeCell ref="BJ4:BJ7"/>
    <mergeCell ref="BU4:BU7"/>
    <mergeCell ref="CE4:CE7"/>
    <mergeCell ref="DH4:DH7"/>
    <mergeCell ref="DI4:DI7"/>
    <mergeCell ref="L5:L6"/>
    <mergeCell ref="M5:M6"/>
    <mergeCell ref="AU5:AU7"/>
    <mergeCell ref="AV5:AV7"/>
    <mergeCell ref="AX5:AX7"/>
    <mergeCell ref="AY5:AY7"/>
    <mergeCell ref="AZ5:AZ7"/>
    <mergeCell ref="BA5:BA7"/>
    <mergeCell ref="BB5:BB7"/>
    <mergeCell ref="BC5:BC7"/>
    <mergeCell ref="BD5:BD7"/>
    <mergeCell ref="BE5:BE7"/>
    <mergeCell ref="BF5:BF7"/>
    <mergeCell ref="BG5:BG7"/>
    <mergeCell ref="BH5:BH7"/>
    <mergeCell ref="DG4:DG7"/>
    <mergeCell ref="B5:B6"/>
    <mergeCell ref="C5:C6"/>
    <mergeCell ref="D5:E5"/>
    <mergeCell ref="F5:I5"/>
    <mergeCell ref="J5:J6"/>
    <mergeCell ref="K5:K6"/>
    <mergeCell ref="AW5:AW7"/>
    <mergeCell ref="BL5:BL7"/>
    <mergeCell ref="BM5:BM7"/>
    <mergeCell ref="BN5:BN7"/>
    <mergeCell ref="BO5:BO7"/>
    <mergeCell ref="EF4:EF7"/>
    <mergeCell ref="DV5:DV7"/>
    <mergeCell ref="DW5:DW7"/>
    <mergeCell ref="DX5:DX7"/>
    <mergeCell ref="DJ4:DJ7"/>
    <mergeCell ref="DK4:DK7"/>
    <mergeCell ref="DL4:DL7"/>
    <mergeCell ref="DM4:DM7"/>
    <mergeCell ref="DN4:DN7"/>
    <mergeCell ref="DO4:DO7"/>
    <mergeCell ref="DR4:DR7"/>
    <mergeCell ref="DZ4:DZ7"/>
    <mergeCell ref="EE4:EE7"/>
    <mergeCell ref="DS4:DS7"/>
    <mergeCell ref="DT4:DT7"/>
    <mergeCell ref="EN5:EN7"/>
    <mergeCell ref="C7:L7"/>
    <mergeCell ref="DY5:DY7"/>
    <mergeCell ref="EB5:EB7"/>
    <mergeCell ref="EC5:EC7"/>
    <mergeCell ref="ED5:ED7"/>
    <mergeCell ref="DC5:DC7"/>
    <mergeCell ref="DD5:DD7"/>
    <mergeCell ref="DE5:DE7"/>
    <mergeCell ref="DF5:DF7"/>
    <mergeCell ref="DQ5:DQ7"/>
    <mergeCell ref="CW5:CW7"/>
    <mergeCell ref="CX5:CX7"/>
    <mergeCell ref="CY5:CY7"/>
    <mergeCell ref="CZ5:CZ7"/>
    <mergeCell ref="DA5:DA7"/>
    <mergeCell ref="DB5:DB7"/>
    <mergeCell ref="CC5:CC7"/>
    <mergeCell ref="CD5:CD7"/>
    <mergeCell ref="CF5:CF7"/>
    <mergeCell ref="EG4:EG7"/>
    <mergeCell ref="EH4:EH7"/>
    <mergeCell ref="BI5:BI7"/>
    <mergeCell ref="BK5:BK7"/>
    <mergeCell ref="F8:G8"/>
    <mergeCell ref="AI9:AL9"/>
    <mergeCell ref="AI10:AL10"/>
    <mergeCell ref="AV10:AV11"/>
    <mergeCell ref="AW10:AW11"/>
    <mergeCell ref="AX10:AX11"/>
    <mergeCell ref="EJ5:EJ7"/>
    <mergeCell ref="EM5:EM7"/>
    <mergeCell ref="CT5:CT7"/>
    <mergeCell ref="CU5:CU7"/>
    <mergeCell ref="CV5:CV7"/>
    <mergeCell ref="BW5:BW7"/>
    <mergeCell ref="BX5:BX7"/>
    <mergeCell ref="BY5:BY7"/>
    <mergeCell ref="BZ5:BZ7"/>
    <mergeCell ref="CA5:CA7"/>
    <mergeCell ref="CB5:CB7"/>
    <mergeCell ref="BP5:BP7"/>
    <mergeCell ref="BQ5:BQ7"/>
    <mergeCell ref="BR5:BR7"/>
    <mergeCell ref="BS5:BS7"/>
    <mergeCell ref="BT5:BT7"/>
    <mergeCell ref="BV5:BV7"/>
    <mergeCell ref="BE10:BE11"/>
    <mergeCell ref="BC10:BC11"/>
    <mergeCell ref="BD10:BD11"/>
    <mergeCell ref="C53:L53"/>
    <mergeCell ref="C65:L65"/>
    <mergeCell ref="C69:L69"/>
    <mergeCell ref="C72:C73"/>
    <mergeCell ref="D72:D73"/>
    <mergeCell ref="E72:E73"/>
    <mergeCell ref="F72:F73"/>
    <mergeCell ref="G72:G73"/>
    <mergeCell ref="H72:H73"/>
    <mergeCell ref="I72:I73"/>
    <mergeCell ref="C11:L11"/>
    <mergeCell ref="T12:U12"/>
    <mergeCell ref="AL19:AN19"/>
    <mergeCell ref="C34:L34"/>
    <mergeCell ref="T35:U35"/>
    <mergeCell ref="AY10:AY11"/>
    <mergeCell ref="AZ10:AZ11"/>
    <mergeCell ref="BA10:BA11"/>
    <mergeCell ref="BB10:BB11"/>
    <mergeCell ref="C87:L87"/>
    <mergeCell ref="C95:L95"/>
    <mergeCell ref="F96:H96"/>
    <mergeCell ref="E99:F99"/>
    <mergeCell ref="I78:I79"/>
    <mergeCell ref="C80:C81"/>
    <mergeCell ref="D80:D81"/>
    <mergeCell ref="E80:E81"/>
    <mergeCell ref="F80:F81"/>
    <mergeCell ref="G80:G81"/>
    <mergeCell ref="H80:H81"/>
    <mergeCell ref="I80:I81"/>
    <mergeCell ref="C78:C79"/>
    <mergeCell ref="D78:D79"/>
    <mergeCell ref="E78:E79"/>
    <mergeCell ref="F78:F79"/>
    <mergeCell ref="G78:G79"/>
    <mergeCell ref="H78:H79"/>
  </mergeCells>
  <conditionalFormatting sqref="I1:I6 I66:I68 I84:I86 I96:I1048576 I88:I94 I72 I54:I63 I12:I33 I35:I52 I78 I80">
    <cfRule type="cellIs" dxfId="61" priority="28" operator="lessThanOrEqual">
      <formula>0</formula>
    </cfRule>
  </conditionalFormatting>
  <conditionalFormatting sqref="I102">
    <cfRule type="cellIs" dxfId="60" priority="29" operator="lessThanOrEqual">
      <formula>0</formula>
    </cfRule>
    <cfRule type="cellIs" dxfId="59" priority="30" operator="between">
      <formula>$D$102-0.2</formula>
      <formula>$D$102+0.2</formula>
    </cfRule>
    <cfRule type="cellIs" dxfId="58" priority="31" operator="notBetween">
      <formula>$D$102-0.2</formula>
      <formula>$D$102+0.2</formula>
    </cfRule>
  </conditionalFormatting>
  <conditionalFormatting sqref="BU19">
    <cfRule type="cellIs" dxfId="57" priority="26" operator="between">
      <formula>16.25</formula>
      <formula>16.75</formula>
    </cfRule>
    <cfRule type="cellIs" dxfId="56" priority="27" operator="between">
      <formula>17.75</formula>
      <formula>18.25</formula>
    </cfRule>
  </conditionalFormatting>
  <conditionalFormatting sqref="CK19:CO19">
    <cfRule type="cellIs" dxfId="55" priority="25" operator="lessThan">
      <formula>230</formula>
    </cfRule>
  </conditionalFormatting>
  <conditionalFormatting sqref="CL19">
    <cfRule type="cellIs" dxfId="54" priority="24" operator="lessThan">
      <formula>270</formula>
    </cfRule>
  </conditionalFormatting>
  <conditionalFormatting sqref="CM19">
    <cfRule type="cellIs" dxfId="53" priority="23" operator="lessThan">
      <formula>2600</formula>
    </cfRule>
  </conditionalFormatting>
  <conditionalFormatting sqref="I83">
    <cfRule type="cellIs" dxfId="52" priority="22" operator="lessThanOrEqual">
      <formula>0</formula>
    </cfRule>
  </conditionalFormatting>
  <conditionalFormatting sqref="E10">
    <cfRule type="cellIs" dxfId="51" priority="21" operator="lessThanOrEqual">
      <formula>0</formula>
    </cfRule>
  </conditionalFormatting>
  <conditionalFormatting sqref="G10">
    <cfRule type="cellIs" dxfId="50" priority="20" operator="lessThanOrEqual">
      <formula>0</formula>
    </cfRule>
  </conditionalFormatting>
  <conditionalFormatting sqref="I9:I10">
    <cfRule type="cellIs" dxfId="49" priority="19" operator="lessThanOrEqual">
      <formula>0</formula>
    </cfRule>
  </conditionalFormatting>
  <conditionalFormatting sqref="E8">
    <cfRule type="cellIs" dxfId="48" priority="18" operator="lessThanOrEqual">
      <formula>0</formula>
    </cfRule>
  </conditionalFormatting>
  <conditionalFormatting sqref="L84">
    <cfRule type="cellIs" dxfId="47" priority="16" operator="notBetween">
      <formula>K84-0.25</formula>
      <formula>K84+0.25</formula>
    </cfRule>
    <cfRule type="cellIs" dxfId="46" priority="17" operator="between">
      <formula>K84-0.25</formula>
      <formula>K84+0.25</formula>
    </cfRule>
  </conditionalFormatting>
  <conditionalFormatting sqref="L85">
    <cfRule type="containsBlanks" dxfId="45" priority="13">
      <formula>LEN(TRIM(L85))=0</formula>
    </cfRule>
    <cfRule type="cellIs" dxfId="44" priority="14" operator="notBetween">
      <formula>VALUE(LEFT(K85,4))-0.2</formula>
      <formula>VALUE(LEFT(K85,4))+0.2</formula>
    </cfRule>
    <cfRule type="cellIs" dxfId="43" priority="15" operator="between">
      <formula>VALUE(LEFT(K85,4))-0.2</formula>
      <formula>VALUE(LEFT(K85,4))+0.2</formula>
    </cfRule>
  </conditionalFormatting>
  <conditionalFormatting sqref="L96">
    <cfRule type="cellIs" dxfId="42" priority="9" operator="notBetween">
      <formula>VALUE(LEFT(K96,5))</formula>
      <formula>VALUE(RIGHT(K96,5))</formula>
    </cfRule>
    <cfRule type="cellIs" dxfId="41" priority="10" operator="between">
      <formula>VALUE(LEFT(K96,5))</formula>
      <formula>VALUE(RIGHT(K96,5))</formula>
    </cfRule>
  </conditionalFormatting>
  <conditionalFormatting sqref="L96:L97">
    <cfRule type="containsBlanks" dxfId="40" priority="8">
      <formula>LEN(TRIM(L96))=0</formula>
    </cfRule>
  </conditionalFormatting>
  <conditionalFormatting sqref="L97">
    <cfRule type="cellIs" dxfId="39" priority="11" operator="between">
      <formula>VALUE(LEFT(K97,4))</formula>
      <formula>VALUE(RIGHT(K97,4))</formula>
    </cfRule>
    <cfRule type="cellIs" dxfId="38" priority="12" operator="notBetween">
      <formula>VALUE(LEFT(K97,4))</formula>
      <formula>VALUE(RIGHT(K97,4))</formula>
    </cfRule>
  </conditionalFormatting>
  <conditionalFormatting sqref="I70:I71">
    <cfRule type="cellIs" dxfId="37" priority="7" operator="lessThanOrEqual">
      <formula>0</formula>
    </cfRule>
  </conditionalFormatting>
  <conditionalFormatting sqref="L103">
    <cfRule type="cellIs" dxfId="36" priority="1" operator="notBetween">
      <formula>$K$103-0.2</formula>
      <formula>$K$103+0.2</formula>
    </cfRule>
    <cfRule type="cellIs" dxfId="35" priority="2" operator="between">
      <formula>$K$103-0.2</formula>
      <formula>$K$103+0.2</formula>
    </cfRule>
  </conditionalFormatting>
  <conditionalFormatting sqref="L105">
    <cfRule type="cellIs" dxfId="34" priority="5" operator="lessThan">
      <formula>$K$105+20</formula>
    </cfRule>
    <cfRule type="cellIs" dxfId="33" priority="6" operator="greaterThanOrEqual">
      <formula>$K$105+20</formula>
    </cfRule>
  </conditionalFormatting>
  <conditionalFormatting sqref="L106">
    <cfRule type="cellIs" dxfId="32" priority="3" operator="lessThan">
      <formula>$K$106</formula>
    </cfRule>
    <cfRule type="cellIs" dxfId="31" priority="4" operator="greaterThanOrEqual">
      <formula>$K$106</formula>
    </cfRule>
  </conditionalFormatting>
  <dataValidations count="2">
    <dataValidation type="list" allowBlank="1" showInputMessage="1" showErrorMessage="1" sqref="C3" xr:uid="{C9C48EAC-4AB4-485B-8CD9-2A6F9F5950F6}">
      <formula1>$AV$1:$AV$4</formula1>
    </dataValidation>
    <dataValidation type="list" allowBlank="1" showInputMessage="1" showErrorMessage="1" sqref="E8" xr:uid="{B0F18B85-F5F8-45F6-B0C6-D941C662B4CA}">
      <formula1>$AU$1:$AU$4</formula1>
    </dataValidation>
  </dataValidations>
  <printOptions horizontalCentered="1" verticalCentered="1"/>
  <pageMargins left="0.2" right="0" top="0" bottom="0" header="0" footer="0"/>
  <pageSetup paperSize="9" scale="81" orientation="portrait" r:id="rId1"/>
  <headerFooter alignWithMargins="0">
    <oddFooter>Page &amp;P</oddFooter>
  </headerFooter>
  <rowBreaks count="1" manualBreakCount="1">
    <brk id="5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6209" r:id="rId4" name="Check Box 1">
              <controlPr defaultSize="0" autoFill="0" autoLine="0" autoPict="0">
                <anchor moveWithCells="1">
                  <from>
                    <xdr:col>4</xdr:col>
                    <xdr:colOff>139700</xdr:colOff>
                    <xdr:row>37</xdr:row>
                    <xdr:rowOff>50800</xdr:rowOff>
                  </from>
                  <to>
                    <xdr:col>4</xdr:col>
                    <xdr:colOff>349250</xdr:colOff>
                    <xdr:row>37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10" r:id="rId5" name="Check Box 2">
              <controlPr defaultSize="0" autoFill="0" autoLine="0" autoPict="0">
                <anchor moveWithCells="1">
                  <from>
                    <xdr:col>4</xdr:col>
                    <xdr:colOff>127000</xdr:colOff>
                    <xdr:row>15</xdr:row>
                    <xdr:rowOff>38100</xdr:rowOff>
                  </from>
                  <to>
                    <xdr:col>4</xdr:col>
                    <xdr:colOff>342900</xdr:colOff>
                    <xdr:row>15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11" r:id="rId6" name="Check Box 3">
              <controlPr defaultSize="0" autoFill="0" autoLine="0" autoPict="0">
                <anchor moveWithCells="1">
                  <from>
                    <xdr:col>4</xdr:col>
                    <xdr:colOff>139700</xdr:colOff>
                    <xdr:row>73</xdr:row>
                    <xdr:rowOff>44450</xdr:rowOff>
                  </from>
                  <to>
                    <xdr:col>4</xdr:col>
                    <xdr:colOff>349250</xdr:colOff>
                    <xdr:row>73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12" r:id="rId7" name="Check Box 4">
              <controlPr defaultSize="0" autoFill="0" autoLine="0" autoPict="0">
                <anchor moveWithCells="1">
                  <from>
                    <xdr:col>4</xdr:col>
                    <xdr:colOff>139700</xdr:colOff>
                    <xdr:row>74</xdr:row>
                    <xdr:rowOff>44450</xdr:rowOff>
                  </from>
                  <to>
                    <xdr:col>4</xdr:col>
                    <xdr:colOff>349250</xdr:colOff>
                    <xdr:row>74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13" r:id="rId8" name="Check Box 5">
              <controlPr defaultSize="0" autoFill="0" autoLine="0" autoPict="0">
                <anchor moveWithCells="1">
                  <from>
                    <xdr:col>4</xdr:col>
                    <xdr:colOff>139700</xdr:colOff>
                    <xdr:row>75</xdr:row>
                    <xdr:rowOff>44450</xdr:rowOff>
                  </from>
                  <to>
                    <xdr:col>4</xdr:col>
                    <xdr:colOff>349250</xdr:colOff>
                    <xdr:row>75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14" r:id="rId9" name="Check Box 6">
              <controlPr defaultSize="0" autoFill="0" autoLine="0" autoPict="0">
                <anchor moveWithCells="1">
                  <from>
                    <xdr:col>4</xdr:col>
                    <xdr:colOff>139700</xdr:colOff>
                    <xdr:row>76</xdr:row>
                    <xdr:rowOff>44450</xdr:rowOff>
                  </from>
                  <to>
                    <xdr:col>4</xdr:col>
                    <xdr:colOff>349250</xdr:colOff>
                    <xdr:row>76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15" r:id="rId10" name="Check Box 7">
              <controlPr defaultSize="0" autoFill="0" autoLine="0" autoPict="0">
                <anchor moveWithCells="1">
                  <from>
                    <xdr:col>4</xdr:col>
                    <xdr:colOff>139700</xdr:colOff>
                    <xdr:row>82</xdr:row>
                    <xdr:rowOff>88900</xdr:rowOff>
                  </from>
                  <to>
                    <xdr:col>4</xdr:col>
                    <xdr:colOff>349250</xdr:colOff>
                    <xdr:row>82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16" r:id="rId11" name="Check Box 8">
              <controlPr defaultSize="0" autoFill="0" autoLine="0" autoPict="0">
                <anchor moveWithCells="1">
                  <from>
                    <xdr:col>10</xdr:col>
                    <xdr:colOff>241300</xdr:colOff>
                    <xdr:row>9</xdr:row>
                    <xdr:rowOff>69850</xdr:rowOff>
                  </from>
                  <to>
                    <xdr:col>10</xdr:col>
                    <xdr:colOff>457200</xdr:colOff>
                    <xdr:row>9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17" r:id="rId12" name="Check Box 9">
              <controlPr defaultSize="0" autoFill="0" autoLine="0" autoPict="0">
                <anchor moveWithCells="1">
                  <from>
                    <xdr:col>10</xdr:col>
                    <xdr:colOff>450850</xdr:colOff>
                    <xdr:row>57</xdr:row>
                    <xdr:rowOff>63500</xdr:rowOff>
                  </from>
                  <to>
                    <xdr:col>10</xdr:col>
                    <xdr:colOff>673100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18" r:id="rId13" name="Check Box 10">
              <controlPr defaultSize="0" autoFill="0" autoLine="0" autoPict="0">
                <anchor moveWithCells="1">
                  <from>
                    <xdr:col>11</xdr:col>
                    <xdr:colOff>254000</xdr:colOff>
                    <xdr:row>57</xdr:row>
                    <xdr:rowOff>63500</xdr:rowOff>
                  </from>
                  <to>
                    <xdr:col>11</xdr:col>
                    <xdr:colOff>469900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19" r:id="rId14" name="Check Box 11">
              <controlPr defaultSize="0" autoFill="0" autoLine="0" autoPict="0">
                <anchor moveWithCells="1">
                  <from>
                    <xdr:col>10</xdr:col>
                    <xdr:colOff>450850</xdr:colOff>
                    <xdr:row>58</xdr:row>
                    <xdr:rowOff>63500</xdr:rowOff>
                  </from>
                  <to>
                    <xdr:col>10</xdr:col>
                    <xdr:colOff>673100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20" r:id="rId15" name="Check Box 12">
              <controlPr defaultSize="0" autoFill="0" autoLine="0" autoPict="0">
                <anchor moveWithCells="1">
                  <from>
                    <xdr:col>11</xdr:col>
                    <xdr:colOff>254000</xdr:colOff>
                    <xdr:row>58</xdr:row>
                    <xdr:rowOff>63500</xdr:rowOff>
                  </from>
                  <to>
                    <xdr:col>11</xdr:col>
                    <xdr:colOff>469900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21" r:id="rId16" name="Check Box 13">
              <controlPr defaultSize="0" autoFill="0" autoLine="0" autoPict="0">
                <anchor moveWithCells="1">
                  <from>
                    <xdr:col>4</xdr:col>
                    <xdr:colOff>139700</xdr:colOff>
                    <xdr:row>81</xdr:row>
                    <xdr:rowOff>44450</xdr:rowOff>
                  </from>
                  <to>
                    <xdr:col>4</xdr:col>
                    <xdr:colOff>349250</xdr:colOff>
                    <xdr:row>81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22" r:id="rId17" name="Check Box 14">
              <controlPr defaultSize="0" autoFill="0" autoLine="0" autoPict="0">
                <anchor moveWithCells="1">
                  <from>
                    <xdr:col>10</xdr:col>
                    <xdr:colOff>450850</xdr:colOff>
                    <xdr:row>57</xdr:row>
                    <xdr:rowOff>63500</xdr:rowOff>
                  </from>
                  <to>
                    <xdr:col>10</xdr:col>
                    <xdr:colOff>673100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23" r:id="rId18" name="Check Box 15">
              <controlPr defaultSize="0" autoFill="0" autoLine="0" autoPict="0">
                <anchor moveWithCells="1">
                  <from>
                    <xdr:col>11</xdr:col>
                    <xdr:colOff>254000</xdr:colOff>
                    <xdr:row>57</xdr:row>
                    <xdr:rowOff>63500</xdr:rowOff>
                  </from>
                  <to>
                    <xdr:col>11</xdr:col>
                    <xdr:colOff>469900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24" r:id="rId19" name="Check Box 16">
              <controlPr defaultSize="0" autoFill="0" autoLine="0" autoPict="0">
                <anchor moveWithCells="1">
                  <from>
                    <xdr:col>10</xdr:col>
                    <xdr:colOff>450850</xdr:colOff>
                    <xdr:row>58</xdr:row>
                    <xdr:rowOff>63500</xdr:rowOff>
                  </from>
                  <to>
                    <xdr:col>10</xdr:col>
                    <xdr:colOff>673100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25" r:id="rId20" name="Check Box 17">
              <controlPr defaultSize="0" autoFill="0" autoLine="0" autoPict="0">
                <anchor moveWithCells="1">
                  <from>
                    <xdr:col>11</xdr:col>
                    <xdr:colOff>254000</xdr:colOff>
                    <xdr:row>58</xdr:row>
                    <xdr:rowOff>63500</xdr:rowOff>
                  </from>
                  <to>
                    <xdr:col>11</xdr:col>
                    <xdr:colOff>469900</xdr:colOff>
                    <xdr:row>58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91F5-7CF6-4AE9-B74B-7FF5841D4015}">
  <sheetPr>
    <tabColor rgb="FFFF0000"/>
  </sheetPr>
  <dimension ref="B1:ER109"/>
  <sheetViews>
    <sheetView zoomScaleNormal="100" workbookViewId="0">
      <pane xSplit="45" topLeftCell="AT1" activePane="topRight" state="frozen"/>
      <selection activeCell="H2" sqref="H2"/>
      <selection pane="topRight" activeCell="H2" sqref="H2"/>
    </sheetView>
  </sheetViews>
  <sheetFormatPr defaultColWidth="9.1796875" defaultRowHeight="12.5"/>
  <cols>
    <col min="1" max="1" width="2.1796875" style="661" customWidth="1"/>
    <col min="2" max="2" width="6.1796875" style="665" customWidth="1"/>
    <col min="3" max="3" width="31.81640625" style="666" customWidth="1"/>
    <col min="4" max="4" width="7.54296875" style="667" customWidth="1"/>
    <col min="5" max="5" width="7.1796875" style="667" customWidth="1"/>
    <col min="6" max="6" width="9.54296875" style="667" customWidth="1"/>
    <col min="7" max="7" width="9.453125" style="667" customWidth="1"/>
    <col min="8" max="8" width="7.81640625" style="667" customWidth="1"/>
    <col min="9" max="9" width="8.453125" style="667" customWidth="1"/>
    <col min="10" max="10" width="19.81640625" style="668" customWidth="1"/>
    <col min="11" max="11" width="10.54296875" style="669" customWidth="1"/>
    <col min="12" max="12" width="7.81640625" style="670" customWidth="1"/>
    <col min="13" max="13" width="7.453125" style="661" hidden="1" customWidth="1"/>
    <col min="14" max="19" width="8" style="661" hidden="1" customWidth="1"/>
    <col min="20" max="20" width="9.1796875" style="661" hidden="1" customWidth="1"/>
    <col min="21" max="21" width="11.1796875" style="661" hidden="1" customWidth="1"/>
    <col min="22" max="23" width="9.1796875" style="661" hidden="1" customWidth="1"/>
    <col min="24" max="24" width="9.1796875" style="661" hidden="1" customWidth="1" collapsed="1"/>
    <col min="25" max="34" width="9.1796875" style="661" hidden="1" customWidth="1"/>
    <col min="35" max="35" width="6.54296875" style="661" hidden="1" customWidth="1"/>
    <col min="36" max="37" width="9.1796875" style="661" hidden="1" customWidth="1"/>
    <col min="38" max="38" width="10.1796875" style="661" hidden="1" customWidth="1"/>
    <col min="39" max="39" width="13" style="661" hidden="1" customWidth="1"/>
    <col min="40" max="40" width="11.81640625" style="661" hidden="1" customWidth="1"/>
    <col min="41" max="41" width="14.1796875" style="661" hidden="1" customWidth="1"/>
    <col min="42" max="42" width="16.1796875" style="661" hidden="1" customWidth="1"/>
    <col min="43" max="43" width="13.81640625" style="661" hidden="1" customWidth="1"/>
    <col min="44" max="44" width="13" style="661" hidden="1" customWidth="1"/>
    <col min="45" max="45" width="9.1796875" style="661" hidden="1" customWidth="1"/>
    <col min="46" max="46" width="9.1796875" style="661" customWidth="1"/>
    <col min="47" max="47" width="5.54296875" style="661" customWidth="1"/>
    <col min="48" max="48" width="12" style="661" customWidth="1"/>
    <col min="49" max="49" width="11.54296875" style="661" customWidth="1"/>
    <col min="50" max="50" width="12.1796875" style="661" customWidth="1"/>
    <col min="51" max="51" width="6.1796875" style="661" customWidth="1"/>
    <col min="52" max="52" width="6.54296875" style="661" customWidth="1"/>
    <col min="53" max="53" width="10.1796875" style="661" customWidth="1"/>
    <col min="54" max="54" width="6.54296875" style="661" customWidth="1"/>
    <col min="55" max="55" width="7.81640625" style="661" customWidth="1"/>
    <col min="56" max="56" width="11.1796875" style="661" customWidth="1"/>
    <col min="57" max="57" width="11.54296875" style="661" bestFit="1" customWidth="1"/>
    <col min="58" max="58" width="5.54296875" style="661" customWidth="1"/>
    <col min="59" max="60" width="6.81640625" style="661" customWidth="1"/>
    <col min="61" max="61" width="8.54296875" style="661" customWidth="1"/>
    <col min="62" max="62" width="8.81640625" style="661" customWidth="1"/>
    <col min="63" max="65" width="9.1796875" style="661" customWidth="1"/>
    <col min="66" max="66" width="7.54296875" style="661" customWidth="1"/>
    <col min="67" max="67" width="7.1796875" style="661" customWidth="1"/>
    <col min="68" max="68" width="8.81640625" style="661" customWidth="1"/>
    <col min="69" max="69" width="7.54296875" style="661" customWidth="1"/>
    <col min="70" max="70" width="8.1796875" style="661" customWidth="1"/>
    <col min="71" max="71" width="7.1796875" style="661" customWidth="1"/>
    <col min="72" max="72" width="6.54296875" style="661" customWidth="1"/>
    <col min="73" max="73" width="9.1796875" style="661" customWidth="1"/>
    <col min="74" max="74" width="7.1796875" style="661" customWidth="1"/>
    <col min="75" max="75" width="5.81640625" style="661" customWidth="1"/>
    <col min="76" max="78" width="6.1796875" style="661" customWidth="1"/>
    <col min="79" max="80" width="9.1796875" style="661" customWidth="1"/>
    <col min="81" max="81" width="5.54296875" style="661" customWidth="1"/>
    <col min="82" max="82" width="6" style="661" customWidth="1"/>
    <col min="83" max="83" width="5.453125" style="661" customWidth="1"/>
    <col min="84" max="97" width="6.81640625" style="661" customWidth="1"/>
    <col min="98" max="98" width="7.54296875" style="661" customWidth="1"/>
    <col min="99" max="99" width="6.1796875" style="661" customWidth="1"/>
    <col min="100" max="100" width="6" style="661" customWidth="1"/>
    <col min="101" max="101" width="6.453125" style="661" customWidth="1"/>
    <col min="102" max="102" width="5.453125" style="661" customWidth="1"/>
    <col min="103" max="103" width="6.81640625" style="661" customWidth="1"/>
    <col min="104" max="104" width="6.453125" style="661" customWidth="1"/>
    <col min="105" max="105" width="11.54296875" style="661" customWidth="1"/>
    <col min="106" max="106" width="7.81640625" style="661" customWidth="1"/>
    <col min="107" max="107" width="7.453125" style="661" customWidth="1"/>
    <col min="108" max="108" width="6.1796875" style="661" customWidth="1"/>
    <col min="109" max="109" width="6.81640625" style="661" customWidth="1"/>
    <col min="110" max="110" width="5.1796875" style="661" customWidth="1"/>
    <col min="111" max="112" width="8" style="661" customWidth="1"/>
    <col min="113" max="113" width="7.453125" style="661" customWidth="1"/>
    <col min="114" max="116" width="6.1796875" style="661" customWidth="1"/>
    <col min="117" max="117" width="6.81640625" style="661" customWidth="1"/>
    <col min="118" max="118" width="10.1796875" style="661" customWidth="1"/>
    <col min="119" max="119" width="6" style="661" customWidth="1"/>
    <col min="120" max="120" width="6.81640625" style="661" customWidth="1"/>
    <col min="121" max="121" width="7" style="661" customWidth="1"/>
    <col min="122" max="122" width="7.54296875" style="661" customWidth="1"/>
    <col min="123" max="124" width="9.1796875" style="661" customWidth="1"/>
    <col min="125" max="125" width="6.1796875" style="661" customWidth="1"/>
    <col min="126" max="126" width="7.1796875" style="661" customWidth="1"/>
    <col min="127" max="127" width="6.54296875" style="661" customWidth="1"/>
    <col min="128" max="128" width="5.1796875" style="661" customWidth="1"/>
    <col min="129" max="129" width="6.81640625" style="661" customWidth="1"/>
    <col min="130" max="130" width="8.1796875" style="661" customWidth="1"/>
    <col min="131" max="131" width="7" style="661" customWidth="1"/>
    <col min="132" max="132" width="6.1796875" style="661" customWidth="1"/>
    <col min="133" max="133" width="7.1796875" style="661" customWidth="1"/>
    <col min="134" max="134" width="6.81640625" style="661" customWidth="1"/>
    <col min="135" max="135" width="7.1796875" style="661" customWidth="1"/>
    <col min="136" max="136" width="7.453125" style="661" customWidth="1"/>
    <col min="137" max="137" width="7.54296875" style="661" customWidth="1"/>
    <col min="138" max="138" width="6.1796875" style="661" customWidth="1"/>
    <col min="139" max="140" width="6.81640625" style="661" customWidth="1"/>
    <col min="141" max="141" width="6.54296875" style="661" customWidth="1"/>
    <col min="142" max="142" width="5.1796875" style="661" customWidth="1"/>
    <col min="143" max="143" width="7.81640625" style="661" customWidth="1"/>
    <col min="144" max="144" width="5.81640625" style="661" customWidth="1"/>
    <col min="145" max="145" width="5.54296875" style="661" customWidth="1"/>
    <col min="146" max="146" width="9.1796875" style="661" customWidth="1"/>
    <col min="147" max="16384" width="9.1796875" style="661"/>
  </cols>
  <sheetData>
    <row r="1" spans="2:148" s="660" customFormat="1" ht="33.75" customHeight="1" thickBot="1">
      <c r="B1" s="994" t="s">
        <v>24</v>
      </c>
      <c r="C1" s="994"/>
      <c r="D1" s="994"/>
      <c r="E1" s="994"/>
      <c r="F1" s="994"/>
      <c r="G1" s="994"/>
      <c r="H1" s="994"/>
      <c r="I1" s="994"/>
      <c r="J1" s="994"/>
      <c r="K1" s="994"/>
      <c r="L1" s="994"/>
      <c r="M1" s="994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3"/>
      <c r="AG1" s="233"/>
      <c r="AH1" s="233"/>
      <c r="AI1" s="233"/>
      <c r="AJ1" s="233"/>
      <c r="AK1" s="233"/>
      <c r="AL1" s="233"/>
      <c r="AM1" s="233"/>
      <c r="AN1" s="233"/>
      <c r="AO1" s="233"/>
      <c r="AP1" s="233"/>
      <c r="AQ1" s="233"/>
      <c r="AR1" s="233"/>
      <c r="AS1" s="233"/>
      <c r="AU1" s="720">
        <v>1</v>
      </c>
      <c r="AV1" s="721" t="s">
        <v>25</v>
      </c>
      <c r="AW1" s="672"/>
      <c r="AX1" s="672"/>
      <c r="AY1" s="672"/>
      <c r="AZ1" s="672"/>
      <c r="BA1" s="672"/>
      <c r="BB1" s="672"/>
      <c r="BC1" s="672"/>
      <c r="BD1" s="672"/>
      <c r="BE1" s="672"/>
      <c r="BF1" s="672"/>
      <c r="BG1" s="672"/>
      <c r="BH1" s="672"/>
      <c r="BI1" s="672"/>
      <c r="BJ1" s="672"/>
      <c r="BK1" s="672"/>
      <c r="BL1" s="672"/>
      <c r="BM1" s="672"/>
      <c r="BN1" s="672"/>
      <c r="BO1" s="672"/>
      <c r="BP1" s="672"/>
      <c r="BQ1" s="672"/>
      <c r="BR1" s="672"/>
      <c r="BS1" s="672"/>
      <c r="BT1" s="672"/>
      <c r="BU1" s="672"/>
      <c r="BV1" s="672"/>
      <c r="BW1" s="672"/>
      <c r="BX1" s="672"/>
      <c r="BY1" s="672"/>
      <c r="BZ1" s="672"/>
      <c r="CA1" s="672"/>
      <c r="CB1" s="672"/>
      <c r="CC1" s="672"/>
      <c r="CD1" s="672"/>
      <c r="CE1" s="672"/>
      <c r="CF1" s="672"/>
      <c r="CG1" s="672"/>
      <c r="CH1" s="672"/>
      <c r="CI1" s="672"/>
      <c r="CJ1" s="672"/>
      <c r="CK1" s="672"/>
      <c r="CL1" s="672"/>
      <c r="CM1" s="672"/>
      <c r="CN1" s="672"/>
      <c r="CO1" s="672"/>
      <c r="CP1" s="672"/>
      <c r="CQ1" s="672"/>
      <c r="CR1" s="672"/>
      <c r="CS1" s="672"/>
      <c r="CT1" s="672"/>
      <c r="CU1" s="672"/>
      <c r="CV1" s="672"/>
      <c r="CW1" s="672"/>
      <c r="CX1" s="672"/>
      <c r="CY1" s="672"/>
      <c r="CZ1" s="672"/>
      <c r="DA1" s="672"/>
      <c r="DB1" s="672"/>
      <c r="DC1" s="672"/>
      <c r="DD1" s="672"/>
      <c r="DE1" s="672"/>
      <c r="DF1" s="672"/>
      <c r="DG1" s="672"/>
      <c r="DH1" s="672"/>
      <c r="DI1" s="672"/>
      <c r="DJ1" s="672"/>
      <c r="DK1" s="672"/>
      <c r="DL1" s="672"/>
      <c r="DM1" s="672"/>
      <c r="DN1" s="672"/>
      <c r="DO1" s="672"/>
      <c r="DP1" s="672"/>
      <c r="DQ1" s="672"/>
      <c r="DR1" s="672"/>
      <c r="DS1" s="672"/>
      <c r="DT1" s="672"/>
      <c r="DU1" s="672"/>
      <c r="DV1" s="672"/>
      <c r="DW1" s="672"/>
      <c r="DX1" s="672"/>
      <c r="DY1" s="672"/>
      <c r="DZ1" s="672"/>
      <c r="EA1" s="672"/>
      <c r="EB1" s="672"/>
      <c r="EC1" s="672"/>
      <c r="ED1" s="672"/>
      <c r="EE1" s="672"/>
      <c r="EF1" s="672"/>
      <c r="EG1" s="672"/>
      <c r="EH1" s="672"/>
      <c r="EI1" s="672"/>
      <c r="EJ1" s="672"/>
      <c r="EK1" s="672"/>
      <c r="EL1" s="672"/>
      <c r="EM1" s="672"/>
      <c r="EN1" s="672"/>
      <c r="EO1" s="672"/>
      <c r="EP1" s="672"/>
      <c r="EQ1" s="671"/>
      <c r="ER1" s="671"/>
    </row>
    <row r="2" spans="2:148" s="660" customFormat="1" ht="14.5">
      <c r="B2" s="798"/>
      <c r="C2" s="798" t="s">
        <v>26</v>
      </c>
      <c r="D2" s="799" t="s">
        <v>27</v>
      </c>
      <c r="E2" s="752" t="s">
        <v>28</v>
      </c>
      <c r="F2" s="752"/>
      <c r="G2" s="799" t="s">
        <v>29</v>
      </c>
      <c r="H2" s="832"/>
      <c r="I2" s="798"/>
      <c r="J2" s="800"/>
      <c r="K2" s="801"/>
      <c r="L2" s="802"/>
      <c r="M2" s="803"/>
      <c r="N2" s="233"/>
      <c r="O2" s="233"/>
      <c r="P2" s="233"/>
      <c r="Q2" s="233"/>
      <c r="R2" s="233"/>
      <c r="S2" s="233"/>
      <c r="T2" s="233"/>
      <c r="U2" s="233"/>
      <c r="V2" s="233"/>
      <c r="W2" s="233"/>
      <c r="X2" s="233"/>
      <c r="Y2" s="233"/>
      <c r="Z2" s="233"/>
      <c r="AA2" s="233"/>
      <c r="AB2" s="233"/>
      <c r="AC2" s="233"/>
      <c r="AD2" s="233"/>
      <c r="AE2" s="233"/>
      <c r="AF2" s="233"/>
      <c r="AG2" s="233"/>
      <c r="AH2" s="233"/>
      <c r="AI2" s="233"/>
      <c r="AJ2" s="233"/>
      <c r="AK2" s="233"/>
      <c r="AL2" s="515" t="s">
        <v>30</v>
      </c>
      <c r="AM2" s="516" t="s">
        <v>31</v>
      </c>
      <c r="AN2" s="516" t="s">
        <v>32</v>
      </c>
      <c r="AO2" s="233"/>
      <c r="AP2" s="233"/>
      <c r="AQ2" s="233"/>
      <c r="AR2" s="233"/>
      <c r="AS2" s="233"/>
      <c r="AU2" s="720">
        <v>2</v>
      </c>
      <c r="AV2" s="721" t="s">
        <v>33</v>
      </c>
      <c r="AW2" s="672"/>
      <c r="AX2" s="672"/>
      <c r="AY2" s="673"/>
      <c r="AZ2" s="674"/>
      <c r="BA2" s="672"/>
      <c r="BB2" s="674"/>
      <c r="BC2" s="672"/>
      <c r="BD2" s="672"/>
      <c r="BE2" s="672"/>
      <c r="BF2" s="672"/>
      <c r="BG2" s="672"/>
      <c r="BH2" s="672"/>
      <c r="BI2" s="672"/>
      <c r="BJ2" s="672"/>
      <c r="BK2" s="672"/>
      <c r="BL2" s="672"/>
      <c r="BM2" s="672"/>
      <c r="BN2" s="672"/>
      <c r="BO2" s="672"/>
      <c r="BP2" s="672"/>
      <c r="BQ2" s="672"/>
      <c r="BR2" s="672"/>
      <c r="BS2" s="672"/>
      <c r="BT2" s="672"/>
      <c r="BU2" s="672"/>
      <c r="BV2" s="672"/>
      <c r="BW2" s="672"/>
      <c r="BX2" s="672"/>
      <c r="BY2" s="672"/>
      <c r="BZ2" s="672"/>
      <c r="CA2" s="672"/>
      <c r="CB2" s="672"/>
      <c r="CC2" s="672"/>
      <c r="CD2" s="672"/>
      <c r="CE2" s="672"/>
      <c r="CF2" s="672"/>
      <c r="CG2" s="672"/>
      <c r="CH2" s="672"/>
      <c r="CI2" s="672"/>
      <c r="CJ2" s="672"/>
      <c r="CK2" s="672"/>
      <c r="CL2" s="672"/>
      <c r="CM2" s="672"/>
      <c r="CN2" s="672"/>
      <c r="CO2" s="672"/>
      <c r="CP2" s="672"/>
      <c r="CQ2" s="672"/>
      <c r="CR2" s="672"/>
      <c r="CS2" s="672"/>
      <c r="CT2" s="672"/>
      <c r="CU2" s="672"/>
      <c r="CV2" s="672"/>
      <c r="CW2" s="672"/>
      <c r="CX2" s="672"/>
      <c r="CY2" s="672"/>
      <c r="CZ2" s="672"/>
      <c r="DA2" s="672"/>
      <c r="DB2" s="672"/>
      <c r="DC2" s="672"/>
      <c r="DD2" s="672"/>
      <c r="DE2" s="672"/>
      <c r="DF2" s="672"/>
      <c r="DG2" s="672"/>
      <c r="DH2" s="672"/>
      <c r="DI2" s="672"/>
      <c r="DJ2" s="672"/>
      <c r="DK2" s="672"/>
      <c r="DL2" s="672"/>
      <c r="DM2" s="672"/>
      <c r="DN2" s="672"/>
      <c r="DO2" s="672"/>
      <c r="DP2" s="672"/>
      <c r="DQ2" s="672"/>
      <c r="DR2" s="672"/>
      <c r="DS2" s="672"/>
      <c r="DT2" s="672"/>
      <c r="DU2" s="672"/>
      <c r="DV2" s="672"/>
      <c r="DW2" s="672"/>
      <c r="DX2" s="672"/>
      <c r="DY2" s="672"/>
      <c r="DZ2" s="672"/>
      <c r="EA2" s="672"/>
      <c r="EB2" s="672"/>
      <c r="EC2" s="672"/>
      <c r="ED2" s="672"/>
      <c r="EE2" s="672"/>
      <c r="EF2" s="672"/>
      <c r="EG2" s="672"/>
      <c r="EH2" s="672"/>
      <c r="EI2" s="672"/>
      <c r="EJ2" s="672"/>
      <c r="EK2" s="672"/>
      <c r="EL2" s="672"/>
      <c r="EM2" s="672"/>
      <c r="EN2" s="672"/>
      <c r="EO2" s="672"/>
      <c r="EP2" s="672"/>
      <c r="EQ2" s="671"/>
      <c r="ER2" s="671"/>
    </row>
    <row r="3" spans="2:148" s="660" customFormat="1" ht="15" thickBot="1">
      <c r="B3" s="798"/>
      <c r="C3" s="831"/>
      <c r="D3" s="801" t="s">
        <v>35</v>
      </c>
      <c r="E3" s="801">
        <v>10026</v>
      </c>
      <c r="F3" s="801"/>
      <c r="G3" s="800" t="s">
        <v>36</v>
      </c>
      <c r="H3" s="832">
        <f>10000+H2</f>
        <v>10000</v>
      </c>
      <c r="I3" s="800" t="s">
        <v>37</v>
      </c>
      <c r="J3" s="833"/>
      <c r="K3" s="800" t="s">
        <v>38</v>
      </c>
      <c r="L3" s="834">
        <f>'10027'!L3</f>
        <v>14</v>
      </c>
      <c r="M3" s="798"/>
      <c r="N3" s="233"/>
      <c r="O3" s="233"/>
      <c r="P3" s="233">
        <f>36+5</f>
        <v>41</v>
      </c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517" t="e">
        <f>(K9)/(D9+K15)*100</f>
        <v>#VALUE!</v>
      </c>
      <c r="AM3" s="518" t="e">
        <f>(K8)/(D8-K15)*100</f>
        <v>#VALUE!</v>
      </c>
      <c r="AN3" s="518" t="e">
        <f>(K8+K9)/(D8+D9)*100</f>
        <v>#VALUE!</v>
      </c>
      <c r="AO3" s="233"/>
      <c r="AP3" s="233"/>
      <c r="AQ3" s="233"/>
      <c r="AR3" s="233"/>
      <c r="AS3" s="233"/>
      <c r="AU3" s="720">
        <v>3</v>
      </c>
      <c r="AV3" s="721" t="s">
        <v>34</v>
      </c>
    </row>
    <row r="4" spans="2:148" ht="15.75" customHeight="1" thickBot="1">
      <c r="B4" s="804"/>
      <c r="C4" s="805"/>
      <c r="D4" s="806"/>
      <c r="E4" s="806"/>
      <c r="F4" s="806"/>
      <c r="G4" s="806"/>
      <c r="H4" s="806"/>
      <c r="I4" s="806"/>
      <c r="J4" s="807"/>
      <c r="K4" s="808"/>
      <c r="L4" s="809"/>
      <c r="M4" s="810"/>
      <c r="N4" s="519"/>
      <c r="O4" s="519"/>
      <c r="P4" s="519">
        <f>P3+15</f>
        <v>56</v>
      </c>
      <c r="Q4" s="519"/>
      <c r="R4" s="519"/>
      <c r="S4" s="519"/>
      <c r="T4" s="520" t="s">
        <v>39</v>
      </c>
      <c r="U4" s="519"/>
      <c r="V4" s="519"/>
      <c r="W4" s="519"/>
      <c r="X4" s="519"/>
      <c r="Y4" s="519"/>
      <c r="Z4" s="519"/>
      <c r="AA4" s="519"/>
      <c r="AB4" s="519"/>
      <c r="AC4" s="519"/>
      <c r="AD4" s="519"/>
      <c r="AE4" s="519"/>
      <c r="AF4" s="519"/>
      <c r="AG4" s="519"/>
      <c r="AH4" s="519"/>
      <c r="AI4" s="519"/>
      <c r="AJ4" s="519"/>
      <c r="AK4" s="519"/>
      <c r="AL4" s="519"/>
      <c r="AM4" s="519"/>
      <c r="AN4" s="519"/>
      <c r="AO4" s="519"/>
      <c r="AP4" s="519"/>
      <c r="AQ4" s="519"/>
      <c r="AR4" s="519"/>
      <c r="AS4" s="519"/>
      <c r="AV4" s="811"/>
      <c r="BJ4" s="989" t="s">
        <v>40</v>
      </c>
      <c r="BU4" s="989" t="s">
        <v>41</v>
      </c>
      <c r="CE4" s="989" t="s">
        <v>42</v>
      </c>
      <c r="DG4" s="980" t="s">
        <v>43</v>
      </c>
      <c r="DH4" s="980" t="s">
        <v>44</v>
      </c>
      <c r="DI4" s="980" t="s">
        <v>45</v>
      </c>
      <c r="DJ4" s="980" t="s">
        <v>46</v>
      </c>
      <c r="DK4" s="980" t="s">
        <v>46</v>
      </c>
      <c r="DL4" s="980" t="s">
        <v>47</v>
      </c>
      <c r="DM4" s="981" t="s">
        <v>48</v>
      </c>
      <c r="DN4" s="980" t="s">
        <v>49</v>
      </c>
      <c r="DO4" s="980" t="s">
        <v>50</v>
      </c>
      <c r="DR4" s="980" t="s">
        <v>51</v>
      </c>
      <c r="DS4" s="980" t="s">
        <v>52</v>
      </c>
      <c r="DT4" s="980" t="s">
        <v>53</v>
      </c>
      <c r="DZ4" s="980" t="s">
        <v>54</v>
      </c>
      <c r="EE4" s="980" t="s">
        <v>55</v>
      </c>
      <c r="EF4" s="980" t="s">
        <v>56</v>
      </c>
      <c r="EG4" s="980" t="s">
        <v>57</v>
      </c>
      <c r="EH4" s="980" t="s">
        <v>58</v>
      </c>
      <c r="EK4" s="989" t="s">
        <v>59</v>
      </c>
    </row>
    <row r="5" spans="2:148" s="695" customFormat="1" ht="15" customHeight="1">
      <c r="B5" s="982" t="s">
        <v>60</v>
      </c>
      <c r="C5" s="984" t="s">
        <v>61</v>
      </c>
      <c r="D5" s="986" t="s">
        <v>62</v>
      </c>
      <c r="E5" s="986"/>
      <c r="F5" s="986" t="s">
        <v>63</v>
      </c>
      <c r="G5" s="986"/>
      <c r="H5" s="986"/>
      <c r="I5" s="986"/>
      <c r="J5" s="984" t="s">
        <v>64</v>
      </c>
      <c r="K5" s="987" t="s">
        <v>65</v>
      </c>
      <c r="L5" s="995" t="s">
        <v>66</v>
      </c>
      <c r="M5" s="997" t="s">
        <v>67</v>
      </c>
      <c r="N5" s="693"/>
      <c r="O5" s="693"/>
      <c r="P5" s="693"/>
      <c r="Q5" s="693"/>
      <c r="R5" s="693"/>
      <c r="S5" s="693"/>
      <c r="T5" s="693"/>
      <c r="U5" s="693"/>
      <c r="V5" s="693"/>
      <c r="W5" s="693"/>
      <c r="X5" s="693"/>
      <c r="Y5" s="693"/>
      <c r="Z5" s="693"/>
      <c r="AA5" s="693"/>
      <c r="AB5" s="693"/>
      <c r="AC5" s="693"/>
      <c r="AD5" s="693"/>
      <c r="AE5" s="693"/>
      <c r="AF5" s="693"/>
      <c r="AG5" s="693"/>
      <c r="AH5" s="693"/>
      <c r="AI5" s="694"/>
      <c r="AJ5" s="693"/>
      <c r="AK5" s="693" t="s">
        <v>68</v>
      </c>
      <c r="AL5" s="693"/>
      <c r="AM5" s="693"/>
      <c r="AN5" s="693"/>
      <c r="AO5" s="693"/>
      <c r="AP5" s="693"/>
      <c r="AQ5" s="693"/>
      <c r="AR5" s="693"/>
      <c r="AS5" s="693"/>
      <c r="AU5" s="980" t="s">
        <v>69</v>
      </c>
      <c r="AV5" s="980" t="s">
        <v>70</v>
      </c>
      <c r="AW5" s="980" t="s">
        <v>71</v>
      </c>
      <c r="AX5" s="971" t="s">
        <v>72</v>
      </c>
      <c r="AY5" s="971" t="s">
        <v>73</v>
      </c>
      <c r="AZ5" s="980" t="s">
        <v>74</v>
      </c>
      <c r="BA5" s="980" t="s">
        <v>75</v>
      </c>
      <c r="BB5" s="980" t="s">
        <v>76</v>
      </c>
      <c r="BC5" s="971" t="s">
        <v>77</v>
      </c>
      <c r="BD5" s="971" t="s">
        <v>78</v>
      </c>
      <c r="BE5" s="971" t="s">
        <v>79</v>
      </c>
      <c r="BF5" s="971" t="s">
        <v>71</v>
      </c>
      <c r="BG5" s="971" t="s">
        <v>80</v>
      </c>
      <c r="BH5" s="971" t="s">
        <v>81</v>
      </c>
      <c r="BI5" s="971" t="s">
        <v>82</v>
      </c>
      <c r="BJ5" s="989"/>
      <c r="BK5" s="971" t="s">
        <v>83</v>
      </c>
      <c r="BL5" s="971" t="s">
        <v>84</v>
      </c>
      <c r="BM5" s="971" t="s">
        <v>85</v>
      </c>
      <c r="BN5" s="971" t="s">
        <v>74</v>
      </c>
      <c r="BO5" s="971" t="s">
        <v>86</v>
      </c>
      <c r="BP5" s="971" t="s">
        <v>87</v>
      </c>
      <c r="BQ5" s="971" t="s">
        <v>88</v>
      </c>
      <c r="BR5" s="971" t="s">
        <v>89</v>
      </c>
      <c r="BS5" s="971" t="s">
        <v>90</v>
      </c>
      <c r="BT5" s="971" t="s">
        <v>91</v>
      </c>
      <c r="BU5" s="989"/>
      <c r="BV5" s="971" t="s">
        <v>92</v>
      </c>
      <c r="BW5" s="971" t="s">
        <v>93</v>
      </c>
      <c r="BX5" s="971" t="s">
        <v>94</v>
      </c>
      <c r="BY5" s="971" t="s">
        <v>95</v>
      </c>
      <c r="BZ5" s="971" t="s">
        <v>96</v>
      </c>
      <c r="CA5" s="971" t="s">
        <v>97</v>
      </c>
      <c r="CB5" s="971" t="s">
        <v>98</v>
      </c>
      <c r="CC5" s="971" t="s">
        <v>99</v>
      </c>
      <c r="CD5" s="971" t="s">
        <v>100</v>
      </c>
      <c r="CE5" s="989"/>
      <c r="CF5" s="971" t="s">
        <v>101</v>
      </c>
      <c r="CG5" s="914"/>
      <c r="CH5" s="914"/>
      <c r="CI5" s="914"/>
      <c r="CJ5" s="914"/>
      <c r="CK5" s="914"/>
      <c r="CL5" s="914"/>
      <c r="CM5" s="914"/>
      <c r="CN5" s="914"/>
      <c r="CO5" s="914"/>
      <c r="CP5" s="914"/>
      <c r="CQ5" s="914"/>
      <c r="CR5" s="914"/>
      <c r="CS5" s="971" t="s">
        <v>102</v>
      </c>
      <c r="CT5" s="971" t="s">
        <v>103</v>
      </c>
      <c r="CU5" s="971" t="s">
        <v>104</v>
      </c>
      <c r="CV5" s="971" t="s">
        <v>105</v>
      </c>
      <c r="CW5" s="971" t="s">
        <v>105</v>
      </c>
      <c r="CX5" s="971" t="s">
        <v>106</v>
      </c>
      <c r="CY5" s="971" t="s">
        <v>107</v>
      </c>
      <c r="CZ5" s="971" t="s">
        <v>108</v>
      </c>
      <c r="DA5" s="971" t="s">
        <v>109</v>
      </c>
      <c r="DB5" s="971" t="s">
        <v>110</v>
      </c>
      <c r="DC5" s="971" t="s">
        <v>111</v>
      </c>
      <c r="DD5" s="971" t="s">
        <v>112</v>
      </c>
      <c r="DE5" s="971" t="s">
        <v>113</v>
      </c>
      <c r="DF5" s="977" t="s">
        <v>114</v>
      </c>
      <c r="DG5" s="980"/>
      <c r="DH5" s="980"/>
      <c r="DI5" s="980"/>
      <c r="DJ5" s="980"/>
      <c r="DK5" s="980"/>
      <c r="DL5" s="980"/>
      <c r="DM5" s="981"/>
      <c r="DN5" s="980"/>
      <c r="DO5" s="980"/>
      <c r="DP5" s="991" t="s">
        <v>115</v>
      </c>
      <c r="DQ5" s="977" t="s">
        <v>116</v>
      </c>
      <c r="DR5" s="980"/>
      <c r="DS5" s="980"/>
      <c r="DT5" s="980"/>
      <c r="DU5" s="971" t="s">
        <v>117</v>
      </c>
      <c r="DV5" s="971" t="s">
        <v>118</v>
      </c>
      <c r="DW5" s="971" t="s">
        <v>119</v>
      </c>
      <c r="DX5" s="971" t="s">
        <v>120</v>
      </c>
      <c r="DY5" s="977" t="s">
        <v>121</v>
      </c>
      <c r="DZ5" s="980"/>
      <c r="EA5" s="971" t="s">
        <v>122</v>
      </c>
      <c r="EB5" s="971" t="s">
        <v>123</v>
      </c>
      <c r="EC5" s="971" t="s">
        <v>124</v>
      </c>
      <c r="ED5" s="977" t="s">
        <v>125</v>
      </c>
      <c r="EE5" s="980"/>
      <c r="EF5" s="980"/>
      <c r="EG5" s="980"/>
      <c r="EH5" s="980"/>
      <c r="EI5" s="991" t="s">
        <v>126</v>
      </c>
      <c r="EJ5" s="971" t="s">
        <v>127</v>
      </c>
      <c r="EK5" s="989"/>
      <c r="EL5" s="971" t="s">
        <v>128</v>
      </c>
      <c r="EM5" s="971" t="s">
        <v>129</v>
      </c>
      <c r="EN5" s="971" t="s">
        <v>130</v>
      </c>
    </row>
    <row r="6" spans="2:148" s="698" customFormat="1" ht="12" thickBot="1">
      <c r="B6" s="983"/>
      <c r="C6" s="985"/>
      <c r="D6" s="794" t="s">
        <v>131</v>
      </c>
      <c r="E6" s="794" t="s">
        <v>66</v>
      </c>
      <c r="F6" s="794" t="s">
        <v>132</v>
      </c>
      <c r="G6" s="794" t="s">
        <v>133</v>
      </c>
      <c r="H6" s="794" t="s">
        <v>134</v>
      </c>
      <c r="I6" s="794" t="s">
        <v>66</v>
      </c>
      <c r="J6" s="985"/>
      <c r="K6" s="988"/>
      <c r="L6" s="996"/>
      <c r="M6" s="998"/>
      <c r="N6" s="696"/>
      <c r="O6" s="696"/>
      <c r="P6" s="696"/>
      <c r="Q6" s="696"/>
      <c r="R6" s="696"/>
      <c r="S6" s="696"/>
      <c r="T6" s="696" t="s">
        <v>135</v>
      </c>
      <c r="U6" s="696"/>
      <c r="V6" s="696"/>
      <c r="W6" s="696"/>
      <c r="X6" s="696"/>
      <c r="Y6" s="696"/>
      <c r="Z6" s="696"/>
      <c r="AA6" s="696"/>
      <c r="AB6" s="696"/>
      <c r="AC6" s="696"/>
      <c r="AD6" s="696"/>
      <c r="AE6" s="696"/>
      <c r="AF6" s="696"/>
      <c r="AG6" s="696"/>
      <c r="AH6" s="696"/>
      <c r="AI6" s="697"/>
      <c r="AJ6" s="696"/>
      <c r="AK6" s="696"/>
      <c r="AL6" s="696"/>
      <c r="AM6" s="696"/>
      <c r="AN6" s="696"/>
      <c r="AO6" s="696"/>
      <c r="AP6" s="696"/>
      <c r="AQ6" s="696"/>
      <c r="AR6" s="696"/>
      <c r="AS6" s="696"/>
      <c r="AU6" s="980"/>
      <c r="AV6" s="980"/>
      <c r="AW6" s="980"/>
      <c r="AX6" s="972"/>
      <c r="AY6" s="972"/>
      <c r="AZ6" s="980"/>
      <c r="BA6" s="980"/>
      <c r="BB6" s="980"/>
      <c r="BC6" s="972"/>
      <c r="BD6" s="972"/>
      <c r="BE6" s="972"/>
      <c r="BF6" s="972"/>
      <c r="BG6" s="972"/>
      <c r="BH6" s="972"/>
      <c r="BI6" s="972"/>
      <c r="BJ6" s="989"/>
      <c r="BK6" s="972"/>
      <c r="BL6" s="972"/>
      <c r="BM6" s="972"/>
      <c r="BN6" s="972"/>
      <c r="BO6" s="972"/>
      <c r="BP6" s="972"/>
      <c r="BQ6" s="972"/>
      <c r="BR6" s="972"/>
      <c r="BS6" s="972"/>
      <c r="BT6" s="972"/>
      <c r="BU6" s="989"/>
      <c r="BV6" s="972"/>
      <c r="BW6" s="972"/>
      <c r="BX6" s="972"/>
      <c r="BY6" s="972"/>
      <c r="BZ6" s="972"/>
      <c r="CA6" s="972"/>
      <c r="CB6" s="972"/>
      <c r="CC6" s="972"/>
      <c r="CD6" s="972"/>
      <c r="CE6" s="989"/>
      <c r="CF6" s="972"/>
      <c r="CG6" s="915"/>
      <c r="CH6" s="915"/>
      <c r="CI6" s="915"/>
      <c r="CJ6" s="915"/>
      <c r="CK6" s="915"/>
      <c r="CL6" s="915"/>
      <c r="CM6" s="915"/>
      <c r="CN6" s="915"/>
      <c r="CO6" s="915"/>
      <c r="CP6" s="915"/>
      <c r="CQ6" s="915"/>
      <c r="CR6" s="915"/>
      <c r="CS6" s="972"/>
      <c r="CT6" s="972"/>
      <c r="CU6" s="972"/>
      <c r="CV6" s="972"/>
      <c r="CW6" s="972"/>
      <c r="CX6" s="972"/>
      <c r="CY6" s="972"/>
      <c r="CZ6" s="972"/>
      <c r="DA6" s="972"/>
      <c r="DB6" s="972"/>
      <c r="DC6" s="972"/>
      <c r="DD6" s="972"/>
      <c r="DE6" s="972"/>
      <c r="DF6" s="978"/>
      <c r="DG6" s="980"/>
      <c r="DH6" s="980"/>
      <c r="DI6" s="980"/>
      <c r="DJ6" s="980"/>
      <c r="DK6" s="980"/>
      <c r="DL6" s="980"/>
      <c r="DM6" s="981"/>
      <c r="DN6" s="980"/>
      <c r="DO6" s="980"/>
      <c r="DP6" s="992"/>
      <c r="DQ6" s="978"/>
      <c r="DR6" s="980"/>
      <c r="DS6" s="980"/>
      <c r="DT6" s="980"/>
      <c r="DU6" s="972"/>
      <c r="DV6" s="972"/>
      <c r="DW6" s="972"/>
      <c r="DX6" s="972"/>
      <c r="DY6" s="978"/>
      <c r="DZ6" s="980"/>
      <c r="EA6" s="972"/>
      <c r="EB6" s="972"/>
      <c r="EC6" s="972"/>
      <c r="ED6" s="978"/>
      <c r="EE6" s="980"/>
      <c r="EF6" s="980"/>
      <c r="EG6" s="980"/>
      <c r="EH6" s="980"/>
      <c r="EI6" s="992"/>
      <c r="EJ6" s="972"/>
      <c r="EK6" s="989"/>
      <c r="EL6" s="972"/>
      <c r="EM6" s="972"/>
      <c r="EN6" s="972"/>
    </row>
    <row r="7" spans="2:148" s="695" customFormat="1" ht="12.75" customHeight="1" thickBot="1">
      <c r="B7" s="797"/>
      <c r="C7" s="974" t="s">
        <v>136</v>
      </c>
      <c r="D7" s="975"/>
      <c r="E7" s="975"/>
      <c r="F7" s="975"/>
      <c r="G7" s="975"/>
      <c r="H7" s="975"/>
      <c r="I7" s="975"/>
      <c r="J7" s="975"/>
      <c r="K7" s="975"/>
      <c r="L7" s="976"/>
      <c r="M7" s="699"/>
      <c r="N7" s="693"/>
      <c r="O7" s="693"/>
      <c r="P7" s="693"/>
      <c r="Q7" s="693"/>
      <c r="R7" s="693"/>
      <c r="S7" s="693"/>
      <c r="T7" s="693"/>
      <c r="U7" s="693"/>
      <c r="V7" s="700" t="s">
        <v>137</v>
      </c>
      <c r="W7" s="700" t="s">
        <v>138</v>
      </c>
      <c r="X7" s="693"/>
      <c r="Y7" s="693"/>
      <c r="Z7" s="693"/>
      <c r="AA7" s="693"/>
      <c r="AB7" s="693"/>
      <c r="AC7" s="693"/>
      <c r="AD7" s="693"/>
      <c r="AE7" s="693"/>
      <c r="AF7" s="693"/>
      <c r="AG7" s="693"/>
      <c r="AH7" s="693"/>
      <c r="AI7" s="694"/>
      <c r="AJ7" s="693"/>
      <c r="AK7" s="693"/>
      <c r="AL7" s="693"/>
      <c r="AM7" s="693"/>
      <c r="AN7" s="693"/>
      <c r="AO7" s="693"/>
      <c r="AP7" s="693"/>
      <c r="AQ7" s="701" t="s">
        <v>139</v>
      </c>
      <c r="AR7" s="701" t="s">
        <v>140</v>
      </c>
      <c r="AS7" s="701" t="s">
        <v>141</v>
      </c>
      <c r="AU7" s="980"/>
      <c r="AV7" s="980"/>
      <c r="AW7" s="980"/>
      <c r="AX7" s="973"/>
      <c r="AY7" s="973"/>
      <c r="AZ7" s="980"/>
      <c r="BA7" s="980"/>
      <c r="BB7" s="980"/>
      <c r="BC7" s="973"/>
      <c r="BD7" s="973"/>
      <c r="BE7" s="973"/>
      <c r="BF7" s="973"/>
      <c r="BG7" s="973"/>
      <c r="BH7" s="973"/>
      <c r="BI7" s="973"/>
      <c r="BJ7" s="990"/>
      <c r="BK7" s="973"/>
      <c r="BL7" s="973"/>
      <c r="BM7" s="973"/>
      <c r="BN7" s="973"/>
      <c r="BO7" s="973"/>
      <c r="BP7" s="973"/>
      <c r="BQ7" s="973"/>
      <c r="BR7" s="973"/>
      <c r="BS7" s="973"/>
      <c r="BT7" s="973"/>
      <c r="BU7" s="990"/>
      <c r="BV7" s="973"/>
      <c r="BW7" s="973"/>
      <c r="BX7" s="973"/>
      <c r="BY7" s="973"/>
      <c r="BZ7" s="973"/>
      <c r="CA7" s="973"/>
      <c r="CB7" s="973"/>
      <c r="CC7" s="973"/>
      <c r="CD7" s="973"/>
      <c r="CE7" s="990"/>
      <c r="CF7" s="973"/>
      <c r="CG7" s="916"/>
      <c r="CH7" s="916"/>
      <c r="CI7" s="916"/>
      <c r="CJ7" s="916"/>
      <c r="CK7" s="916"/>
      <c r="CL7" s="916"/>
      <c r="CM7" s="916"/>
      <c r="CN7" s="916"/>
      <c r="CO7" s="916"/>
      <c r="CP7" s="916"/>
      <c r="CQ7" s="916"/>
      <c r="CR7" s="916"/>
      <c r="CS7" s="973"/>
      <c r="CT7" s="973"/>
      <c r="CU7" s="973"/>
      <c r="CV7" s="973"/>
      <c r="CW7" s="973"/>
      <c r="CX7" s="973"/>
      <c r="CY7" s="973"/>
      <c r="CZ7" s="973"/>
      <c r="DA7" s="973"/>
      <c r="DB7" s="973"/>
      <c r="DC7" s="973"/>
      <c r="DD7" s="973"/>
      <c r="DE7" s="973"/>
      <c r="DF7" s="979"/>
      <c r="DG7" s="980"/>
      <c r="DH7" s="980"/>
      <c r="DI7" s="980"/>
      <c r="DJ7" s="980"/>
      <c r="DK7" s="980"/>
      <c r="DL7" s="980"/>
      <c r="DM7" s="981"/>
      <c r="DN7" s="980"/>
      <c r="DO7" s="980"/>
      <c r="DP7" s="993"/>
      <c r="DQ7" s="979"/>
      <c r="DR7" s="980"/>
      <c r="DS7" s="980"/>
      <c r="DT7" s="980"/>
      <c r="DU7" s="973"/>
      <c r="DV7" s="973"/>
      <c r="DW7" s="973"/>
      <c r="DX7" s="973"/>
      <c r="DY7" s="979"/>
      <c r="DZ7" s="980"/>
      <c r="EA7" s="973"/>
      <c r="EB7" s="973"/>
      <c r="EC7" s="973"/>
      <c r="ED7" s="979"/>
      <c r="EE7" s="980"/>
      <c r="EF7" s="980"/>
      <c r="EG7" s="980"/>
      <c r="EH7" s="980"/>
      <c r="EI7" s="993"/>
      <c r="EJ7" s="973"/>
      <c r="EK7" s="990"/>
      <c r="EL7" s="973"/>
      <c r="EM7" s="973"/>
      <c r="EN7" s="973"/>
    </row>
    <row r="8" spans="2:148" s="662" customFormat="1" ht="22.5" customHeight="1">
      <c r="B8" s="745"/>
      <c r="C8" s="813"/>
      <c r="D8" s="544" t="s">
        <v>142</v>
      </c>
      <c r="E8" s="795"/>
      <c r="F8" s="966" t="s">
        <v>143</v>
      </c>
      <c r="G8" s="967"/>
      <c r="H8" s="814">
        <f>IF(E9="",0,E9-D9)+IF(E10="",0,E10-D10)</f>
        <v>0</v>
      </c>
      <c r="I8" s="812" t="s">
        <v>144</v>
      </c>
      <c r="J8" s="543" t="s">
        <v>145</v>
      </c>
      <c r="K8" s="882">
        <f>D37+D36</f>
        <v>94</v>
      </c>
      <c r="L8" s="796">
        <f>E37+E36</f>
        <v>0</v>
      </c>
      <c r="M8" s="531"/>
      <c r="N8" s="521" t="e">
        <v>#VALUE!</v>
      </c>
      <c r="O8" s="521" t="e">
        <f>(D8-K15)/133+K8</f>
        <v>#VALUE!</v>
      </c>
      <c r="P8" s="521" t="s">
        <v>146</v>
      </c>
      <c r="Q8" s="521"/>
      <c r="R8" s="532" t="e">
        <f>D8/0.667</f>
        <v>#VALUE!</v>
      </c>
      <c r="S8" s="521"/>
      <c r="T8" s="521">
        <f>K8*100</f>
        <v>9400</v>
      </c>
      <c r="U8" s="521" t="e">
        <f>(D8-K15)*0.67</f>
        <v>#VALUE!</v>
      </c>
      <c r="V8" s="521" t="e">
        <f>T8+U8</f>
        <v>#VALUE!</v>
      </c>
      <c r="W8" s="521">
        <v>44</v>
      </c>
      <c r="X8" s="521" t="e">
        <f>V8*W8</f>
        <v>#VALUE!</v>
      </c>
      <c r="Y8" s="521" t="s">
        <v>147</v>
      </c>
      <c r="Z8" s="521"/>
      <c r="AA8" s="521" t="e">
        <f>V8/100</f>
        <v>#VALUE!</v>
      </c>
      <c r="AB8" s="521">
        <f>(235*0.67+800)</f>
        <v>957.45</v>
      </c>
      <c r="AC8" s="521">
        <f>AB8/100</f>
        <v>9.5745000000000005</v>
      </c>
      <c r="AD8" s="521" t="e">
        <f>AA8+AC8</f>
        <v>#VALUE!</v>
      </c>
      <c r="AE8" s="521"/>
      <c r="AF8" s="521"/>
      <c r="AG8" s="532"/>
      <c r="AH8" s="521">
        <f>98+47</f>
        <v>145</v>
      </c>
      <c r="AI8" s="522"/>
      <c r="AJ8" s="521"/>
      <c r="AK8" s="521"/>
      <c r="AL8" s="521"/>
      <c r="AM8" s="533" t="s">
        <v>148</v>
      </c>
      <c r="AN8" s="534" t="s">
        <v>149</v>
      </c>
      <c r="AO8" s="534" t="s">
        <v>150</v>
      </c>
      <c r="AP8" s="521"/>
      <c r="AQ8" s="535" t="s">
        <v>151</v>
      </c>
      <c r="AR8" s="535">
        <v>261</v>
      </c>
      <c r="AS8" s="705">
        <v>163</v>
      </c>
      <c r="AT8" s="706"/>
      <c r="AU8" s="688" t="e">
        <f>L15/E10%</f>
        <v>#DIV/0!</v>
      </c>
      <c r="AV8" s="690" t="e">
        <f>I13+I14</f>
        <v>#VALUE!</v>
      </c>
      <c r="AW8" s="688" t="e">
        <f>L9/(L15+E10)%</f>
        <v>#DIV/0!</v>
      </c>
      <c r="AX8" s="689">
        <f>E20</f>
        <v>0</v>
      </c>
      <c r="AY8" s="690" t="str">
        <f>I20</f>
        <v/>
      </c>
      <c r="AZ8" s="689"/>
      <c r="BA8" s="690" t="str">
        <f>I22</f>
        <v/>
      </c>
      <c r="BB8" s="703">
        <f>E22</f>
        <v>0</v>
      </c>
      <c r="BC8" s="690" t="str">
        <f>I33</f>
        <v/>
      </c>
      <c r="BD8" s="689">
        <f>SUM(I13:I15)</f>
        <v>0</v>
      </c>
      <c r="BE8" s="689">
        <f ca="1">L37</f>
        <v>47</v>
      </c>
      <c r="BF8" s="688" t="e">
        <f>L8/E9%</f>
        <v>#DIV/0!</v>
      </c>
      <c r="BG8" s="689">
        <f>E40</f>
        <v>0</v>
      </c>
      <c r="BH8" s="690" t="str">
        <f>I40</f>
        <v/>
      </c>
      <c r="BI8" s="703">
        <f>K41</f>
        <v>0</v>
      </c>
      <c r="BJ8" s="690">
        <f>K42</f>
        <v>0</v>
      </c>
      <c r="BK8" s="689">
        <f>E43</f>
        <v>0</v>
      </c>
      <c r="BL8" s="690" t="str">
        <f>I43</f>
        <v/>
      </c>
      <c r="BM8" s="690" t="str">
        <f>I45</f>
        <v/>
      </c>
      <c r="BN8" s="689"/>
      <c r="BO8" s="690">
        <f>E47</f>
        <v>0</v>
      </c>
      <c r="BP8" s="690" t="str">
        <f>I51</f>
        <v/>
      </c>
      <c r="BQ8" s="690" t="str">
        <f>I57</f>
        <v/>
      </c>
      <c r="BR8" s="703">
        <f>E57</f>
        <v>0</v>
      </c>
      <c r="BS8" s="689">
        <f>L55</f>
        <v>0</v>
      </c>
      <c r="BT8" s="689">
        <f>L63</f>
        <v>0</v>
      </c>
      <c r="BU8" s="689">
        <f>L64</f>
        <v>0</v>
      </c>
      <c r="BV8" s="690">
        <f>E61</f>
        <v>0</v>
      </c>
      <c r="BW8" s="690">
        <f>E60</f>
        <v>0</v>
      </c>
      <c r="BX8" s="690">
        <f>E58</f>
        <v>0</v>
      </c>
      <c r="BY8" s="690">
        <f>E59</f>
        <v>0</v>
      </c>
      <c r="BZ8" s="688">
        <f ca="1">L60</f>
        <v>16.37</v>
      </c>
      <c r="CA8" s="688">
        <f>BX8/(L8+L9+12)%</f>
        <v>0</v>
      </c>
      <c r="CB8" s="688" t="e">
        <f>BX8/BY8%</f>
        <v>#DIV/0!</v>
      </c>
      <c r="CC8" s="689"/>
      <c r="CD8" s="690" t="e">
        <f>I59+I58</f>
        <v>#VALUE!</v>
      </c>
      <c r="CE8" s="690" t="str">
        <f>I64</f>
        <v/>
      </c>
      <c r="CF8" s="689">
        <f ca="1">L56</f>
        <v>79.8</v>
      </c>
      <c r="CG8" s="689"/>
      <c r="CH8" s="689"/>
      <c r="CI8" s="689"/>
      <c r="CJ8" s="689"/>
      <c r="CK8" s="689"/>
      <c r="CL8" s="689"/>
      <c r="CM8" s="689"/>
      <c r="CN8" s="689"/>
      <c r="CO8" s="689"/>
      <c r="CP8" s="689"/>
      <c r="CQ8" s="689"/>
      <c r="CR8" s="689"/>
      <c r="CS8" s="689" t="s">
        <v>152</v>
      </c>
      <c r="CT8" s="689" t="s">
        <v>153</v>
      </c>
      <c r="CU8" s="690">
        <f>E72</f>
        <v>0</v>
      </c>
      <c r="CV8" s="689"/>
      <c r="CW8" s="689"/>
      <c r="CX8" s="690">
        <f>E78</f>
        <v>0</v>
      </c>
      <c r="CY8" s="703">
        <f ca="1">I77</f>
        <v>100.9</v>
      </c>
      <c r="CZ8" s="724"/>
      <c r="DA8" s="691" t="str">
        <f>I72</f>
        <v/>
      </c>
      <c r="DB8" s="691" t="e">
        <f>I78+I80</f>
        <v>#VALUE!</v>
      </c>
      <c r="DC8" s="691" t="e">
        <f>DA8+DB8</f>
        <v>#VALUE!</v>
      </c>
      <c r="DD8" s="691" t="e">
        <f>DC8-75</f>
        <v>#VALUE!</v>
      </c>
      <c r="DE8" s="687" t="s">
        <v>154</v>
      </c>
      <c r="DF8" s="691"/>
      <c r="DG8" s="691">
        <f>I74</f>
        <v>5</v>
      </c>
      <c r="DH8" s="691">
        <f>I75</f>
        <v>10</v>
      </c>
      <c r="DI8" s="692" t="s">
        <v>155</v>
      </c>
      <c r="DJ8" s="692" t="e">
        <f>(E78-E84)/E78%</f>
        <v>#DIV/0!</v>
      </c>
      <c r="DK8" s="702"/>
      <c r="DL8" s="687"/>
      <c r="DM8" s="687"/>
      <c r="DN8" s="692" t="e">
        <f>(E66-E98-10.5)/E66%</f>
        <v>#DIV/0!</v>
      </c>
      <c r="DO8" s="691">
        <f>I76</f>
        <v>0</v>
      </c>
      <c r="DP8" s="712">
        <f ca="1">L77</f>
        <v>101.2</v>
      </c>
      <c r="DQ8" s="687"/>
      <c r="DR8" s="687"/>
      <c r="DS8" s="687"/>
      <c r="DT8" s="691" t="str">
        <f>K83</f>
        <v/>
      </c>
      <c r="DU8" s="691" t="e">
        <f>K83+K75</f>
        <v>#VALUE!</v>
      </c>
      <c r="DV8" s="687"/>
      <c r="DW8" s="691" t="str">
        <f>I84</f>
        <v/>
      </c>
      <c r="DX8" s="691" t="str">
        <f>I88</f>
        <v/>
      </c>
      <c r="DY8" s="691" t="e">
        <f>DX8-10</f>
        <v>#VALUE!</v>
      </c>
      <c r="DZ8" s="687"/>
      <c r="EA8" s="710" t="e">
        <f>D83/E98</f>
        <v>#DIV/0!</v>
      </c>
      <c r="EB8" s="691" t="str">
        <f>I98</f>
        <v/>
      </c>
      <c r="EC8" s="687">
        <f>L98</f>
        <v>0</v>
      </c>
      <c r="ED8" s="692">
        <f>E100</f>
        <v>0</v>
      </c>
      <c r="EE8" s="692" t="e">
        <f>ED8*1000/E98</f>
        <v>#DIV/0!</v>
      </c>
      <c r="EF8" s="687"/>
      <c r="EG8" s="691">
        <f>E98</f>
        <v>0</v>
      </c>
      <c r="EH8" s="691" t="str">
        <f>L105</f>
        <v/>
      </c>
      <c r="EI8" s="687" t="e">
        <f>ABS(L105-K105)</f>
        <v>#VALUE!</v>
      </c>
      <c r="EJ8" s="692" t="str">
        <f>L103</f>
        <v/>
      </c>
      <c r="EK8" s="687" t="e">
        <f>ABS(L103-K103)</f>
        <v>#VALUE!</v>
      </c>
      <c r="EL8" s="692" t="str">
        <f>L106</f>
        <v/>
      </c>
      <c r="EM8" s="687">
        <f>L96</f>
        <v>0</v>
      </c>
      <c r="EN8" s="687">
        <f>L97</f>
        <v>0</v>
      </c>
    </row>
    <row r="9" spans="2:148" s="662" customFormat="1" ht="22.5" customHeight="1">
      <c r="B9" s="744"/>
      <c r="C9" s="536" t="s">
        <v>156</v>
      </c>
      <c r="D9" s="479">
        <v>3950</v>
      </c>
      <c r="E9" s="646"/>
      <c r="F9" s="714"/>
      <c r="G9" s="714"/>
      <c r="H9" s="448" t="str">
        <f>IF(OR(F9="",G9=""),"",IF(G9&gt;=F9,(G9-F9)*24*60,(1+G9-F9)*24*60))</f>
        <v/>
      </c>
      <c r="I9" s="685" t="str">
        <f>IF(OR(F15="",G9=""),"",IF(F15&gt;=G9,(F15-G9)*24*60,(1+F15-G9)*24*60))</f>
        <v/>
      </c>
      <c r="J9" s="539" t="s">
        <v>157</v>
      </c>
      <c r="K9" s="448">
        <f>D14+D13+D15</f>
        <v>55</v>
      </c>
      <c r="L9" s="707">
        <f>E14+E13+E15</f>
        <v>0</v>
      </c>
      <c r="M9" s="531"/>
      <c r="N9" s="521">
        <v>2840</v>
      </c>
      <c r="O9" s="521" t="e">
        <f>(D9+K15)/133+K9+D15</f>
        <v>#VALUE!</v>
      </c>
      <c r="P9" s="521" t="s">
        <v>158</v>
      </c>
      <c r="Q9" s="521"/>
      <c r="R9" s="521">
        <f>52+15</f>
        <v>67</v>
      </c>
      <c r="S9" s="521">
        <v>236</v>
      </c>
      <c r="T9" s="521">
        <f>(D13+D15)*100</f>
        <v>5100</v>
      </c>
      <c r="U9" s="521" t="e">
        <f>D9*0.7+K15*0.67</f>
        <v>#VALUE!</v>
      </c>
      <c r="V9" s="521" t="e">
        <f>T9+U9</f>
        <v>#VALUE!</v>
      </c>
      <c r="W9" s="521">
        <v>100</v>
      </c>
      <c r="X9" s="521" t="e">
        <f>V9*W9</f>
        <v>#VALUE!</v>
      </c>
      <c r="Y9" s="521" t="s">
        <v>159</v>
      </c>
      <c r="Z9" s="521"/>
      <c r="AA9" s="521" t="e">
        <f>V9/100</f>
        <v>#VALUE!</v>
      </c>
      <c r="AB9" s="521"/>
      <c r="AC9" s="521"/>
      <c r="AD9" s="521"/>
      <c r="AE9" s="521"/>
      <c r="AF9" s="521"/>
      <c r="AG9" s="521"/>
      <c r="AH9" s="521">
        <f>AH8+10+2+16</f>
        <v>173</v>
      </c>
      <c r="AI9" s="968" t="s">
        <v>160</v>
      </c>
      <c r="AJ9" s="969"/>
      <c r="AK9" s="969"/>
      <c r="AL9" s="970"/>
      <c r="AM9" s="541">
        <v>44</v>
      </c>
      <c r="AN9" s="542">
        <v>44</v>
      </c>
      <c r="AO9" s="542">
        <v>20</v>
      </c>
      <c r="AP9" s="521"/>
      <c r="AQ9" s="535" t="s">
        <v>161</v>
      </c>
      <c r="AR9" s="535">
        <v>96</v>
      </c>
      <c r="AS9" s="535">
        <v>99</v>
      </c>
    </row>
    <row r="10" spans="2:148" s="662" customFormat="1" ht="24.75" customHeight="1" thickBot="1">
      <c r="B10" s="745"/>
      <c r="C10" s="536" t="s">
        <v>162</v>
      </c>
      <c r="D10" s="479">
        <v>1750</v>
      </c>
      <c r="E10" s="646"/>
      <c r="F10" s="714"/>
      <c r="G10" s="714"/>
      <c r="H10" s="815" t="str">
        <f>IF(OR(F10="",G10=""),"",IF(G10&gt;=F10,(G10-F10)*24*60,(1+G10-F10)*24*60))</f>
        <v/>
      </c>
      <c r="I10" s="685" t="str">
        <f>IF(OR(F13="",G10=""),"",IF(F13&gt;=G10,(F13-G10)*24*60,(1+F13-G10)*24*60))</f>
        <v/>
      </c>
      <c r="J10" s="543" t="s">
        <v>163</v>
      </c>
      <c r="K10" s="792"/>
      <c r="L10" s="645"/>
      <c r="M10" s="545"/>
      <c r="N10" s="521"/>
      <c r="O10" s="521"/>
      <c r="P10" s="521"/>
      <c r="Q10" s="521"/>
      <c r="R10" s="521"/>
      <c r="S10" s="521"/>
      <c r="T10" s="521"/>
      <c r="U10" s="521"/>
      <c r="V10" s="521"/>
      <c r="W10" s="521"/>
      <c r="X10" s="521"/>
      <c r="Y10" s="521"/>
      <c r="Z10" s="521"/>
      <c r="AA10" s="521"/>
      <c r="AB10" s="521"/>
      <c r="AC10" s="521"/>
      <c r="AD10" s="521"/>
      <c r="AE10" s="521"/>
      <c r="AF10" s="521"/>
      <c r="AG10" s="521"/>
      <c r="AH10" s="521"/>
      <c r="AI10" s="968" t="s">
        <v>164</v>
      </c>
      <c r="AJ10" s="969"/>
      <c r="AK10" s="969"/>
      <c r="AL10" s="969"/>
      <c r="AM10" s="546">
        <f>(K8+K9+D31+D49+D54)-D58</f>
        <v>42</v>
      </c>
      <c r="AN10" s="546">
        <f>K61+AM10-(D59-D58)</f>
        <v>56</v>
      </c>
      <c r="AO10" s="546">
        <f>AN10+K62-D61</f>
        <v>16</v>
      </c>
      <c r="AP10" s="521"/>
      <c r="AQ10" s="535"/>
      <c r="AR10" s="535"/>
      <c r="AS10" s="535"/>
      <c r="AV10" s="959" t="s">
        <v>165</v>
      </c>
      <c r="AW10" s="959" t="s">
        <v>166</v>
      </c>
      <c r="AX10" s="959" t="s">
        <v>167</v>
      </c>
      <c r="AY10" s="959" t="s">
        <v>168</v>
      </c>
      <c r="AZ10" s="959" t="s">
        <v>169</v>
      </c>
      <c r="BA10" s="959" t="s">
        <v>170</v>
      </c>
      <c r="BB10" s="959" t="s">
        <v>171</v>
      </c>
      <c r="BC10" s="959" t="s">
        <v>172</v>
      </c>
      <c r="BD10" s="959" t="s">
        <v>173</v>
      </c>
      <c r="BE10" s="959" t="s">
        <v>174</v>
      </c>
    </row>
    <row r="11" spans="2:148" s="662" customFormat="1" ht="15" customHeight="1" thickBot="1">
      <c r="B11" s="770"/>
      <c r="C11" s="941" t="s">
        <v>175</v>
      </c>
      <c r="D11" s="942"/>
      <c r="E11" s="942"/>
      <c r="F11" s="942"/>
      <c r="G11" s="942"/>
      <c r="H11" s="942"/>
      <c r="I11" s="942"/>
      <c r="J11" s="942"/>
      <c r="K11" s="942"/>
      <c r="L11" s="943"/>
      <c r="M11" s="530"/>
      <c r="N11" s="521"/>
      <c r="O11" s="521">
        <v>47</v>
      </c>
      <c r="P11" s="521">
        <v>50</v>
      </c>
      <c r="Q11" s="521"/>
      <c r="R11" s="521"/>
      <c r="S11" s="521"/>
      <c r="T11" s="521"/>
      <c r="U11" s="521"/>
      <c r="V11" s="521"/>
      <c r="W11" s="547" t="e">
        <f>((O8*W8)+(O9*W9))/SUM(O8:O9)</f>
        <v>#VALUE!</v>
      </c>
      <c r="X11" s="521"/>
      <c r="Y11" s="521"/>
      <c r="Z11" s="521"/>
      <c r="AA11" s="521"/>
      <c r="AB11" s="521"/>
      <c r="AC11" s="521"/>
      <c r="AD11" s="521">
        <f>226</f>
        <v>226</v>
      </c>
      <c r="AE11" s="521"/>
      <c r="AF11" s="521"/>
      <c r="AG11" s="521"/>
      <c r="AH11" s="521"/>
      <c r="AI11" s="522"/>
      <c r="AJ11" s="521"/>
      <c r="AK11" s="521"/>
      <c r="AL11" s="521"/>
      <c r="AM11" s="521"/>
      <c r="AN11" s="521"/>
      <c r="AO11" s="521"/>
      <c r="AP11" s="521"/>
      <c r="AQ11" s="535" t="s">
        <v>176</v>
      </c>
      <c r="AR11" s="535">
        <v>45</v>
      </c>
      <c r="AS11" s="535">
        <v>30</v>
      </c>
      <c r="AV11" s="959"/>
      <c r="AW11" s="959"/>
      <c r="AX11" s="959"/>
      <c r="AY11" s="959"/>
      <c r="AZ11" s="959"/>
      <c r="BA11" s="959"/>
      <c r="BB11" s="959"/>
      <c r="BC11" s="959"/>
      <c r="BD11" s="959"/>
      <c r="BE11" s="959"/>
    </row>
    <row r="12" spans="2:148" s="662" customFormat="1" ht="23.25" customHeight="1">
      <c r="B12" s="767"/>
      <c r="C12" s="756" t="s">
        <v>177</v>
      </c>
      <c r="D12" s="882">
        <v>5</v>
      </c>
      <c r="E12" s="647"/>
      <c r="F12" s="775"/>
      <c r="G12" s="775"/>
      <c r="H12" s="882">
        <v>1</v>
      </c>
      <c r="I12" s="882"/>
      <c r="J12" s="790" t="s">
        <v>178</v>
      </c>
      <c r="K12" s="882">
        <v>180</v>
      </c>
      <c r="L12" s="793">
        <v>180</v>
      </c>
      <c r="M12" s="548"/>
      <c r="N12" s="521"/>
      <c r="O12" s="521"/>
      <c r="P12" s="521">
        <v>91</v>
      </c>
      <c r="Q12" s="521"/>
      <c r="R12" s="521"/>
      <c r="S12" s="521"/>
      <c r="T12" s="964" t="s">
        <v>179</v>
      </c>
      <c r="U12" s="964"/>
      <c r="V12" s="532">
        <f>D9/H13*1.2</f>
        <v>384.32432432432438</v>
      </c>
      <c r="W12" s="521"/>
      <c r="X12" s="549" t="s">
        <v>180</v>
      </c>
      <c r="Y12" s="550" t="e">
        <f>D9+K15+(K9+D15)*100</f>
        <v>#VALUE!</v>
      </c>
      <c r="Z12" s="521"/>
      <c r="AA12" s="521"/>
      <c r="AB12" s="521"/>
      <c r="AC12" s="521"/>
      <c r="AD12" s="521">
        <v>150</v>
      </c>
      <c r="AE12" s="521"/>
      <c r="AF12" s="521"/>
      <c r="AG12" s="532">
        <f>K8+K9+D15+D31+D49+D54</f>
        <v>192</v>
      </c>
      <c r="AH12" s="532">
        <f>AG12-59</f>
        <v>133</v>
      </c>
      <c r="AI12" s="522"/>
      <c r="AJ12" s="521"/>
      <c r="AK12" s="521"/>
      <c r="AL12" s="521"/>
      <c r="AM12" s="521"/>
      <c r="AN12" s="521"/>
      <c r="AO12" s="521"/>
      <c r="AP12" s="521"/>
      <c r="AQ12" s="535" t="s">
        <v>181</v>
      </c>
      <c r="AR12" s="535">
        <v>269</v>
      </c>
      <c r="AS12" s="535">
        <v>265</v>
      </c>
      <c r="AV12" s="724">
        <f>$J$3+F13</f>
        <v>0</v>
      </c>
      <c r="AW12" s="724">
        <f>IF(F58&gt;=F13,$J$3+F58,$J$3+1+F58)</f>
        <v>0</v>
      </c>
      <c r="AX12" s="724">
        <f>IF(F70&gt;=F13,$J$3+F70,$J$3+1+F70)</f>
        <v>0</v>
      </c>
      <c r="AY12" s="724">
        <f>IF(F72&gt;=F13,$J$3+F72,$J$3+1+F72)</f>
        <v>0</v>
      </c>
      <c r="AZ12" s="718"/>
      <c r="BA12" s="719">
        <f>E78</f>
        <v>0</v>
      </c>
      <c r="BB12" s="724" t="e">
        <f>IF(G80&gt;=F13,$J$3+G80,$J$3+1+G80)</f>
        <v>#VALUE!</v>
      </c>
      <c r="BC12" s="718"/>
      <c r="BD12" s="719">
        <f>E84</f>
        <v>0</v>
      </c>
      <c r="BE12" s="724" t="e">
        <f>IF(G98&gt;=F13,$J$3+G98,$J$3+1+G98)</f>
        <v>#VALUE!</v>
      </c>
    </row>
    <row r="13" spans="2:148" s="662" customFormat="1" ht="28.5" customHeight="1">
      <c r="B13" s="746"/>
      <c r="C13" s="551" t="s">
        <v>182</v>
      </c>
      <c r="D13" s="448">
        <v>37</v>
      </c>
      <c r="E13" s="646"/>
      <c r="F13" s="714"/>
      <c r="G13" s="648"/>
      <c r="H13" s="448">
        <f>D13/K12*60</f>
        <v>12.333333333333332</v>
      </c>
      <c r="I13" s="685" t="str">
        <f>IF(OR(F14="",F13=""),"",IF(F14&gt;=F13,(F14-F13)*24*60,(1+F14-F13)*24*60))</f>
        <v/>
      </c>
      <c r="J13" s="552" t="s">
        <v>183</v>
      </c>
      <c r="K13" s="583">
        <v>61</v>
      </c>
      <c r="L13" s="561">
        <f ca="1">K13+RANDBETWEEN(-2,2)/10</f>
        <v>60.8</v>
      </c>
      <c r="M13" s="554"/>
      <c r="N13" s="521"/>
      <c r="O13" s="521"/>
      <c r="P13" s="521"/>
      <c r="Q13" s="521"/>
      <c r="R13" s="521"/>
      <c r="S13" s="521"/>
      <c r="T13" s="555" t="s">
        <v>184</v>
      </c>
      <c r="U13" s="521"/>
      <c r="V13" s="556" t="e">
        <f>(K9+D15)/(D9+K15)*100</f>
        <v>#VALUE!</v>
      </c>
      <c r="W13" s="521"/>
      <c r="X13" s="521"/>
      <c r="Y13" s="521"/>
      <c r="Z13" s="521"/>
      <c r="AA13" s="521"/>
      <c r="AB13" s="521"/>
      <c r="AC13" s="521"/>
      <c r="AD13" s="521">
        <f>AD11-AD12</f>
        <v>76</v>
      </c>
      <c r="AE13" s="521">
        <f>AD13/280*60</f>
        <v>16.285714285714285</v>
      </c>
      <c r="AF13" s="521"/>
      <c r="AG13" s="532">
        <f>AG12-35</f>
        <v>157</v>
      </c>
      <c r="AH13" s="521"/>
      <c r="AI13" s="522"/>
      <c r="AJ13" s="521"/>
      <c r="AK13" s="521"/>
      <c r="AL13" s="521"/>
      <c r="AM13" s="521"/>
      <c r="AN13" s="521"/>
      <c r="AO13" s="521"/>
      <c r="AP13" s="521"/>
      <c r="AQ13" s="535" t="s">
        <v>185</v>
      </c>
      <c r="AR13" s="535">
        <v>3.2</v>
      </c>
      <c r="AS13" s="535">
        <v>3.3</v>
      </c>
    </row>
    <row r="14" spans="2:148" s="662" customFormat="1" ht="20.25" customHeight="1">
      <c r="B14" s="746"/>
      <c r="C14" s="536" t="s">
        <v>186</v>
      </c>
      <c r="D14" s="448">
        <v>4</v>
      </c>
      <c r="E14" s="646"/>
      <c r="F14" s="714"/>
      <c r="G14" s="648"/>
      <c r="H14" s="448">
        <v>1</v>
      </c>
      <c r="I14" s="685" t="str">
        <f>IF(OR(F15="",F14=""),"",IF(F15&gt;=F14,(F15-F14)*24*60,(1+F15-F14)*24*60))</f>
        <v/>
      </c>
      <c r="J14" s="552" t="s">
        <v>187</v>
      </c>
      <c r="K14" s="583">
        <v>60</v>
      </c>
      <c r="L14" s="561">
        <f ca="1">57+RANDBETWEEN(-5,5)/10</f>
        <v>56.8</v>
      </c>
      <c r="M14" s="554"/>
      <c r="N14" s="521"/>
      <c r="O14" s="521"/>
      <c r="P14" s="521"/>
      <c r="Q14" s="521"/>
      <c r="R14" s="521"/>
      <c r="S14" s="521"/>
      <c r="T14" s="555"/>
      <c r="U14" s="521"/>
      <c r="V14" s="556"/>
      <c r="W14" s="521"/>
      <c r="X14" s="521"/>
      <c r="Y14" s="521"/>
      <c r="Z14" s="521"/>
      <c r="AA14" s="521"/>
      <c r="AB14" s="521"/>
      <c r="AC14" s="521"/>
      <c r="AD14" s="521"/>
      <c r="AE14" s="521"/>
      <c r="AF14" s="521"/>
      <c r="AG14" s="532"/>
      <c r="AH14" s="521"/>
      <c r="AI14" s="522"/>
      <c r="AJ14" s="521"/>
      <c r="AK14" s="521"/>
      <c r="AL14" s="521"/>
      <c r="AM14" s="521"/>
      <c r="AN14" s="521"/>
      <c r="AO14" s="521"/>
      <c r="AP14" s="521"/>
      <c r="AQ14" s="535" t="s">
        <v>188</v>
      </c>
      <c r="AR14" s="535">
        <v>2.9</v>
      </c>
      <c r="AS14" s="535">
        <v>2.9</v>
      </c>
    </row>
    <row r="15" spans="2:148" s="663" customFormat="1" ht="33.75" customHeight="1">
      <c r="B15" s="744"/>
      <c r="C15" s="536" t="s">
        <v>189</v>
      </c>
      <c r="D15" s="448">
        <v>14</v>
      </c>
      <c r="E15" s="646"/>
      <c r="F15" s="714"/>
      <c r="G15" s="648"/>
      <c r="H15" s="448">
        <f>D15/K35*60</f>
        <v>3.7333333333333334</v>
      </c>
      <c r="I15" s="685" t="str">
        <f>IF(OR(F19="",F15=""),"",IF(F19&gt;=F15,(F19-F15)*24*60,(1+F19-F15)*24*60))</f>
        <v/>
      </c>
      <c r="J15" s="539" t="s">
        <v>190</v>
      </c>
      <c r="K15" s="448" t="s">
        <v>191</v>
      </c>
      <c r="L15" s="640"/>
      <c r="M15" s="531">
        <v>270</v>
      </c>
      <c r="N15" s="523"/>
      <c r="O15" s="523"/>
      <c r="P15" s="523"/>
      <c r="Q15" s="523"/>
      <c r="R15" s="523"/>
      <c r="S15" s="523"/>
      <c r="T15" s="523"/>
      <c r="U15" s="523"/>
      <c r="V15" s="523"/>
      <c r="W15" s="523"/>
      <c r="X15" s="523">
        <v>109</v>
      </c>
      <c r="Y15" s="523"/>
      <c r="Z15" s="523"/>
      <c r="AA15" s="523"/>
      <c r="AB15" s="523"/>
      <c r="AC15" s="523"/>
      <c r="AD15" s="523">
        <f>150/240*60</f>
        <v>37.5</v>
      </c>
      <c r="AE15" s="523"/>
      <c r="AF15" s="523"/>
      <c r="AG15" s="523"/>
      <c r="AH15" s="523"/>
      <c r="AI15" s="524"/>
      <c r="AJ15" s="523"/>
      <c r="AK15" s="523"/>
      <c r="AL15" s="523"/>
      <c r="AM15" s="523"/>
      <c r="AN15" s="523"/>
      <c r="AO15" s="523"/>
      <c r="AP15" s="523"/>
      <c r="AQ15" s="535" t="s">
        <v>192</v>
      </c>
      <c r="AR15" s="535">
        <v>0.36</v>
      </c>
      <c r="AS15" s="535">
        <v>0.3</v>
      </c>
    </row>
    <row r="16" spans="2:148" s="662" customFormat="1" ht="20.25" customHeight="1">
      <c r="B16" s="744"/>
      <c r="C16" s="536" t="s">
        <v>193</v>
      </c>
      <c r="D16" s="557">
        <v>3</v>
      </c>
      <c r="E16" s="646"/>
      <c r="F16" s="648"/>
      <c r="G16" s="648"/>
      <c r="H16" s="448"/>
      <c r="I16" s="448"/>
      <c r="J16" s="448"/>
      <c r="K16" s="448"/>
      <c r="L16" s="558"/>
      <c r="M16" s="531"/>
      <c r="N16" s="521"/>
      <c r="O16" s="521"/>
      <c r="P16" s="521"/>
      <c r="Q16" s="521"/>
      <c r="R16" s="521"/>
      <c r="S16" s="521"/>
      <c r="T16" s="521"/>
      <c r="U16" s="521"/>
      <c r="V16" s="521" t="e">
        <f>#REF!/100</f>
        <v>#REF!</v>
      </c>
      <c r="W16" s="521"/>
      <c r="X16" s="521"/>
      <c r="Y16" s="521"/>
      <c r="Z16" s="521"/>
      <c r="AA16" s="521"/>
      <c r="AB16" s="521"/>
      <c r="AC16" s="521"/>
      <c r="AD16" s="521">
        <f>AD15+AE13</f>
        <v>53.785714285714285</v>
      </c>
      <c r="AE16" s="521"/>
      <c r="AF16" s="521"/>
      <c r="AG16" s="521"/>
      <c r="AH16" s="521"/>
      <c r="AI16" s="522"/>
      <c r="AJ16" s="521"/>
      <c r="AK16" s="521"/>
      <c r="AL16" s="521"/>
      <c r="AM16" s="521"/>
      <c r="AN16" s="521"/>
      <c r="AO16" s="521"/>
      <c r="AP16" s="521"/>
      <c r="AQ16" s="521"/>
      <c r="AR16" s="521"/>
      <c r="AS16" s="521"/>
    </row>
    <row r="17" spans="2:99" s="662" customFormat="1" ht="24" hidden="1" customHeight="1">
      <c r="B17" s="747"/>
      <c r="C17" s="551" t="s">
        <v>194</v>
      </c>
      <c r="D17" s="557"/>
      <c r="E17" s="649"/>
      <c r="F17" s="650"/>
      <c r="G17" s="648"/>
      <c r="H17" s="559"/>
      <c r="I17" s="559"/>
      <c r="J17" s="560"/>
      <c r="K17" s="560"/>
      <c r="L17" s="561"/>
      <c r="M17" s="531"/>
      <c r="N17" s="521"/>
      <c r="O17" s="521"/>
      <c r="P17" s="521"/>
      <c r="Q17" s="521"/>
      <c r="R17" s="521"/>
      <c r="S17" s="521"/>
      <c r="T17" s="521"/>
      <c r="U17" s="521"/>
      <c r="V17" s="521"/>
      <c r="W17" s="521"/>
      <c r="X17" s="521"/>
      <c r="Y17" s="521"/>
      <c r="Z17" s="521"/>
      <c r="AA17" s="521"/>
      <c r="AB17" s="521"/>
      <c r="AC17" s="521"/>
      <c r="AD17" s="521"/>
      <c r="AE17" s="521"/>
      <c r="AF17" s="521"/>
      <c r="AG17" s="521"/>
      <c r="AH17" s="521"/>
      <c r="AI17" s="522"/>
      <c r="AJ17" s="521"/>
      <c r="AK17" s="521"/>
      <c r="AL17" s="521"/>
      <c r="AM17" s="521"/>
      <c r="AN17" s="521"/>
      <c r="AO17" s="521"/>
      <c r="AP17" s="521"/>
      <c r="AQ17" s="521"/>
      <c r="AR17" s="521"/>
      <c r="AS17" s="521"/>
    </row>
    <row r="18" spans="2:99" s="662" customFormat="1" ht="24" hidden="1" customHeight="1">
      <c r="B18" s="747"/>
      <c r="C18" s="551" t="s">
        <v>195</v>
      </c>
      <c r="D18" s="557"/>
      <c r="E18" s="649"/>
      <c r="F18" s="650"/>
      <c r="G18" s="648"/>
      <c r="H18" s="559"/>
      <c r="I18" s="559"/>
      <c r="J18" s="560"/>
      <c r="K18" s="560"/>
      <c r="L18" s="561"/>
      <c r="M18" s="531"/>
      <c r="N18" s="521"/>
      <c r="O18" s="523"/>
      <c r="P18" s="523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2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</row>
    <row r="19" spans="2:99" s="662" customFormat="1" ht="27.75" customHeight="1">
      <c r="B19" s="744"/>
      <c r="C19" s="536" t="s">
        <v>196</v>
      </c>
      <c r="D19" s="562">
        <v>78</v>
      </c>
      <c r="E19" s="651"/>
      <c r="F19" s="714"/>
      <c r="G19" s="648"/>
      <c r="H19" s="448">
        <v>9</v>
      </c>
      <c r="I19" s="685" t="str">
        <f>IF(OR(F20="",F19=""),"",IF(F20&gt;=F19,(F20-F19)*24*60,(1+F20-F19)*24*60))</f>
        <v/>
      </c>
      <c r="J19" s="585" t="s">
        <v>197</v>
      </c>
      <c r="K19" s="448">
        <v>520</v>
      </c>
      <c r="L19" s="564"/>
      <c r="M19" s="531"/>
      <c r="N19" s="521"/>
      <c r="O19" s="521"/>
      <c r="P19" s="521"/>
      <c r="Q19" s="521"/>
      <c r="R19" s="521"/>
      <c r="S19" s="521"/>
      <c r="T19" s="521">
        <f>K19*H19/60</f>
        <v>78</v>
      </c>
      <c r="U19" s="521"/>
      <c r="V19" s="521">
        <f>9/60</f>
        <v>0.15</v>
      </c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2"/>
      <c r="AJ19" s="521"/>
      <c r="AK19" s="521"/>
      <c r="AL19" s="965" t="s">
        <v>198</v>
      </c>
      <c r="AM19" s="965"/>
      <c r="AN19" s="965"/>
      <c r="AO19" s="521"/>
      <c r="AP19" s="521"/>
      <c r="AQ19" s="521"/>
      <c r="AR19" s="521"/>
      <c r="AS19" s="521"/>
      <c r="AU19" s="726" t="s">
        <v>142</v>
      </c>
      <c r="AV19" s="727" t="s">
        <v>199</v>
      </c>
      <c r="AW19" s="727" t="s">
        <v>200</v>
      </c>
      <c r="AX19" s="728" t="s">
        <v>201</v>
      </c>
      <c r="AY19" s="728" t="s">
        <v>202</v>
      </c>
      <c r="AZ19" s="728" t="s">
        <v>203</v>
      </c>
      <c r="BA19" s="728" t="s">
        <v>204</v>
      </c>
      <c r="BB19" s="727" t="s">
        <v>205</v>
      </c>
      <c r="BC19" s="728" t="s">
        <v>206</v>
      </c>
      <c r="BD19" s="729" t="s">
        <v>207</v>
      </c>
      <c r="BE19" s="729" t="s">
        <v>208</v>
      </c>
      <c r="BF19" s="728" t="s">
        <v>209</v>
      </c>
      <c r="BG19" s="727" t="s">
        <v>210</v>
      </c>
      <c r="BH19" s="727" t="s">
        <v>211</v>
      </c>
      <c r="BI19" s="727" t="s">
        <v>212</v>
      </c>
      <c r="BJ19" s="727" t="s">
        <v>213</v>
      </c>
      <c r="BK19" s="727" t="s">
        <v>214</v>
      </c>
      <c r="BL19" s="727" t="s">
        <v>215</v>
      </c>
      <c r="BM19" s="727" t="s">
        <v>216</v>
      </c>
      <c r="BN19" s="727" t="s">
        <v>217</v>
      </c>
      <c r="BO19" s="727" t="s">
        <v>218</v>
      </c>
      <c r="BP19" s="730" t="s">
        <v>219</v>
      </c>
      <c r="BQ19" s="727" t="s">
        <v>220</v>
      </c>
      <c r="BR19" s="727" t="s">
        <v>221</v>
      </c>
      <c r="BS19" s="727" t="s">
        <v>222</v>
      </c>
      <c r="BT19" s="730" t="s">
        <v>223</v>
      </c>
      <c r="BU19" s="730" t="s">
        <v>224</v>
      </c>
      <c r="BV19" s="730" t="s">
        <v>225</v>
      </c>
      <c r="BW19" s="727" t="s">
        <v>226</v>
      </c>
      <c r="BX19" s="730" t="s">
        <v>227</v>
      </c>
      <c r="BY19" s="730" t="s">
        <v>228</v>
      </c>
      <c r="BZ19" s="730"/>
      <c r="CA19" s="731" t="s">
        <v>229</v>
      </c>
      <c r="CB19" s="728" t="s">
        <v>209</v>
      </c>
      <c r="CC19" s="727" t="s">
        <v>230</v>
      </c>
      <c r="CD19" s="730" t="s">
        <v>231</v>
      </c>
      <c r="CE19" s="730" t="s">
        <v>232</v>
      </c>
      <c r="CF19" s="730" t="s">
        <v>233</v>
      </c>
      <c r="CG19" s="727" t="s">
        <v>234</v>
      </c>
      <c r="CH19" s="727" t="s">
        <v>235</v>
      </c>
      <c r="CI19" s="727" t="s">
        <v>229</v>
      </c>
      <c r="CJ19" s="727" t="s">
        <v>236</v>
      </c>
      <c r="CK19" s="732" t="s">
        <v>237</v>
      </c>
      <c r="CL19" s="732" t="s">
        <v>238</v>
      </c>
      <c r="CM19" s="732" t="s">
        <v>239</v>
      </c>
      <c r="CN19" s="733" t="s">
        <v>240</v>
      </c>
      <c r="CO19" s="727" t="s">
        <v>241</v>
      </c>
      <c r="CR19" s="841" t="s">
        <v>242</v>
      </c>
      <c r="CU19" s="842" t="s">
        <v>243</v>
      </c>
    </row>
    <row r="20" spans="2:99" s="662" customFormat="1" ht="23.25" customHeight="1">
      <c r="B20" s="744"/>
      <c r="C20" s="566" t="s">
        <v>244</v>
      </c>
      <c r="D20" s="448"/>
      <c r="E20" s="652"/>
      <c r="F20" s="714"/>
      <c r="G20" s="648" t="str">
        <f>IF(ISBLANK(F20),"",F20+TIME(0,H20,0))</f>
        <v/>
      </c>
      <c r="H20" s="479">
        <v>10</v>
      </c>
      <c r="I20" s="685" t="str">
        <f>IF(OR(F21="",F20=""),"",IF(F21&gt;=F20,(F21-F20)*24*60,(1+F21-F20)*24*60))</f>
        <v/>
      </c>
      <c r="J20" s="539" t="s">
        <v>245</v>
      </c>
      <c r="K20" s="583" t="s">
        <v>246</v>
      </c>
      <c r="L20" s="564"/>
      <c r="M20" s="567" t="s">
        <v>247</v>
      </c>
      <c r="N20" s="521"/>
      <c r="O20" s="521"/>
      <c r="P20" s="521"/>
      <c r="Q20" s="521"/>
      <c r="R20" s="521"/>
      <c r="S20" s="521"/>
      <c r="T20" s="521"/>
      <c r="U20" s="521"/>
      <c r="V20" s="521" t="e">
        <f>V16/V19</f>
        <v>#REF!</v>
      </c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2"/>
      <c r="AJ20" s="521"/>
      <c r="AK20" s="521"/>
      <c r="AL20" s="521">
        <v>96</v>
      </c>
      <c r="AM20" s="521">
        <f>K9*100+D9</f>
        <v>9450</v>
      </c>
      <c r="AN20" s="521" t="e">
        <f>(AL20*AM20+AL21*AM21)/(AM20+AM21)</f>
        <v>#VALUE!</v>
      </c>
      <c r="AO20" s="521"/>
      <c r="AP20" s="521"/>
      <c r="AQ20" s="521"/>
      <c r="AR20" s="521"/>
      <c r="AS20" s="521"/>
      <c r="AU20" s="734">
        <f>E8</f>
        <v>0</v>
      </c>
      <c r="AV20" s="735" t="str">
        <f>"BUD"&amp;RIGHT(H3,3)</f>
        <v>BUD000</v>
      </c>
      <c r="AW20" s="734">
        <f>E9</f>
        <v>0</v>
      </c>
      <c r="AX20" s="736">
        <v>0.80700000000000005</v>
      </c>
      <c r="AY20" s="736">
        <v>4.4699999999999997E-2</v>
      </c>
      <c r="AZ20" s="736"/>
      <c r="BA20" s="736">
        <v>0.3</v>
      </c>
      <c r="BB20" s="734">
        <f>E10</f>
        <v>0</v>
      </c>
      <c r="BC20" s="736">
        <v>0.8</v>
      </c>
      <c r="BD20" s="736" t="e">
        <f>AW20/(AW20+BB20)</f>
        <v>#DIV/0!</v>
      </c>
      <c r="BE20" s="736" t="e">
        <f>BB20/(AW20+BB20)</f>
        <v>#DIV/0!</v>
      </c>
      <c r="BF20" s="734">
        <f>(AW20-AZ20-0)*AX20*(100%-AY20)+AZ20*BA20+(BB20+0)*BC20</f>
        <v>0</v>
      </c>
      <c r="BG20" s="737">
        <f>D16</f>
        <v>3</v>
      </c>
      <c r="BH20" s="737">
        <f>D38</f>
        <v>4</v>
      </c>
      <c r="BI20" s="737">
        <f>D74</f>
        <v>2.5</v>
      </c>
      <c r="BJ20" s="738"/>
      <c r="BK20" s="738">
        <f>D75</f>
        <v>2.48</v>
      </c>
      <c r="BL20" s="735"/>
      <c r="BM20" s="738">
        <f>D76</f>
        <v>2.2000000000000002</v>
      </c>
      <c r="BN20" s="738">
        <f>D77</f>
        <v>2.41</v>
      </c>
      <c r="BO20" s="737">
        <f>D82</f>
        <v>2.1</v>
      </c>
      <c r="BP20" s="737">
        <f>D83</f>
        <v>152</v>
      </c>
      <c r="BQ20" s="734">
        <f>E98</f>
        <v>0</v>
      </c>
      <c r="BR20" s="737">
        <f>E100</f>
        <v>0</v>
      </c>
      <c r="BS20" s="734">
        <f>E85</f>
        <v>0</v>
      </c>
      <c r="BT20" s="735">
        <f>L55</f>
        <v>0</v>
      </c>
      <c r="BU20" s="735">
        <f>L96</f>
        <v>0</v>
      </c>
      <c r="BV20" s="738">
        <f>K91</f>
        <v>0</v>
      </c>
      <c r="BW20" s="735">
        <f>C3</f>
        <v>0</v>
      </c>
      <c r="BX20" s="735">
        <f>L97</f>
        <v>0</v>
      </c>
      <c r="BY20" s="735"/>
      <c r="BZ20" s="735"/>
      <c r="CA20" s="735">
        <f>IF(BU20="","",+BU20*(1+(BU20-0.4644)/238.4)-0.02)</f>
        <v>-0.02</v>
      </c>
      <c r="CB20" s="735">
        <f>IF(OR(CA20="",BQ20=""),"",BQ20*CA20)</f>
        <v>0</v>
      </c>
      <c r="CC20" s="734">
        <f>E66</f>
        <v>0</v>
      </c>
      <c r="CD20" s="735">
        <f>L63</f>
        <v>0</v>
      </c>
      <c r="CE20" s="735">
        <f>L64</f>
        <v>0</v>
      </c>
      <c r="CF20" s="734">
        <f>E61</f>
        <v>0</v>
      </c>
      <c r="CG20" s="735"/>
      <c r="CH20" s="735"/>
      <c r="CI20" s="735"/>
      <c r="CJ20" s="735"/>
      <c r="CK20" s="734">
        <f>K30</f>
        <v>0</v>
      </c>
      <c r="CL20" s="735">
        <f>K48</f>
        <v>0</v>
      </c>
      <c r="CM20" s="734">
        <f>K86</f>
        <v>0</v>
      </c>
      <c r="CN20" s="734">
        <f>BF20-CB20-CJ20</f>
        <v>0</v>
      </c>
      <c r="CO20" s="738" t="e">
        <f>IF(BV20="","",CN20/BF20%)</f>
        <v>#DIV/0!</v>
      </c>
      <c r="CR20" s="736" t="e">
        <f>(CC20-BQ20-BS20-10.5)/CC20</f>
        <v>#DIV/0!</v>
      </c>
      <c r="CU20" s="734">
        <f>SUM(CK20:CM20)</f>
        <v>0</v>
      </c>
    </row>
    <row r="21" spans="2:99" s="662" customFormat="1" ht="26.25" customHeight="1">
      <c r="B21" s="744"/>
      <c r="C21" s="536" t="s">
        <v>248</v>
      </c>
      <c r="D21" s="562">
        <v>95</v>
      </c>
      <c r="E21" s="816"/>
      <c r="F21" s="680" t="str">
        <f>G20</f>
        <v/>
      </c>
      <c r="G21" s="648"/>
      <c r="H21" s="448">
        <v>9</v>
      </c>
      <c r="I21" s="685" t="str">
        <f>IF(OR(F22="",F21=""),"",IF(F22&gt;=F21,(F22-F21)*24*60,(1+F22-F21)*24*60))</f>
        <v/>
      </c>
      <c r="J21" s="585" t="s">
        <v>197</v>
      </c>
      <c r="K21" s="448">
        <v>520</v>
      </c>
      <c r="L21" s="564"/>
      <c r="M21" s="568"/>
      <c r="N21" s="521"/>
      <c r="O21" s="521"/>
      <c r="P21" s="521"/>
      <c r="Q21" s="521"/>
      <c r="R21" s="521"/>
      <c r="S21" s="521"/>
      <c r="T21" s="521">
        <f>K21*H21/60</f>
        <v>78</v>
      </c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2"/>
      <c r="AJ21" s="521"/>
      <c r="AK21" s="521"/>
      <c r="AL21" s="521">
        <v>44</v>
      </c>
      <c r="AM21" s="521" t="e">
        <f>K8*100+D8</f>
        <v>#VALUE!</v>
      </c>
      <c r="AN21" s="521"/>
      <c r="AO21" s="521"/>
      <c r="AP21" s="521"/>
      <c r="AQ21" s="521"/>
      <c r="AR21" s="521"/>
      <c r="AS21" s="521"/>
    </row>
    <row r="22" spans="2:99" s="662" customFormat="1" ht="21.75" customHeight="1">
      <c r="B22" s="744"/>
      <c r="C22" s="566" t="s">
        <v>249</v>
      </c>
      <c r="D22" s="448"/>
      <c r="E22" s="652"/>
      <c r="F22" s="714"/>
      <c r="G22" s="648" t="str">
        <f>IF(ISBLANK(F22),"",F22+TIME(0,H22,0))</f>
        <v/>
      </c>
      <c r="H22" s="479">
        <v>2</v>
      </c>
      <c r="I22" s="685" t="str">
        <f>IF(OR(F30="",F22=""),"",IF(F30&gt;=F22,(F30-F22)*24*60,(1+F30-F22)*24*60))</f>
        <v/>
      </c>
      <c r="J22" s="539" t="s">
        <v>245</v>
      </c>
      <c r="K22" s="583" t="s">
        <v>246</v>
      </c>
      <c r="L22" s="564"/>
      <c r="M22" s="570"/>
      <c r="N22" s="521"/>
      <c r="O22" s="523"/>
      <c r="P22" s="523"/>
      <c r="Q22" s="521"/>
      <c r="R22" s="521"/>
      <c r="S22" s="521"/>
      <c r="T22" s="521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2"/>
      <c r="AJ22" s="521"/>
      <c r="AK22" s="521"/>
      <c r="AL22" s="521"/>
      <c r="AM22" s="521"/>
      <c r="AN22" s="521"/>
      <c r="AO22" s="521"/>
      <c r="AP22" s="521"/>
      <c r="AQ22" s="521"/>
      <c r="AR22" s="521"/>
      <c r="AS22" s="521"/>
    </row>
    <row r="23" spans="2:99" s="662" customFormat="1" ht="21.75" hidden="1" customHeight="1">
      <c r="B23" s="744"/>
      <c r="C23" s="536" t="s">
        <v>250</v>
      </c>
      <c r="D23" s="448"/>
      <c r="E23" s="646"/>
      <c r="F23" s="715"/>
      <c r="G23" s="648"/>
      <c r="H23" s="565"/>
      <c r="I23" s="685" t="str">
        <f t="shared" ref="I23:I29" si="0">IF(OR(F24="",F23=""),"",IF(F24&gt;F23,(F24-F23)*24*60,(1+F24-F23)*24*60))</f>
        <v/>
      </c>
      <c r="J23" s="571" t="s">
        <v>251</v>
      </c>
      <c r="K23" s="572"/>
      <c r="L23" s="564"/>
      <c r="M23" s="568"/>
      <c r="N23" s="521"/>
      <c r="O23" s="521"/>
      <c r="P23" s="521"/>
      <c r="Q23" s="521"/>
      <c r="R23" s="521"/>
      <c r="S23" s="521"/>
      <c r="T23" s="521"/>
      <c r="U23" s="521"/>
      <c r="V23" s="521"/>
      <c r="W23" s="521"/>
      <c r="X23" s="521"/>
      <c r="Y23" s="521"/>
      <c r="Z23" s="521"/>
      <c r="AA23" s="521"/>
      <c r="AB23" s="521"/>
      <c r="AC23" s="521"/>
      <c r="AD23" s="521"/>
      <c r="AE23" s="521"/>
      <c r="AF23" s="521"/>
      <c r="AG23" s="521"/>
      <c r="AH23" s="521"/>
      <c r="AI23" s="522"/>
      <c r="AJ23" s="521"/>
      <c r="AK23" s="521"/>
      <c r="AL23" s="521"/>
      <c r="AM23" s="521"/>
      <c r="AN23" s="521"/>
      <c r="AO23" s="521"/>
      <c r="AP23" s="521"/>
      <c r="AQ23" s="521"/>
      <c r="AR23" s="521"/>
      <c r="AS23" s="521"/>
    </row>
    <row r="24" spans="2:99" s="662" customFormat="1" ht="15" hidden="1" customHeight="1">
      <c r="B24" s="744"/>
      <c r="C24" s="573" t="s">
        <v>252</v>
      </c>
      <c r="D24" s="448"/>
      <c r="E24" s="646"/>
      <c r="F24" s="715"/>
      <c r="G24" s="648"/>
      <c r="H24" s="565"/>
      <c r="I24" s="685" t="str">
        <f t="shared" si="0"/>
        <v/>
      </c>
      <c r="J24" s="559"/>
      <c r="K24" s="559"/>
      <c r="L24" s="564"/>
      <c r="M24" s="531"/>
      <c r="N24" s="521"/>
      <c r="O24" s="521"/>
      <c r="P24" s="521"/>
      <c r="Q24" s="521"/>
      <c r="R24" s="521"/>
      <c r="S24" s="521"/>
      <c r="T24" s="521"/>
      <c r="U24" s="521"/>
      <c r="V24" s="521"/>
      <c r="W24" s="521"/>
      <c r="X24" s="521"/>
      <c r="Y24" s="521"/>
      <c r="Z24" s="521"/>
      <c r="AA24" s="521"/>
      <c r="AB24" s="521"/>
      <c r="AC24" s="521"/>
      <c r="AD24" s="521"/>
      <c r="AE24" s="521"/>
      <c r="AF24" s="521"/>
      <c r="AG24" s="521"/>
      <c r="AH24" s="521"/>
      <c r="AI24" s="522"/>
      <c r="AJ24" s="521"/>
      <c r="AK24" s="521"/>
      <c r="AL24" s="521"/>
      <c r="AM24" s="521"/>
      <c r="AN24" s="521"/>
      <c r="AO24" s="521"/>
      <c r="AP24" s="521"/>
      <c r="AQ24" s="521"/>
      <c r="AR24" s="521"/>
      <c r="AS24" s="521"/>
    </row>
    <row r="25" spans="2:99" s="662" customFormat="1" ht="22.5" hidden="1" customHeight="1">
      <c r="B25" s="744"/>
      <c r="C25" s="551" t="s">
        <v>253</v>
      </c>
      <c r="D25" s="448"/>
      <c r="E25" s="646"/>
      <c r="F25" s="715"/>
      <c r="G25" s="648"/>
      <c r="H25" s="565"/>
      <c r="I25" s="685" t="str">
        <f t="shared" si="0"/>
        <v/>
      </c>
      <c r="J25" s="559"/>
      <c r="K25" s="559"/>
      <c r="L25" s="564"/>
      <c r="M25" s="531"/>
      <c r="N25" s="521"/>
      <c r="O25" s="521"/>
      <c r="P25" s="521"/>
      <c r="Q25" s="521"/>
      <c r="R25" s="521"/>
      <c r="S25" s="521"/>
      <c r="T25" s="521"/>
      <c r="U25" s="521"/>
      <c r="V25" s="521"/>
      <c r="W25" s="521"/>
      <c r="X25" s="521"/>
      <c r="Y25" s="521"/>
      <c r="Z25" s="521"/>
      <c r="AA25" s="521"/>
      <c r="AB25" s="521"/>
      <c r="AC25" s="521"/>
      <c r="AD25" s="521"/>
      <c r="AE25" s="521"/>
      <c r="AF25" s="521"/>
      <c r="AG25" s="521"/>
      <c r="AH25" s="521"/>
      <c r="AI25" s="522"/>
      <c r="AJ25" s="521"/>
      <c r="AK25" s="521"/>
      <c r="AL25" s="521"/>
      <c r="AM25" s="521"/>
      <c r="AN25" s="521"/>
      <c r="AO25" s="521"/>
      <c r="AP25" s="521"/>
      <c r="AQ25" s="521"/>
      <c r="AR25" s="521"/>
      <c r="AS25" s="521"/>
    </row>
    <row r="26" spans="2:99" s="662" customFormat="1" ht="14.25" hidden="1" customHeight="1">
      <c r="B26" s="744"/>
      <c r="C26" s="573" t="s">
        <v>254</v>
      </c>
      <c r="D26" s="448"/>
      <c r="E26" s="646"/>
      <c r="F26" s="715"/>
      <c r="G26" s="648"/>
      <c r="H26" s="565"/>
      <c r="I26" s="685" t="str">
        <f t="shared" si="0"/>
        <v/>
      </c>
      <c r="J26" s="559"/>
      <c r="K26" s="559"/>
      <c r="L26" s="564"/>
      <c r="M26" s="531"/>
      <c r="N26" s="521"/>
      <c r="O26" s="521"/>
      <c r="P26" s="521"/>
      <c r="Q26" s="521"/>
      <c r="R26" s="521"/>
      <c r="S26" s="521"/>
      <c r="T26" s="521"/>
      <c r="U26" s="521"/>
      <c r="V26" s="521"/>
      <c r="W26" s="521"/>
      <c r="X26" s="521"/>
      <c r="Y26" s="521"/>
      <c r="Z26" s="521"/>
      <c r="AA26" s="521"/>
      <c r="AB26" s="521"/>
      <c r="AC26" s="521"/>
      <c r="AD26" s="521"/>
      <c r="AE26" s="521"/>
      <c r="AF26" s="521"/>
      <c r="AG26" s="521"/>
      <c r="AH26" s="521"/>
      <c r="AI26" s="522"/>
      <c r="AJ26" s="521"/>
      <c r="AK26" s="521"/>
      <c r="AL26" s="521"/>
      <c r="AM26" s="521"/>
      <c r="AN26" s="521"/>
      <c r="AO26" s="521"/>
      <c r="AP26" s="521"/>
      <c r="AQ26" s="521"/>
      <c r="AR26" s="521"/>
      <c r="AS26" s="521"/>
    </row>
    <row r="27" spans="2:99" s="662" customFormat="1" ht="17.25" hidden="1" customHeight="1">
      <c r="B27" s="744"/>
      <c r="C27" s="536" t="s">
        <v>255</v>
      </c>
      <c r="D27" s="448"/>
      <c r="E27" s="646"/>
      <c r="F27" s="715"/>
      <c r="G27" s="648"/>
      <c r="H27" s="565"/>
      <c r="I27" s="685" t="str">
        <f t="shared" si="0"/>
        <v/>
      </c>
      <c r="J27" s="559"/>
      <c r="K27" s="559"/>
      <c r="L27" s="564"/>
      <c r="M27" s="531"/>
      <c r="N27" s="521"/>
      <c r="O27" s="521"/>
      <c r="P27" s="521"/>
      <c r="Q27" s="521"/>
      <c r="R27" s="521"/>
      <c r="S27" s="521"/>
      <c r="T27" s="521"/>
      <c r="U27" s="521"/>
      <c r="V27" s="521"/>
      <c r="W27" s="521"/>
      <c r="X27" s="521"/>
      <c r="Y27" s="521"/>
      <c r="Z27" s="521"/>
      <c r="AA27" s="521"/>
      <c r="AB27" s="521"/>
      <c r="AC27" s="521"/>
      <c r="AD27" s="521"/>
      <c r="AE27" s="521"/>
      <c r="AF27" s="521"/>
      <c r="AG27" s="521"/>
      <c r="AH27" s="521"/>
      <c r="AI27" s="522"/>
      <c r="AJ27" s="521"/>
      <c r="AK27" s="521"/>
      <c r="AL27" s="521"/>
      <c r="AM27" s="521"/>
      <c r="AN27" s="521"/>
      <c r="AO27" s="521"/>
      <c r="AP27" s="521"/>
      <c r="AQ27" s="521"/>
      <c r="AR27" s="521"/>
      <c r="AS27" s="521"/>
    </row>
    <row r="28" spans="2:99" s="662" customFormat="1" ht="15.75" hidden="1" customHeight="1">
      <c r="B28" s="744"/>
      <c r="C28" s="573" t="s">
        <v>256</v>
      </c>
      <c r="D28" s="448"/>
      <c r="E28" s="646"/>
      <c r="F28" s="715"/>
      <c r="G28" s="648"/>
      <c r="H28" s="565"/>
      <c r="I28" s="685" t="str">
        <f t="shared" si="0"/>
        <v/>
      </c>
      <c r="J28" s="559"/>
      <c r="K28" s="559"/>
      <c r="L28" s="564"/>
      <c r="M28" s="531"/>
      <c r="N28" s="521"/>
      <c r="O28" s="521"/>
      <c r="P28" s="521"/>
      <c r="Q28" s="521"/>
      <c r="R28" s="521"/>
      <c r="S28" s="521"/>
      <c r="T28" s="521"/>
      <c r="U28" s="521"/>
      <c r="V28" s="521"/>
      <c r="W28" s="521"/>
      <c r="X28" s="521"/>
      <c r="Y28" s="521"/>
      <c r="Z28" s="521"/>
      <c r="AA28" s="521"/>
      <c r="AB28" s="521"/>
      <c r="AC28" s="521"/>
      <c r="AD28" s="521"/>
      <c r="AE28" s="521"/>
      <c r="AF28" s="521"/>
      <c r="AG28" s="521"/>
      <c r="AH28" s="521"/>
      <c r="AI28" s="522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</row>
    <row r="29" spans="2:99" s="662" customFormat="1" ht="23.25" hidden="1" customHeight="1">
      <c r="B29" s="748"/>
      <c r="C29" s="536" t="s">
        <v>257</v>
      </c>
      <c r="D29" s="448"/>
      <c r="E29" s="646"/>
      <c r="F29" s="715"/>
      <c r="G29" s="648"/>
      <c r="H29" s="537"/>
      <c r="I29" s="685" t="str">
        <f t="shared" si="0"/>
        <v/>
      </c>
      <c r="J29" s="571" t="s">
        <v>251</v>
      </c>
      <c r="K29" s="572"/>
      <c r="L29" s="564"/>
      <c r="M29" s="568"/>
      <c r="N29" s="521"/>
      <c r="O29" s="521"/>
      <c r="P29" s="521"/>
      <c r="Q29" s="521"/>
      <c r="R29" s="521"/>
      <c r="S29" s="521"/>
      <c r="T29" s="521"/>
      <c r="U29" s="521"/>
      <c r="V29" s="521"/>
      <c r="W29" s="521"/>
      <c r="X29" s="521"/>
      <c r="Y29" s="521"/>
      <c r="Z29" s="521"/>
      <c r="AA29" s="521"/>
      <c r="AB29" s="521"/>
      <c r="AC29" s="521"/>
      <c r="AD29" s="521"/>
      <c r="AE29" s="521"/>
      <c r="AF29" s="521"/>
      <c r="AG29" s="521"/>
      <c r="AH29" s="521"/>
      <c r="AI29" s="522"/>
      <c r="AJ29" s="521"/>
      <c r="AK29" s="521"/>
      <c r="AL29" s="521"/>
      <c r="AM29" s="521"/>
      <c r="AN29" s="521"/>
      <c r="AO29" s="521"/>
      <c r="AP29" s="521"/>
      <c r="AQ29" s="521"/>
      <c r="AR29" s="521"/>
      <c r="AS29" s="521"/>
    </row>
    <row r="30" spans="2:99" s="662" customFormat="1" ht="24.75" customHeight="1" collapsed="1">
      <c r="B30" s="744"/>
      <c r="C30" s="536" t="s">
        <v>258</v>
      </c>
      <c r="D30" s="448"/>
      <c r="E30" s="651"/>
      <c r="F30" s="714"/>
      <c r="G30" s="648"/>
      <c r="H30" s="448">
        <v>7</v>
      </c>
      <c r="I30" s="685" t="str">
        <f>IF(OR(F31="",F30=""),"",IF(F31&gt;=F30,(F31-F30)*24*60,(1+F31-F30)*24*60))</f>
        <v/>
      </c>
      <c r="J30" s="574" t="s">
        <v>259</v>
      </c>
      <c r="K30" s="537"/>
      <c r="L30" s="569"/>
      <c r="M30" s="531"/>
      <c r="N30" s="521"/>
      <c r="O30" s="521"/>
      <c r="P30" s="521"/>
      <c r="Q30" s="521"/>
      <c r="R30" s="521"/>
      <c r="S30" s="521"/>
      <c r="T30" s="521"/>
      <c r="U30" s="521"/>
      <c r="V30" s="521"/>
      <c r="W30" s="521"/>
      <c r="X30" s="521"/>
      <c r="Y30" s="521"/>
      <c r="Z30" s="521"/>
      <c r="AA30" s="521"/>
      <c r="AB30" s="521"/>
      <c r="AC30" s="521"/>
      <c r="AD30" s="521"/>
      <c r="AE30" s="521"/>
      <c r="AF30" s="521"/>
      <c r="AG30" s="521"/>
      <c r="AH30" s="521"/>
      <c r="AI30" s="522"/>
      <c r="AJ30" s="521"/>
      <c r="AK30" s="521"/>
      <c r="AL30" s="521"/>
      <c r="AM30" s="535" t="s">
        <v>260</v>
      </c>
      <c r="AN30" s="535" t="s">
        <v>261</v>
      </c>
      <c r="AO30" s="535" t="s">
        <v>199</v>
      </c>
      <c r="AP30" s="535" t="s">
        <v>262</v>
      </c>
      <c r="AQ30" s="535" t="s">
        <v>263</v>
      </c>
      <c r="AR30" s="575" t="s">
        <v>264</v>
      </c>
      <c r="AS30" s="521"/>
    </row>
    <row r="31" spans="2:99" s="662" customFormat="1" ht="24.75" customHeight="1">
      <c r="B31" s="744"/>
      <c r="C31" s="536" t="s">
        <v>265</v>
      </c>
      <c r="D31" s="448">
        <v>7</v>
      </c>
      <c r="E31" s="651"/>
      <c r="F31" s="714"/>
      <c r="G31" s="648" t="str">
        <f>IF(F42="","",F42)</f>
        <v/>
      </c>
      <c r="H31" s="448">
        <v>1</v>
      </c>
      <c r="I31" s="685" t="str">
        <f>IF(OR(G31="",F31=""),"",IF(G31&gt;=F31,(G31-F31)*24*60,(1+G31-F31)*24*60))</f>
        <v/>
      </c>
      <c r="J31" s="539"/>
      <c r="K31" s="539"/>
      <c r="L31" s="641"/>
      <c r="M31" s="554"/>
      <c r="N31" s="521"/>
      <c r="O31" s="521"/>
      <c r="P31" s="521"/>
      <c r="Q31" s="521"/>
      <c r="R31" s="521"/>
      <c r="S31" s="521"/>
      <c r="T31" s="521"/>
      <c r="U31" s="521"/>
      <c r="V31" s="521"/>
      <c r="W31" s="521"/>
      <c r="X31" s="521"/>
      <c r="Y31" s="521"/>
      <c r="Z31" s="521"/>
      <c r="AA31" s="521"/>
      <c r="AB31" s="521"/>
      <c r="AC31" s="521"/>
      <c r="AD31" s="521"/>
      <c r="AE31" s="521"/>
      <c r="AF31" s="521"/>
      <c r="AG31" s="521"/>
      <c r="AH31" s="521"/>
      <c r="AI31" s="522"/>
      <c r="AJ31" s="521"/>
      <c r="AK31" s="521"/>
      <c r="AL31" s="521"/>
      <c r="AM31" s="535"/>
      <c r="AN31" s="535">
        <v>80</v>
      </c>
      <c r="AO31" s="535">
        <v>30</v>
      </c>
      <c r="AP31" s="535">
        <v>60</v>
      </c>
      <c r="AQ31" s="535">
        <v>180</v>
      </c>
      <c r="AR31" s="575">
        <f>AQ31*AO32</f>
        <v>72</v>
      </c>
      <c r="AS31" s="521"/>
    </row>
    <row r="32" spans="2:99" s="662" customFormat="1" ht="24.75" customHeight="1">
      <c r="B32" s="744"/>
      <c r="C32" s="536" t="s">
        <v>266</v>
      </c>
      <c r="D32" s="448">
        <v>2</v>
      </c>
      <c r="E32" s="651"/>
      <c r="F32" s="651"/>
      <c r="G32" s="651"/>
      <c r="H32" s="448">
        <v>0</v>
      </c>
      <c r="I32" s="448"/>
      <c r="J32" s="539"/>
      <c r="K32" s="539"/>
      <c r="L32" s="641"/>
      <c r="M32" s="554"/>
      <c r="N32" s="521"/>
      <c r="O32" s="521"/>
      <c r="P32" s="521"/>
      <c r="Q32" s="521"/>
      <c r="R32" s="521"/>
      <c r="S32" s="521"/>
      <c r="T32" s="521"/>
      <c r="U32" s="521"/>
      <c r="V32" s="521"/>
      <c r="W32" s="521"/>
      <c r="X32" s="521"/>
      <c r="Y32" s="521"/>
      <c r="Z32" s="521"/>
      <c r="AA32" s="521"/>
      <c r="AB32" s="521"/>
      <c r="AC32" s="521"/>
      <c r="AD32" s="521"/>
      <c r="AE32" s="521"/>
      <c r="AF32" s="521"/>
      <c r="AG32" s="521"/>
      <c r="AH32" s="521"/>
      <c r="AI32" s="522"/>
      <c r="AJ32" s="521"/>
      <c r="AK32" s="521"/>
      <c r="AL32" s="521"/>
      <c r="AM32" s="535"/>
      <c r="AN32" s="535">
        <v>0.6</v>
      </c>
      <c r="AO32" s="535">
        <f>1-AN32</f>
        <v>0.4</v>
      </c>
      <c r="AP32" s="576">
        <f>AN31*AN32+AO31*AO32</f>
        <v>60</v>
      </c>
      <c r="AQ32" s="535"/>
      <c r="AR32" s="535"/>
      <c r="AS32" s="521"/>
    </row>
    <row r="33" spans="2:45" s="662" customFormat="1" ht="22.5" customHeight="1" thickBot="1">
      <c r="B33" s="745"/>
      <c r="C33" s="779" t="s">
        <v>267</v>
      </c>
      <c r="D33" s="882"/>
      <c r="E33" s="882"/>
      <c r="F33" s="882"/>
      <c r="G33" s="882"/>
      <c r="H33" s="882">
        <f>SUM(H12:H32)</f>
        <v>56.066666666666663</v>
      </c>
      <c r="I33" s="882" t="str">
        <f>IF(OR(G31="",F13=""),"",IF(G31&gt;=F13,(G31-F13)*24*60,(G31+1-F13)*24*60))</f>
        <v/>
      </c>
      <c r="J33" s="543"/>
      <c r="K33" s="543"/>
      <c r="L33" s="643"/>
      <c r="M33" s="580"/>
      <c r="N33" s="521"/>
      <c r="O33" s="521"/>
      <c r="P33" s="521"/>
      <c r="Q33" s="521"/>
      <c r="R33" s="521"/>
      <c r="S33" s="521"/>
      <c r="T33" s="521"/>
      <c r="U33" s="521"/>
      <c r="V33" s="521"/>
      <c r="W33" s="521"/>
      <c r="X33" s="521"/>
      <c r="Y33" s="521"/>
      <c r="Z33" s="521"/>
      <c r="AA33" s="521"/>
      <c r="AB33" s="521"/>
      <c r="AC33" s="521"/>
      <c r="AD33" s="521"/>
      <c r="AE33" s="521"/>
      <c r="AF33" s="521"/>
      <c r="AG33" s="521"/>
      <c r="AH33" s="521"/>
      <c r="AI33" s="522"/>
      <c r="AJ33" s="521"/>
      <c r="AK33" s="521"/>
      <c r="AL33" s="521"/>
      <c r="AM33" s="521"/>
      <c r="AN33" s="521"/>
      <c r="AO33" s="521"/>
      <c r="AP33" s="521"/>
      <c r="AQ33" s="521"/>
      <c r="AR33" s="521"/>
      <c r="AS33" s="521"/>
    </row>
    <row r="34" spans="2:45" s="662" customFormat="1" ht="15" customHeight="1" thickBot="1">
      <c r="B34" s="770"/>
      <c r="C34" s="941" t="s">
        <v>268</v>
      </c>
      <c r="D34" s="942"/>
      <c r="E34" s="942"/>
      <c r="F34" s="942"/>
      <c r="G34" s="942"/>
      <c r="H34" s="942"/>
      <c r="I34" s="942"/>
      <c r="J34" s="942"/>
      <c r="K34" s="942"/>
      <c r="L34" s="943"/>
      <c r="M34" s="582"/>
      <c r="N34" s="521"/>
      <c r="O34" s="521"/>
      <c r="P34" s="521"/>
      <c r="Q34" s="521"/>
      <c r="R34" s="521"/>
      <c r="S34" s="521"/>
      <c r="T34" s="521"/>
      <c r="U34" s="521"/>
      <c r="V34" s="521"/>
      <c r="W34" s="521"/>
      <c r="X34" s="521"/>
      <c r="Y34" s="521"/>
      <c r="Z34" s="521"/>
      <c r="AA34" s="521"/>
      <c r="AB34" s="521"/>
      <c r="AC34" s="521"/>
      <c r="AD34" s="521"/>
      <c r="AE34" s="521"/>
      <c r="AF34" s="521"/>
      <c r="AG34" s="521"/>
      <c r="AH34" s="521"/>
      <c r="AI34" s="522"/>
      <c r="AJ34" s="521"/>
      <c r="AK34" s="521"/>
      <c r="AL34" s="521"/>
      <c r="AM34" s="521"/>
      <c r="AN34" s="521"/>
      <c r="AO34" s="521"/>
      <c r="AP34" s="521"/>
      <c r="AQ34" s="521"/>
      <c r="AR34" s="521"/>
      <c r="AS34" s="521"/>
    </row>
    <row r="35" spans="2:45" s="662" customFormat="1" ht="24.75" customHeight="1">
      <c r="B35" s="745"/>
      <c r="C35" s="594" t="s">
        <v>269</v>
      </c>
      <c r="D35" s="882">
        <v>10</v>
      </c>
      <c r="E35" s="647"/>
      <c r="F35" s="775"/>
      <c r="G35" s="775"/>
      <c r="H35" s="882">
        <v>2</v>
      </c>
      <c r="I35" s="882"/>
      <c r="J35" s="790" t="s">
        <v>178</v>
      </c>
      <c r="K35" s="791">
        <v>225</v>
      </c>
      <c r="L35" s="713">
        <v>225</v>
      </c>
      <c r="M35" s="584"/>
      <c r="N35" s="521"/>
      <c r="O35" s="521"/>
      <c r="P35" s="521"/>
      <c r="Q35" s="521"/>
      <c r="R35" s="521"/>
      <c r="S35" s="521"/>
      <c r="T35" s="964" t="s">
        <v>270</v>
      </c>
      <c r="U35" s="964"/>
      <c r="V35" s="521" t="e">
        <f>(D8-K15)/H36*1.2</f>
        <v>#VALUE!</v>
      </c>
      <c r="W35" s="521"/>
      <c r="X35" s="521"/>
      <c r="Y35" s="521"/>
      <c r="Z35" s="521"/>
      <c r="AA35" s="521"/>
      <c r="AB35" s="521"/>
      <c r="AC35" s="521"/>
      <c r="AD35" s="521"/>
      <c r="AE35" s="521"/>
      <c r="AF35" s="521"/>
      <c r="AG35" s="521"/>
      <c r="AH35" s="521"/>
      <c r="AI35" s="522"/>
      <c r="AJ35" s="521"/>
      <c r="AK35" s="521"/>
      <c r="AL35" s="521"/>
      <c r="AM35" s="535" t="s">
        <v>271</v>
      </c>
      <c r="AN35" s="535" t="s">
        <v>261</v>
      </c>
      <c r="AO35" s="535" t="s">
        <v>199</v>
      </c>
      <c r="AP35" s="535" t="s">
        <v>272</v>
      </c>
      <c r="AQ35" s="535" t="s">
        <v>273</v>
      </c>
      <c r="AR35" s="575" t="s">
        <v>264</v>
      </c>
      <c r="AS35" s="521"/>
    </row>
    <row r="36" spans="2:45" s="663" customFormat="1" ht="24" customHeight="1">
      <c r="B36" s="744"/>
      <c r="C36" s="536" t="s">
        <v>274</v>
      </c>
      <c r="D36" s="448">
        <v>80</v>
      </c>
      <c r="E36" s="646"/>
      <c r="F36" s="648" t="str">
        <f>IF(F19="","",F19)</f>
        <v/>
      </c>
      <c r="G36" s="648"/>
      <c r="H36" s="448">
        <f>D36/K35*60</f>
        <v>21.333333333333336</v>
      </c>
      <c r="I36" s="685" t="str">
        <f>IF(OR(F37="",F36=""),"",IF(F37&gt;=F36,(F37-F36)*24*60,(1+F37-F36)*24*60))</f>
        <v/>
      </c>
      <c r="J36" s="585" t="s">
        <v>275</v>
      </c>
      <c r="K36" s="583">
        <v>43.8</v>
      </c>
      <c r="L36" s="561">
        <f ca="1">43.8+RANDBETWEEN(-2,2)/10</f>
        <v>43.8</v>
      </c>
      <c r="M36" s="586"/>
      <c r="N36" s="523"/>
      <c r="O36" s="523"/>
      <c r="P36" s="523"/>
      <c r="Q36" s="523"/>
      <c r="R36" s="523"/>
      <c r="S36" s="523"/>
      <c r="T36" s="555" t="s">
        <v>184</v>
      </c>
      <c r="U36" s="523"/>
      <c r="V36" s="587" t="e">
        <f>(K8)/(D8-K15)*100</f>
        <v>#VALUE!</v>
      </c>
      <c r="W36" s="523"/>
      <c r="X36" s="523"/>
      <c r="Y36" s="523"/>
      <c r="Z36" s="523"/>
      <c r="AA36" s="523"/>
      <c r="AB36" s="523"/>
      <c r="AC36" s="523"/>
      <c r="AD36" s="523"/>
      <c r="AE36" s="523"/>
      <c r="AF36" s="523"/>
      <c r="AG36" s="523"/>
      <c r="AH36" s="523"/>
      <c r="AI36" s="524"/>
      <c r="AJ36" s="523"/>
      <c r="AK36" s="523"/>
      <c r="AL36" s="523"/>
      <c r="AM36" s="588"/>
      <c r="AN36" s="535">
        <v>80</v>
      </c>
      <c r="AO36" s="535">
        <v>30</v>
      </c>
      <c r="AP36" s="535">
        <v>41</v>
      </c>
      <c r="AQ36" s="535">
        <v>240</v>
      </c>
      <c r="AR36" s="575">
        <f>AQ36*AO37</f>
        <v>187.20000000000002</v>
      </c>
      <c r="AS36" s="523"/>
    </row>
    <row r="37" spans="2:45" s="663" customFormat="1" ht="24" customHeight="1">
      <c r="B37" s="744"/>
      <c r="C37" s="536" t="s">
        <v>276</v>
      </c>
      <c r="D37" s="448">
        <v>14</v>
      </c>
      <c r="E37" s="646"/>
      <c r="F37" s="714"/>
      <c r="G37" s="648"/>
      <c r="H37" s="448">
        <f>D37/280*60</f>
        <v>3</v>
      </c>
      <c r="I37" s="685" t="str">
        <f>IF(OR(F40="",F37=""),"",IF(F40&gt;=F37,(F40-F37)*24*60,(1+F40-F37)*24*60))</f>
        <v/>
      </c>
      <c r="J37" s="552" t="s">
        <v>187</v>
      </c>
      <c r="K37" s="583">
        <v>46.5</v>
      </c>
      <c r="L37" s="561">
        <f ca="1">46.7+RANDBETWEEN(-1,3)/10</f>
        <v>47</v>
      </c>
      <c r="M37" s="586"/>
      <c r="N37" s="523"/>
      <c r="O37" s="523"/>
      <c r="P37" s="523"/>
      <c r="Q37" s="523"/>
      <c r="R37" s="523"/>
      <c r="S37" s="523"/>
      <c r="T37" s="555"/>
      <c r="U37" s="523"/>
      <c r="V37" s="587"/>
      <c r="W37" s="523"/>
      <c r="X37" s="523"/>
      <c r="Y37" s="523"/>
      <c r="Z37" s="523"/>
      <c r="AA37" s="523"/>
      <c r="AB37" s="523"/>
      <c r="AC37" s="523"/>
      <c r="AD37" s="523"/>
      <c r="AE37" s="523"/>
      <c r="AF37" s="523"/>
      <c r="AG37" s="523"/>
      <c r="AH37" s="523"/>
      <c r="AI37" s="524"/>
      <c r="AJ37" s="523"/>
      <c r="AK37" s="523"/>
      <c r="AL37" s="523"/>
      <c r="AM37" s="588"/>
      <c r="AN37" s="535">
        <v>0.22</v>
      </c>
      <c r="AO37" s="535">
        <f>1-AN37</f>
        <v>0.78</v>
      </c>
      <c r="AP37" s="576">
        <f>AN36*AN37+AO36*AO37</f>
        <v>41</v>
      </c>
      <c r="AQ37" s="535"/>
      <c r="AR37" s="535"/>
      <c r="AS37" s="523"/>
    </row>
    <row r="38" spans="2:45" s="662" customFormat="1" ht="24" customHeight="1">
      <c r="B38" s="744"/>
      <c r="C38" s="536" t="s">
        <v>193</v>
      </c>
      <c r="D38" s="557">
        <v>4</v>
      </c>
      <c r="E38" s="646"/>
      <c r="F38" s="648"/>
      <c r="G38" s="648"/>
      <c r="H38" s="448"/>
      <c r="I38" s="448"/>
      <c r="J38" s="585"/>
      <c r="K38" s="557"/>
      <c r="L38" s="589"/>
      <c r="M38" s="590"/>
      <c r="N38" s="521"/>
      <c r="O38" s="521"/>
      <c r="P38" s="521"/>
      <c r="Q38" s="521"/>
      <c r="R38" s="521"/>
      <c r="S38" s="521"/>
      <c r="T38" s="521"/>
      <c r="U38" s="521"/>
      <c r="V38" s="521"/>
      <c r="W38" s="521"/>
      <c r="X38" s="521"/>
      <c r="Y38" s="521"/>
      <c r="Z38" s="521"/>
      <c r="AA38" s="521"/>
      <c r="AB38" s="521"/>
      <c r="AC38" s="521"/>
      <c r="AD38" s="521"/>
      <c r="AE38" s="521"/>
      <c r="AF38" s="521"/>
      <c r="AG38" s="521"/>
      <c r="AH38" s="521"/>
      <c r="AI38" s="522"/>
      <c r="AJ38" s="521"/>
      <c r="AK38" s="521"/>
      <c r="AL38" s="521"/>
      <c r="AM38" s="521"/>
      <c r="AN38" s="521"/>
      <c r="AO38" s="521"/>
      <c r="AP38" s="521"/>
      <c r="AQ38" s="521"/>
      <c r="AR38" s="521"/>
      <c r="AS38" s="521"/>
    </row>
    <row r="39" spans="2:45" s="662" customFormat="1" ht="20.25" customHeight="1">
      <c r="B39" s="747"/>
      <c r="C39" s="536" t="s">
        <v>277</v>
      </c>
      <c r="D39" s="557"/>
      <c r="E39" s="651"/>
      <c r="F39" s="715"/>
      <c r="G39" s="648"/>
      <c r="H39" s="448"/>
      <c r="I39" s="448"/>
      <c r="J39" s="563"/>
      <c r="K39" s="557"/>
      <c r="L39" s="540"/>
      <c r="M39" s="586"/>
      <c r="N39" s="521"/>
      <c r="O39" s="521"/>
      <c r="P39" s="521"/>
      <c r="Q39" s="521"/>
      <c r="R39" s="521"/>
      <c r="S39" s="521"/>
      <c r="T39" s="521"/>
      <c r="U39" s="521"/>
      <c r="V39" s="521"/>
      <c r="W39" s="521"/>
      <c r="X39" s="521"/>
      <c r="Y39" s="521"/>
      <c r="Z39" s="521"/>
      <c r="AA39" s="521"/>
      <c r="AB39" s="521"/>
      <c r="AC39" s="521"/>
      <c r="AD39" s="521"/>
      <c r="AE39" s="521"/>
      <c r="AF39" s="521"/>
      <c r="AG39" s="521"/>
      <c r="AH39" s="521"/>
      <c r="AI39" s="522"/>
      <c r="AJ39" s="521"/>
      <c r="AK39" s="521"/>
      <c r="AL39" s="521"/>
      <c r="AM39" s="521"/>
      <c r="AN39" s="521"/>
      <c r="AO39" s="521"/>
      <c r="AP39" s="521"/>
      <c r="AQ39" s="521"/>
      <c r="AR39" s="521"/>
      <c r="AS39" s="521"/>
    </row>
    <row r="40" spans="2:45" s="662" customFormat="1" ht="24" customHeight="1">
      <c r="B40" s="747"/>
      <c r="C40" s="563" t="s">
        <v>278</v>
      </c>
      <c r="D40" s="557"/>
      <c r="E40" s="652"/>
      <c r="F40" s="714"/>
      <c r="G40" s="648" t="str">
        <f>IF(ISBLANK(F40),"",F40+TIME(0,H40,0))</f>
        <v/>
      </c>
      <c r="H40" s="479">
        <v>5</v>
      </c>
      <c r="I40" s="685" t="str">
        <f t="shared" ref="I40:I48" si="1">IF(OR(F41="",F40=""),"",IF(F41&gt;=F40,(F41-F40)*24*60,(1+F41-F40)*24*60))</f>
        <v/>
      </c>
      <c r="J40" s="566"/>
      <c r="K40" s="557"/>
      <c r="L40" s="540"/>
      <c r="M40" s="586"/>
      <c r="N40" s="521"/>
      <c r="O40" s="521"/>
      <c r="P40" s="521"/>
      <c r="Q40" s="521"/>
      <c r="R40" s="521"/>
      <c r="S40" s="521"/>
      <c r="T40" s="521"/>
      <c r="U40" s="521"/>
      <c r="V40" s="521"/>
      <c r="W40" s="521"/>
      <c r="X40" s="521"/>
      <c r="Y40" s="521"/>
      <c r="Z40" s="521"/>
      <c r="AA40" s="521"/>
      <c r="AB40" s="521"/>
      <c r="AC40" s="521"/>
      <c r="AD40" s="521"/>
      <c r="AE40" s="521"/>
      <c r="AF40" s="521"/>
      <c r="AG40" s="521"/>
      <c r="AH40" s="521"/>
      <c r="AI40" s="522"/>
      <c r="AJ40" s="521"/>
      <c r="AK40" s="521"/>
      <c r="AL40" s="521"/>
      <c r="AM40" s="535" t="s">
        <v>279</v>
      </c>
      <c r="AN40" s="535" t="s">
        <v>261</v>
      </c>
      <c r="AO40" s="535" t="s">
        <v>199</v>
      </c>
      <c r="AP40" s="535" t="s">
        <v>280</v>
      </c>
      <c r="AQ40" s="535" t="s">
        <v>263</v>
      </c>
      <c r="AR40" s="575" t="s">
        <v>264</v>
      </c>
      <c r="AS40" s="521"/>
    </row>
    <row r="41" spans="2:45" s="662" customFormat="1" ht="24" customHeight="1">
      <c r="B41" s="744"/>
      <c r="C41" s="536" t="s">
        <v>281</v>
      </c>
      <c r="D41" s="557"/>
      <c r="E41" s="653"/>
      <c r="F41" s="680" t="str">
        <f>IF(F30="","",F30)</f>
        <v/>
      </c>
      <c r="G41" s="648"/>
      <c r="H41" s="448">
        <f>SUM(H30,H31)</f>
        <v>8</v>
      </c>
      <c r="I41" s="685" t="str">
        <f t="shared" si="1"/>
        <v/>
      </c>
      <c r="J41" s="574" t="s">
        <v>282</v>
      </c>
      <c r="K41" s="681"/>
      <c r="L41" s="558"/>
      <c r="M41" s="586"/>
      <c r="N41" s="521"/>
      <c r="O41" s="521"/>
      <c r="P41" s="521"/>
      <c r="Q41" s="521"/>
      <c r="R41" s="521"/>
      <c r="S41" s="521"/>
      <c r="T41" s="521"/>
      <c r="U41" s="521"/>
      <c r="V41" s="521"/>
      <c r="W41" s="521"/>
      <c r="X41" s="521"/>
      <c r="Y41" s="521"/>
      <c r="Z41" s="521"/>
      <c r="AA41" s="521"/>
      <c r="AB41" s="521"/>
      <c r="AC41" s="521"/>
      <c r="AD41" s="521"/>
      <c r="AE41" s="521"/>
      <c r="AF41" s="521"/>
      <c r="AG41" s="521"/>
      <c r="AH41" s="521"/>
      <c r="AI41" s="522"/>
      <c r="AJ41" s="521"/>
      <c r="AK41" s="521"/>
      <c r="AL41" s="521"/>
      <c r="AM41" s="588"/>
      <c r="AN41" s="535">
        <v>80</v>
      </c>
      <c r="AO41" s="535">
        <v>30</v>
      </c>
      <c r="AP41" s="535">
        <v>80</v>
      </c>
      <c r="AQ41" s="535">
        <v>220</v>
      </c>
      <c r="AR41" s="575">
        <f>AQ41*AO42</f>
        <v>0</v>
      </c>
      <c r="AS41" s="521"/>
    </row>
    <row r="42" spans="2:45" s="662" customFormat="1" ht="24" customHeight="1">
      <c r="B42" s="744"/>
      <c r="C42" s="536" t="s">
        <v>283</v>
      </c>
      <c r="D42" s="448"/>
      <c r="E42" s="651"/>
      <c r="F42" s="714"/>
      <c r="G42" s="648"/>
      <c r="H42" s="448">
        <v>0</v>
      </c>
      <c r="I42" s="685" t="str">
        <f t="shared" si="1"/>
        <v/>
      </c>
      <c r="J42" s="539" t="s">
        <v>259</v>
      </c>
      <c r="K42" s="591"/>
      <c r="L42" s="558"/>
      <c r="M42" s="586"/>
      <c r="N42" s="521"/>
      <c r="O42" s="521"/>
      <c r="P42" s="521"/>
      <c r="Q42" s="521"/>
      <c r="R42" s="521"/>
      <c r="S42" s="521"/>
      <c r="T42" s="555" t="s">
        <v>184</v>
      </c>
      <c r="U42" s="521"/>
      <c r="V42" s="556" t="e">
        <f>(K8+K9+D15)/(D8+D9)*100</f>
        <v>#VALUE!</v>
      </c>
      <c r="W42" s="521"/>
      <c r="X42" s="549" t="s">
        <v>284</v>
      </c>
      <c r="Y42" s="550" t="e">
        <f>D8+D9+(K8+K9+D15+D31)*100</f>
        <v>#VALUE!</v>
      </c>
      <c r="Z42" s="521"/>
      <c r="AA42" s="521"/>
      <c r="AB42" s="521"/>
      <c r="AC42" s="521"/>
      <c r="AD42" s="521"/>
      <c r="AE42" s="521"/>
      <c r="AF42" s="521"/>
      <c r="AG42" s="521"/>
      <c r="AH42" s="521"/>
      <c r="AI42" s="522"/>
      <c r="AJ42" s="521"/>
      <c r="AK42" s="521"/>
      <c r="AL42" s="521"/>
      <c r="AM42" s="588"/>
      <c r="AN42" s="535">
        <v>1</v>
      </c>
      <c r="AO42" s="535">
        <f>1-AN42</f>
        <v>0</v>
      </c>
      <c r="AP42" s="576">
        <f>AN41*AN42+AO41*AO42</f>
        <v>80</v>
      </c>
      <c r="AQ42" s="535"/>
      <c r="AR42" s="535"/>
      <c r="AS42" s="521"/>
    </row>
    <row r="43" spans="2:45" s="662" customFormat="1" ht="25.5" customHeight="1">
      <c r="B43" s="744"/>
      <c r="C43" s="566" t="s">
        <v>285</v>
      </c>
      <c r="D43" s="562">
        <v>65.5</v>
      </c>
      <c r="E43" s="652"/>
      <c r="F43" s="714"/>
      <c r="G43" s="648" t="str">
        <f>IF(ISBLANK(F43),"",F43+TIME(0,H43,0))</f>
        <v/>
      </c>
      <c r="H43" s="479">
        <v>50</v>
      </c>
      <c r="I43" s="685" t="str">
        <f t="shared" si="1"/>
        <v/>
      </c>
      <c r="J43" s="539" t="s">
        <v>286</v>
      </c>
      <c r="K43" s="583" t="s">
        <v>287</v>
      </c>
      <c r="L43" s="708"/>
      <c r="M43" s="567"/>
      <c r="N43" s="521"/>
      <c r="O43" s="521"/>
      <c r="P43" s="521"/>
      <c r="Q43" s="521"/>
      <c r="R43" s="521"/>
      <c r="S43" s="521"/>
      <c r="T43" s="521"/>
      <c r="U43" s="521"/>
      <c r="V43" s="521"/>
      <c r="W43" s="521"/>
      <c r="X43" s="521"/>
      <c r="Y43" s="521"/>
      <c r="Z43" s="521"/>
      <c r="AA43" s="521"/>
      <c r="AB43" s="521"/>
      <c r="AC43" s="521"/>
      <c r="AD43" s="521"/>
      <c r="AE43" s="521"/>
      <c r="AF43" s="521"/>
      <c r="AG43" s="521"/>
      <c r="AH43" s="521"/>
      <c r="AI43" s="522"/>
      <c r="AJ43" s="521"/>
      <c r="AK43" s="521"/>
      <c r="AL43" s="521"/>
      <c r="AM43" s="521"/>
      <c r="AN43" s="521"/>
      <c r="AO43" s="521"/>
      <c r="AP43" s="521"/>
      <c r="AQ43" s="521"/>
      <c r="AR43" s="521"/>
      <c r="AS43" s="521"/>
    </row>
    <row r="44" spans="2:45" s="662" customFormat="1" ht="25.5" customHeight="1">
      <c r="B44" s="747"/>
      <c r="C44" s="536" t="s">
        <v>288</v>
      </c>
      <c r="D44" s="448"/>
      <c r="E44" s="651"/>
      <c r="F44" s="680" t="str">
        <f>G43</f>
        <v/>
      </c>
      <c r="G44" s="648"/>
      <c r="H44" s="448">
        <v>7</v>
      </c>
      <c r="I44" s="685" t="str">
        <f t="shared" si="1"/>
        <v/>
      </c>
      <c r="J44" s="566" t="s">
        <v>289</v>
      </c>
      <c r="K44" s="553" t="s">
        <v>290</v>
      </c>
      <c r="L44" s="708"/>
      <c r="M44" s="531"/>
      <c r="N44" s="521"/>
      <c r="O44" s="521"/>
      <c r="P44" s="521"/>
      <c r="Q44" s="521"/>
      <c r="R44" s="521"/>
      <c r="S44" s="521"/>
      <c r="T44" s="521"/>
      <c r="U44" s="521"/>
      <c r="V44" s="521"/>
      <c r="W44" s="521"/>
      <c r="X44" s="521"/>
      <c r="Y44" s="521"/>
      <c r="Z44" s="521"/>
      <c r="AA44" s="521"/>
      <c r="AB44" s="521"/>
      <c r="AC44" s="521"/>
      <c r="AD44" s="521"/>
      <c r="AE44" s="521"/>
      <c r="AF44" s="521"/>
      <c r="AG44" s="521"/>
      <c r="AH44" s="521"/>
      <c r="AI44" s="522"/>
      <c r="AJ44" s="521"/>
      <c r="AK44" s="521"/>
      <c r="AL44" s="521"/>
      <c r="AM44" s="535" t="s">
        <v>291</v>
      </c>
      <c r="AN44" s="535" t="s">
        <v>261</v>
      </c>
      <c r="AO44" s="535" t="s">
        <v>199</v>
      </c>
      <c r="AP44" s="535" t="s">
        <v>272</v>
      </c>
      <c r="AQ44" s="535" t="s">
        <v>263</v>
      </c>
      <c r="AR44" s="575" t="s">
        <v>264</v>
      </c>
      <c r="AS44" s="521"/>
    </row>
    <row r="45" spans="2:45" s="662" customFormat="1" ht="25.5" customHeight="1">
      <c r="B45" s="747"/>
      <c r="C45" s="566" t="s">
        <v>292</v>
      </c>
      <c r="D45" s="448"/>
      <c r="E45" s="652"/>
      <c r="F45" s="714"/>
      <c r="G45" s="648" t="str">
        <f>IF(ISBLANK(F45),"",F45+TIME(0,H45,0))</f>
        <v/>
      </c>
      <c r="H45" s="479">
        <v>10</v>
      </c>
      <c r="I45" s="685" t="str">
        <f t="shared" si="1"/>
        <v/>
      </c>
      <c r="J45" s="566"/>
      <c r="K45" s="553"/>
      <c r="L45" s="708"/>
      <c r="M45" s="531"/>
      <c r="N45" s="521"/>
      <c r="O45" s="521"/>
      <c r="P45" s="521"/>
      <c r="Q45" s="521"/>
      <c r="R45" s="521"/>
      <c r="S45" s="521"/>
      <c r="T45" s="521"/>
      <c r="U45" s="521"/>
      <c r="V45" s="521"/>
      <c r="W45" s="521"/>
      <c r="X45" s="521"/>
      <c r="Y45" s="521"/>
      <c r="Z45" s="521"/>
      <c r="AA45" s="521"/>
      <c r="AB45" s="521"/>
      <c r="AC45" s="521"/>
      <c r="AD45" s="521"/>
      <c r="AE45" s="521"/>
      <c r="AF45" s="521"/>
      <c r="AG45" s="521"/>
      <c r="AH45" s="521"/>
      <c r="AI45" s="522"/>
      <c r="AJ45" s="521"/>
      <c r="AK45" s="521"/>
      <c r="AL45" s="521"/>
      <c r="AM45" s="535"/>
      <c r="AN45" s="535"/>
      <c r="AO45" s="535"/>
      <c r="AP45" s="535"/>
      <c r="AQ45" s="535"/>
      <c r="AR45" s="575"/>
      <c r="AS45" s="521"/>
    </row>
    <row r="46" spans="2:45" s="662" customFormat="1" ht="25.5" customHeight="1">
      <c r="B46" s="747"/>
      <c r="C46" s="536" t="s">
        <v>293</v>
      </c>
      <c r="D46" s="448"/>
      <c r="E46" s="651"/>
      <c r="F46" s="680" t="str">
        <f>G45</f>
        <v/>
      </c>
      <c r="G46" s="648"/>
      <c r="H46" s="448">
        <v>5</v>
      </c>
      <c r="I46" s="685" t="str">
        <f t="shared" si="1"/>
        <v/>
      </c>
      <c r="J46" s="566"/>
      <c r="K46" s="553"/>
      <c r="L46" s="708"/>
      <c r="M46" s="531"/>
      <c r="N46" s="521"/>
      <c r="O46" s="521"/>
      <c r="P46" s="521"/>
      <c r="Q46" s="521"/>
      <c r="R46" s="521"/>
      <c r="S46" s="521"/>
      <c r="T46" s="521"/>
      <c r="U46" s="521"/>
      <c r="V46" s="521"/>
      <c r="W46" s="521"/>
      <c r="X46" s="521"/>
      <c r="Y46" s="521"/>
      <c r="Z46" s="521"/>
      <c r="AA46" s="521"/>
      <c r="AB46" s="521"/>
      <c r="AC46" s="521"/>
      <c r="AD46" s="521"/>
      <c r="AE46" s="521"/>
      <c r="AF46" s="521"/>
      <c r="AG46" s="521"/>
      <c r="AH46" s="521"/>
      <c r="AI46" s="522"/>
      <c r="AJ46" s="521"/>
      <c r="AK46" s="521"/>
      <c r="AL46" s="521"/>
      <c r="AM46" s="535"/>
      <c r="AN46" s="535"/>
      <c r="AO46" s="535"/>
      <c r="AP46" s="535"/>
      <c r="AQ46" s="535"/>
      <c r="AR46" s="575"/>
      <c r="AS46" s="521"/>
    </row>
    <row r="47" spans="2:45" s="662" customFormat="1" ht="24" customHeight="1">
      <c r="B47" s="744"/>
      <c r="C47" s="536" t="s">
        <v>294</v>
      </c>
      <c r="D47" s="448"/>
      <c r="E47" s="652"/>
      <c r="F47" s="714"/>
      <c r="G47" s="648"/>
      <c r="H47" s="448">
        <v>0</v>
      </c>
      <c r="I47" s="685" t="str">
        <f t="shared" si="1"/>
        <v/>
      </c>
      <c r="J47" s="539" t="s">
        <v>245</v>
      </c>
      <c r="K47" s="583" t="s">
        <v>246</v>
      </c>
      <c r="L47" s="642"/>
      <c r="M47" s="568"/>
      <c r="N47" s="521"/>
      <c r="O47" s="521"/>
      <c r="P47" s="521"/>
      <c r="Q47" s="521"/>
      <c r="R47" s="521"/>
      <c r="S47" s="521"/>
      <c r="T47" s="521"/>
      <c r="U47" s="521"/>
      <c r="V47" s="521"/>
      <c r="W47" s="521"/>
      <c r="X47" s="521"/>
      <c r="Y47" s="521"/>
      <c r="Z47" s="521"/>
      <c r="AA47" s="521"/>
      <c r="AB47" s="521"/>
      <c r="AC47" s="521"/>
      <c r="AD47" s="521"/>
      <c r="AE47" s="521"/>
      <c r="AF47" s="521"/>
      <c r="AG47" s="521"/>
      <c r="AH47" s="521"/>
      <c r="AI47" s="522"/>
      <c r="AJ47" s="521"/>
      <c r="AK47" s="521"/>
      <c r="AL47" s="521"/>
      <c r="AM47" s="588"/>
      <c r="AN47" s="535">
        <v>0.88</v>
      </c>
      <c r="AO47" s="535">
        <f>1-AN47</f>
        <v>0.12</v>
      </c>
      <c r="AP47" s="576" t="e">
        <f>#REF!*AN47+#REF!*AO47</f>
        <v>#REF!</v>
      </c>
      <c r="AQ47" s="535"/>
      <c r="AR47" s="535"/>
      <c r="AS47" s="521"/>
    </row>
    <row r="48" spans="2:45" s="663" customFormat="1" ht="22.5" customHeight="1">
      <c r="B48" s="746"/>
      <c r="C48" s="573" t="s">
        <v>295</v>
      </c>
      <c r="D48" s="479"/>
      <c r="E48" s="651"/>
      <c r="F48" s="714"/>
      <c r="G48" s="648"/>
      <c r="H48" s="479">
        <v>8</v>
      </c>
      <c r="I48" s="685" t="str">
        <f t="shared" si="1"/>
        <v/>
      </c>
      <c r="J48" s="539" t="s">
        <v>259</v>
      </c>
      <c r="K48" s="591"/>
      <c r="L48" s="592"/>
      <c r="M48" s="593"/>
      <c r="N48" s="523"/>
      <c r="O48" s="523"/>
      <c r="P48" s="523"/>
      <c r="Q48" s="523"/>
      <c r="R48" s="523"/>
      <c r="S48" s="523"/>
      <c r="T48" s="523"/>
      <c r="U48" s="523"/>
      <c r="V48" s="523"/>
      <c r="W48" s="523"/>
      <c r="X48" s="523"/>
      <c r="Y48" s="523"/>
      <c r="Z48" s="523"/>
      <c r="AA48" s="523"/>
      <c r="AB48" s="523"/>
      <c r="AC48" s="523"/>
      <c r="AD48" s="523"/>
      <c r="AE48" s="523"/>
      <c r="AF48" s="523"/>
      <c r="AG48" s="523"/>
      <c r="AH48" s="523"/>
      <c r="AI48" s="524"/>
      <c r="AJ48" s="523"/>
      <c r="AK48" s="523"/>
      <c r="AL48" s="523"/>
      <c r="AM48" s="523"/>
      <c r="AN48" s="523"/>
      <c r="AO48" s="523"/>
      <c r="AP48" s="523"/>
      <c r="AQ48" s="523"/>
      <c r="AR48" s="523"/>
      <c r="AS48" s="523" t="s">
        <v>296</v>
      </c>
    </row>
    <row r="49" spans="2:46" s="662" customFormat="1" ht="20.25" customHeight="1">
      <c r="B49" s="745"/>
      <c r="C49" s="594" t="s">
        <v>297</v>
      </c>
      <c r="D49" s="882">
        <v>10</v>
      </c>
      <c r="E49" s="647"/>
      <c r="F49" s="714"/>
      <c r="G49" s="648" t="str">
        <f>IF(F57="","",F57)</f>
        <v/>
      </c>
      <c r="H49" s="882">
        <v>2</v>
      </c>
      <c r="I49" s="685" t="str">
        <f>IF(OR(G49="",F49=""),"",IF(G49&gt;=F49,(G49-F49)*24*60,(1+G49-F49)*24*60))</f>
        <v/>
      </c>
      <c r="J49" s="543"/>
      <c r="K49" s="543"/>
      <c r="L49" s="643"/>
      <c r="M49" s="548"/>
      <c r="N49" s="521"/>
      <c r="O49" s="521"/>
      <c r="P49" s="521"/>
      <c r="Q49" s="521"/>
      <c r="R49" s="521"/>
      <c r="S49" s="521"/>
      <c r="T49" s="521"/>
      <c r="U49" s="521"/>
      <c r="V49" s="521"/>
      <c r="W49" s="521"/>
      <c r="X49" s="521"/>
      <c r="Y49" s="521"/>
      <c r="Z49" s="521"/>
      <c r="AA49" s="521"/>
      <c r="AB49" s="521"/>
      <c r="AC49" s="521"/>
      <c r="AD49" s="521"/>
      <c r="AE49" s="521"/>
      <c r="AF49" s="521"/>
      <c r="AG49" s="521"/>
      <c r="AH49" s="521"/>
      <c r="AI49" s="522"/>
      <c r="AJ49" s="521"/>
      <c r="AK49" s="521"/>
      <c r="AL49" s="521"/>
      <c r="AM49" s="521"/>
      <c r="AN49" s="521"/>
      <c r="AO49" s="521"/>
      <c r="AP49" s="521" t="s">
        <v>298</v>
      </c>
      <c r="AQ49" s="521">
        <v>6</v>
      </c>
      <c r="AR49" s="521" t="e">
        <f>#REF!</f>
        <v>#REF!</v>
      </c>
      <c r="AS49" s="521" t="e">
        <f>(AQ49*AR49+AQ50*AR50)/(AR49+AR50)</f>
        <v>#REF!</v>
      </c>
    </row>
    <row r="50" spans="2:46" s="662" customFormat="1" ht="20.25" customHeight="1">
      <c r="B50" s="744"/>
      <c r="C50" s="536" t="s">
        <v>266</v>
      </c>
      <c r="D50" s="448">
        <v>2</v>
      </c>
      <c r="E50" s="651"/>
      <c r="F50" s="648"/>
      <c r="G50" s="648"/>
      <c r="H50" s="448">
        <v>1</v>
      </c>
      <c r="I50" s="448"/>
      <c r="J50" s="539"/>
      <c r="K50" s="539"/>
      <c r="L50" s="641"/>
      <c r="M50" s="554"/>
      <c r="N50" s="521"/>
      <c r="O50" s="521"/>
      <c r="P50" s="521"/>
      <c r="Q50" s="521"/>
      <c r="R50" s="521"/>
      <c r="S50" s="521"/>
      <c r="T50" s="521"/>
      <c r="U50" s="521"/>
      <c r="V50" s="521"/>
      <c r="W50" s="521"/>
      <c r="X50" s="521"/>
      <c r="Y50" s="521"/>
      <c r="Z50" s="521"/>
      <c r="AA50" s="521"/>
      <c r="AB50" s="521"/>
      <c r="AC50" s="521"/>
      <c r="AD50" s="521"/>
      <c r="AE50" s="521"/>
      <c r="AF50" s="521"/>
      <c r="AG50" s="521"/>
      <c r="AH50" s="521"/>
      <c r="AI50" s="522"/>
      <c r="AJ50" s="521"/>
      <c r="AK50" s="521"/>
      <c r="AL50" s="521"/>
      <c r="AM50" s="521"/>
      <c r="AN50" s="521"/>
      <c r="AO50" s="521"/>
      <c r="AP50" s="521" t="s">
        <v>299</v>
      </c>
      <c r="AQ50" s="521">
        <v>6.4</v>
      </c>
      <c r="AR50" s="521" t="e">
        <f>#REF!-AR49</f>
        <v>#REF!</v>
      </c>
      <c r="AS50" s="521"/>
    </row>
    <row r="51" spans="2:46" s="662" customFormat="1" ht="22.5" customHeight="1" thickBot="1">
      <c r="B51" s="749"/>
      <c r="C51" s="595" t="s">
        <v>300</v>
      </c>
      <c r="D51" s="596"/>
      <c r="E51" s="654"/>
      <c r="F51" s="596"/>
      <c r="G51" s="654"/>
      <c r="H51" s="596">
        <f>SUM(H35:H50)</f>
        <v>122.33333333333334</v>
      </c>
      <c r="I51" s="596" t="str">
        <f>IF(OR(G49="",F36=""),"",IF(G49&gt;=F36,(G49-F36)*24*60,(G49+1-F36)*24*60))</f>
        <v/>
      </c>
      <c r="J51" s="597"/>
      <c r="K51" s="597"/>
      <c r="L51" s="644"/>
      <c r="M51" s="598"/>
      <c r="N51" s="521"/>
      <c r="O51" s="521"/>
      <c r="P51" s="521"/>
      <c r="Q51" s="521"/>
      <c r="R51" s="521"/>
      <c r="S51" s="521"/>
      <c r="T51" s="521"/>
      <c r="U51" s="521"/>
      <c r="V51" s="521"/>
      <c r="W51" s="521"/>
      <c r="X51" s="521"/>
      <c r="Y51" s="521"/>
      <c r="Z51" s="521"/>
      <c r="AA51" s="521"/>
      <c r="AB51" s="521"/>
      <c r="AC51" s="521"/>
      <c r="AD51" s="521"/>
      <c r="AE51" s="521"/>
      <c r="AF51" s="521"/>
      <c r="AG51" s="521"/>
      <c r="AH51" s="521"/>
      <c r="AI51" s="522"/>
      <c r="AJ51" s="521"/>
      <c r="AK51" s="521"/>
      <c r="AL51" s="521"/>
      <c r="AM51" s="521"/>
      <c r="AN51" s="521"/>
      <c r="AO51" s="521"/>
      <c r="AP51" s="521"/>
      <c r="AQ51" s="521"/>
      <c r="AR51" s="521"/>
      <c r="AS51" s="521"/>
    </row>
    <row r="52" spans="2:46" s="662" customFormat="1" ht="22.5" hidden="1" customHeight="1" thickBot="1">
      <c r="B52" s="749"/>
      <c r="C52" s="835"/>
      <c r="D52" s="836"/>
      <c r="E52" s="837"/>
      <c r="F52" s="836"/>
      <c r="G52" s="837"/>
      <c r="H52" s="836"/>
      <c r="I52" s="836"/>
      <c r="J52" s="838"/>
      <c r="K52" s="838"/>
      <c r="L52" s="839"/>
      <c r="M52" s="548"/>
      <c r="N52" s="521"/>
      <c r="O52" s="521"/>
      <c r="P52" s="521"/>
      <c r="Q52" s="521"/>
      <c r="R52" s="521"/>
      <c r="S52" s="521"/>
      <c r="T52" s="521"/>
      <c r="U52" s="521"/>
      <c r="V52" s="521"/>
      <c r="W52" s="521"/>
      <c r="X52" s="521"/>
      <c r="Y52" s="521"/>
      <c r="Z52" s="521"/>
      <c r="AA52" s="521"/>
      <c r="AB52" s="521"/>
      <c r="AC52" s="521"/>
      <c r="AD52" s="521"/>
      <c r="AE52" s="521"/>
      <c r="AF52" s="521"/>
      <c r="AG52" s="521"/>
      <c r="AH52" s="521"/>
      <c r="AI52" s="522"/>
      <c r="AJ52" s="521"/>
      <c r="AK52" s="521"/>
      <c r="AL52" s="521"/>
      <c r="AM52" s="521"/>
      <c r="AN52" s="521"/>
      <c r="AO52" s="521"/>
      <c r="AP52" s="521"/>
      <c r="AQ52" s="521"/>
      <c r="AR52" s="521"/>
      <c r="AS52" s="521"/>
    </row>
    <row r="53" spans="2:46" s="662" customFormat="1" ht="15" customHeight="1" thickBot="1">
      <c r="B53" s="770"/>
      <c r="C53" s="941" t="s">
        <v>301</v>
      </c>
      <c r="D53" s="942"/>
      <c r="E53" s="942"/>
      <c r="F53" s="942"/>
      <c r="G53" s="942"/>
      <c r="H53" s="942"/>
      <c r="I53" s="942"/>
      <c r="J53" s="942"/>
      <c r="K53" s="942"/>
      <c r="L53" s="943"/>
      <c r="M53" s="599"/>
      <c r="N53" s="521"/>
      <c r="O53" s="521"/>
      <c r="P53" s="521"/>
      <c r="Q53" s="521"/>
      <c r="R53" s="521"/>
      <c r="S53" s="521"/>
      <c r="T53" s="521"/>
      <c r="U53" s="521"/>
      <c r="V53" s="521"/>
      <c r="W53" s="521"/>
      <c r="X53" s="521"/>
      <c r="Y53" s="521"/>
      <c r="Z53" s="521"/>
      <c r="AA53" s="521"/>
      <c r="AB53" s="521"/>
      <c r="AC53" s="521"/>
      <c r="AD53" s="521"/>
      <c r="AE53" s="521"/>
      <c r="AF53" s="521"/>
      <c r="AG53" s="521"/>
      <c r="AH53" s="521"/>
      <c r="AI53" s="522"/>
      <c r="AJ53" s="521"/>
      <c r="AK53" s="521"/>
      <c r="AL53" s="521"/>
      <c r="AM53" s="521"/>
      <c r="AN53" s="521"/>
      <c r="AO53" s="521"/>
      <c r="AP53" s="521"/>
      <c r="AQ53" s="521"/>
      <c r="AR53" s="521"/>
      <c r="AS53" s="521"/>
    </row>
    <row r="54" spans="2:46" s="662" customFormat="1" ht="22.5" customHeight="1">
      <c r="B54" s="745"/>
      <c r="C54" s="594" t="s">
        <v>302</v>
      </c>
      <c r="D54" s="882">
        <v>12</v>
      </c>
      <c r="E54" s="647"/>
      <c r="F54" s="775"/>
      <c r="G54" s="775"/>
      <c r="H54" s="882">
        <v>2</v>
      </c>
      <c r="I54" s="764" t="str">
        <f>IF(OR(G54="",F54=""),"",IF(G54&gt;=F54,(G54-F54)*24*60,(1+G54-F54)*24*60))</f>
        <v/>
      </c>
      <c r="J54" s="543" t="s">
        <v>303</v>
      </c>
      <c r="K54" s="787">
        <v>200</v>
      </c>
      <c r="L54" s="788">
        <v>200</v>
      </c>
      <c r="M54" s="600"/>
      <c r="N54" s="532">
        <f>K8+K9+D15+D31+D49+D54</f>
        <v>192</v>
      </c>
      <c r="O54" s="521"/>
      <c r="P54" s="521"/>
      <c r="Q54" s="521"/>
      <c r="R54" s="521"/>
      <c r="S54" s="521"/>
      <c r="T54" s="521"/>
      <c r="U54" s="521"/>
      <c r="V54" s="521"/>
      <c r="W54" s="521"/>
      <c r="X54" s="521"/>
      <c r="Y54" s="521"/>
      <c r="Z54" s="521"/>
      <c r="AA54" s="521"/>
      <c r="AB54" s="521"/>
      <c r="AC54" s="521"/>
      <c r="AD54" s="521"/>
      <c r="AE54" s="521"/>
      <c r="AF54" s="521"/>
      <c r="AG54" s="521"/>
      <c r="AH54" s="521"/>
      <c r="AI54" s="522"/>
      <c r="AJ54" s="521"/>
      <c r="AK54" s="521"/>
      <c r="AL54" s="521"/>
      <c r="AM54" s="521"/>
      <c r="AN54" s="521"/>
      <c r="AO54" s="521"/>
      <c r="AP54" s="523"/>
      <c r="AQ54" s="523"/>
      <c r="AR54" s="523"/>
      <c r="AS54" s="523" t="s">
        <v>296</v>
      </c>
    </row>
    <row r="55" spans="2:46" s="662" customFormat="1" ht="21" customHeight="1">
      <c r="B55" s="744"/>
      <c r="C55" s="536" t="s">
        <v>304</v>
      </c>
      <c r="D55" s="448"/>
      <c r="E55" s="651"/>
      <c r="F55" s="680" t="str">
        <f>IF(F48="","",F48)</f>
        <v/>
      </c>
      <c r="G55" s="648"/>
      <c r="H55" s="448">
        <f>H48</f>
        <v>8</v>
      </c>
      <c r="I55" s="685" t="str">
        <f>IF(OR(F57="",F55=""),"",IF(F57&gt;=F55,(F57-F55)*24*60,(1+F57-F55)*24*60))</f>
        <v/>
      </c>
      <c r="J55" s="539" t="s">
        <v>305</v>
      </c>
      <c r="K55" s="562" t="s">
        <v>306</v>
      </c>
      <c r="L55" s="722"/>
      <c r="M55" s="601"/>
      <c r="N55" s="521" t="e">
        <f>#REF!/N54</f>
        <v>#REF!</v>
      </c>
      <c r="O55" s="521"/>
      <c r="P55" s="521"/>
      <c r="Q55" s="521"/>
      <c r="R55" s="521"/>
      <c r="S55" s="521"/>
      <c r="T55" s="521"/>
      <c r="U55" s="521"/>
      <c r="V55" s="521"/>
      <c r="W55" s="521"/>
      <c r="X55" s="521"/>
      <c r="Y55" s="521"/>
      <c r="Z55" s="521"/>
      <c r="AA55" s="521"/>
      <c r="AB55" s="521"/>
      <c r="AC55" s="521"/>
      <c r="AD55" s="521"/>
      <c r="AE55" s="521"/>
      <c r="AF55" s="521"/>
      <c r="AG55" s="521"/>
      <c r="AH55" s="521"/>
      <c r="AI55" s="522"/>
      <c r="AJ55" s="521"/>
      <c r="AK55" s="521"/>
      <c r="AL55" s="521"/>
      <c r="AM55" s="521"/>
      <c r="AN55" s="521"/>
      <c r="AO55" s="521"/>
      <c r="AP55" s="521" t="s">
        <v>307</v>
      </c>
      <c r="AQ55" s="521">
        <v>6</v>
      </c>
      <c r="AR55" s="521">
        <v>21.999999999999996</v>
      </c>
      <c r="AS55" s="521">
        <f>(AQ55*AR55+AQ56*AR56)/(AR55+AR56)</f>
        <v>6.36</v>
      </c>
    </row>
    <row r="56" spans="2:46" s="662" customFormat="1" ht="20.25" customHeight="1">
      <c r="B56" s="744"/>
      <c r="C56" s="536" t="s">
        <v>308</v>
      </c>
      <c r="D56" s="448"/>
      <c r="E56" s="651"/>
      <c r="F56" s="648" t="str">
        <f>IF(F49="","",F49)</f>
        <v/>
      </c>
      <c r="G56" s="648"/>
      <c r="H56" s="448">
        <v>2</v>
      </c>
      <c r="I56" s="448"/>
      <c r="J56" s="539" t="s">
        <v>309</v>
      </c>
      <c r="K56" s="448">
        <v>80</v>
      </c>
      <c r="L56" s="741">
        <f ca="1">80+RANDBETWEEN(-3,3)/10</f>
        <v>79.8</v>
      </c>
      <c r="M56" s="602"/>
      <c r="N56" s="521"/>
      <c r="O56" s="521"/>
      <c r="P56" s="521"/>
      <c r="Q56" s="521"/>
      <c r="R56" s="521"/>
      <c r="S56" s="521"/>
      <c r="T56" s="521"/>
      <c r="U56" s="521"/>
      <c r="V56" s="521"/>
      <c r="W56" s="521">
        <v>2100</v>
      </c>
      <c r="X56" s="521"/>
      <c r="Y56" s="521"/>
      <c r="Z56" s="521"/>
      <c r="AA56" s="521"/>
      <c r="AB56" s="521"/>
      <c r="AC56" s="521"/>
      <c r="AD56" s="521"/>
      <c r="AE56" s="521"/>
      <c r="AF56" s="521"/>
      <c r="AG56" s="521"/>
      <c r="AH56" s="521"/>
      <c r="AI56" s="522"/>
      <c r="AJ56" s="521"/>
      <c r="AK56" s="521"/>
      <c r="AL56" s="521"/>
      <c r="AM56" s="521"/>
      <c r="AN56" s="521"/>
      <c r="AO56" s="521"/>
      <c r="AP56" s="521" t="s">
        <v>299</v>
      </c>
      <c r="AQ56" s="521">
        <v>6.4</v>
      </c>
      <c r="AR56" s="521">
        <v>198</v>
      </c>
      <c r="AS56" s="521"/>
    </row>
    <row r="57" spans="2:46" s="662" customFormat="1" ht="23.25" customHeight="1">
      <c r="B57" s="744"/>
      <c r="C57" s="536" t="s">
        <v>310</v>
      </c>
      <c r="D57" s="479" t="s">
        <v>311</v>
      </c>
      <c r="E57" s="652"/>
      <c r="F57" s="714"/>
      <c r="G57" s="648"/>
      <c r="H57" s="448">
        <v>7</v>
      </c>
      <c r="I57" s="685" t="str">
        <f>IF(OR(F58="",F57=""),"",IF(F58&gt;=F57,(F58-F57)*24*60,(1+F58-F57)*24*60))</f>
        <v/>
      </c>
      <c r="J57" s="539" t="s">
        <v>312</v>
      </c>
      <c r="K57" s="583">
        <v>210</v>
      </c>
      <c r="L57" s="708">
        <v>210</v>
      </c>
      <c r="M57" s="531"/>
      <c r="N57" s="521"/>
      <c r="O57" s="521"/>
      <c r="P57" s="521"/>
      <c r="Q57" s="521"/>
      <c r="R57" s="521"/>
      <c r="S57" s="521"/>
      <c r="T57" s="521"/>
      <c r="U57" s="532"/>
      <c r="V57" s="521"/>
      <c r="W57" s="521">
        <v>1106</v>
      </c>
      <c r="X57" s="521"/>
      <c r="Y57" s="521"/>
      <c r="Z57" s="521"/>
      <c r="AA57" s="521"/>
      <c r="AB57" s="521"/>
      <c r="AC57" s="521"/>
      <c r="AD57" s="521"/>
      <c r="AE57" s="521"/>
      <c r="AF57" s="521"/>
      <c r="AG57" s="521"/>
      <c r="AH57" s="521"/>
      <c r="AI57" s="522"/>
      <c r="AJ57" s="521"/>
      <c r="AK57" s="521"/>
      <c r="AL57" s="521"/>
      <c r="AM57" s="521"/>
      <c r="AN57" s="521"/>
      <c r="AO57" s="521"/>
      <c r="AP57" s="521"/>
      <c r="AQ57" s="521"/>
      <c r="AR57" s="521"/>
      <c r="AS57" s="521"/>
    </row>
    <row r="58" spans="2:46" s="662" customFormat="1" ht="24" customHeight="1">
      <c r="B58" s="744"/>
      <c r="C58" s="539" t="s">
        <v>313</v>
      </c>
      <c r="D58" s="303">
        <v>136</v>
      </c>
      <c r="E58" s="646"/>
      <c r="F58" s="714"/>
      <c r="G58" s="648"/>
      <c r="H58" s="448">
        <f>D58/K54*60</f>
        <v>40.800000000000004</v>
      </c>
      <c r="I58" s="685" t="str">
        <f>IF(OR(F59="",F58=""),"",IF(F59&gt;=F58,(F59-F58)*24*60,(1+F59-F58)*24*60))</f>
        <v/>
      </c>
      <c r="J58" s="539" t="s">
        <v>314</v>
      </c>
      <c r="K58" s="603" t="s">
        <v>315</v>
      </c>
      <c r="L58" s="686" t="s">
        <v>316</v>
      </c>
      <c r="M58" s="604"/>
      <c r="N58" s="521"/>
      <c r="O58" s="521"/>
      <c r="P58" s="521"/>
      <c r="Q58" s="521"/>
      <c r="R58" s="521"/>
      <c r="S58" s="521"/>
      <c r="T58" s="532">
        <f>170-D58</f>
        <v>34</v>
      </c>
      <c r="U58" s="532">
        <f>K8+K9+D15+D31+D49+D54</f>
        <v>192</v>
      </c>
      <c r="V58" s="521"/>
      <c r="W58" s="521">
        <f>W56-W57</f>
        <v>994</v>
      </c>
      <c r="X58" s="521"/>
      <c r="Y58" s="521"/>
      <c r="Z58" s="521"/>
      <c r="AA58" s="521"/>
      <c r="AB58" s="521"/>
      <c r="AC58" s="521"/>
      <c r="AD58" s="521"/>
      <c r="AE58" s="521"/>
      <c r="AF58" s="521"/>
      <c r="AG58" s="521"/>
      <c r="AH58" s="521"/>
      <c r="AI58" s="522"/>
      <c r="AJ58" s="521"/>
      <c r="AK58" s="521"/>
      <c r="AL58" s="521"/>
      <c r="AM58" s="521"/>
      <c r="AN58" s="521"/>
      <c r="AO58" s="521"/>
      <c r="AP58" s="521"/>
      <c r="AQ58" s="521"/>
      <c r="AR58" s="521"/>
      <c r="AS58" s="521"/>
    </row>
    <row r="59" spans="2:46" s="662" customFormat="1" ht="24" customHeight="1">
      <c r="B59" s="744"/>
      <c r="C59" s="539" t="s">
        <v>317</v>
      </c>
      <c r="D59" s="479">
        <v>257</v>
      </c>
      <c r="E59" s="646"/>
      <c r="F59" s="714"/>
      <c r="G59" s="648"/>
      <c r="H59" s="448">
        <f>(D59-D58)/K57*60</f>
        <v>34.571428571428569</v>
      </c>
      <c r="I59" s="685" t="str">
        <f>IF(OR(F61="",F59=""),"",IF(F61&gt;=F59,(F61-F59)*24*60,(1+F61-F59)*24*60))</f>
        <v/>
      </c>
      <c r="J59" s="539" t="s">
        <v>314</v>
      </c>
      <c r="K59" s="603" t="s">
        <v>315</v>
      </c>
      <c r="L59" s="686" t="s">
        <v>316</v>
      </c>
      <c r="M59" s="605"/>
      <c r="N59" s="532"/>
      <c r="O59" s="521"/>
      <c r="P59" s="521"/>
      <c r="Q59" s="521"/>
      <c r="R59" s="521"/>
      <c r="S59" s="521"/>
      <c r="T59" s="521">
        <f>T58/K57*60</f>
        <v>9.7142857142857153</v>
      </c>
      <c r="U59" s="532" t="e">
        <f>U58+K61-D60</f>
        <v>#VALUE!</v>
      </c>
      <c r="V59" s="532"/>
      <c r="W59" s="521">
        <f>W58/1000</f>
        <v>0.99399999999999999</v>
      </c>
      <c r="X59" s="521">
        <f>4400/1000</f>
        <v>4.4000000000000004</v>
      </c>
      <c r="Y59" s="521"/>
      <c r="Z59" s="521"/>
      <c r="AA59" s="521"/>
      <c r="AB59" s="521"/>
      <c r="AC59" s="521"/>
      <c r="AD59" s="521"/>
      <c r="AE59" s="521"/>
      <c r="AF59" s="521"/>
      <c r="AG59" s="521"/>
      <c r="AH59" s="521"/>
      <c r="AI59" s="522"/>
      <c r="AJ59" s="521"/>
      <c r="AK59" s="521"/>
      <c r="AL59" s="521"/>
      <c r="AM59" s="521"/>
      <c r="AN59" s="532"/>
      <c r="AO59" s="532"/>
      <c r="AP59" s="521"/>
      <c r="AQ59" s="521"/>
      <c r="AR59" s="521"/>
      <c r="AS59" s="521"/>
    </row>
    <row r="60" spans="2:46" s="662" customFormat="1" ht="24" customHeight="1">
      <c r="B60" s="744"/>
      <c r="C60" s="536" t="s">
        <v>318</v>
      </c>
      <c r="D60" s="479" t="s">
        <v>319</v>
      </c>
      <c r="E60" s="646"/>
      <c r="F60" s="648"/>
      <c r="G60" s="648"/>
      <c r="H60" s="448">
        <f>E60*5.5</f>
        <v>0</v>
      </c>
      <c r="I60" s="448"/>
      <c r="J60" s="539" t="s">
        <v>320</v>
      </c>
      <c r="K60" s="448">
        <v>17</v>
      </c>
      <c r="L60" s="722">
        <f ca="1">16+RANDBETWEEN(23,62)/100</f>
        <v>16.37</v>
      </c>
      <c r="M60" s="605"/>
      <c r="N60" s="532"/>
      <c r="O60" s="521"/>
      <c r="P60" s="521"/>
      <c r="Q60" s="521"/>
      <c r="R60" s="521"/>
      <c r="S60" s="521"/>
      <c r="T60" s="532">
        <f>T59+H58</f>
        <v>50.51428571428572</v>
      </c>
      <c r="U60" s="532"/>
      <c r="V60" s="532"/>
      <c r="W60" s="521">
        <f>PI()*(X59/2)^2*W59</f>
        <v>15.114076592714353</v>
      </c>
      <c r="X60" s="521"/>
      <c r="Y60" s="521"/>
      <c r="Z60" s="521"/>
      <c r="AA60" s="521"/>
      <c r="AB60" s="521"/>
      <c r="AC60" s="521"/>
      <c r="AD60" s="521"/>
      <c r="AE60" s="521"/>
      <c r="AF60" s="521"/>
      <c r="AG60" s="521"/>
      <c r="AH60" s="521"/>
      <c r="AI60" s="522"/>
      <c r="AJ60" s="521"/>
      <c r="AK60" s="521"/>
      <c r="AL60" s="521"/>
      <c r="AM60" s="521"/>
      <c r="AN60" s="521"/>
      <c r="AO60" s="521"/>
      <c r="AP60" s="521"/>
      <c r="AQ60" s="521"/>
      <c r="AR60" s="521"/>
      <c r="AS60" s="521"/>
      <c r="AT60" s="725"/>
    </row>
    <row r="61" spans="2:46" s="662" customFormat="1" ht="21.75" customHeight="1">
      <c r="B61" s="744"/>
      <c r="C61" s="536" t="s">
        <v>321</v>
      </c>
      <c r="D61" s="479">
        <v>75</v>
      </c>
      <c r="E61" s="646"/>
      <c r="F61" s="714"/>
      <c r="G61" s="648" t="str">
        <f>IF(ISBLANK(F61),"",F61+TIME(0,E61/220*60,0))</f>
        <v/>
      </c>
      <c r="H61" s="448">
        <f>D61/K57*60</f>
        <v>21.428571428571431</v>
      </c>
      <c r="I61" s="685" t="str">
        <f>IF(OR(G61="",F61=""),"",IF(G61&gt;=F61,(G61-F61)*24*60,(1+G61-F61)*24*60))</f>
        <v/>
      </c>
      <c r="J61" s="539" t="s">
        <v>322</v>
      </c>
      <c r="K61" s="448">
        <v>135</v>
      </c>
      <c r="L61" s="709">
        <v>135</v>
      </c>
      <c r="M61" s="606"/>
      <c r="N61" s="521"/>
      <c r="O61" s="521"/>
      <c r="P61" s="521"/>
      <c r="Q61" s="521"/>
      <c r="R61" s="521"/>
      <c r="S61" s="521"/>
      <c r="T61" s="532" t="e">
        <f>D61-D60</f>
        <v>#VALUE!</v>
      </c>
      <c r="U61" s="532"/>
      <c r="V61" s="521"/>
      <c r="W61" s="521"/>
      <c r="X61" s="521"/>
      <c r="Y61" s="521"/>
      <c r="Z61" s="521"/>
      <c r="AA61" s="521"/>
      <c r="AB61" s="521"/>
      <c r="AC61" s="521"/>
      <c r="AD61" s="521"/>
      <c r="AE61" s="521"/>
      <c r="AF61" s="521"/>
      <c r="AG61" s="521"/>
      <c r="AH61" s="521"/>
      <c r="AI61" s="522"/>
      <c r="AJ61" s="521"/>
      <c r="AK61" s="521"/>
      <c r="AL61" s="521"/>
      <c r="AM61" s="521"/>
      <c r="AN61" s="521"/>
      <c r="AO61" s="521"/>
      <c r="AP61" s="521"/>
      <c r="AQ61" s="521"/>
      <c r="AR61" s="521"/>
      <c r="AS61" s="521"/>
    </row>
    <row r="62" spans="2:46" s="662" customFormat="1" ht="18.75" customHeight="1">
      <c r="B62" s="744"/>
      <c r="C62" s="536" t="s">
        <v>323</v>
      </c>
      <c r="D62" s="448"/>
      <c r="E62" s="651"/>
      <c r="F62" s="648"/>
      <c r="G62" s="648"/>
      <c r="H62" s="448">
        <v>10</v>
      </c>
      <c r="I62" s="448"/>
      <c r="J62" s="539" t="s">
        <v>324</v>
      </c>
      <c r="K62" s="448">
        <v>35</v>
      </c>
      <c r="L62" s="708">
        <v>35</v>
      </c>
      <c r="M62" s="531"/>
      <c r="N62" s="521"/>
      <c r="O62" s="521"/>
      <c r="P62" s="521"/>
      <c r="Q62" s="521"/>
      <c r="R62" s="521"/>
      <c r="S62" s="521"/>
      <c r="T62" s="521"/>
      <c r="U62" s="521"/>
      <c r="V62" s="521"/>
      <c r="W62" s="521"/>
      <c r="X62" s="521"/>
      <c r="Y62" s="521"/>
      <c r="Z62" s="521"/>
      <c r="AA62" s="521"/>
      <c r="AB62" s="521"/>
      <c r="AC62" s="521"/>
      <c r="AD62" s="521"/>
      <c r="AE62" s="521"/>
      <c r="AF62" s="521"/>
      <c r="AG62" s="521"/>
      <c r="AH62" s="521"/>
      <c r="AI62" s="522"/>
      <c r="AJ62" s="521"/>
      <c r="AK62" s="521"/>
      <c r="AL62" s="521"/>
      <c r="AM62" s="521"/>
      <c r="AN62" s="521"/>
      <c r="AO62" s="521"/>
      <c r="AP62" s="521"/>
      <c r="AQ62" s="521"/>
      <c r="AR62" s="521"/>
      <c r="AS62" s="521"/>
    </row>
    <row r="63" spans="2:46" s="662" customFormat="1" ht="20.149999999999999" customHeight="1">
      <c r="B63" s="744"/>
      <c r="C63" s="536" t="s">
        <v>325</v>
      </c>
      <c r="D63" s="448"/>
      <c r="E63" s="651"/>
      <c r="F63" s="648"/>
      <c r="G63" s="648"/>
      <c r="H63" s="448">
        <v>3</v>
      </c>
      <c r="I63" s="448"/>
      <c r="J63" s="539" t="s">
        <v>326</v>
      </c>
      <c r="K63" s="583" t="s">
        <v>327</v>
      </c>
      <c r="L63" s="561"/>
      <c r="M63" s="531"/>
      <c r="N63" s="521"/>
      <c r="O63" s="521"/>
      <c r="P63" s="521"/>
      <c r="Q63" s="521"/>
      <c r="R63" s="521"/>
      <c r="S63" s="521"/>
      <c r="T63" s="521"/>
      <c r="U63" s="521"/>
      <c r="V63" s="521"/>
      <c r="W63" s="521"/>
      <c r="X63" s="521"/>
      <c r="Y63" s="521"/>
      <c r="Z63" s="521"/>
      <c r="AA63" s="521"/>
      <c r="AB63" s="521"/>
      <c r="AC63" s="521"/>
      <c r="AD63" s="521"/>
      <c r="AE63" s="521"/>
      <c r="AF63" s="521"/>
      <c r="AG63" s="521"/>
      <c r="AH63" s="521"/>
      <c r="AI63" s="522"/>
      <c r="AJ63" s="521"/>
      <c r="AK63" s="521"/>
      <c r="AL63" s="521"/>
      <c r="AM63" s="521"/>
      <c r="AN63" s="521"/>
      <c r="AO63" s="521"/>
      <c r="AP63" s="521"/>
      <c r="AQ63" s="521"/>
      <c r="AR63" s="521"/>
      <c r="AS63" s="521"/>
    </row>
    <row r="64" spans="2:46" s="662" customFormat="1" ht="20.149999999999999" customHeight="1" thickBot="1">
      <c r="B64" s="755"/>
      <c r="C64" s="756" t="s">
        <v>328</v>
      </c>
      <c r="D64" s="882"/>
      <c r="E64" s="647"/>
      <c r="F64" s="647"/>
      <c r="G64" s="647"/>
      <c r="H64" s="882">
        <f>SUM(H54:H63)</f>
        <v>128.80000000000001</v>
      </c>
      <c r="I64" s="882" t="str">
        <f>IF(OR(G61="",F55=""),"",IF(G61&gt;=F55,(G61-F55)*24*60,(G61+1-F55)*24*60))</f>
        <v/>
      </c>
      <c r="J64" s="780" t="s">
        <v>329</v>
      </c>
      <c r="K64" s="781" t="s">
        <v>330</v>
      </c>
      <c r="L64" s="713"/>
      <c r="M64" s="531"/>
      <c r="N64" s="521"/>
      <c r="O64" s="521"/>
      <c r="P64" s="521"/>
      <c r="Q64" s="521"/>
      <c r="R64" s="521"/>
      <c r="S64" s="521"/>
      <c r="T64" s="521"/>
      <c r="U64" s="521"/>
      <c r="V64" s="521"/>
      <c r="W64" s="521"/>
      <c r="X64" s="521"/>
      <c r="Y64" s="521"/>
      <c r="Z64" s="521"/>
      <c r="AA64" s="521"/>
      <c r="AB64" s="521"/>
      <c r="AC64" s="521"/>
      <c r="AD64" s="521"/>
      <c r="AE64" s="521"/>
      <c r="AF64" s="521"/>
      <c r="AG64" s="521"/>
      <c r="AH64" s="521"/>
      <c r="AI64" s="522"/>
      <c r="AJ64" s="521"/>
      <c r="AK64" s="521"/>
      <c r="AL64" s="521"/>
      <c r="AM64" s="521"/>
      <c r="AN64" s="521"/>
      <c r="AO64" s="521"/>
      <c r="AP64" s="521"/>
      <c r="AQ64" s="521"/>
      <c r="AR64" s="521"/>
      <c r="AS64" s="521"/>
    </row>
    <row r="65" spans="2:45" s="662" customFormat="1" ht="12" thickBot="1">
      <c r="B65" s="770"/>
      <c r="C65" s="941" t="s">
        <v>331</v>
      </c>
      <c r="D65" s="942"/>
      <c r="E65" s="942"/>
      <c r="F65" s="942"/>
      <c r="G65" s="942"/>
      <c r="H65" s="942"/>
      <c r="I65" s="942"/>
      <c r="J65" s="942"/>
      <c r="K65" s="942"/>
      <c r="L65" s="943"/>
      <c r="M65" s="582"/>
      <c r="N65" s="521"/>
      <c r="O65" s="521"/>
      <c r="P65" s="521"/>
      <c r="Q65" s="521"/>
      <c r="R65" s="521"/>
      <c r="S65" s="521"/>
      <c r="T65" s="521"/>
      <c r="U65" s="521"/>
      <c r="V65" s="521"/>
      <c r="W65" s="521"/>
      <c r="X65" s="521"/>
      <c r="Y65" s="521"/>
      <c r="Z65" s="521"/>
      <c r="AA65" s="521"/>
      <c r="AB65" s="521"/>
      <c r="AC65" s="521"/>
      <c r="AD65" s="521"/>
      <c r="AE65" s="521"/>
      <c r="AF65" s="521"/>
      <c r="AG65" s="521"/>
      <c r="AH65" s="521"/>
      <c r="AI65" s="522"/>
      <c r="AJ65" s="521"/>
      <c r="AK65" s="521"/>
      <c r="AL65" s="521"/>
      <c r="AM65" s="521"/>
      <c r="AN65" s="521"/>
      <c r="AO65" s="521"/>
      <c r="AP65" s="521"/>
      <c r="AQ65" s="521"/>
      <c r="AR65" s="521"/>
      <c r="AS65" s="521"/>
    </row>
    <row r="66" spans="2:45" s="662" customFormat="1" ht="17.25" customHeight="1">
      <c r="B66" s="782"/>
      <c r="C66" s="783" t="s">
        <v>332</v>
      </c>
      <c r="D66" s="884">
        <f>D59</f>
        <v>257</v>
      </c>
      <c r="E66" s="895"/>
      <c r="F66" s="888"/>
      <c r="G66" s="888"/>
      <c r="H66" s="769">
        <f>H58+H59</f>
        <v>75.371428571428567</v>
      </c>
      <c r="I66" s="769"/>
      <c r="J66" s="784" t="s">
        <v>333</v>
      </c>
      <c r="K66" s="785">
        <v>72</v>
      </c>
      <c r="L66" s="786"/>
      <c r="M66" s="607"/>
      <c r="N66" s="521"/>
      <c r="O66" s="521"/>
      <c r="P66" s="521"/>
      <c r="Q66" s="521"/>
      <c r="R66" s="521"/>
      <c r="S66" s="521"/>
      <c r="T66" s="521"/>
      <c r="U66" s="521"/>
      <c r="V66" s="521"/>
      <c r="W66" s="521"/>
      <c r="X66" s="521"/>
      <c r="Y66" s="521"/>
      <c r="Z66" s="521"/>
      <c r="AA66" s="521"/>
      <c r="AB66" s="521"/>
      <c r="AC66" s="521"/>
      <c r="AD66" s="521"/>
      <c r="AE66" s="521"/>
      <c r="AF66" s="521"/>
      <c r="AG66" s="521"/>
      <c r="AH66" s="521"/>
      <c r="AI66" s="522"/>
      <c r="AJ66" s="521"/>
      <c r="AK66" s="521"/>
      <c r="AL66" s="521"/>
      <c r="AM66" s="521"/>
      <c r="AN66" s="521"/>
      <c r="AO66" s="521"/>
      <c r="AP66" s="521"/>
      <c r="AQ66" s="521"/>
      <c r="AR66" s="521"/>
      <c r="AS66" s="521"/>
    </row>
    <row r="67" spans="2:45" s="662" customFormat="1" ht="23">
      <c r="B67" s="744"/>
      <c r="C67" s="136" t="s">
        <v>334</v>
      </c>
      <c r="D67" s="479">
        <v>115</v>
      </c>
      <c r="E67" s="651"/>
      <c r="F67" s="899" t="s">
        <v>335</v>
      </c>
      <c r="G67" s="448">
        <v>300</v>
      </c>
      <c r="H67" s="448"/>
      <c r="I67" s="448"/>
      <c r="J67" s="566" t="s">
        <v>336</v>
      </c>
      <c r="K67" s="553">
        <v>88</v>
      </c>
      <c r="L67" s="638"/>
      <c r="M67" s="608"/>
      <c r="N67" s="521"/>
      <c r="O67" s="521"/>
      <c r="P67" s="521"/>
      <c r="Q67" s="521"/>
      <c r="R67" s="521"/>
      <c r="S67" s="521"/>
      <c r="T67" s="521"/>
      <c r="U67" s="521"/>
      <c r="V67" s="521"/>
      <c r="W67" s="521"/>
      <c r="X67" s="521"/>
      <c r="Y67" s="521"/>
      <c r="Z67" s="521"/>
      <c r="AA67" s="521"/>
      <c r="AB67" s="521"/>
      <c r="AC67" s="521"/>
      <c r="AD67" s="521"/>
      <c r="AE67" s="521"/>
      <c r="AF67" s="521"/>
      <c r="AG67" s="521"/>
      <c r="AH67" s="521"/>
      <c r="AI67" s="522"/>
      <c r="AJ67" s="521"/>
      <c r="AK67" s="521"/>
      <c r="AL67" s="521"/>
      <c r="AM67" s="521"/>
      <c r="AN67" s="521"/>
      <c r="AO67" s="521"/>
      <c r="AP67" s="521"/>
      <c r="AQ67" s="521"/>
      <c r="AR67" s="521"/>
      <c r="AS67" s="521"/>
    </row>
    <row r="68" spans="2:45" s="662" customFormat="1" ht="13.5" thickBot="1">
      <c r="B68" s="751"/>
      <c r="C68" s="613" t="s">
        <v>337</v>
      </c>
      <c r="D68" s="883">
        <v>3</v>
      </c>
      <c r="E68" s="887"/>
      <c r="F68" s="887"/>
      <c r="G68" s="887"/>
      <c r="H68" s="538">
        <v>2</v>
      </c>
      <c r="I68" s="538"/>
      <c r="J68" s="771" t="s">
        <v>338</v>
      </c>
      <c r="K68" s="772">
        <v>92</v>
      </c>
      <c r="L68" s="773"/>
      <c r="M68" s="608"/>
      <c r="N68" s="521"/>
      <c r="O68" s="521"/>
      <c r="P68" s="521"/>
      <c r="Q68" s="521"/>
      <c r="R68" s="521"/>
      <c r="S68" s="521"/>
      <c r="T68" s="521"/>
      <c r="U68" s="521"/>
      <c r="V68" s="521"/>
      <c r="W68" s="521"/>
      <c r="X68" s="521"/>
      <c r="Y68" s="521"/>
      <c r="Z68" s="521"/>
      <c r="AA68" s="521"/>
      <c r="AB68" s="521"/>
      <c r="AC68" s="521"/>
      <c r="AD68" s="521"/>
      <c r="AE68" s="521"/>
      <c r="AF68" s="521"/>
      <c r="AG68" s="521"/>
      <c r="AH68" s="521"/>
      <c r="AI68" s="522"/>
      <c r="AJ68" s="521"/>
      <c r="AK68" s="521"/>
      <c r="AL68" s="521"/>
      <c r="AM68" s="521"/>
      <c r="AN68" s="521"/>
      <c r="AO68" s="521"/>
      <c r="AP68" s="521"/>
      <c r="AQ68" s="521"/>
      <c r="AR68" s="521"/>
      <c r="AS68" s="521"/>
    </row>
    <row r="69" spans="2:45" s="662" customFormat="1" ht="12" thickBot="1">
      <c r="B69" s="778"/>
      <c r="C69" s="941" t="s">
        <v>339</v>
      </c>
      <c r="D69" s="942"/>
      <c r="E69" s="942"/>
      <c r="F69" s="942"/>
      <c r="G69" s="942"/>
      <c r="H69" s="942"/>
      <c r="I69" s="942"/>
      <c r="J69" s="942"/>
      <c r="K69" s="942"/>
      <c r="L69" s="943"/>
      <c r="M69" s="582"/>
      <c r="N69" s="521"/>
      <c r="O69" s="521"/>
      <c r="P69" s="521"/>
      <c r="Q69" s="521"/>
      <c r="R69" s="521"/>
      <c r="S69" s="521"/>
      <c r="T69" s="521"/>
      <c r="U69" s="521"/>
      <c r="V69" s="521"/>
      <c r="W69" s="521"/>
      <c r="X69" s="521"/>
      <c r="Y69" s="521"/>
      <c r="Z69" s="521"/>
      <c r="AA69" s="521"/>
      <c r="AB69" s="521"/>
      <c r="AC69" s="521"/>
      <c r="AD69" s="521"/>
      <c r="AE69" s="521"/>
      <c r="AF69" s="521"/>
      <c r="AG69" s="521"/>
      <c r="AH69" s="521"/>
      <c r="AI69" s="522"/>
      <c r="AJ69" s="521"/>
      <c r="AK69" s="521"/>
      <c r="AL69" s="521"/>
      <c r="AM69" s="521"/>
      <c r="AN69" s="521"/>
      <c r="AO69" s="521"/>
      <c r="AP69" s="521"/>
      <c r="AQ69" s="521"/>
      <c r="AR69" s="521"/>
      <c r="AS69" s="521"/>
    </row>
    <row r="70" spans="2:45" s="662" customFormat="1" ht="24" customHeight="1">
      <c r="B70" s="745"/>
      <c r="C70" s="594" t="s">
        <v>340</v>
      </c>
      <c r="D70" s="544">
        <v>65</v>
      </c>
      <c r="E70" s="647"/>
      <c r="F70" s="774"/>
      <c r="G70" s="775"/>
      <c r="H70" s="882">
        <f>(D70)/G67*60</f>
        <v>13</v>
      </c>
      <c r="I70" s="764" t="str">
        <f>IF(OR(F71="",F70=""),"",IF(F71&gt;=F70,(F71-F70)*24*60,(1+F71-F70)*24*60))</f>
        <v/>
      </c>
      <c r="J70" s="776" t="s">
        <v>341</v>
      </c>
      <c r="K70" s="769">
        <v>2400</v>
      </c>
      <c r="L70" s="777" t="s">
        <v>342</v>
      </c>
      <c r="M70" s="531"/>
      <c r="N70" s="521"/>
      <c r="O70" s="521"/>
      <c r="P70" s="521"/>
      <c r="Q70" s="521"/>
      <c r="R70" s="521"/>
      <c r="S70" s="521"/>
      <c r="T70" s="521"/>
      <c r="U70" s="521"/>
      <c r="V70" s="521"/>
      <c r="W70" s="521"/>
      <c r="X70" s="521"/>
      <c r="Y70" s="521"/>
      <c r="Z70" s="521"/>
      <c r="AA70" s="521"/>
      <c r="AB70" s="521"/>
      <c r="AC70" s="521"/>
      <c r="AD70" s="521"/>
      <c r="AE70" s="521"/>
      <c r="AF70" s="521"/>
      <c r="AG70" s="521"/>
      <c r="AH70" s="521"/>
      <c r="AI70" s="522"/>
      <c r="AJ70" s="521"/>
      <c r="AK70" s="521"/>
      <c r="AL70" s="521"/>
      <c r="AM70" s="521"/>
      <c r="AN70" s="521"/>
      <c r="AO70" s="521"/>
      <c r="AP70" s="521"/>
      <c r="AQ70" s="521"/>
      <c r="AR70" s="521"/>
      <c r="AS70" s="521"/>
    </row>
    <row r="71" spans="2:45" s="662" customFormat="1" ht="24" customHeight="1">
      <c r="B71" s="744"/>
      <c r="C71" s="536" t="s">
        <v>343</v>
      </c>
      <c r="D71" s="448"/>
      <c r="E71" s="651"/>
      <c r="F71" s="648" t="str">
        <f>IF(ISBLANK(F70),"",F70+TIME(0,H70,0))</f>
        <v/>
      </c>
      <c r="G71" s="648"/>
      <c r="H71" s="448">
        <f>(180-D70)/G67*60</f>
        <v>23</v>
      </c>
      <c r="I71" s="685" t="str">
        <f>IF(OR(F72="",F71=""),"",IF(F72&gt;=F71,(F72-F71)*24*60,(1+F72-F71)*24*60))</f>
        <v/>
      </c>
      <c r="J71" s="539" t="s">
        <v>341</v>
      </c>
      <c r="K71" s="610">
        <v>1100</v>
      </c>
      <c r="L71" s="609" t="s">
        <v>344</v>
      </c>
      <c r="M71" s="531"/>
      <c r="N71" s="521"/>
      <c r="O71" s="521">
        <f>K71*4/60</f>
        <v>73.333333333333329</v>
      </c>
      <c r="P71" s="521"/>
      <c r="Q71" s="521">
        <v>734</v>
      </c>
      <c r="R71" s="521"/>
      <c r="S71" s="521"/>
      <c r="T71" s="521"/>
      <c r="U71" s="521"/>
      <c r="V71" s="521"/>
      <c r="W71" s="521"/>
      <c r="X71" s="521"/>
      <c r="Y71" s="521"/>
      <c r="Z71" s="521"/>
      <c r="AA71" s="521"/>
      <c r="AB71" s="521"/>
      <c r="AC71" s="521"/>
      <c r="AD71" s="521"/>
      <c r="AE71" s="521"/>
      <c r="AF71" s="521"/>
      <c r="AG71" s="521"/>
      <c r="AH71" s="521"/>
      <c r="AI71" s="522"/>
      <c r="AJ71" s="521"/>
      <c r="AK71" s="521"/>
      <c r="AL71" s="521"/>
      <c r="AM71" s="521"/>
      <c r="AN71" s="521"/>
      <c r="AO71" s="521"/>
      <c r="AP71" s="521"/>
      <c r="AQ71" s="521"/>
      <c r="AR71" s="521"/>
      <c r="AS71" s="521"/>
    </row>
    <row r="72" spans="2:45" s="662" customFormat="1" ht="16" customHeight="1">
      <c r="B72" s="885"/>
      <c r="C72" s="949" t="s">
        <v>345</v>
      </c>
      <c r="D72" s="951" t="s">
        <v>346</v>
      </c>
      <c r="E72" s="960"/>
      <c r="F72" s="962"/>
      <c r="G72" s="955" t="str">
        <f>IF(ISBLANK($F$72),"",F72+TIME(0,H72,0))</f>
        <v/>
      </c>
      <c r="H72" s="951">
        <v>30</v>
      </c>
      <c r="I72" s="947" t="str">
        <f>IF(ISBLANK($F$72),"",(G72-F72)*24*60)</f>
        <v/>
      </c>
      <c r="J72" s="566" t="s">
        <v>347</v>
      </c>
      <c r="K72" s="479">
        <v>1700</v>
      </c>
      <c r="L72" s="611"/>
      <c r="M72" s="593"/>
      <c r="N72" s="521"/>
      <c r="O72" s="521">
        <f>K72*H72/60</f>
        <v>850</v>
      </c>
      <c r="P72" s="521"/>
      <c r="Q72" s="521">
        <v>1763</v>
      </c>
      <c r="R72" s="521"/>
      <c r="S72" s="521"/>
      <c r="T72" s="521"/>
      <c r="U72" s="521"/>
      <c r="V72" s="521"/>
      <c r="W72" s="521"/>
      <c r="X72" s="521"/>
      <c r="Y72" s="521"/>
      <c r="Z72" s="521"/>
      <c r="AA72" s="521"/>
      <c r="AB72" s="521"/>
      <c r="AC72" s="521"/>
      <c r="AD72" s="521"/>
      <c r="AE72" s="521"/>
      <c r="AF72" s="521"/>
      <c r="AG72" s="521"/>
      <c r="AH72" s="521"/>
      <c r="AI72" s="522"/>
      <c r="AJ72" s="521"/>
      <c r="AK72" s="521"/>
      <c r="AL72" s="521"/>
      <c r="AM72" s="521"/>
      <c r="AN72" s="521"/>
      <c r="AO72" s="521"/>
      <c r="AP72" s="521"/>
      <c r="AQ72" s="521"/>
      <c r="AR72" s="521"/>
      <c r="AS72" s="521"/>
    </row>
    <row r="73" spans="2:45" s="662" customFormat="1" ht="16" customHeight="1">
      <c r="B73" s="886"/>
      <c r="C73" s="950"/>
      <c r="D73" s="952"/>
      <c r="E73" s="961"/>
      <c r="F73" s="963"/>
      <c r="G73" s="956"/>
      <c r="H73" s="952"/>
      <c r="I73" s="948"/>
      <c r="J73" s="566" t="s">
        <v>348</v>
      </c>
      <c r="K73" s="883">
        <v>1100</v>
      </c>
      <c r="L73" s="611"/>
      <c r="M73" s="612"/>
      <c r="N73" s="521"/>
      <c r="O73" s="521"/>
      <c r="P73" s="521"/>
      <c r="Q73" s="521"/>
      <c r="R73" s="521"/>
      <c r="S73" s="521"/>
      <c r="T73" s="521"/>
      <c r="U73" s="521"/>
      <c r="V73" s="521"/>
      <c r="W73" s="521"/>
      <c r="X73" s="521"/>
      <c r="Y73" s="521"/>
      <c r="Z73" s="521"/>
      <c r="AA73" s="521"/>
      <c r="AB73" s="521"/>
      <c r="AC73" s="521"/>
      <c r="AD73" s="521"/>
      <c r="AE73" s="521"/>
      <c r="AF73" s="521"/>
      <c r="AG73" s="521"/>
      <c r="AH73" s="521"/>
      <c r="AI73" s="522"/>
      <c r="AJ73" s="521"/>
      <c r="AK73" s="521"/>
      <c r="AL73" s="521"/>
      <c r="AM73" s="521"/>
      <c r="AN73" s="521"/>
      <c r="AO73" s="521"/>
      <c r="AP73" s="521"/>
      <c r="AQ73" s="521"/>
      <c r="AR73" s="521"/>
      <c r="AS73" s="521"/>
    </row>
    <row r="74" spans="2:45" s="662" customFormat="1" ht="20.149999999999999" customHeight="1">
      <c r="B74" s="751"/>
      <c r="C74" s="613" t="s">
        <v>349</v>
      </c>
      <c r="D74" s="614">
        <v>2.5</v>
      </c>
      <c r="E74" s="656"/>
      <c r="F74" s="889" t="s">
        <v>350</v>
      </c>
      <c r="G74" s="890"/>
      <c r="H74" s="891"/>
      <c r="I74" s="682">
        <v>5</v>
      </c>
      <c r="J74" s="574" t="s">
        <v>351</v>
      </c>
      <c r="K74" s="639"/>
      <c r="L74" s="645"/>
      <c r="M74" s="615"/>
      <c r="N74" s="521"/>
      <c r="O74" s="521"/>
      <c r="P74" s="521"/>
      <c r="Q74" s="521"/>
      <c r="R74" s="521"/>
      <c r="S74" s="521"/>
      <c r="T74" s="521"/>
      <c r="U74" s="521"/>
      <c r="V74" s="521"/>
      <c r="W74" s="521"/>
      <c r="X74" s="521"/>
      <c r="Y74" s="521"/>
      <c r="Z74" s="521"/>
      <c r="AA74" s="521"/>
      <c r="AB74" s="521"/>
      <c r="AC74" s="521"/>
      <c r="AD74" s="521"/>
      <c r="AE74" s="521"/>
      <c r="AF74" s="521"/>
      <c r="AG74" s="521"/>
      <c r="AH74" s="521"/>
      <c r="AI74" s="522"/>
      <c r="AJ74" s="521"/>
      <c r="AK74" s="521"/>
      <c r="AL74" s="521"/>
      <c r="AM74" s="521"/>
      <c r="AN74" s="521"/>
      <c r="AO74" s="521"/>
      <c r="AP74" s="521"/>
      <c r="AQ74" s="521"/>
      <c r="AR74" s="521"/>
      <c r="AS74" s="521"/>
    </row>
    <row r="75" spans="2:45" s="662" customFormat="1" ht="20.149999999999999" customHeight="1">
      <c r="B75" s="744"/>
      <c r="C75" s="536" t="str">
        <f>'10027'!C75</f>
        <v>Hop pellet Herkules 12.8% aa, kg</v>
      </c>
      <c r="D75" s="637">
        <f>'10027'!D75</f>
        <v>2.48</v>
      </c>
      <c r="E75" s="657"/>
      <c r="F75" s="892" t="s">
        <v>353</v>
      </c>
      <c r="G75" s="893"/>
      <c r="H75" s="894"/>
      <c r="I75" s="682">
        <v>10</v>
      </c>
      <c r="J75" s="716" t="s">
        <v>354</v>
      </c>
      <c r="K75" s="639"/>
      <c r="L75" s="540"/>
      <c r="M75" s="615"/>
      <c r="N75" s="521"/>
      <c r="O75" s="521"/>
      <c r="P75" s="521"/>
      <c r="Q75" s="521"/>
      <c r="R75" s="521"/>
      <c r="S75" s="521"/>
      <c r="T75" s="521"/>
      <c r="U75" s="521"/>
      <c r="V75" s="521"/>
      <c r="W75" s="521"/>
      <c r="X75" s="521"/>
      <c r="Y75" s="521"/>
      <c r="Z75" s="521"/>
      <c r="AA75" s="521"/>
      <c r="AB75" s="521"/>
      <c r="AC75" s="521"/>
      <c r="AD75" s="521"/>
      <c r="AE75" s="521"/>
      <c r="AF75" s="521"/>
      <c r="AG75" s="521"/>
      <c r="AH75" s="521"/>
      <c r="AI75" s="522"/>
      <c r="AJ75" s="521" t="e">
        <v>#N/A</v>
      </c>
      <c r="AK75" s="521" t="e">
        <v>#N/A</v>
      </c>
      <c r="AL75" s="521"/>
      <c r="AM75" s="521" t="s">
        <v>355</v>
      </c>
      <c r="AN75" s="521"/>
      <c r="AO75" s="521"/>
      <c r="AP75" s="521"/>
      <c r="AQ75" s="521"/>
      <c r="AR75" s="521"/>
      <c r="AS75" s="521"/>
    </row>
    <row r="76" spans="2:45" s="662" customFormat="1" ht="20.149999999999999" customHeight="1">
      <c r="B76" s="744"/>
      <c r="C76" s="536" t="str">
        <f>'10027'!C76</f>
        <v>Hop Rainer 7.1% aa, kg</v>
      </c>
      <c r="D76" s="637">
        <f>'10027'!D76</f>
        <v>2.2000000000000002</v>
      </c>
      <c r="E76" s="657"/>
      <c r="F76" s="892" t="s">
        <v>357</v>
      </c>
      <c r="G76" s="894"/>
      <c r="H76" s="538">
        <v>0</v>
      </c>
      <c r="I76" s="682">
        <v>0</v>
      </c>
      <c r="J76" s="539" t="s">
        <v>358</v>
      </c>
      <c r="K76" s="583" t="s">
        <v>359</v>
      </c>
      <c r="L76" s="723"/>
      <c r="M76" s="615"/>
      <c r="N76" s="521"/>
      <c r="O76" s="521"/>
      <c r="P76" s="521"/>
      <c r="Q76" s="521"/>
      <c r="R76" s="521"/>
      <c r="S76" s="521"/>
      <c r="T76" s="521"/>
      <c r="U76" s="521"/>
      <c r="V76" s="521"/>
      <c r="W76" s="521"/>
      <c r="X76" s="521"/>
      <c r="Y76" s="521"/>
      <c r="Z76" s="521"/>
      <c r="AA76" s="521"/>
      <c r="AB76" s="521"/>
      <c r="AC76" s="521"/>
      <c r="AD76" s="521"/>
      <c r="AE76" s="521"/>
      <c r="AF76" s="521"/>
      <c r="AG76" s="521"/>
      <c r="AH76" s="521"/>
      <c r="AI76" s="522"/>
      <c r="AJ76" s="521"/>
      <c r="AK76" s="521"/>
      <c r="AL76" s="521"/>
      <c r="AM76" s="521"/>
      <c r="AN76" s="521"/>
      <c r="AO76" s="521"/>
      <c r="AP76" s="521"/>
      <c r="AQ76" s="521"/>
      <c r="AR76" s="521"/>
      <c r="AS76" s="521"/>
    </row>
    <row r="77" spans="2:45" s="662" customFormat="1" ht="20.149999999999999" customHeight="1">
      <c r="B77" s="744"/>
      <c r="C77" s="536" t="str">
        <f>'10027'!C77</f>
        <v>Hop pellet Opal 8.6% aa, kg</v>
      </c>
      <c r="D77" s="637">
        <f>'10027'!D77</f>
        <v>2.41</v>
      </c>
      <c r="E77" s="658"/>
      <c r="F77" s="892" t="s">
        <v>361</v>
      </c>
      <c r="G77" s="894"/>
      <c r="H77" s="538" t="s">
        <v>362</v>
      </c>
      <c r="I77" s="682">
        <f ca="1">101+RANDBETWEEN(-3,1)/10</f>
        <v>100.9</v>
      </c>
      <c r="J77" s="574" t="s">
        <v>363</v>
      </c>
      <c r="K77" s="562" t="s">
        <v>364</v>
      </c>
      <c r="L77" s="711">
        <f ca="1">101+RANDBETWEEN(-1,2)/10</f>
        <v>101.2</v>
      </c>
      <c r="M77" s="615"/>
      <c r="N77" s="521"/>
      <c r="O77" s="521"/>
      <c r="P77" s="521"/>
      <c r="Q77" s="521"/>
      <c r="R77" s="521"/>
      <c r="S77" s="521"/>
      <c r="T77" s="521"/>
      <c r="U77" s="521"/>
      <c r="V77" s="521"/>
      <c r="W77" s="521"/>
      <c r="X77" s="521"/>
      <c r="Y77" s="521"/>
      <c r="Z77" s="521"/>
      <c r="AA77" s="521"/>
      <c r="AB77" s="521"/>
      <c r="AC77" s="521"/>
      <c r="AD77" s="521"/>
      <c r="AE77" s="521"/>
      <c r="AF77" s="521"/>
      <c r="AG77" s="521"/>
      <c r="AH77" s="521"/>
      <c r="AI77" s="522"/>
      <c r="AJ77" s="521"/>
      <c r="AK77" s="521"/>
      <c r="AL77" s="521"/>
      <c r="AM77" s="521"/>
      <c r="AN77" s="521"/>
      <c r="AO77" s="521"/>
      <c r="AP77" s="521"/>
      <c r="AQ77" s="521"/>
      <c r="AR77" s="521"/>
      <c r="AS77" s="521"/>
    </row>
    <row r="78" spans="2:45" s="662" customFormat="1" ht="16" customHeight="1">
      <c r="B78" s="885"/>
      <c r="C78" s="949" t="s">
        <v>365</v>
      </c>
      <c r="D78" s="951" t="s">
        <v>366</v>
      </c>
      <c r="E78" s="957">
        <f>E66</f>
        <v>0</v>
      </c>
      <c r="F78" s="955" t="str">
        <f>G72</f>
        <v/>
      </c>
      <c r="G78" s="955" t="str">
        <f>IF(ISBLANK($F$72),"",F78+TIME(0,H78,0))</f>
        <v/>
      </c>
      <c r="H78" s="951">
        <v>25</v>
      </c>
      <c r="I78" s="947" t="str">
        <f>IF(ISBLANK($F$72),"",(G78-F78)*24*60)</f>
        <v/>
      </c>
      <c r="J78" s="566" t="s">
        <v>347</v>
      </c>
      <c r="K78" s="479">
        <v>750</v>
      </c>
      <c r="L78" s="558"/>
      <c r="M78" s="593"/>
      <c r="N78" s="521"/>
      <c r="O78" s="521">
        <f>K78*45/60</f>
        <v>562.5</v>
      </c>
      <c r="P78" s="521"/>
      <c r="Q78" s="521"/>
      <c r="R78" s="521"/>
      <c r="S78" s="521"/>
      <c r="T78" s="616"/>
      <c r="U78" s="521"/>
      <c r="V78" s="521"/>
      <c r="W78" s="521"/>
      <c r="X78" s="521"/>
      <c r="Y78" s="521"/>
      <c r="Z78" s="521"/>
      <c r="AA78" s="521"/>
      <c r="AB78" s="521"/>
      <c r="AC78" s="521"/>
      <c r="AD78" s="521"/>
      <c r="AE78" s="521"/>
      <c r="AF78" s="521"/>
      <c r="AG78" s="521"/>
      <c r="AH78" s="521"/>
      <c r="AI78" s="522"/>
      <c r="AJ78" s="521"/>
      <c r="AK78" s="521"/>
      <c r="AL78" s="521"/>
      <c r="AM78" s="521"/>
      <c r="AN78" s="521"/>
      <c r="AO78" s="433"/>
      <c r="AP78" s="433"/>
      <c r="AQ78" s="433"/>
      <c r="AR78" s="896"/>
      <c r="AS78" s="896"/>
    </row>
    <row r="79" spans="2:45" s="662" customFormat="1" ht="16" customHeight="1">
      <c r="B79" s="886"/>
      <c r="C79" s="950"/>
      <c r="D79" s="952"/>
      <c r="E79" s="958"/>
      <c r="F79" s="956"/>
      <c r="G79" s="956"/>
      <c r="H79" s="952"/>
      <c r="I79" s="948"/>
      <c r="J79" s="566" t="s">
        <v>348</v>
      </c>
      <c r="K79" s="479">
        <v>450</v>
      </c>
      <c r="L79" s="558"/>
      <c r="M79" s="593"/>
      <c r="N79" s="521"/>
      <c r="O79" s="521"/>
      <c r="P79" s="521"/>
      <c r="Q79" s="521"/>
      <c r="R79" s="521"/>
      <c r="S79" s="521"/>
      <c r="T79" s="616"/>
      <c r="U79" s="521"/>
      <c r="V79" s="521"/>
      <c r="W79" s="521"/>
      <c r="X79" s="521"/>
      <c r="Y79" s="521"/>
      <c r="Z79" s="521"/>
      <c r="AA79" s="521"/>
      <c r="AB79" s="521"/>
      <c r="AC79" s="521"/>
      <c r="AD79" s="521"/>
      <c r="AE79" s="521"/>
      <c r="AF79" s="521"/>
      <c r="AG79" s="521"/>
      <c r="AH79" s="521"/>
      <c r="AI79" s="522"/>
      <c r="AJ79" s="521"/>
      <c r="AK79" s="521"/>
      <c r="AL79" s="521"/>
      <c r="AM79" s="521">
        <v>17</v>
      </c>
      <c r="AN79" s="521">
        <v>8</v>
      </c>
      <c r="AO79" s="521"/>
      <c r="AP79" s="617"/>
      <c r="AQ79" s="617"/>
      <c r="AR79" s="618"/>
      <c r="AS79" s="521"/>
    </row>
    <row r="80" spans="2:45" s="662" customFormat="1" ht="16" customHeight="1">
      <c r="B80" s="885"/>
      <c r="C80" s="949" t="s">
        <v>367</v>
      </c>
      <c r="D80" s="951" t="s">
        <v>366</v>
      </c>
      <c r="E80" s="953"/>
      <c r="F80" s="955" t="str">
        <f>G78</f>
        <v/>
      </c>
      <c r="G80" s="955" t="str">
        <f>IF(ISBLANK($F$72),"",F80+TIME(0,H80,0))</f>
        <v/>
      </c>
      <c r="H80" s="951">
        <v>20</v>
      </c>
      <c r="I80" s="947" t="str">
        <f>IF(ISBLANK($F$72),"",(G80-F80)*24*60)</f>
        <v/>
      </c>
      <c r="J80" s="566" t="s">
        <v>347</v>
      </c>
      <c r="K80" s="479">
        <v>1700</v>
      </c>
      <c r="L80" s="558"/>
      <c r="M80" s="593"/>
      <c r="N80" s="521"/>
      <c r="O80" s="521">
        <f>K80*45/60</f>
        <v>1275</v>
      </c>
      <c r="P80" s="521"/>
      <c r="Q80" s="521"/>
      <c r="R80" s="521"/>
      <c r="S80" s="521"/>
      <c r="T80" s="616"/>
      <c r="U80" s="521"/>
      <c r="V80" s="521"/>
      <c r="W80" s="521"/>
      <c r="X80" s="521"/>
      <c r="Y80" s="521"/>
      <c r="Z80" s="521"/>
      <c r="AA80" s="521"/>
      <c r="AB80" s="521"/>
      <c r="AC80" s="521"/>
      <c r="AD80" s="521"/>
      <c r="AE80" s="521"/>
      <c r="AF80" s="521"/>
      <c r="AG80" s="521"/>
      <c r="AH80" s="521"/>
      <c r="AI80" s="522"/>
      <c r="AJ80" s="521"/>
      <c r="AK80" s="521"/>
      <c r="AL80" s="521"/>
      <c r="AM80" s="521">
        <v>4</v>
      </c>
      <c r="AN80" s="521">
        <v>23</v>
      </c>
      <c r="AO80" s="433"/>
      <c r="AP80" s="433"/>
      <c r="AQ80" s="433"/>
      <c r="AR80" s="896"/>
      <c r="AS80" s="896"/>
    </row>
    <row r="81" spans="2:45" s="662" customFormat="1" ht="16" customHeight="1">
      <c r="B81" s="886"/>
      <c r="C81" s="950"/>
      <c r="D81" s="952"/>
      <c r="E81" s="954"/>
      <c r="F81" s="956"/>
      <c r="G81" s="956"/>
      <c r="H81" s="952"/>
      <c r="I81" s="948"/>
      <c r="J81" s="566" t="s">
        <v>348</v>
      </c>
      <c r="K81" s="479">
        <v>1100</v>
      </c>
      <c r="L81" s="558"/>
      <c r="M81" s="593"/>
      <c r="N81" s="521"/>
      <c r="O81" s="521"/>
      <c r="P81" s="521"/>
      <c r="Q81" s="521"/>
      <c r="R81" s="521"/>
      <c r="S81" s="521"/>
      <c r="T81" s="616"/>
      <c r="U81" s="521"/>
      <c r="V81" s="521"/>
      <c r="W81" s="521"/>
      <c r="X81" s="521"/>
      <c r="Y81" s="521"/>
      <c r="Z81" s="521"/>
      <c r="AA81" s="521"/>
      <c r="AB81" s="521"/>
      <c r="AC81" s="521"/>
      <c r="AD81" s="521"/>
      <c r="AE81" s="521"/>
      <c r="AF81" s="521"/>
      <c r="AG81" s="521"/>
      <c r="AH81" s="521"/>
      <c r="AI81" s="522"/>
      <c r="AJ81" s="521"/>
      <c r="AK81" s="521"/>
      <c r="AL81" s="521"/>
      <c r="AM81" s="521"/>
      <c r="AN81" s="521">
        <v>17</v>
      </c>
      <c r="AO81" s="521">
        <v>161</v>
      </c>
      <c r="AP81" s="617"/>
      <c r="AQ81" s="617"/>
      <c r="AR81" s="618"/>
      <c r="AS81" s="521"/>
    </row>
    <row r="82" spans="2:45" s="662" customFormat="1" ht="18.649999999999999" customHeight="1">
      <c r="B82" s="846"/>
      <c r="C82" s="613" t="s">
        <v>368</v>
      </c>
      <c r="D82" s="850">
        <f>'10027'!D82</f>
        <v>2.1</v>
      </c>
      <c r="E82" s="847"/>
      <c r="F82" s="848"/>
      <c r="G82" s="848"/>
      <c r="H82" s="849"/>
      <c r="I82" s="849"/>
      <c r="J82" s="883"/>
      <c r="K82" s="883"/>
      <c r="L82" s="611"/>
      <c r="M82" s="593"/>
      <c r="N82" s="521"/>
      <c r="O82" s="521"/>
      <c r="P82" s="521"/>
      <c r="Q82" s="521"/>
      <c r="R82" s="521"/>
      <c r="S82" s="521"/>
      <c r="T82" s="616"/>
      <c r="U82" s="521"/>
      <c r="V82" s="521"/>
      <c r="W82" s="521"/>
      <c r="X82" s="521"/>
      <c r="Y82" s="521"/>
      <c r="Z82" s="521"/>
      <c r="AA82" s="521"/>
      <c r="AB82" s="521"/>
      <c r="AC82" s="521"/>
      <c r="AD82" s="521"/>
      <c r="AE82" s="521"/>
      <c r="AF82" s="521"/>
      <c r="AG82" s="521"/>
      <c r="AH82" s="521"/>
      <c r="AI82" s="522"/>
      <c r="AJ82" s="521"/>
      <c r="AK82" s="521"/>
      <c r="AL82" s="521"/>
      <c r="AM82" s="521"/>
      <c r="AN82" s="521"/>
      <c r="AO82" s="521"/>
      <c r="AP82" s="617"/>
      <c r="AQ82" s="617"/>
      <c r="AR82" s="618"/>
      <c r="AS82" s="521"/>
    </row>
    <row r="83" spans="2:45" s="662" customFormat="1" ht="28" customHeight="1">
      <c r="B83" s="744"/>
      <c r="C83" s="536" t="s">
        <v>369</v>
      </c>
      <c r="D83" s="679">
        <f>'10027'!D83</f>
        <v>152</v>
      </c>
      <c r="E83" s="537"/>
      <c r="F83" s="683" t="s">
        <v>370</v>
      </c>
      <c r="G83" s="684" t="s">
        <v>371</v>
      </c>
      <c r="H83" s="897" t="s">
        <v>372</v>
      </c>
      <c r="I83" s="898" t="s">
        <v>373</v>
      </c>
      <c r="J83" s="716" t="s">
        <v>374</v>
      </c>
      <c r="K83" s="840" t="str">
        <f>IF(K86="","",K86-K75-K74)</f>
        <v/>
      </c>
      <c r="L83" s="645"/>
      <c r="M83" s="531"/>
      <c r="N83" s="521"/>
      <c r="O83" s="521"/>
      <c r="P83" s="521"/>
      <c r="Q83" s="521"/>
      <c r="R83" s="521"/>
      <c r="S83" s="521"/>
      <c r="T83" s="619"/>
      <c r="U83" s="521"/>
      <c r="V83" s="521"/>
      <c r="W83" s="521"/>
      <c r="X83" s="521"/>
      <c r="Y83" s="521"/>
      <c r="Z83" s="521"/>
      <c r="AA83" s="521"/>
      <c r="AB83" s="521"/>
      <c r="AC83" s="521"/>
      <c r="AD83" s="521"/>
      <c r="AE83" s="521"/>
      <c r="AF83" s="521"/>
      <c r="AG83" s="521"/>
      <c r="AH83" s="521"/>
      <c r="AI83" s="522">
        <f>82.3*1.1</f>
        <v>90.53</v>
      </c>
      <c r="AJ83" s="521"/>
      <c r="AK83" s="521"/>
      <c r="AL83" s="521">
        <f>AI84-AI83</f>
        <v>6.0499999999999972</v>
      </c>
      <c r="AM83" s="521"/>
      <c r="AN83" s="521">
        <v>23</v>
      </c>
      <c r="AO83" s="521">
        <v>50</v>
      </c>
      <c r="AP83" s="617"/>
      <c r="AQ83" s="617"/>
      <c r="AR83" s="618"/>
      <c r="AS83" s="521"/>
    </row>
    <row r="84" spans="2:45" s="662" customFormat="1" ht="25.5" customHeight="1">
      <c r="B84" s="744"/>
      <c r="C84" s="536" t="s">
        <v>375</v>
      </c>
      <c r="D84" s="620" t="s">
        <v>376</v>
      </c>
      <c r="E84" s="646"/>
      <c r="F84" s="648" t="str">
        <f>G80</f>
        <v/>
      </c>
      <c r="G84" s="648"/>
      <c r="H84" s="448">
        <v>9</v>
      </c>
      <c r="I84" s="685" t="str">
        <f>IF(ISBLANK($F$72),"",(F88-F84)*24*60)</f>
        <v/>
      </c>
      <c r="J84" s="539" t="s">
        <v>377</v>
      </c>
      <c r="K84" s="557">
        <v>18</v>
      </c>
      <c r="L84" s="742"/>
      <c r="M84" s="531"/>
      <c r="N84" s="521"/>
      <c r="O84" s="521"/>
      <c r="P84" s="521"/>
      <c r="Q84" s="521"/>
      <c r="R84" s="616"/>
      <c r="S84" s="521"/>
      <c r="T84" s="532"/>
      <c r="U84" s="521"/>
      <c r="V84" s="521"/>
      <c r="W84" s="521"/>
      <c r="X84" s="521"/>
      <c r="Y84" s="521"/>
      <c r="Z84" s="521"/>
      <c r="AA84" s="521"/>
      <c r="AB84" s="521"/>
      <c r="AC84" s="521"/>
      <c r="AD84" s="521"/>
      <c r="AE84" s="521"/>
      <c r="AF84" s="521"/>
      <c r="AG84" s="521"/>
      <c r="AH84" s="521"/>
      <c r="AI84" s="522">
        <f>87.8*1.1</f>
        <v>96.58</v>
      </c>
      <c r="AJ84" s="521"/>
      <c r="AK84" s="521"/>
      <c r="AL84" s="521">
        <f>AI85-AI84</f>
        <v>35.42</v>
      </c>
      <c r="AM84" s="521"/>
      <c r="AN84" s="521">
        <f>161/23</f>
        <v>7</v>
      </c>
      <c r="AO84" s="521"/>
      <c r="AP84" s="617"/>
      <c r="AQ84" s="617"/>
      <c r="AR84" s="618"/>
      <c r="AS84" s="521"/>
    </row>
    <row r="85" spans="2:45" s="662" customFormat="1" ht="24" customHeight="1">
      <c r="B85" s="744"/>
      <c r="C85" s="536" t="s">
        <v>378</v>
      </c>
      <c r="D85" s="448">
        <v>5</v>
      </c>
      <c r="E85" s="651"/>
      <c r="F85" s="648"/>
      <c r="G85" s="648"/>
      <c r="H85" s="448">
        <v>1.1111111111111112</v>
      </c>
      <c r="I85" s="448"/>
      <c r="J85" s="566" t="s">
        <v>379</v>
      </c>
      <c r="K85" s="621" t="s">
        <v>380</v>
      </c>
      <c r="L85" s="743"/>
      <c r="M85" s="531"/>
      <c r="N85" s="521"/>
      <c r="O85" s="521"/>
      <c r="P85" s="521"/>
      <c r="Q85" s="521"/>
      <c r="R85" s="521"/>
      <c r="S85" s="521"/>
      <c r="T85" s="521"/>
      <c r="U85" s="521"/>
      <c r="V85" s="521"/>
      <c r="W85" s="521"/>
      <c r="X85" s="521"/>
      <c r="Y85" s="521"/>
      <c r="Z85" s="521"/>
      <c r="AA85" s="521"/>
      <c r="AB85" s="521"/>
      <c r="AC85" s="521"/>
      <c r="AD85" s="521"/>
      <c r="AE85" s="521"/>
      <c r="AF85" s="521"/>
      <c r="AG85" s="521"/>
      <c r="AH85" s="521"/>
      <c r="AI85" s="522">
        <f>120*1.1</f>
        <v>132</v>
      </c>
      <c r="AJ85" s="521"/>
      <c r="AK85" s="521"/>
      <c r="AL85" s="521">
        <f>AI86-AI85</f>
        <v>12.870000000000005</v>
      </c>
      <c r="AM85" s="521"/>
      <c r="AN85" s="521"/>
      <c r="AO85" s="521"/>
      <c r="AP85" s="617"/>
      <c r="AQ85" s="617"/>
      <c r="AR85" s="618"/>
      <c r="AS85" s="521"/>
    </row>
    <row r="86" spans="2:45" s="662" customFormat="1" ht="21.75" customHeight="1" thickBot="1">
      <c r="B86" s="755"/>
      <c r="C86" s="756" t="s">
        <v>381</v>
      </c>
      <c r="D86" s="882"/>
      <c r="E86" s="647"/>
      <c r="F86" s="647"/>
      <c r="G86" s="647"/>
      <c r="H86" s="882">
        <v>100.11111111111111</v>
      </c>
      <c r="I86" s="882"/>
      <c r="J86" s="757" t="s">
        <v>259</v>
      </c>
      <c r="K86" s="639"/>
      <c r="L86" s="758"/>
      <c r="M86" s="531"/>
      <c r="N86" s="521"/>
      <c r="O86" s="521"/>
      <c r="P86" s="521"/>
      <c r="Q86" s="521"/>
      <c r="R86" s="521"/>
      <c r="S86" s="521"/>
      <c r="T86" s="521"/>
      <c r="U86" s="521"/>
      <c r="V86" s="521"/>
      <c r="W86" s="521"/>
      <c r="X86" s="521"/>
      <c r="Y86" s="521"/>
      <c r="Z86" s="521"/>
      <c r="AA86" s="521"/>
      <c r="AB86" s="521"/>
      <c r="AC86" s="521"/>
      <c r="AD86" s="521"/>
      <c r="AE86" s="521"/>
      <c r="AF86" s="521"/>
      <c r="AG86" s="521"/>
      <c r="AH86" s="521"/>
      <c r="AI86" s="522">
        <f>131.7*1.1</f>
        <v>144.87</v>
      </c>
      <c r="AJ86" s="521"/>
      <c r="AK86" s="521"/>
      <c r="AL86" s="521">
        <f>AI87-AI86</f>
        <v>-144.87</v>
      </c>
      <c r="AM86" s="521"/>
      <c r="AN86" s="521"/>
      <c r="AO86" s="523"/>
      <c r="AP86" s="521"/>
      <c r="AQ86" s="622"/>
      <c r="AR86" s="896"/>
      <c r="AS86" s="521"/>
    </row>
    <row r="87" spans="2:45" s="662" customFormat="1" ht="12" thickBot="1">
      <c r="B87" s="770"/>
      <c r="C87" s="941" t="s">
        <v>382</v>
      </c>
      <c r="D87" s="942"/>
      <c r="E87" s="942"/>
      <c r="F87" s="942"/>
      <c r="G87" s="942"/>
      <c r="H87" s="942"/>
      <c r="I87" s="942"/>
      <c r="J87" s="942"/>
      <c r="K87" s="942"/>
      <c r="L87" s="943"/>
      <c r="M87" s="582"/>
      <c r="N87" s="521"/>
      <c r="O87" s="521"/>
      <c r="P87" s="521"/>
      <c r="Q87" s="521"/>
      <c r="R87" s="521"/>
      <c r="S87" s="521"/>
      <c r="T87" s="521"/>
      <c r="U87" s="521"/>
      <c r="V87" s="521"/>
      <c r="W87" s="521"/>
      <c r="X87" s="521"/>
      <c r="Y87" s="521"/>
      <c r="Z87" s="521"/>
      <c r="AA87" s="521"/>
      <c r="AB87" s="521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  <c r="AP87" s="521"/>
      <c r="AQ87" s="521"/>
      <c r="AR87" s="521"/>
      <c r="AS87" s="521"/>
    </row>
    <row r="88" spans="2:45" s="662" customFormat="1" ht="23.25" customHeight="1">
      <c r="B88" s="745"/>
      <c r="C88" s="594" t="s">
        <v>383</v>
      </c>
      <c r="D88" s="882"/>
      <c r="E88" s="647"/>
      <c r="F88" s="888" t="str">
        <f>IF(ISBLANK(F72),"",F84+TIME(0,H84+H85,0))</f>
        <v/>
      </c>
      <c r="G88" s="888" t="str">
        <f>IF(ISBLANK($F$72),"",F88+TIME(0,H88,0))</f>
        <v/>
      </c>
      <c r="H88" s="544">
        <v>10</v>
      </c>
      <c r="I88" s="764" t="str">
        <f>IF(ISBLANK($F$72),"",(G88-F88)*24*60)</f>
        <v/>
      </c>
      <c r="J88" s="543"/>
      <c r="K88" s="765"/>
      <c r="L88" s="766"/>
      <c r="M88" s="531"/>
      <c r="N88" s="521"/>
      <c r="O88" s="521"/>
      <c r="P88" s="521"/>
      <c r="Q88" s="521"/>
      <c r="R88" s="521"/>
      <c r="S88" s="521"/>
      <c r="T88" s="521"/>
      <c r="U88" s="521"/>
      <c r="V88" s="521"/>
      <c r="W88" s="521"/>
      <c r="X88" s="521"/>
      <c r="Y88" s="521"/>
      <c r="Z88" s="521"/>
      <c r="AA88" s="521"/>
      <c r="AB88" s="521"/>
      <c r="AC88" s="521"/>
      <c r="AD88" s="521"/>
      <c r="AE88" s="521"/>
      <c r="AF88" s="521"/>
      <c r="AG88" s="521"/>
      <c r="AH88" s="521"/>
      <c r="AI88" s="522"/>
      <c r="AJ88" s="521"/>
      <c r="AK88" s="521"/>
      <c r="AL88" s="521"/>
      <c r="AM88" s="521"/>
      <c r="AN88" s="521"/>
      <c r="AO88" s="521"/>
      <c r="AP88" s="521"/>
      <c r="AQ88" s="521"/>
      <c r="AR88" s="521"/>
      <c r="AS88" s="521"/>
    </row>
    <row r="89" spans="2:45" s="662" customFormat="1" ht="19.5" customHeight="1">
      <c r="B89" s="744"/>
      <c r="C89" s="536" t="s">
        <v>384</v>
      </c>
      <c r="D89" s="448"/>
      <c r="E89" s="651"/>
      <c r="F89" s="648"/>
      <c r="G89" s="648"/>
      <c r="H89" s="448">
        <v>50</v>
      </c>
      <c r="I89" s="448"/>
      <c r="J89" s="539" t="s">
        <v>385</v>
      </c>
      <c r="K89" s="479">
        <v>269</v>
      </c>
      <c r="L89" s="540"/>
      <c r="M89" s="531"/>
      <c r="N89" s="521"/>
      <c r="O89" s="521"/>
      <c r="P89" s="521"/>
      <c r="Q89" s="521"/>
      <c r="R89" s="521"/>
      <c r="S89" s="521"/>
      <c r="T89" s="521"/>
      <c r="U89" s="521"/>
      <c r="V89" s="521"/>
      <c r="W89" s="521"/>
      <c r="X89" s="521"/>
      <c r="Y89" s="521"/>
      <c r="Z89" s="521"/>
      <c r="AA89" s="521"/>
      <c r="AB89" s="521"/>
      <c r="AC89" s="521"/>
      <c r="AD89" s="521"/>
      <c r="AE89" s="521"/>
      <c r="AF89" s="521"/>
      <c r="AG89" s="521"/>
      <c r="AH89" s="521"/>
      <c r="AI89" s="522"/>
      <c r="AJ89" s="521"/>
      <c r="AK89" s="521"/>
      <c r="AL89" s="521"/>
      <c r="AM89" s="521"/>
      <c r="AN89" s="521"/>
      <c r="AO89" s="521"/>
      <c r="AP89" s="521"/>
      <c r="AQ89" s="521"/>
      <c r="AR89" s="521"/>
      <c r="AS89" s="521"/>
    </row>
    <row r="90" spans="2:45" s="662" customFormat="1" ht="18.75" customHeight="1">
      <c r="B90" s="744"/>
      <c r="C90" s="539" t="s">
        <v>386</v>
      </c>
      <c r="D90" s="448"/>
      <c r="E90" s="651"/>
      <c r="F90" s="648"/>
      <c r="G90" s="648"/>
      <c r="H90" s="448">
        <v>15</v>
      </c>
      <c r="I90" s="448"/>
      <c r="J90" s="448"/>
      <c r="K90" s="448"/>
      <c r="L90" s="558"/>
      <c r="M90" s="531"/>
      <c r="N90" s="521"/>
      <c r="O90" s="521"/>
      <c r="P90" s="521"/>
      <c r="Q90" s="521"/>
      <c r="R90" s="521"/>
      <c r="S90" s="521"/>
      <c r="T90" s="521"/>
      <c r="U90" s="521"/>
      <c r="V90" s="521"/>
      <c r="W90" s="521"/>
      <c r="X90" s="521"/>
      <c r="Y90" s="521"/>
      <c r="Z90" s="521"/>
      <c r="AA90" s="521"/>
      <c r="AB90" s="521"/>
      <c r="AC90" s="521"/>
      <c r="AD90" s="521"/>
      <c r="AE90" s="521"/>
      <c r="AF90" s="521"/>
      <c r="AG90" s="521"/>
      <c r="AH90" s="521"/>
      <c r="AI90" s="522"/>
      <c r="AJ90" s="521"/>
      <c r="AK90" s="521"/>
      <c r="AL90" s="521"/>
      <c r="AM90" s="521"/>
      <c r="AN90" s="521"/>
      <c r="AO90" s="521"/>
      <c r="AP90" s="521"/>
      <c r="AQ90" s="521"/>
      <c r="AR90" s="521"/>
      <c r="AS90" s="521"/>
    </row>
    <row r="91" spans="2:45" s="662" customFormat="1" ht="17.25" customHeight="1">
      <c r="B91" s="744"/>
      <c r="C91" s="539" t="s">
        <v>387</v>
      </c>
      <c r="D91" s="448"/>
      <c r="E91" s="651"/>
      <c r="F91" s="648"/>
      <c r="G91" s="648"/>
      <c r="H91" s="448">
        <v>0</v>
      </c>
      <c r="I91" s="448"/>
      <c r="J91" s="623" t="s">
        <v>388</v>
      </c>
      <c r="K91" s="704"/>
      <c r="L91" s="558"/>
      <c r="M91" s="531"/>
      <c r="N91" s="521"/>
      <c r="O91" s="521"/>
      <c r="P91" s="521"/>
      <c r="Q91" s="521"/>
      <c r="R91" s="521"/>
      <c r="S91" s="521"/>
      <c r="T91" s="521"/>
      <c r="U91" s="521"/>
      <c r="V91" s="521"/>
      <c r="W91" s="521"/>
      <c r="X91" s="521"/>
      <c r="Y91" s="521"/>
      <c r="Z91" s="521"/>
      <c r="AA91" s="521"/>
      <c r="AB91" s="521"/>
      <c r="AC91" s="521"/>
      <c r="AD91" s="521"/>
      <c r="AE91" s="521"/>
      <c r="AF91" s="521"/>
      <c r="AG91" s="521"/>
      <c r="AH91" s="521"/>
      <c r="AI91" s="522"/>
      <c r="AJ91" s="521"/>
      <c r="AK91" s="521"/>
      <c r="AL91" s="521"/>
      <c r="AM91" s="521"/>
      <c r="AN91" s="521"/>
      <c r="AO91" s="521"/>
      <c r="AP91" s="521"/>
      <c r="AQ91" s="521"/>
      <c r="AR91" s="521"/>
      <c r="AS91" s="521"/>
    </row>
    <row r="92" spans="2:45" s="662" customFormat="1" ht="13.5" thickBot="1">
      <c r="B92" s="750"/>
      <c r="C92" s="577" t="s">
        <v>389</v>
      </c>
      <c r="D92" s="624"/>
      <c r="E92" s="659"/>
      <c r="F92" s="655"/>
      <c r="G92" s="655"/>
      <c r="H92" s="578">
        <f>SUM(H88:H91)</f>
        <v>75</v>
      </c>
      <c r="I92" s="578"/>
      <c r="J92" s="579"/>
      <c r="K92" s="448"/>
      <c r="L92" s="558"/>
      <c r="M92" s="531"/>
      <c r="N92" s="521"/>
      <c r="O92" s="521"/>
      <c r="P92" s="521"/>
      <c r="Q92" s="521"/>
      <c r="R92" s="521"/>
      <c r="S92" s="521"/>
      <c r="T92" s="521"/>
      <c r="U92" s="521"/>
      <c r="V92" s="521"/>
      <c r="W92" s="521"/>
      <c r="X92" s="521"/>
      <c r="Y92" s="521"/>
      <c r="Z92" s="521"/>
      <c r="AA92" s="521"/>
      <c r="AB92" s="521"/>
      <c r="AC92" s="521"/>
      <c r="AD92" s="521"/>
      <c r="AE92" s="521"/>
      <c r="AF92" s="521"/>
      <c r="AG92" s="521"/>
      <c r="AH92" s="521"/>
      <c r="AI92" s="522"/>
      <c r="AJ92" s="521"/>
      <c r="AK92" s="521"/>
      <c r="AL92" s="521"/>
      <c r="AM92" s="521"/>
      <c r="AN92" s="521"/>
      <c r="AO92" s="521"/>
      <c r="AP92" s="521"/>
      <c r="AQ92" s="521"/>
      <c r="AR92" s="521"/>
      <c r="AS92" s="521"/>
    </row>
    <row r="93" spans="2:45" s="662" customFormat="1" ht="12" hidden="1" thickBot="1">
      <c r="B93" s="525"/>
      <c r="C93" s="526" t="s">
        <v>390</v>
      </c>
      <c r="D93" s="527"/>
      <c r="E93" s="527"/>
      <c r="F93" s="527"/>
      <c r="G93" s="527"/>
      <c r="H93" s="527"/>
      <c r="I93" s="527"/>
      <c r="J93" s="528"/>
      <c r="K93" s="581"/>
      <c r="L93" s="529"/>
      <c r="M93" s="582"/>
      <c r="N93" s="521"/>
      <c r="O93" s="521"/>
      <c r="P93" s="521"/>
      <c r="Q93" s="521"/>
      <c r="R93" s="521"/>
      <c r="S93" s="521"/>
      <c r="T93" s="521"/>
      <c r="U93" s="521"/>
      <c r="V93" s="521"/>
      <c r="W93" s="521"/>
      <c r="X93" s="521"/>
      <c r="Y93" s="521"/>
      <c r="Z93" s="521"/>
      <c r="AA93" s="521"/>
      <c r="AB93" s="521"/>
      <c r="AC93" s="521"/>
      <c r="AD93" s="521"/>
      <c r="AE93" s="521"/>
      <c r="AF93" s="521"/>
      <c r="AG93" s="521"/>
      <c r="AH93" s="521"/>
      <c r="AI93" s="522"/>
      <c r="AJ93" s="521"/>
      <c r="AK93" s="521"/>
      <c r="AL93" s="521"/>
      <c r="AM93" s="521"/>
      <c r="AN93" s="521"/>
      <c r="AO93" s="521"/>
      <c r="AP93" s="521"/>
      <c r="AQ93" s="521"/>
      <c r="AR93" s="521"/>
      <c r="AS93" s="521"/>
    </row>
    <row r="94" spans="2:45" s="662" customFormat="1" ht="12" hidden="1" thickBot="1">
      <c r="B94" s="759"/>
      <c r="C94" s="760" t="s">
        <v>391</v>
      </c>
      <c r="D94" s="761"/>
      <c r="E94" s="761"/>
      <c r="F94" s="761"/>
      <c r="G94" s="761"/>
      <c r="H94" s="761"/>
      <c r="I94" s="761"/>
      <c r="J94" s="760"/>
      <c r="K94" s="762"/>
      <c r="L94" s="763"/>
      <c r="M94" s="582"/>
      <c r="N94" s="521"/>
      <c r="O94" s="521"/>
      <c r="P94" s="521"/>
      <c r="Q94" s="521"/>
      <c r="R94" s="521"/>
      <c r="S94" s="521"/>
      <c r="T94" s="521"/>
      <c r="U94" s="521"/>
      <c r="V94" s="521"/>
      <c r="W94" s="521"/>
      <c r="X94" s="521"/>
      <c r="Y94" s="521"/>
      <c r="Z94" s="521"/>
      <c r="AA94" s="521"/>
      <c r="AB94" s="521"/>
      <c r="AC94" s="521"/>
      <c r="AD94" s="521"/>
      <c r="AE94" s="521"/>
      <c r="AF94" s="521"/>
      <c r="AG94" s="521"/>
      <c r="AH94" s="521"/>
      <c r="AI94" s="522"/>
      <c r="AJ94" s="521"/>
      <c r="AK94" s="521"/>
      <c r="AL94" s="521"/>
      <c r="AM94" s="521"/>
      <c r="AN94" s="521"/>
      <c r="AO94" s="521"/>
      <c r="AP94" s="521"/>
      <c r="AQ94" s="521"/>
      <c r="AR94" s="521"/>
      <c r="AS94" s="521"/>
    </row>
    <row r="95" spans="2:45" s="662" customFormat="1" ht="12" thickBot="1">
      <c r="B95" s="770"/>
      <c r="C95" s="941" t="s">
        <v>392</v>
      </c>
      <c r="D95" s="942"/>
      <c r="E95" s="942"/>
      <c r="F95" s="942"/>
      <c r="G95" s="942"/>
      <c r="H95" s="942"/>
      <c r="I95" s="942"/>
      <c r="J95" s="942"/>
      <c r="K95" s="942"/>
      <c r="L95" s="943"/>
      <c r="M95" s="582"/>
      <c r="N95" s="521"/>
      <c r="O95" s="521"/>
      <c r="P95" s="521"/>
      <c r="Q95" s="521"/>
      <c r="R95" s="521"/>
      <c r="S95" s="521"/>
      <c r="T95" s="521"/>
      <c r="U95" s="521"/>
      <c r="V95" s="521"/>
      <c r="W95" s="521"/>
      <c r="X95" s="521"/>
      <c r="Y95" s="521"/>
      <c r="Z95" s="521"/>
      <c r="AA95" s="521"/>
      <c r="AB95" s="521"/>
      <c r="AC95" s="521"/>
      <c r="AD95" s="521"/>
      <c r="AE95" s="521"/>
      <c r="AF95" s="521"/>
      <c r="AG95" s="521"/>
      <c r="AH95" s="521"/>
      <c r="AI95" s="522"/>
      <c r="AJ95" s="521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2:45" s="662" customFormat="1" ht="21.75" customHeight="1">
      <c r="B96" s="767"/>
      <c r="C96" s="768" t="s">
        <v>393</v>
      </c>
      <c r="D96" s="882">
        <v>3</v>
      </c>
      <c r="E96" s="882"/>
      <c r="F96" s="944" t="s">
        <v>394</v>
      </c>
      <c r="G96" s="944"/>
      <c r="H96" s="944"/>
      <c r="I96" s="769"/>
      <c r="J96" s="543" t="s">
        <v>395</v>
      </c>
      <c r="K96" s="765" t="s">
        <v>396</v>
      </c>
      <c r="L96" s="743"/>
      <c r="M96" s="531"/>
      <c r="N96" s="521"/>
      <c r="O96" s="521"/>
      <c r="P96" s="521"/>
      <c r="Q96" s="521"/>
      <c r="R96" s="521"/>
      <c r="S96" s="521"/>
      <c r="T96" s="521"/>
      <c r="U96" s="521"/>
      <c r="V96" s="521"/>
      <c r="W96" s="521"/>
      <c r="X96" s="521"/>
      <c r="Y96" s="521"/>
      <c r="Z96" s="521"/>
      <c r="AA96" s="521"/>
      <c r="AB96" s="521"/>
      <c r="AC96" s="521"/>
      <c r="AD96" s="521"/>
      <c r="AE96" s="521"/>
      <c r="AF96" s="521"/>
      <c r="AG96" s="521"/>
      <c r="AH96" s="521"/>
      <c r="AI96" s="522"/>
      <c r="AJ96" s="521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2:48" s="662" customFormat="1" ht="19.5" customHeight="1">
      <c r="B97" s="744"/>
      <c r="C97" s="536" t="s">
        <v>397</v>
      </c>
      <c r="D97" s="448"/>
      <c r="E97" s="651"/>
      <c r="F97" s="648"/>
      <c r="G97" s="648"/>
      <c r="H97" s="448">
        <v>5</v>
      </c>
      <c r="I97" s="448"/>
      <c r="J97" s="539" t="s">
        <v>398</v>
      </c>
      <c r="K97" s="583" t="s">
        <v>399</v>
      </c>
      <c r="L97" s="722"/>
      <c r="M97" s="531"/>
      <c r="N97" s="521"/>
      <c r="O97" s="521"/>
      <c r="P97" s="521"/>
      <c r="Q97" s="521"/>
      <c r="R97" s="521"/>
      <c r="S97" s="521"/>
      <c r="T97" s="521" t="s">
        <v>400</v>
      </c>
      <c r="U97" s="521"/>
      <c r="V97" s="521"/>
      <c r="W97" s="521"/>
      <c r="X97" s="521"/>
      <c r="Y97" s="521"/>
      <c r="Z97" s="521"/>
      <c r="AA97" s="521"/>
      <c r="AB97" s="521"/>
      <c r="AC97" s="521"/>
      <c r="AD97" s="521"/>
      <c r="AE97" s="521"/>
      <c r="AF97" s="521"/>
      <c r="AG97" s="521"/>
      <c r="AH97" s="521"/>
      <c r="AI97" s="522"/>
      <c r="AJ97" s="521"/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2:48" s="662" customFormat="1" ht="21" customHeight="1">
      <c r="B98" s="744"/>
      <c r="C98" s="789" t="s">
        <v>401</v>
      </c>
      <c r="D98" s="479">
        <v>225</v>
      </c>
      <c r="E98" s="646"/>
      <c r="F98" s="648" t="str">
        <f>G88</f>
        <v/>
      </c>
      <c r="G98" s="648" t="str">
        <f>IF(ISBLANK($F$72),"",F98+TIME(0,H98,0))</f>
        <v/>
      </c>
      <c r="H98" s="448">
        <f>IF(E98="",50,IF((E98-D98)&lt;0,50-ROUND(ABS(E98-D98)/269*60+0.25,0),50+ROUND((E98-D98)/269*60+0.25,0)))</f>
        <v>50</v>
      </c>
      <c r="I98" s="685" t="str">
        <f>IF(ISBLANK($F$72),"",(G98-F98)*24*60)</f>
        <v/>
      </c>
      <c r="J98" s="539" t="s">
        <v>402</v>
      </c>
      <c r="K98" s="625">
        <v>10.5</v>
      </c>
      <c r="L98" s="561"/>
      <c r="M98" s="531"/>
      <c r="N98" s="521"/>
      <c r="O98" s="521"/>
      <c r="P98" s="521"/>
      <c r="Q98" s="521"/>
      <c r="R98" s="521"/>
      <c r="S98" s="521"/>
      <c r="T98" s="521"/>
      <c r="U98" s="521"/>
      <c r="V98" s="521"/>
      <c r="W98" s="521"/>
      <c r="X98" s="521"/>
      <c r="Y98" s="521"/>
      <c r="Z98" s="521"/>
      <c r="AA98" s="521"/>
      <c r="AB98" s="521"/>
      <c r="AC98" s="521"/>
      <c r="AD98" s="521"/>
      <c r="AE98" s="521"/>
      <c r="AF98" s="521"/>
      <c r="AG98" s="521"/>
      <c r="AH98" s="521"/>
      <c r="AI98" s="522"/>
      <c r="AJ98" s="521"/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2:48" s="662" customFormat="1" ht="26.25" customHeight="1">
      <c r="B99" s="744"/>
      <c r="C99" s="536" t="s">
        <v>403</v>
      </c>
      <c r="D99" s="557" t="str">
        <f>'10027'!D99</f>
        <v>0.48 scfb</v>
      </c>
      <c r="E99" s="945" t="s">
        <v>405</v>
      </c>
      <c r="F99" s="946"/>
      <c r="G99" s="646">
        <f>'10027'!G99</f>
        <v>14</v>
      </c>
      <c r="H99" s="448"/>
      <c r="I99" s="448"/>
      <c r="J99" s="585" t="s">
        <v>406</v>
      </c>
      <c r="K99" s="625">
        <v>13</v>
      </c>
      <c r="L99" s="708"/>
      <c r="M99" s="531"/>
      <c r="N99" s="521"/>
      <c r="O99" s="521"/>
      <c r="P99" s="521"/>
      <c r="Q99" s="521"/>
      <c r="R99" s="521"/>
      <c r="S99" s="521"/>
      <c r="T99" s="521"/>
      <c r="U99" s="521"/>
      <c r="V99" s="521" t="s">
        <v>407</v>
      </c>
      <c r="W99" s="521" t="s">
        <v>408</v>
      </c>
      <c r="X99" s="521"/>
      <c r="Y99" s="521"/>
      <c r="Z99" s="521"/>
      <c r="AA99" s="521"/>
      <c r="AB99" s="521"/>
      <c r="AC99" s="521"/>
      <c r="AD99" s="521"/>
      <c r="AE99" s="521"/>
      <c r="AF99" s="521"/>
      <c r="AG99" s="521"/>
      <c r="AH99" s="521"/>
      <c r="AI99" s="522"/>
      <c r="AJ99" s="521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2:48" s="662" customFormat="1" ht="24.75" customHeight="1">
      <c r="B100" s="744"/>
      <c r="C100" s="536" t="s">
        <v>409</v>
      </c>
      <c r="D100" s="448">
        <v>5</v>
      </c>
      <c r="E100" s="717"/>
      <c r="F100" s="448"/>
      <c r="G100" s="448"/>
      <c r="H100" s="448"/>
      <c r="I100" s="448"/>
      <c r="J100" s="539" t="s">
        <v>410</v>
      </c>
      <c r="K100" s="583">
        <v>80</v>
      </c>
      <c r="L100" s="558"/>
      <c r="M100" s="531"/>
      <c r="N100" s="521"/>
      <c r="O100" s="521"/>
      <c r="P100" s="521"/>
      <c r="Q100" s="521"/>
      <c r="R100" s="521"/>
      <c r="S100" s="521"/>
      <c r="T100" s="521"/>
      <c r="U100" s="521"/>
      <c r="V100" s="521"/>
      <c r="W100" s="521"/>
      <c r="X100" s="521"/>
      <c r="Y100" s="521"/>
      <c r="Z100" s="521"/>
      <c r="AA100" s="521"/>
      <c r="AB100" s="521"/>
      <c r="AC100" s="521"/>
      <c r="AD100" s="521"/>
      <c r="AE100" s="521"/>
      <c r="AF100" s="521"/>
      <c r="AG100" s="521"/>
      <c r="AH100" s="521"/>
      <c r="AI100" s="522"/>
      <c r="AJ100" s="521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2:48" s="662" customFormat="1" ht="20.25" customHeight="1" thickBot="1">
      <c r="B101" s="749"/>
      <c r="C101" s="626" t="s">
        <v>411</v>
      </c>
      <c r="D101" s="596"/>
      <c r="E101" s="596"/>
      <c r="F101" s="596"/>
      <c r="G101" s="596"/>
      <c r="H101" s="596">
        <v>2</v>
      </c>
      <c r="I101" s="596"/>
      <c r="J101" s="597" t="s">
        <v>412</v>
      </c>
      <c r="K101" s="627" t="s">
        <v>413</v>
      </c>
      <c r="L101" s="628"/>
      <c r="M101" s="629"/>
      <c r="N101" s="521"/>
      <c r="O101" s="521"/>
      <c r="P101" s="521"/>
      <c r="Q101" s="521"/>
      <c r="R101" s="521"/>
      <c r="S101" s="521"/>
      <c r="T101" s="521" t="s">
        <v>414</v>
      </c>
      <c r="U101" s="521"/>
      <c r="V101" s="521"/>
      <c r="W101" s="521"/>
      <c r="X101" s="521"/>
      <c r="Y101" s="521"/>
      <c r="Z101" s="521"/>
      <c r="AA101" s="521"/>
      <c r="AB101" s="521"/>
      <c r="AC101" s="521"/>
      <c r="AD101" s="521"/>
      <c r="AE101" s="521"/>
      <c r="AF101" s="521"/>
      <c r="AG101" s="521"/>
      <c r="AH101" s="521"/>
      <c r="AI101" s="522"/>
      <c r="AJ101" s="521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2:48" s="662" customFormat="1" ht="16.5" customHeight="1" thickBot="1">
      <c r="B102" s="630" t="s">
        <v>415</v>
      </c>
      <c r="C102" s="631"/>
      <c r="D102" s="675">
        <f>'10027'!D102</f>
        <v>6</v>
      </c>
      <c r="E102" s="676" t="s">
        <v>416</v>
      </c>
      <c r="F102" s="632"/>
      <c r="G102" s="632"/>
      <c r="H102" s="753">
        <f>SUM(H13:H31,H42:H49,H57,(D67/200)*60,2*5,H70:H73,H78:H81,H84:H85,H88:H89)/60</f>
        <v>6.161296296296296</v>
      </c>
      <c r="I102" s="754" t="str">
        <f>IF(OR(F13="",G98=""),"",IF(G98&gt;=F13,(G98-F13)*24,(G98+1-F13)*24))</f>
        <v/>
      </c>
      <c r="J102" s="631" t="s">
        <v>417</v>
      </c>
      <c r="K102" s="829"/>
      <c r="L102" s="830"/>
      <c r="M102" s="633"/>
      <c r="N102" s="521"/>
      <c r="O102" s="521"/>
      <c r="P102" s="521"/>
      <c r="Q102" s="521"/>
      <c r="R102" s="521"/>
      <c r="S102" s="521"/>
      <c r="T102" s="521"/>
      <c r="U102" s="521"/>
      <c r="V102" s="521"/>
      <c r="W102" s="521"/>
      <c r="X102" s="521"/>
      <c r="Y102" s="521"/>
      <c r="Z102" s="521"/>
      <c r="AA102" s="521"/>
      <c r="AB102" s="521"/>
      <c r="AC102" s="521"/>
      <c r="AD102" s="521"/>
      <c r="AE102" s="521"/>
      <c r="AF102" s="521"/>
      <c r="AG102" s="521"/>
      <c r="AH102" s="521"/>
      <c r="AI102" s="522"/>
      <c r="AJ102" s="521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2:48" s="664" customFormat="1" ht="20.149999999999999" customHeight="1">
      <c r="B103" s="817" t="s">
        <v>418</v>
      </c>
      <c r="C103" s="818" t="s">
        <v>419</v>
      </c>
      <c r="D103" s="819" t="s">
        <v>420</v>
      </c>
      <c r="E103" s="819"/>
      <c r="F103" s="820"/>
      <c r="G103" s="820"/>
      <c r="H103" s="820"/>
      <c r="I103" s="820"/>
      <c r="J103" s="677" t="s">
        <v>421</v>
      </c>
      <c r="K103" s="740">
        <f>D102</f>
        <v>6</v>
      </c>
      <c r="L103" s="739" t="str">
        <f>IF(OR(F13="",G98=""),"",IF(G98&gt;=F13,(G98-F13)*24,(G98+1-F13)*24))</f>
        <v/>
      </c>
      <c r="M103" s="634"/>
      <c r="N103" s="634"/>
      <c r="O103" s="634"/>
      <c r="P103" s="634"/>
      <c r="Q103" s="634"/>
      <c r="R103" s="634"/>
      <c r="S103" s="634"/>
      <c r="T103" s="634"/>
      <c r="U103" s="634"/>
      <c r="V103" s="634"/>
      <c r="W103" s="634"/>
      <c r="X103" s="634"/>
      <c r="Y103" s="634"/>
      <c r="Z103" s="634"/>
      <c r="AA103" s="634"/>
      <c r="AB103" s="634"/>
      <c r="AC103" s="634"/>
      <c r="AD103" s="634"/>
      <c r="AE103" s="634"/>
      <c r="AF103" s="634"/>
      <c r="AG103" s="634"/>
      <c r="AH103" s="634"/>
      <c r="AI103" s="634"/>
      <c r="AJ103" s="634"/>
      <c r="AK103" s="634"/>
      <c r="AL103" s="634"/>
      <c r="AM103" s="634"/>
      <c r="AN103" s="634"/>
      <c r="AO103" s="634"/>
      <c r="AP103" s="634"/>
      <c r="AQ103" s="634"/>
      <c r="AR103" s="634"/>
      <c r="AS103" s="634"/>
    </row>
    <row r="104" spans="2:48" s="664" customFormat="1" ht="20.149999999999999" customHeight="1">
      <c r="B104" s="821" t="s">
        <v>422</v>
      </c>
      <c r="C104" s="822"/>
      <c r="D104" s="820"/>
      <c r="E104" s="820"/>
      <c r="F104" s="820"/>
      <c r="G104" s="820"/>
      <c r="H104" s="823"/>
      <c r="I104" s="820"/>
      <c r="J104" s="677" t="s">
        <v>423</v>
      </c>
      <c r="K104" s="678">
        <v>8</v>
      </c>
      <c r="L104" s="739" t="str">
        <f>IF(OR(ISBLANK(E84),ISBLANK(E66)),"",(1-E84/E66)*100)</f>
        <v/>
      </c>
      <c r="M104" s="635"/>
      <c r="N104" s="634"/>
      <c r="O104" s="634"/>
      <c r="P104" s="634"/>
      <c r="Q104" s="634"/>
      <c r="R104" s="634"/>
      <c r="S104" s="634"/>
      <c r="T104" s="634"/>
      <c r="U104" s="634"/>
      <c r="V104" s="634"/>
      <c r="W104" s="634"/>
      <c r="X104" s="634"/>
      <c r="Y104" s="634"/>
      <c r="Z104" s="634"/>
      <c r="AA104" s="634"/>
      <c r="AB104" s="634"/>
      <c r="AC104" s="634"/>
      <c r="AD104" s="634"/>
      <c r="AE104" s="634"/>
      <c r="AF104" s="634"/>
      <c r="AG104" s="634"/>
      <c r="AH104" s="634"/>
      <c r="AI104" s="634"/>
      <c r="AJ104" s="634"/>
      <c r="AK104" s="634"/>
      <c r="AL104" s="634"/>
      <c r="AM104" s="634"/>
      <c r="AN104" s="634"/>
      <c r="AO104" s="634"/>
      <c r="AP104" s="634"/>
      <c r="AQ104" s="634"/>
      <c r="AR104" s="634"/>
      <c r="AS104" s="634"/>
      <c r="AT104" s="900" t="e">
        <f>CR20</f>
        <v>#DIV/0!</v>
      </c>
      <c r="AU104" s="662" t="s">
        <v>424</v>
      </c>
      <c r="AV104" s="662"/>
    </row>
    <row r="105" spans="2:48" s="664" customFormat="1" ht="20.149999999999999" customHeight="1">
      <c r="B105" s="804"/>
      <c r="C105" s="824"/>
      <c r="D105" s="825"/>
      <c r="E105" s="820"/>
      <c r="F105" s="820"/>
      <c r="G105" s="820"/>
      <c r="H105" s="826"/>
      <c r="I105" s="820"/>
      <c r="J105" s="677" t="s">
        <v>425</v>
      </c>
      <c r="K105" s="678">
        <v>230</v>
      </c>
      <c r="L105" s="739" t="str">
        <f>IF(OR(G98="",F58=""),"",IF(G98&gt;=F58,(G98-F58)*60*24,(G98+1-F58)*24*60))</f>
        <v/>
      </c>
      <c r="M105" s="635"/>
      <c r="N105" s="634"/>
      <c r="O105" s="634"/>
      <c r="P105" s="634"/>
      <c r="Q105" s="634"/>
      <c r="R105" s="634"/>
      <c r="S105" s="634"/>
      <c r="T105" s="634"/>
      <c r="U105" s="634"/>
      <c r="V105" s="634"/>
      <c r="W105" s="634"/>
      <c r="X105" s="634"/>
      <c r="Y105" s="634"/>
      <c r="Z105" s="634"/>
      <c r="AA105" s="634"/>
      <c r="AB105" s="634"/>
      <c r="AC105" s="634"/>
      <c r="AD105" s="634"/>
      <c r="AE105" s="634"/>
      <c r="AF105" s="634"/>
      <c r="AG105" s="634"/>
      <c r="AH105" s="634"/>
      <c r="AI105" s="634"/>
      <c r="AJ105" s="634"/>
      <c r="AK105" s="634"/>
      <c r="AL105" s="634"/>
      <c r="AM105" s="634"/>
      <c r="AN105" s="634"/>
      <c r="AO105" s="634"/>
      <c r="AP105" s="634"/>
      <c r="AQ105" s="634"/>
      <c r="AR105" s="634"/>
      <c r="AS105" s="634"/>
      <c r="AT105" s="901" t="str">
        <f>IF(OR(G98="",F70=""),"",IF(G98&gt;=F70,(G98-F70)*60*24,(G98+1-F70)*24*60))</f>
        <v/>
      </c>
      <c r="AU105" s="662" t="s">
        <v>426</v>
      </c>
      <c r="AV105" s="662"/>
    </row>
    <row r="106" spans="2:48" ht="20.149999999999999" customHeight="1">
      <c r="B106" s="804"/>
      <c r="C106" s="827"/>
      <c r="D106" s="827"/>
      <c r="E106" s="827"/>
      <c r="F106" s="828"/>
      <c r="G106" s="827"/>
      <c r="H106" s="827"/>
      <c r="I106" s="820"/>
      <c r="J106" s="677" t="s">
        <v>427</v>
      </c>
      <c r="K106" s="678">
        <v>300</v>
      </c>
      <c r="L106" s="739" t="str">
        <f>IF(OR(L105="",L104=""),"",ABS(L105-K105)*10+ABS(L104-K104)*100)</f>
        <v/>
      </c>
      <c r="M106" s="636"/>
      <c r="N106" s="636"/>
      <c r="O106" s="636"/>
      <c r="P106" s="636"/>
      <c r="Q106" s="636"/>
      <c r="R106" s="636"/>
      <c r="S106" s="636"/>
      <c r="T106" s="636"/>
      <c r="U106" s="636"/>
      <c r="V106" s="636"/>
      <c r="W106" s="636"/>
      <c r="X106" s="636"/>
      <c r="Y106" s="636"/>
      <c r="Z106" s="636"/>
      <c r="AA106" s="636"/>
      <c r="AB106" s="636"/>
      <c r="AC106" s="636"/>
      <c r="AD106" s="636"/>
      <c r="AE106" s="636"/>
      <c r="AF106" s="636"/>
      <c r="AG106" s="636"/>
      <c r="AH106" s="636"/>
      <c r="AI106" s="519"/>
      <c r="AJ106" s="519"/>
      <c r="AK106" s="519"/>
      <c r="AL106" s="519"/>
      <c r="AM106" s="519"/>
      <c r="AN106" s="519"/>
      <c r="AO106" s="519"/>
      <c r="AP106" s="519"/>
      <c r="AQ106" s="519"/>
      <c r="AR106" s="519"/>
      <c r="AS106" s="519"/>
    </row>
    <row r="107" spans="2:48" ht="24.75" customHeight="1">
      <c r="M107" s="519"/>
      <c r="N107" s="519"/>
      <c r="O107" s="519"/>
      <c r="P107" s="519"/>
      <c r="Q107" s="519"/>
      <c r="R107" s="519"/>
      <c r="S107" s="519"/>
      <c r="T107" s="519"/>
      <c r="U107" s="519"/>
      <c r="V107" s="519"/>
      <c r="W107" s="519"/>
      <c r="X107" s="519"/>
      <c r="Y107" s="519"/>
      <c r="Z107" s="519"/>
      <c r="AA107" s="519"/>
      <c r="AB107" s="519"/>
      <c r="AC107" s="519"/>
      <c r="AD107" s="519"/>
      <c r="AE107" s="519"/>
      <c r="AF107" s="519"/>
      <c r="AG107" s="519"/>
      <c r="AH107" s="519"/>
      <c r="AI107" s="519"/>
      <c r="AJ107" s="519"/>
      <c r="AK107" s="519"/>
      <c r="AL107" s="519"/>
      <c r="AM107" s="519"/>
      <c r="AN107" s="519"/>
      <c r="AO107" s="519"/>
      <c r="AP107" s="519"/>
      <c r="AQ107" s="519"/>
      <c r="AR107" s="519"/>
      <c r="AS107" s="519"/>
    </row>
    <row r="108" spans="2:48" ht="24.75" customHeight="1">
      <c r="M108" s="519"/>
      <c r="N108" s="519"/>
      <c r="O108" s="519"/>
      <c r="P108" s="519"/>
      <c r="Q108" s="519"/>
      <c r="R108" s="519"/>
      <c r="S108" s="519"/>
      <c r="T108" s="519"/>
      <c r="U108" s="519"/>
      <c r="V108" s="519"/>
      <c r="W108" s="519"/>
      <c r="X108" s="519"/>
      <c r="Y108" s="519"/>
      <c r="Z108" s="519"/>
      <c r="AA108" s="519"/>
      <c r="AB108" s="519"/>
      <c r="AC108" s="519"/>
      <c r="AD108" s="519"/>
      <c r="AE108" s="519"/>
      <c r="AF108" s="519"/>
      <c r="AG108" s="519"/>
      <c r="AH108" s="519"/>
      <c r="AI108" s="519"/>
      <c r="AJ108" s="519"/>
      <c r="AK108" s="519"/>
      <c r="AL108" s="519"/>
      <c r="AM108" s="519"/>
      <c r="AN108" s="519"/>
      <c r="AO108" s="519"/>
      <c r="AP108" s="519"/>
      <c r="AQ108" s="519"/>
      <c r="AR108" s="519"/>
      <c r="AS108" s="519"/>
    </row>
    <row r="109" spans="2:48" ht="27.75" customHeight="1">
      <c r="M109" s="519"/>
      <c r="N109" s="519"/>
      <c r="O109" s="519"/>
      <c r="P109" s="519"/>
      <c r="Q109" s="519"/>
      <c r="R109" s="519"/>
      <c r="S109" s="519"/>
      <c r="T109" s="519"/>
      <c r="U109" s="519"/>
      <c r="V109" s="519"/>
      <c r="W109" s="519"/>
      <c r="X109" s="519"/>
      <c r="Y109" s="519"/>
      <c r="Z109" s="519"/>
      <c r="AA109" s="519"/>
      <c r="AB109" s="519"/>
      <c r="AC109" s="519"/>
      <c r="AD109" s="519"/>
      <c r="AE109" s="519"/>
      <c r="AF109" s="519"/>
      <c r="AG109" s="519"/>
      <c r="AH109" s="519"/>
      <c r="AI109" s="519"/>
      <c r="AJ109" s="519"/>
      <c r="AK109" s="519"/>
      <c r="AL109" s="519"/>
      <c r="AM109" s="519"/>
      <c r="AN109" s="519"/>
      <c r="AO109" s="519"/>
      <c r="AP109" s="519"/>
      <c r="AQ109" s="519"/>
      <c r="AR109" s="519"/>
      <c r="AS109" s="519"/>
    </row>
  </sheetData>
  <mergeCells count="142">
    <mergeCell ref="EK4:EK7"/>
    <mergeCell ref="CS5:CS7"/>
    <mergeCell ref="DP5:DP7"/>
    <mergeCell ref="DU5:DU7"/>
    <mergeCell ref="EA5:EA7"/>
    <mergeCell ref="EI5:EI7"/>
    <mergeCell ref="EL5:EL7"/>
    <mergeCell ref="B1:M1"/>
    <mergeCell ref="BJ4:BJ7"/>
    <mergeCell ref="BU4:BU7"/>
    <mergeCell ref="CE4:CE7"/>
    <mergeCell ref="DH4:DH7"/>
    <mergeCell ref="DI4:DI7"/>
    <mergeCell ref="L5:L6"/>
    <mergeCell ref="M5:M6"/>
    <mergeCell ref="AU5:AU7"/>
    <mergeCell ref="AV5:AV7"/>
    <mergeCell ref="AX5:AX7"/>
    <mergeCell ref="AY5:AY7"/>
    <mergeCell ref="AZ5:AZ7"/>
    <mergeCell ref="BA5:BA7"/>
    <mergeCell ref="BB5:BB7"/>
    <mergeCell ref="BC5:BC7"/>
    <mergeCell ref="BD5:BD7"/>
    <mergeCell ref="BE5:BE7"/>
    <mergeCell ref="BF5:BF7"/>
    <mergeCell ref="BG5:BG7"/>
    <mergeCell ref="BH5:BH7"/>
    <mergeCell ref="DG4:DG7"/>
    <mergeCell ref="B5:B6"/>
    <mergeCell ref="C5:C6"/>
    <mergeCell ref="D5:E5"/>
    <mergeCell ref="F5:I5"/>
    <mergeCell ref="J5:J6"/>
    <mergeCell ref="K5:K6"/>
    <mergeCell ref="AW5:AW7"/>
    <mergeCell ref="BL5:BL7"/>
    <mergeCell ref="BM5:BM7"/>
    <mergeCell ref="BN5:BN7"/>
    <mergeCell ref="BO5:BO7"/>
    <mergeCell ref="EF4:EF7"/>
    <mergeCell ref="DV5:DV7"/>
    <mergeCell ref="DW5:DW7"/>
    <mergeCell ref="DX5:DX7"/>
    <mergeCell ref="DJ4:DJ7"/>
    <mergeCell ref="DK4:DK7"/>
    <mergeCell ref="DL4:DL7"/>
    <mergeCell ref="DM4:DM7"/>
    <mergeCell ref="DN4:DN7"/>
    <mergeCell ref="DO4:DO7"/>
    <mergeCell ref="DR4:DR7"/>
    <mergeCell ref="DZ4:DZ7"/>
    <mergeCell ref="EE4:EE7"/>
    <mergeCell ref="DS4:DS7"/>
    <mergeCell ref="DT4:DT7"/>
    <mergeCell ref="EN5:EN7"/>
    <mergeCell ref="C7:L7"/>
    <mergeCell ref="DY5:DY7"/>
    <mergeCell ref="EB5:EB7"/>
    <mergeCell ref="EC5:EC7"/>
    <mergeCell ref="ED5:ED7"/>
    <mergeCell ref="DC5:DC7"/>
    <mergeCell ref="DD5:DD7"/>
    <mergeCell ref="DE5:DE7"/>
    <mergeCell ref="DF5:DF7"/>
    <mergeCell ref="DQ5:DQ7"/>
    <mergeCell ref="CW5:CW7"/>
    <mergeCell ref="CX5:CX7"/>
    <mergeCell ref="CY5:CY7"/>
    <mergeCell ref="CZ5:CZ7"/>
    <mergeCell ref="DA5:DA7"/>
    <mergeCell ref="DB5:DB7"/>
    <mergeCell ref="CC5:CC7"/>
    <mergeCell ref="CD5:CD7"/>
    <mergeCell ref="CF5:CF7"/>
    <mergeCell ref="EG4:EG7"/>
    <mergeCell ref="EH4:EH7"/>
    <mergeCell ref="BI5:BI7"/>
    <mergeCell ref="BK5:BK7"/>
    <mergeCell ref="F8:G8"/>
    <mergeCell ref="AI9:AL9"/>
    <mergeCell ref="AI10:AL10"/>
    <mergeCell ref="AV10:AV11"/>
    <mergeCell ref="AW10:AW11"/>
    <mergeCell ref="AX10:AX11"/>
    <mergeCell ref="EJ5:EJ7"/>
    <mergeCell ref="EM5:EM7"/>
    <mergeCell ref="CT5:CT7"/>
    <mergeCell ref="CU5:CU7"/>
    <mergeCell ref="CV5:CV7"/>
    <mergeCell ref="BW5:BW7"/>
    <mergeCell ref="BX5:BX7"/>
    <mergeCell ref="BY5:BY7"/>
    <mergeCell ref="BZ5:BZ7"/>
    <mergeCell ref="CA5:CA7"/>
    <mergeCell ref="CB5:CB7"/>
    <mergeCell ref="BP5:BP7"/>
    <mergeCell ref="BQ5:BQ7"/>
    <mergeCell ref="BR5:BR7"/>
    <mergeCell ref="BS5:BS7"/>
    <mergeCell ref="BT5:BT7"/>
    <mergeCell ref="BV5:BV7"/>
    <mergeCell ref="BE10:BE11"/>
    <mergeCell ref="BC10:BC11"/>
    <mergeCell ref="BD10:BD11"/>
    <mergeCell ref="C53:L53"/>
    <mergeCell ref="C65:L65"/>
    <mergeCell ref="C69:L69"/>
    <mergeCell ref="C72:C73"/>
    <mergeCell ref="D72:D73"/>
    <mergeCell ref="E72:E73"/>
    <mergeCell ref="F72:F73"/>
    <mergeCell ref="G72:G73"/>
    <mergeCell ref="H72:H73"/>
    <mergeCell ref="I72:I73"/>
    <mergeCell ref="C11:L11"/>
    <mergeCell ref="T12:U12"/>
    <mergeCell ref="AL19:AN19"/>
    <mergeCell ref="C34:L34"/>
    <mergeCell ref="T35:U35"/>
    <mergeCell ref="AY10:AY11"/>
    <mergeCell ref="AZ10:AZ11"/>
    <mergeCell ref="BA10:BA11"/>
    <mergeCell ref="BB10:BB11"/>
    <mergeCell ref="C87:L87"/>
    <mergeCell ref="C95:L95"/>
    <mergeCell ref="F96:H96"/>
    <mergeCell ref="E99:F99"/>
    <mergeCell ref="I78:I79"/>
    <mergeCell ref="C80:C81"/>
    <mergeCell ref="D80:D81"/>
    <mergeCell ref="E80:E81"/>
    <mergeCell ref="F80:F81"/>
    <mergeCell ref="G80:G81"/>
    <mergeCell ref="H80:H81"/>
    <mergeCell ref="I80:I81"/>
    <mergeCell ref="C78:C79"/>
    <mergeCell ref="D78:D79"/>
    <mergeCell ref="E78:E79"/>
    <mergeCell ref="F78:F79"/>
    <mergeCell ref="G78:G79"/>
    <mergeCell ref="H78:H79"/>
  </mergeCells>
  <conditionalFormatting sqref="I1:I6 I66:I68 I84:I86 I96:I1048576 I88:I94 I72 I54:I63 I12:I33 I35:I52 I78 I80">
    <cfRule type="cellIs" dxfId="30" priority="28" operator="lessThanOrEqual">
      <formula>0</formula>
    </cfRule>
  </conditionalFormatting>
  <conditionalFormatting sqref="I102">
    <cfRule type="cellIs" dxfId="29" priority="29" operator="lessThanOrEqual">
      <formula>0</formula>
    </cfRule>
    <cfRule type="cellIs" dxfId="28" priority="30" operator="between">
      <formula>$D$102-0.2</formula>
      <formula>$D$102+0.2</formula>
    </cfRule>
    <cfRule type="cellIs" dxfId="27" priority="31" operator="notBetween">
      <formula>$D$102-0.2</formula>
      <formula>$D$102+0.2</formula>
    </cfRule>
  </conditionalFormatting>
  <conditionalFormatting sqref="BU19">
    <cfRule type="cellIs" dxfId="26" priority="26" operator="between">
      <formula>16.25</formula>
      <formula>16.75</formula>
    </cfRule>
    <cfRule type="cellIs" dxfId="25" priority="27" operator="between">
      <formula>17.75</formula>
      <formula>18.25</formula>
    </cfRule>
  </conditionalFormatting>
  <conditionalFormatting sqref="CK19:CO19">
    <cfRule type="cellIs" dxfId="24" priority="25" operator="lessThan">
      <formula>230</formula>
    </cfRule>
  </conditionalFormatting>
  <conditionalFormatting sqref="CL19">
    <cfRule type="cellIs" dxfId="23" priority="24" operator="lessThan">
      <formula>270</formula>
    </cfRule>
  </conditionalFormatting>
  <conditionalFormatting sqref="CM19">
    <cfRule type="cellIs" dxfId="22" priority="23" operator="lessThan">
      <formula>2600</formula>
    </cfRule>
  </conditionalFormatting>
  <conditionalFormatting sqref="I83">
    <cfRule type="cellIs" dxfId="21" priority="22" operator="lessThanOrEqual">
      <formula>0</formula>
    </cfRule>
  </conditionalFormatting>
  <conditionalFormatting sqref="E10">
    <cfRule type="cellIs" dxfId="20" priority="21" operator="lessThanOrEqual">
      <formula>0</formula>
    </cfRule>
  </conditionalFormatting>
  <conditionalFormatting sqref="G10">
    <cfRule type="cellIs" dxfId="19" priority="20" operator="lessThanOrEqual">
      <formula>0</formula>
    </cfRule>
  </conditionalFormatting>
  <conditionalFormatting sqref="I9:I10">
    <cfRule type="cellIs" dxfId="18" priority="19" operator="lessThanOrEqual">
      <formula>0</formula>
    </cfRule>
  </conditionalFormatting>
  <conditionalFormatting sqref="E8">
    <cfRule type="cellIs" dxfId="17" priority="18" operator="lessThanOrEqual">
      <formula>0</formula>
    </cfRule>
  </conditionalFormatting>
  <conditionalFormatting sqref="L84">
    <cfRule type="cellIs" dxfId="16" priority="16" operator="notBetween">
      <formula>K84-0.25</formula>
      <formula>K84+0.25</formula>
    </cfRule>
    <cfRule type="cellIs" dxfId="15" priority="17" operator="between">
      <formula>K84-0.25</formula>
      <formula>K84+0.25</formula>
    </cfRule>
  </conditionalFormatting>
  <conditionalFormatting sqref="L85">
    <cfRule type="containsBlanks" dxfId="14" priority="13">
      <formula>LEN(TRIM(L85))=0</formula>
    </cfRule>
    <cfRule type="cellIs" dxfId="13" priority="14" operator="notBetween">
      <formula>VALUE(LEFT(K85,4))-0.2</formula>
      <formula>VALUE(LEFT(K85,4))+0.2</formula>
    </cfRule>
    <cfRule type="cellIs" dxfId="12" priority="15" operator="between">
      <formula>VALUE(LEFT(K85,4))-0.2</formula>
      <formula>VALUE(LEFT(K85,4))+0.2</formula>
    </cfRule>
  </conditionalFormatting>
  <conditionalFormatting sqref="L96">
    <cfRule type="cellIs" dxfId="11" priority="9" operator="notBetween">
      <formula>VALUE(LEFT(K96,5))</formula>
      <formula>VALUE(RIGHT(K96,5))</formula>
    </cfRule>
    <cfRule type="cellIs" dxfId="10" priority="10" operator="between">
      <formula>VALUE(LEFT(K96,5))</formula>
      <formula>VALUE(RIGHT(K96,5))</formula>
    </cfRule>
  </conditionalFormatting>
  <conditionalFormatting sqref="L96:L97">
    <cfRule type="containsBlanks" dxfId="9" priority="8">
      <formula>LEN(TRIM(L96))=0</formula>
    </cfRule>
  </conditionalFormatting>
  <conditionalFormatting sqref="L97">
    <cfRule type="cellIs" dxfId="8" priority="11" operator="between">
      <formula>VALUE(LEFT(K97,4))</formula>
      <formula>VALUE(RIGHT(K97,4))</formula>
    </cfRule>
    <cfRule type="cellIs" dxfId="7" priority="12" operator="notBetween">
      <formula>VALUE(LEFT(K97,4))</formula>
      <formula>VALUE(RIGHT(K97,4))</formula>
    </cfRule>
  </conditionalFormatting>
  <conditionalFormatting sqref="I70:I71">
    <cfRule type="cellIs" dxfId="6" priority="7" operator="lessThanOrEqual">
      <formula>0</formula>
    </cfRule>
  </conditionalFormatting>
  <conditionalFormatting sqref="L103">
    <cfRule type="cellIs" dxfId="5" priority="1" operator="notBetween">
      <formula>$K$103-0.2</formula>
      <formula>$K$103+0.2</formula>
    </cfRule>
    <cfRule type="cellIs" dxfId="4" priority="2" operator="between">
      <formula>$K$103-0.2</formula>
      <formula>$K$103+0.2</formula>
    </cfRule>
  </conditionalFormatting>
  <conditionalFormatting sqref="L105">
    <cfRule type="cellIs" dxfId="3" priority="5" operator="lessThan">
      <formula>$K$105+20</formula>
    </cfRule>
    <cfRule type="cellIs" dxfId="2" priority="6" operator="greaterThanOrEqual">
      <formula>$K$105+20</formula>
    </cfRule>
  </conditionalFormatting>
  <conditionalFormatting sqref="L106">
    <cfRule type="cellIs" dxfId="1" priority="3" operator="lessThan">
      <formula>$K$106</formula>
    </cfRule>
    <cfRule type="cellIs" dxfId="0" priority="4" operator="greaterThanOrEqual">
      <formula>$K$106</formula>
    </cfRule>
  </conditionalFormatting>
  <dataValidations count="2">
    <dataValidation type="list" allowBlank="1" showInputMessage="1" showErrorMessage="1" sqref="E8" xr:uid="{4F2D2318-6FA5-48A8-A4B8-01414D0A094B}">
      <formula1>$AU$1:$AU$4</formula1>
    </dataValidation>
    <dataValidation type="list" allowBlank="1" showInputMessage="1" showErrorMessage="1" sqref="C3" xr:uid="{B758C8D2-321C-479E-AB73-9AF009D3FEBA}">
      <formula1>$AV$1:$AV$4</formula1>
    </dataValidation>
  </dataValidations>
  <printOptions horizontalCentered="1" verticalCentered="1"/>
  <pageMargins left="0.2" right="0" top="0" bottom="0" header="0" footer="0"/>
  <pageSetup paperSize="9" scale="81" orientation="portrait" r:id="rId1"/>
  <headerFooter alignWithMargins="0">
    <oddFooter>Page &amp;P</oddFooter>
  </headerFooter>
  <rowBreaks count="1" manualBreakCount="1">
    <brk id="5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3" r:id="rId4" name="Check Box 1">
              <controlPr defaultSize="0" autoFill="0" autoLine="0" autoPict="0">
                <anchor moveWithCells="1">
                  <from>
                    <xdr:col>4</xdr:col>
                    <xdr:colOff>139700</xdr:colOff>
                    <xdr:row>37</xdr:row>
                    <xdr:rowOff>50800</xdr:rowOff>
                  </from>
                  <to>
                    <xdr:col>4</xdr:col>
                    <xdr:colOff>349250</xdr:colOff>
                    <xdr:row>37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4" r:id="rId5" name="Check Box 2">
              <controlPr defaultSize="0" autoFill="0" autoLine="0" autoPict="0">
                <anchor moveWithCells="1">
                  <from>
                    <xdr:col>4</xdr:col>
                    <xdr:colOff>127000</xdr:colOff>
                    <xdr:row>15</xdr:row>
                    <xdr:rowOff>38100</xdr:rowOff>
                  </from>
                  <to>
                    <xdr:col>4</xdr:col>
                    <xdr:colOff>342900</xdr:colOff>
                    <xdr:row>15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5" r:id="rId6" name="Check Box 3">
              <controlPr defaultSize="0" autoFill="0" autoLine="0" autoPict="0">
                <anchor moveWithCells="1">
                  <from>
                    <xdr:col>4</xdr:col>
                    <xdr:colOff>139700</xdr:colOff>
                    <xdr:row>73</xdr:row>
                    <xdr:rowOff>44450</xdr:rowOff>
                  </from>
                  <to>
                    <xdr:col>4</xdr:col>
                    <xdr:colOff>349250</xdr:colOff>
                    <xdr:row>73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7" name="Check Box 4">
              <controlPr defaultSize="0" autoFill="0" autoLine="0" autoPict="0">
                <anchor moveWithCells="1">
                  <from>
                    <xdr:col>4</xdr:col>
                    <xdr:colOff>139700</xdr:colOff>
                    <xdr:row>74</xdr:row>
                    <xdr:rowOff>44450</xdr:rowOff>
                  </from>
                  <to>
                    <xdr:col>4</xdr:col>
                    <xdr:colOff>349250</xdr:colOff>
                    <xdr:row>74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7" r:id="rId8" name="Check Box 5">
              <controlPr defaultSize="0" autoFill="0" autoLine="0" autoPict="0">
                <anchor moveWithCells="1">
                  <from>
                    <xdr:col>4</xdr:col>
                    <xdr:colOff>139700</xdr:colOff>
                    <xdr:row>75</xdr:row>
                    <xdr:rowOff>44450</xdr:rowOff>
                  </from>
                  <to>
                    <xdr:col>4</xdr:col>
                    <xdr:colOff>349250</xdr:colOff>
                    <xdr:row>75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8" r:id="rId9" name="Check Box 6">
              <controlPr defaultSize="0" autoFill="0" autoLine="0" autoPict="0">
                <anchor moveWithCells="1">
                  <from>
                    <xdr:col>4</xdr:col>
                    <xdr:colOff>139700</xdr:colOff>
                    <xdr:row>76</xdr:row>
                    <xdr:rowOff>44450</xdr:rowOff>
                  </from>
                  <to>
                    <xdr:col>4</xdr:col>
                    <xdr:colOff>349250</xdr:colOff>
                    <xdr:row>76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9" r:id="rId10" name="Check Box 7">
              <controlPr defaultSize="0" autoFill="0" autoLine="0" autoPict="0">
                <anchor moveWithCells="1">
                  <from>
                    <xdr:col>4</xdr:col>
                    <xdr:colOff>139700</xdr:colOff>
                    <xdr:row>82</xdr:row>
                    <xdr:rowOff>88900</xdr:rowOff>
                  </from>
                  <to>
                    <xdr:col>4</xdr:col>
                    <xdr:colOff>349250</xdr:colOff>
                    <xdr:row>82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0" r:id="rId11" name="Check Box 8">
              <controlPr defaultSize="0" autoFill="0" autoLine="0" autoPict="0">
                <anchor moveWithCells="1">
                  <from>
                    <xdr:col>10</xdr:col>
                    <xdr:colOff>241300</xdr:colOff>
                    <xdr:row>9</xdr:row>
                    <xdr:rowOff>69850</xdr:rowOff>
                  </from>
                  <to>
                    <xdr:col>10</xdr:col>
                    <xdr:colOff>457200</xdr:colOff>
                    <xdr:row>9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1" r:id="rId12" name="Check Box 9">
              <controlPr defaultSize="0" autoFill="0" autoLine="0" autoPict="0">
                <anchor moveWithCells="1">
                  <from>
                    <xdr:col>10</xdr:col>
                    <xdr:colOff>450850</xdr:colOff>
                    <xdr:row>57</xdr:row>
                    <xdr:rowOff>63500</xdr:rowOff>
                  </from>
                  <to>
                    <xdr:col>10</xdr:col>
                    <xdr:colOff>673100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2" r:id="rId13" name="Check Box 10">
              <controlPr defaultSize="0" autoFill="0" autoLine="0" autoPict="0">
                <anchor moveWithCells="1">
                  <from>
                    <xdr:col>11</xdr:col>
                    <xdr:colOff>254000</xdr:colOff>
                    <xdr:row>57</xdr:row>
                    <xdr:rowOff>63500</xdr:rowOff>
                  </from>
                  <to>
                    <xdr:col>11</xdr:col>
                    <xdr:colOff>469900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3" r:id="rId14" name="Check Box 11">
              <controlPr defaultSize="0" autoFill="0" autoLine="0" autoPict="0">
                <anchor moveWithCells="1">
                  <from>
                    <xdr:col>10</xdr:col>
                    <xdr:colOff>450850</xdr:colOff>
                    <xdr:row>58</xdr:row>
                    <xdr:rowOff>63500</xdr:rowOff>
                  </from>
                  <to>
                    <xdr:col>10</xdr:col>
                    <xdr:colOff>673100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4" r:id="rId15" name="Check Box 12">
              <controlPr defaultSize="0" autoFill="0" autoLine="0" autoPict="0">
                <anchor moveWithCells="1">
                  <from>
                    <xdr:col>11</xdr:col>
                    <xdr:colOff>254000</xdr:colOff>
                    <xdr:row>58</xdr:row>
                    <xdr:rowOff>63500</xdr:rowOff>
                  </from>
                  <to>
                    <xdr:col>11</xdr:col>
                    <xdr:colOff>469900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5" r:id="rId16" name="Check Box 13">
              <controlPr defaultSize="0" autoFill="0" autoLine="0" autoPict="0">
                <anchor moveWithCells="1">
                  <from>
                    <xdr:col>4</xdr:col>
                    <xdr:colOff>139700</xdr:colOff>
                    <xdr:row>81</xdr:row>
                    <xdr:rowOff>44450</xdr:rowOff>
                  </from>
                  <to>
                    <xdr:col>4</xdr:col>
                    <xdr:colOff>349250</xdr:colOff>
                    <xdr:row>81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6" r:id="rId17" name="Check Box 14">
              <controlPr defaultSize="0" autoFill="0" autoLine="0" autoPict="0">
                <anchor moveWithCells="1">
                  <from>
                    <xdr:col>10</xdr:col>
                    <xdr:colOff>450850</xdr:colOff>
                    <xdr:row>57</xdr:row>
                    <xdr:rowOff>63500</xdr:rowOff>
                  </from>
                  <to>
                    <xdr:col>10</xdr:col>
                    <xdr:colOff>673100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18" name="Check Box 15">
              <controlPr defaultSize="0" autoFill="0" autoLine="0" autoPict="0">
                <anchor moveWithCells="1">
                  <from>
                    <xdr:col>11</xdr:col>
                    <xdr:colOff>254000</xdr:colOff>
                    <xdr:row>57</xdr:row>
                    <xdr:rowOff>63500</xdr:rowOff>
                  </from>
                  <to>
                    <xdr:col>11</xdr:col>
                    <xdr:colOff>469900</xdr:colOff>
                    <xdr:row>57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9" name="Check Box 16">
              <controlPr defaultSize="0" autoFill="0" autoLine="0" autoPict="0">
                <anchor moveWithCells="1">
                  <from>
                    <xdr:col>10</xdr:col>
                    <xdr:colOff>450850</xdr:colOff>
                    <xdr:row>58</xdr:row>
                    <xdr:rowOff>63500</xdr:rowOff>
                  </from>
                  <to>
                    <xdr:col>10</xdr:col>
                    <xdr:colOff>673100</xdr:colOff>
                    <xdr:row>58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20" name="Check Box 17">
              <controlPr defaultSize="0" autoFill="0" autoLine="0" autoPict="0">
                <anchor moveWithCells="1">
                  <from>
                    <xdr:col>11</xdr:col>
                    <xdr:colOff>254000</xdr:colOff>
                    <xdr:row>58</xdr:row>
                    <xdr:rowOff>63500</xdr:rowOff>
                  </from>
                  <to>
                    <xdr:col>11</xdr:col>
                    <xdr:colOff>469900</xdr:colOff>
                    <xdr:row>58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06A18-67D1-450E-80C2-F4A5FCA4D7D6}">
  <sheetPr>
    <tabColor rgb="FFFF0000"/>
  </sheetPr>
  <dimension ref="A1:DB280"/>
  <sheetViews>
    <sheetView topLeftCell="CD142" zoomScale="75" workbookViewId="0">
      <selection activeCell="E275" sqref="E275:DB277"/>
    </sheetView>
  </sheetViews>
  <sheetFormatPr defaultColWidth="8.81640625" defaultRowHeight="14.5"/>
  <cols>
    <col min="1" max="1" width="18.54296875" style="851" bestFit="1" customWidth="1"/>
    <col min="2" max="2" width="40.81640625" style="851" bestFit="1" customWidth="1"/>
    <col min="3" max="3" width="8.81640625" style="851" hidden="1" customWidth="1"/>
    <col min="4" max="9" width="8.81640625" style="851"/>
    <col min="10" max="16" width="20.54296875" style="339" customWidth="1"/>
    <col min="17" max="16384" width="8.81640625" style="339"/>
  </cols>
  <sheetData>
    <row r="1" spans="1:16" ht="21">
      <c r="B1" s="902" t="s">
        <v>1071</v>
      </c>
      <c r="J1" s="1093" t="s">
        <v>796</v>
      </c>
      <c r="K1" s="1094"/>
      <c r="L1" s="1094"/>
      <c r="M1" s="1094"/>
      <c r="N1" s="1094"/>
      <c r="O1" s="1094"/>
      <c r="P1" s="1095"/>
    </row>
    <row r="2" spans="1:16" ht="15" thickBot="1">
      <c r="A2" s="852" t="s">
        <v>797</v>
      </c>
      <c r="B2" s="852" t="s">
        <v>798</v>
      </c>
      <c r="C2" s="852" t="s">
        <v>799</v>
      </c>
      <c r="D2" s="852" t="s">
        <v>800</v>
      </c>
      <c r="E2" s="852" t="s">
        <v>801</v>
      </c>
      <c r="F2" s="852" t="s">
        <v>802</v>
      </c>
      <c r="G2" s="852" t="s">
        <v>803</v>
      </c>
      <c r="H2" s="852" t="s">
        <v>804</v>
      </c>
      <c r="I2" s="853" t="s">
        <v>805</v>
      </c>
      <c r="J2" s="854"/>
      <c r="K2" s="855"/>
      <c r="L2" s="855"/>
      <c r="M2" s="855"/>
      <c r="N2" s="855"/>
      <c r="O2" s="855"/>
      <c r="P2" s="856" t="s">
        <v>806</v>
      </c>
    </row>
    <row r="3" spans="1:16" hidden="1">
      <c r="A3" s="857" t="s">
        <v>807</v>
      </c>
      <c r="B3" s="857" t="s">
        <v>808</v>
      </c>
      <c r="C3" s="858"/>
      <c r="D3" s="857"/>
      <c r="E3" s="859"/>
      <c r="F3" s="860"/>
      <c r="G3" s="857"/>
      <c r="H3" s="860"/>
      <c r="I3" s="859"/>
    </row>
    <row r="4" spans="1:16" hidden="1">
      <c r="A4" s="857" t="s">
        <v>807</v>
      </c>
      <c r="B4" s="857" t="s">
        <v>809</v>
      </c>
      <c r="C4" s="858"/>
      <c r="D4" s="857"/>
      <c r="E4" s="859"/>
      <c r="F4" s="860"/>
      <c r="G4" s="857"/>
      <c r="H4" s="860"/>
      <c r="I4" s="859"/>
    </row>
    <row r="5" spans="1:16" hidden="1">
      <c r="A5" s="857" t="s">
        <v>807</v>
      </c>
      <c r="B5" s="857" t="s">
        <v>810</v>
      </c>
      <c r="C5" s="858"/>
      <c r="D5" s="857"/>
      <c r="E5" s="859"/>
      <c r="F5" s="860"/>
      <c r="G5" s="857"/>
      <c r="H5" s="860"/>
      <c r="I5" s="859"/>
    </row>
    <row r="6" spans="1:16" hidden="1">
      <c r="A6" s="857" t="s">
        <v>807</v>
      </c>
      <c r="B6" s="857" t="s">
        <v>811</v>
      </c>
      <c r="C6" s="858"/>
      <c r="D6" s="857"/>
      <c r="E6" s="859"/>
      <c r="F6" s="860"/>
      <c r="G6" s="857"/>
      <c r="H6" s="860"/>
      <c r="I6" s="859"/>
    </row>
    <row r="7" spans="1:16" hidden="1">
      <c r="A7" s="857" t="s">
        <v>807</v>
      </c>
      <c r="B7" s="857" t="s">
        <v>812</v>
      </c>
      <c r="C7" s="858"/>
      <c r="D7" s="857"/>
      <c r="E7" s="859"/>
      <c r="F7" s="860"/>
      <c r="G7" s="857"/>
      <c r="H7" s="860"/>
      <c r="I7" s="859"/>
    </row>
    <row r="8" spans="1:16" hidden="1">
      <c r="A8" s="857" t="s">
        <v>807</v>
      </c>
      <c r="B8" s="857" t="s">
        <v>813</v>
      </c>
      <c r="C8" s="858"/>
      <c r="D8" s="857"/>
      <c r="E8" s="859"/>
      <c r="F8" s="860"/>
      <c r="G8" s="857"/>
      <c r="H8" s="860"/>
      <c r="I8" s="859"/>
    </row>
    <row r="9" spans="1:16" hidden="1">
      <c r="A9" s="857" t="s">
        <v>807</v>
      </c>
      <c r="B9" s="857" t="s">
        <v>814</v>
      </c>
      <c r="C9" s="858"/>
      <c r="D9" s="857"/>
      <c r="E9" s="859"/>
      <c r="F9" s="860"/>
      <c r="G9" s="857"/>
      <c r="H9" s="860"/>
      <c r="I9" s="859"/>
    </row>
    <row r="10" spans="1:16" hidden="1">
      <c r="A10" s="857" t="s">
        <v>807</v>
      </c>
      <c r="B10" s="857" t="s">
        <v>815</v>
      </c>
      <c r="C10" s="858"/>
      <c r="D10" s="857"/>
      <c r="E10" s="859"/>
      <c r="F10" s="860"/>
      <c r="G10" s="857"/>
      <c r="H10" s="860"/>
      <c r="I10" s="859"/>
    </row>
    <row r="11" spans="1:16" hidden="1">
      <c r="A11" s="857" t="s">
        <v>807</v>
      </c>
      <c r="B11" s="857" t="s">
        <v>816</v>
      </c>
      <c r="C11" s="858"/>
      <c r="D11" s="857" t="s">
        <v>817</v>
      </c>
      <c r="E11" s="859"/>
      <c r="F11" s="860"/>
      <c r="G11" s="857"/>
      <c r="H11" s="860"/>
      <c r="I11" s="859"/>
    </row>
    <row r="12" spans="1:16" hidden="1">
      <c r="A12" s="857" t="s">
        <v>807</v>
      </c>
      <c r="B12" s="857" t="s">
        <v>818</v>
      </c>
      <c r="C12" s="858"/>
      <c r="D12" s="857" t="s">
        <v>817</v>
      </c>
      <c r="E12" s="859"/>
      <c r="F12" s="860"/>
      <c r="G12" s="857"/>
      <c r="H12" s="860"/>
      <c r="I12" s="859"/>
    </row>
    <row r="13" spans="1:16" hidden="1">
      <c r="A13" s="857" t="s">
        <v>807</v>
      </c>
      <c r="B13" s="857" t="s">
        <v>819</v>
      </c>
      <c r="C13" s="858"/>
      <c r="D13" s="857" t="s">
        <v>817</v>
      </c>
      <c r="E13" s="859"/>
      <c r="F13" s="860"/>
      <c r="G13" s="857"/>
      <c r="H13" s="860"/>
      <c r="I13" s="859"/>
    </row>
    <row r="14" spans="1:16" hidden="1">
      <c r="A14" s="857" t="s">
        <v>807</v>
      </c>
      <c r="B14" s="857" t="s">
        <v>820</v>
      </c>
      <c r="C14" s="858"/>
      <c r="D14" s="857"/>
      <c r="E14" s="859"/>
      <c r="F14" s="860"/>
      <c r="G14" s="857"/>
      <c r="H14" s="860"/>
      <c r="I14" s="859"/>
    </row>
    <row r="15" spans="1:16" hidden="1">
      <c r="A15" s="857" t="s">
        <v>807</v>
      </c>
      <c r="B15" s="857" t="s">
        <v>821</v>
      </c>
      <c r="C15" s="858"/>
      <c r="D15" s="857"/>
      <c r="E15" s="859"/>
      <c r="F15" s="860"/>
      <c r="G15" s="857"/>
      <c r="H15" s="860"/>
      <c r="I15" s="859"/>
    </row>
    <row r="16" spans="1:16" hidden="1">
      <c r="A16" s="857" t="s">
        <v>807</v>
      </c>
      <c r="B16" s="857" t="s">
        <v>822</v>
      </c>
      <c r="C16" s="858"/>
      <c r="D16" s="857"/>
      <c r="E16" s="859"/>
      <c r="F16" s="860"/>
      <c r="G16" s="857"/>
      <c r="H16" s="860"/>
      <c r="I16" s="859"/>
    </row>
    <row r="17" spans="1:9" hidden="1">
      <c r="A17" s="857" t="s">
        <v>807</v>
      </c>
      <c r="B17" s="857" t="s">
        <v>823</v>
      </c>
      <c r="C17" s="858"/>
      <c r="D17" s="857"/>
      <c r="E17" s="859"/>
      <c r="F17" s="860"/>
      <c r="G17" s="857"/>
      <c r="H17" s="860"/>
      <c r="I17" s="859"/>
    </row>
    <row r="18" spans="1:9" hidden="1">
      <c r="A18" s="857" t="s">
        <v>807</v>
      </c>
      <c r="B18" s="857" t="s">
        <v>824</v>
      </c>
      <c r="C18" s="858"/>
      <c r="D18" s="857"/>
      <c r="E18" s="859"/>
      <c r="F18" s="860"/>
      <c r="G18" s="857"/>
      <c r="H18" s="860"/>
      <c r="I18" s="859"/>
    </row>
    <row r="19" spans="1:9" hidden="1">
      <c r="A19" s="857" t="s">
        <v>807</v>
      </c>
      <c r="B19" s="857" t="s">
        <v>825</v>
      </c>
      <c r="C19" s="858"/>
      <c r="D19" s="857"/>
      <c r="E19" s="859"/>
      <c r="F19" s="860"/>
      <c r="G19" s="857"/>
      <c r="H19" s="860"/>
      <c r="I19" s="859"/>
    </row>
    <row r="20" spans="1:9" hidden="1">
      <c r="A20" s="857" t="s">
        <v>807</v>
      </c>
      <c r="B20" s="857" t="s">
        <v>826</v>
      </c>
      <c r="C20" s="858"/>
      <c r="D20" s="857"/>
      <c r="E20" s="859"/>
      <c r="F20" s="860"/>
      <c r="G20" s="857"/>
      <c r="H20" s="860"/>
      <c r="I20" s="859"/>
    </row>
    <row r="21" spans="1:9" hidden="1">
      <c r="A21" s="857" t="s">
        <v>807</v>
      </c>
      <c r="B21" s="857" t="s">
        <v>827</v>
      </c>
      <c r="C21" s="858"/>
      <c r="D21" s="857"/>
      <c r="E21" s="859"/>
      <c r="F21" s="860"/>
      <c r="G21" s="857"/>
      <c r="H21" s="860"/>
      <c r="I21" s="859"/>
    </row>
    <row r="22" spans="1:9" hidden="1">
      <c r="A22" s="857" t="s">
        <v>807</v>
      </c>
      <c r="B22" s="857" t="s">
        <v>828</v>
      </c>
      <c r="C22" s="858"/>
      <c r="D22" s="857" t="s">
        <v>829</v>
      </c>
      <c r="E22" s="859"/>
      <c r="F22" s="860"/>
      <c r="G22" s="857"/>
      <c r="H22" s="860"/>
      <c r="I22" s="859"/>
    </row>
    <row r="23" spans="1:9" hidden="1">
      <c r="A23" s="857" t="s">
        <v>807</v>
      </c>
      <c r="B23" s="857" t="s">
        <v>830</v>
      </c>
      <c r="C23" s="858"/>
      <c r="D23" s="857"/>
      <c r="E23" s="859"/>
      <c r="F23" s="860"/>
      <c r="G23" s="857"/>
      <c r="H23" s="860"/>
      <c r="I23" s="859"/>
    </row>
    <row r="24" spans="1:9" hidden="1">
      <c r="A24" s="857" t="s">
        <v>807</v>
      </c>
      <c r="B24" s="857" t="s">
        <v>831</v>
      </c>
      <c r="C24" s="858"/>
      <c r="D24" s="857"/>
      <c r="E24" s="859"/>
      <c r="F24" s="860"/>
      <c r="G24" s="857"/>
      <c r="H24" s="860"/>
      <c r="I24" s="859"/>
    </row>
    <row r="25" spans="1:9" hidden="1">
      <c r="A25" s="861" t="s">
        <v>807</v>
      </c>
      <c r="B25" s="861" t="s">
        <v>832</v>
      </c>
      <c r="C25" s="862"/>
      <c r="D25" s="863"/>
      <c r="E25" s="864"/>
      <c r="F25" s="865"/>
      <c r="G25" s="863"/>
      <c r="H25" s="865"/>
      <c r="I25" s="864"/>
    </row>
    <row r="26" spans="1:9" hidden="1">
      <c r="A26" s="866" t="s">
        <v>833</v>
      </c>
      <c r="B26" s="866" t="s">
        <v>834</v>
      </c>
      <c r="C26" s="866"/>
      <c r="D26" s="866"/>
      <c r="E26" s="859"/>
      <c r="F26" s="860"/>
      <c r="G26" s="857"/>
      <c r="H26" s="860"/>
      <c r="I26" s="859"/>
    </row>
    <row r="27" spans="1:9" hidden="1">
      <c r="A27" s="866" t="s">
        <v>833</v>
      </c>
      <c r="B27" s="866" t="s">
        <v>835</v>
      </c>
      <c r="C27" s="866"/>
      <c r="D27" s="866"/>
      <c r="E27" s="859"/>
      <c r="F27" s="860"/>
      <c r="G27" s="857"/>
      <c r="H27" s="860"/>
      <c r="I27" s="859"/>
    </row>
    <row r="28" spans="1:9" hidden="1">
      <c r="A28" s="866" t="s">
        <v>833</v>
      </c>
      <c r="B28" s="866" t="s">
        <v>836</v>
      </c>
      <c r="C28" s="866"/>
      <c r="D28" s="866" t="s">
        <v>837</v>
      </c>
      <c r="E28" s="859"/>
      <c r="F28" s="860"/>
      <c r="G28" s="857"/>
      <c r="H28" s="860"/>
      <c r="I28" s="859"/>
    </row>
    <row r="29" spans="1:9" hidden="1">
      <c r="A29" s="866" t="s">
        <v>833</v>
      </c>
      <c r="B29" s="866" t="s">
        <v>838</v>
      </c>
      <c r="C29" s="866">
        <v>1</v>
      </c>
      <c r="D29" s="866" t="s">
        <v>580</v>
      </c>
      <c r="E29" s="859"/>
      <c r="F29" s="860"/>
      <c r="G29" s="857"/>
      <c r="H29" s="860">
        <v>200</v>
      </c>
      <c r="I29" s="859"/>
    </row>
    <row r="30" spans="1:9" hidden="1">
      <c r="A30" s="866" t="s">
        <v>833</v>
      </c>
      <c r="B30" s="866" t="s">
        <v>839</v>
      </c>
      <c r="C30" s="866">
        <v>1</v>
      </c>
      <c r="D30" s="866" t="s">
        <v>580</v>
      </c>
      <c r="E30" s="859"/>
      <c r="F30" s="860"/>
      <c r="G30" s="857"/>
      <c r="H30" s="860">
        <v>100</v>
      </c>
      <c r="I30" s="859"/>
    </row>
    <row r="31" spans="1:9" hidden="1">
      <c r="A31" s="866" t="s">
        <v>833</v>
      </c>
      <c r="B31" s="866" t="s">
        <v>840</v>
      </c>
      <c r="C31" s="866">
        <v>1</v>
      </c>
      <c r="D31" s="866" t="s">
        <v>658</v>
      </c>
      <c r="E31" s="859"/>
      <c r="F31" s="860"/>
      <c r="G31" s="857"/>
      <c r="H31" s="860">
        <v>30</v>
      </c>
      <c r="I31" s="859"/>
    </row>
    <row r="32" spans="1:9" hidden="1">
      <c r="A32" s="866" t="s">
        <v>833</v>
      </c>
      <c r="B32" s="866" t="s">
        <v>841</v>
      </c>
      <c r="C32" s="866"/>
      <c r="D32" s="866"/>
      <c r="E32" s="859"/>
      <c r="F32" s="860">
        <v>0.3</v>
      </c>
      <c r="G32" s="857"/>
      <c r="H32" s="860">
        <v>0.5</v>
      </c>
      <c r="I32" s="859"/>
    </row>
    <row r="33" spans="1:9" hidden="1">
      <c r="A33" s="866" t="s">
        <v>842</v>
      </c>
      <c r="B33" s="866" t="s">
        <v>840</v>
      </c>
      <c r="C33" s="866"/>
      <c r="D33" s="866" t="s">
        <v>658</v>
      </c>
      <c r="E33" s="859"/>
      <c r="F33" s="860"/>
      <c r="G33" s="857"/>
      <c r="H33" s="860">
        <v>5</v>
      </c>
      <c r="I33" s="859"/>
    </row>
    <row r="34" spans="1:9" hidden="1">
      <c r="A34" s="866" t="s">
        <v>842</v>
      </c>
      <c r="B34" s="866" t="s">
        <v>843</v>
      </c>
      <c r="C34" s="866"/>
      <c r="D34" s="866"/>
      <c r="E34" s="859"/>
      <c r="F34" s="860"/>
      <c r="G34" s="857"/>
      <c r="H34" s="860">
        <v>3</v>
      </c>
      <c r="I34" s="859"/>
    </row>
    <row r="35" spans="1:9" hidden="1">
      <c r="A35" s="866" t="s">
        <v>842</v>
      </c>
      <c r="B35" s="866" t="s">
        <v>844</v>
      </c>
      <c r="C35" s="866"/>
      <c r="D35" s="866"/>
      <c r="E35" s="859"/>
      <c r="F35" s="860"/>
      <c r="G35" s="857"/>
      <c r="H35" s="860">
        <v>18</v>
      </c>
      <c r="I35" s="859"/>
    </row>
    <row r="36" spans="1:9" hidden="1">
      <c r="A36" s="866" t="s">
        <v>842</v>
      </c>
      <c r="B36" s="866" t="s">
        <v>845</v>
      </c>
      <c r="C36" s="866"/>
      <c r="D36" s="866"/>
      <c r="E36" s="859"/>
      <c r="F36" s="860"/>
      <c r="G36" s="857"/>
      <c r="H36" s="860">
        <v>6</v>
      </c>
      <c r="I36" s="859"/>
    </row>
    <row r="37" spans="1:9" hidden="1">
      <c r="A37" s="866" t="s">
        <v>846</v>
      </c>
      <c r="B37" s="866" t="s">
        <v>838</v>
      </c>
      <c r="C37" s="866">
        <v>1</v>
      </c>
      <c r="D37" s="866" t="s">
        <v>580</v>
      </c>
      <c r="E37" s="859"/>
      <c r="F37" s="860">
        <v>5</v>
      </c>
      <c r="G37" s="857"/>
      <c r="H37" s="860">
        <v>12</v>
      </c>
      <c r="I37" s="859"/>
    </row>
    <row r="38" spans="1:9" hidden="1">
      <c r="A38" s="866" t="s">
        <v>846</v>
      </c>
      <c r="B38" s="866" t="s">
        <v>839</v>
      </c>
      <c r="C38" s="866">
        <v>1</v>
      </c>
      <c r="D38" s="866" t="s">
        <v>580</v>
      </c>
      <c r="E38" s="859"/>
      <c r="F38" s="860"/>
      <c r="G38" s="857"/>
      <c r="H38" s="860">
        <v>50</v>
      </c>
      <c r="I38" s="859"/>
    </row>
    <row r="39" spans="1:9" hidden="1">
      <c r="A39" s="866" t="s">
        <v>846</v>
      </c>
      <c r="B39" s="866" t="s">
        <v>840</v>
      </c>
      <c r="C39" s="866">
        <v>1</v>
      </c>
      <c r="D39" s="866" t="s">
        <v>658</v>
      </c>
      <c r="E39" s="859"/>
      <c r="F39" s="860"/>
      <c r="G39" s="857"/>
      <c r="H39" s="860">
        <v>5</v>
      </c>
      <c r="I39" s="859"/>
    </row>
    <row r="40" spans="1:9" hidden="1">
      <c r="A40" s="866" t="s">
        <v>846</v>
      </c>
      <c r="B40" s="866" t="s">
        <v>841</v>
      </c>
      <c r="C40" s="866"/>
      <c r="D40" s="866" t="s">
        <v>580</v>
      </c>
      <c r="E40" s="859"/>
      <c r="F40" s="860"/>
      <c r="G40" s="857"/>
      <c r="H40" s="860">
        <v>0.15</v>
      </c>
      <c r="I40" s="859"/>
    </row>
    <row r="41" spans="1:9" hidden="1">
      <c r="A41" s="866" t="s">
        <v>846</v>
      </c>
      <c r="B41" s="866" t="s">
        <v>227</v>
      </c>
      <c r="C41" s="866"/>
      <c r="D41" s="866"/>
      <c r="E41" s="859"/>
      <c r="F41" s="860">
        <v>5.5</v>
      </c>
      <c r="G41" s="857"/>
      <c r="H41" s="860">
        <v>6.2</v>
      </c>
      <c r="I41" s="859"/>
    </row>
    <row r="42" spans="1:9" hidden="1">
      <c r="A42" s="866" t="s">
        <v>847</v>
      </c>
      <c r="B42" s="866" t="s">
        <v>227</v>
      </c>
      <c r="C42" s="866"/>
      <c r="D42" s="866"/>
      <c r="E42" s="859"/>
      <c r="F42" s="860">
        <v>5.5</v>
      </c>
      <c r="G42" s="857"/>
      <c r="H42" s="860">
        <v>6.2</v>
      </c>
      <c r="I42" s="859"/>
    </row>
    <row r="43" spans="1:9" hidden="1">
      <c r="A43" s="866" t="s">
        <v>848</v>
      </c>
      <c r="B43" s="866" t="s">
        <v>840</v>
      </c>
      <c r="C43" s="866">
        <v>5</v>
      </c>
      <c r="D43" s="866" t="s">
        <v>580</v>
      </c>
      <c r="E43" s="859"/>
      <c r="F43" s="860"/>
      <c r="G43" s="857"/>
      <c r="H43" s="860">
        <v>2</v>
      </c>
      <c r="I43" s="859"/>
    </row>
    <row r="44" spans="1:9" hidden="1">
      <c r="A44" s="866" t="s">
        <v>848</v>
      </c>
      <c r="B44" s="866" t="s">
        <v>841</v>
      </c>
      <c r="C44" s="866">
        <v>3</v>
      </c>
      <c r="D44" s="866" t="s">
        <v>580</v>
      </c>
      <c r="E44" s="859"/>
      <c r="F44" s="860"/>
      <c r="G44" s="857"/>
      <c r="H44" s="860">
        <v>0.05</v>
      </c>
      <c r="I44" s="859"/>
    </row>
    <row r="45" spans="1:9" hidden="1">
      <c r="A45" s="866" t="s">
        <v>849</v>
      </c>
      <c r="B45" s="866" t="s">
        <v>840</v>
      </c>
      <c r="C45" s="866">
        <v>1</v>
      </c>
      <c r="D45" s="866" t="s">
        <v>658</v>
      </c>
      <c r="E45" s="859"/>
      <c r="F45" s="860"/>
      <c r="G45" s="857"/>
      <c r="H45" s="860">
        <v>5</v>
      </c>
      <c r="I45" s="859"/>
    </row>
    <row r="46" spans="1:9" hidden="1">
      <c r="A46" s="866" t="s">
        <v>849</v>
      </c>
      <c r="B46" s="866" t="s">
        <v>841</v>
      </c>
      <c r="C46" s="866"/>
      <c r="D46" s="866" t="s">
        <v>580</v>
      </c>
      <c r="E46" s="859"/>
      <c r="F46" s="860"/>
      <c r="G46" s="857"/>
      <c r="H46" s="860">
        <v>0.3</v>
      </c>
      <c r="I46" s="859"/>
    </row>
    <row r="47" spans="1:9" hidden="1">
      <c r="A47" s="866" t="s">
        <v>849</v>
      </c>
      <c r="B47" s="866" t="s">
        <v>850</v>
      </c>
      <c r="C47" s="866"/>
      <c r="D47" s="866"/>
      <c r="E47" s="859"/>
      <c r="F47" s="860"/>
      <c r="G47" s="857"/>
      <c r="H47" s="860"/>
      <c r="I47" s="859"/>
    </row>
    <row r="48" spans="1:9" hidden="1">
      <c r="A48" s="866" t="s">
        <v>849</v>
      </c>
      <c r="B48" s="866" t="s">
        <v>851</v>
      </c>
      <c r="C48" s="866">
        <v>1</v>
      </c>
      <c r="D48" s="866"/>
      <c r="E48" s="859"/>
      <c r="F48" s="860"/>
      <c r="G48" s="857" t="s">
        <v>290</v>
      </c>
      <c r="H48" s="860"/>
      <c r="I48" s="859"/>
    </row>
    <row r="49" spans="1:9" hidden="1">
      <c r="A49" s="866" t="s">
        <v>852</v>
      </c>
      <c r="B49" s="866" t="s">
        <v>840</v>
      </c>
      <c r="C49" s="866">
        <v>1</v>
      </c>
      <c r="D49" s="866" t="s">
        <v>658</v>
      </c>
      <c r="E49" s="859"/>
      <c r="F49" s="860"/>
      <c r="G49" s="857"/>
      <c r="H49" s="860">
        <v>2</v>
      </c>
      <c r="I49" s="859"/>
    </row>
    <row r="50" spans="1:9" hidden="1">
      <c r="A50" s="866" t="s">
        <v>852</v>
      </c>
      <c r="B50" s="866" t="s">
        <v>841</v>
      </c>
      <c r="C50" s="866">
        <v>1</v>
      </c>
      <c r="D50" s="866" t="s">
        <v>580</v>
      </c>
      <c r="E50" s="859"/>
      <c r="F50" s="860"/>
      <c r="G50" s="857"/>
      <c r="H50" s="860">
        <v>0.05</v>
      </c>
      <c r="I50" s="859"/>
    </row>
    <row r="51" spans="1:9" hidden="1">
      <c r="A51" s="866" t="s">
        <v>852</v>
      </c>
      <c r="B51" s="866" t="s">
        <v>853</v>
      </c>
      <c r="C51" s="866">
        <v>1</v>
      </c>
      <c r="D51" s="866"/>
      <c r="E51" s="859"/>
      <c r="F51" s="860"/>
      <c r="G51" s="857" t="s">
        <v>290</v>
      </c>
      <c r="H51" s="860"/>
      <c r="I51" s="859"/>
    </row>
    <row r="52" spans="1:9" hidden="1">
      <c r="A52" s="866" t="s">
        <v>848</v>
      </c>
      <c r="B52" s="866" t="s">
        <v>854</v>
      </c>
      <c r="C52" s="866">
        <v>1</v>
      </c>
      <c r="D52" s="866" t="s">
        <v>855</v>
      </c>
      <c r="E52" s="859"/>
      <c r="F52" s="860">
        <v>4</v>
      </c>
      <c r="G52" s="857"/>
      <c r="H52" s="860"/>
      <c r="I52" s="859"/>
    </row>
    <row r="53" spans="1:9" hidden="1">
      <c r="A53" s="866" t="s">
        <v>848</v>
      </c>
      <c r="B53" s="866" t="s">
        <v>227</v>
      </c>
      <c r="C53" s="866"/>
      <c r="D53" s="866" t="s">
        <v>855</v>
      </c>
      <c r="E53" s="859"/>
      <c r="F53" s="860">
        <v>4.2</v>
      </c>
      <c r="G53" s="857"/>
      <c r="H53" s="860">
        <v>4.5</v>
      </c>
      <c r="I53" s="859"/>
    </row>
    <row r="54" spans="1:9" hidden="1">
      <c r="A54" s="866" t="s">
        <v>854</v>
      </c>
      <c r="B54" s="866" t="s">
        <v>856</v>
      </c>
      <c r="C54" s="866">
        <v>1</v>
      </c>
      <c r="D54" s="866" t="s">
        <v>829</v>
      </c>
      <c r="E54" s="859"/>
      <c r="F54" s="860">
        <v>99.998000000000005</v>
      </c>
      <c r="G54" s="857"/>
      <c r="H54" s="860"/>
      <c r="I54" s="859"/>
    </row>
    <row r="55" spans="1:9" hidden="1">
      <c r="A55" s="866" t="s">
        <v>854</v>
      </c>
      <c r="B55" s="866" t="s">
        <v>857</v>
      </c>
      <c r="C55" s="866">
        <v>1</v>
      </c>
      <c r="D55" s="866"/>
      <c r="E55" s="859"/>
      <c r="F55" s="860"/>
      <c r="G55" s="857" t="s">
        <v>290</v>
      </c>
      <c r="H55" s="860"/>
      <c r="I55" s="859"/>
    </row>
    <row r="56" spans="1:9" hidden="1">
      <c r="A56" s="867" t="s">
        <v>858</v>
      </c>
      <c r="B56" s="867" t="s">
        <v>859</v>
      </c>
      <c r="C56" s="867"/>
      <c r="D56" s="867"/>
      <c r="E56" s="859"/>
      <c r="F56" s="860"/>
      <c r="G56" s="857"/>
      <c r="H56" s="860"/>
      <c r="I56" s="859"/>
    </row>
    <row r="57" spans="1:9" hidden="1">
      <c r="A57" s="867" t="s">
        <v>858</v>
      </c>
      <c r="B57" s="867" t="s">
        <v>860</v>
      </c>
      <c r="C57" s="867"/>
      <c r="D57" s="867"/>
      <c r="E57" s="859"/>
      <c r="F57" s="860"/>
      <c r="G57" s="857"/>
      <c r="H57" s="860"/>
      <c r="I57" s="859"/>
    </row>
    <row r="58" spans="1:9" hidden="1">
      <c r="A58" s="867" t="s">
        <v>858</v>
      </c>
      <c r="B58" s="867" t="s">
        <v>861</v>
      </c>
      <c r="C58" s="867"/>
      <c r="D58" s="867"/>
      <c r="E58" s="859"/>
      <c r="F58" s="860"/>
      <c r="G58" s="857"/>
      <c r="H58" s="860"/>
      <c r="I58" s="859"/>
    </row>
    <row r="59" spans="1:9" hidden="1">
      <c r="A59" s="867" t="s">
        <v>858</v>
      </c>
      <c r="B59" s="867" t="s">
        <v>823</v>
      </c>
      <c r="C59" s="867"/>
      <c r="D59" s="867"/>
      <c r="E59" s="859"/>
      <c r="F59" s="860"/>
      <c r="G59" s="857"/>
      <c r="H59" s="860"/>
      <c r="I59" s="859"/>
    </row>
    <row r="60" spans="1:9" hidden="1">
      <c r="A60" s="867" t="s">
        <v>858</v>
      </c>
      <c r="B60" s="867" t="s">
        <v>862</v>
      </c>
      <c r="C60" s="867">
        <v>1</v>
      </c>
      <c r="D60" s="867" t="s">
        <v>829</v>
      </c>
      <c r="E60" s="859"/>
      <c r="F60" s="860">
        <v>11.5</v>
      </c>
      <c r="G60" s="857"/>
      <c r="H60" s="860"/>
      <c r="I60" s="859"/>
    </row>
    <row r="61" spans="1:9" hidden="1">
      <c r="A61" s="867" t="s">
        <v>858</v>
      </c>
      <c r="B61" s="867" t="s">
        <v>863</v>
      </c>
      <c r="C61" s="867"/>
      <c r="D61" s="867" t="s">
        <v>829</v>
      </c>
      <c r="E61" s="859"/>
      <c r="F61" s="860"/>
      <c r="G61" s="857"/>
      <c r="H61" s="860">
        <v>45</v>
      </c>
      <c r="I61" s="859"/>
    </row>
    <row r="62" spans="1:9" hidden="1">
      <c r="A62" s="867" t="s">
        <v>858</v>
      </c>
      <c r="B62" s="867" t="s">
        <v>502</v>
      </c>
      <c r="C62" s="867">
        <v>1</v>
      </c>
      <c r="D62" s="867" t="s">
        <v>580</v>
      </c>
      <c r="E62" s="859"/>
      <c r="F62" s="860">
        <v>200</v>
      </c>
      <c r="G62" s="857"/>
      <c r="H62" s="860">
        <v>215</v>
      </c>
      <c r="I62" s="859"/>
    </row>
    <row r="63" spans="1:9" hidden="1">
      <c r="A63" s="867" t="s">
        <v>858</v>
      </c>
      <c r="B63" s="867" t="s">
        <v>864</v>
      </c>
      <c r="C63" s="867"/>
      <c r="D63" s="867"/>
      <c r="E63" s="859"/>
      <c r="F63" s="860">
        <v>100</v>
      </c>
      <c r="G63" s="857"/>
      <c r="H63" s="860"/>
      <c r="I63" s="859"/>
    </row>
    <row r="64" spans="1:9" hidden="1">
      <c r="A64" s="867" t="s">
        <v>858</v>
      </c>
      <c r="B64" s="867" t="s">
        <v>865</v>
      </c>
      <c r="C64" s="867"/>
      <c r="D64" s="867" t="s">
        <v>866</v>
      </c>
      <c r="E64" s="859"/>
      <c r="F64" s="860">
        <v>4.5999999999999996</v>
      </c>
      <c r="G64" s="857"/>
      <c r="H64" s="860">
        <v>5</v>
      </c>
      <c r="I64" s="859"/>
    </row>
    <row r="65" spans="1:9" hidden="1">
      <c r="A65" s="867" t="s">
        <v>858</v>
      </c>
      <c r="B65" s="867" t="s">
        <v>867</v>
      </c>
      <c r="C65" s="867">
        <v>3</v>
      </c>
      <c r="D65" s="867" t="s">
        <v>866</v>
      </c>
      <c r="E65" s="859"/>
      <c r="F65" s="860">
        <v>8</v>
      </c>
      <c r="G65" s="857"/>
      <c r="H65" s="860">
        <v>8.8000000000000007</v>
      </c>
      <c r="I65" s="859"/>
    </row>
    <row r="66" spans="1:9" hidden="1">
      <c r="A66" s="867" t="s">
        <v>858</v>
      </c>
      <c r="B66" s="867" t="s">
        <v>868</v>
      </c>
      <c r="C66" s="867"/>
      <c r="D66" s="867" t="s">
        <v>580</v>
      </c>
      <c r="E66" s="859"/>
      <c r="F66" s="860"/>
      <c r="G66" s="857"/>
      <c r="H66" s="860"/>
      <c r="I66" s="859"/>
    </row>
    <row r="67" spans="1:9" hidden="1">
      <c r="A67" s="867" t="s">
        <v>858</v>
      </c>
      <c r="B67" s="867" t="s">
        <v>869</v>
      </c>
      <c r="C67" s="867"/>
      <c r="D67" s="867"/>
      <c r="E67" s="859"/>
      <c r="F67" s="860">
        <v>100</v>
      </c>
      <c r="G67" s="857"/>
      <c r="H67" s="860"/>
      <c r="I67" s="859"/>
    </row>
    <row r="68" spans="1:9" hidden="1">
      <c r="A68" s="867" t="s">
        <v>858</v>
      </c>
      <c r="B68" s="867" t="s">
        <v>870</v>
      </c>
      <c r="C68" s="867"/>
      <c r="D68" s="867" t="s">
        <v>871</v>
      </c>
      <c r="E68" s="859"/>
      <c r="F68" s="860"/>
      <c r="G68" s="857"/>
      <c r="H68" s="860">
        <v>180</v>
      </c>
      <c r="I68" s="859"/>
    </row>
    <row r="69" spans="1:9" hidden="1">
      <c r="A69" s="867" t="s">
        <v>858</v>
      </c>
      <c r="B69" s="867" t="s">
        <v>872</v>
      </c>
      <c r="C69" s="867">
        <v>3</v>
      </c>
      <c r="D69" s="867"/>
      <c r="E69" s="859"/>
      <c r="F69" s="860"/>
      <c r="G69" s="857"/>
      <c r="H69" s="860">
        <v>2.8</v>
      </c>
      <c r="I69" s="859"/>
    </row>
    <row r="70" spans="1:9" hidden="1">
      <c r="A70" s="867" t="s">
        <v>570</v>
      </c>
      <c r="B70" s="867" t="s">
        <v>873</v>
      </c>
      <c r="C70" s="867"/>
      <c r="D70" s="867"/>
      <c r="E70" s="859"/>
      <c r="F70" s="860"/>
      <c r="G70" s="857"/>
      <c r="H70" s="860"/>
      <c r="I70" s="859"/>
    </row>
    <row r="71" spans="1:9" hidden="1">
      <c r="A71" s="867" t="s">
        <v>570</v>
      </c>
      <c r="B71" s="867" t="s">
        <v>874</v>
      </c>
      <c r="C71" s="867"/>
      <c r="D71" s="867"/>
      <c r="E71" s="859"/>
      <c r="F71" s="860"/>
      <c r="G71" s="857" t="s">
        <v>875</v>
      </c>
      <c r="H71" s="860"/>
      <c r="I71" s="859"/>
    </row>
    <row r="72" spans="1:9" hidden="1">
      <c r="A72" s="867" t="s">
        <v>570</v>
      </c>
      <c r="B72" s="867" t="s">
        <v>876</v>
      </c>
      <c r="C72" s="867"/>
      <c r="D72" s="867" t="s">
        <v>877</v>
      </c>
      <c r="E72" s="859"/>
      <c r="F72" s="860"/>
      <c r="G72" s="857"/>
      <c r="H72" s="860">
        <v>37.799999999999997</v>
      </c>
      <c r="I72" s="859"/>
    </row>
    <row r="73" spans="1:9" hidden="1">
      <c r="A73" s="867" t="s">
        <v>570</v>
      </c>
      <c r="B73" s="867" t="s">
        <v>878</v>
      </c>
      <c r="C73" s="867"/>
      <c r="D73" s="867" t="s">
        <v>877</v>
      </c>
      <c r="E73" s="859"/>
      <c r="F73" s="860"/>
      <c r="G73" s="857"/>
      <c r="H73" s="860">
        <v>37.799999999999997</v>
      </c>
      <c r="I73" s="859"/>
    </row>
    <row r="74" spans="1:9" hidden="1">
      <c r="A74" s="867" t="s">
        <v>570</v>
      </c>
      <c r="B74" s="867" t="s">
        <v>879</v>
      </c>
      <c r="C74" s="867">
        <v>1</v>
      </c>
      <c r="D74" s="867" t="s">
        <v>877</v>
      </c>
      <c r="E74" s="859"/>
      <c r="F74" s="860"/>
      <c r="G74" s="857"/>
      <c r="H74" s="860">
        <v>37.799999999999997</v>
      </c>
      <c r="I74" s="859"/>
    </row>
    <row r="75" spans="1:9" hidden="1">
      <c r="A75" s="867" t="s">
        <v>570</v>
      </c>
      <c r="B75" s="867" t="s">
        <v>880</v>
      </c>
      <c r="C75" s="867"/>
      <c r="D75" s="867" t="s">
        <v>877</v>
      </c>
      <c r="E75" s="859"/>
      <c r="F75" s="860"/>
      <c r="G75" s="857"/>
      <c r="H75" s="860">
        <v>37</v>
      </c>
      <c r="I75" s="859"/>
    </row>
    <row r="76" spans="1:9" hidden="1">
      <c r="A76" s="867" t="s">
        <v>570</v>
      </c>
      <c r="B76" s="867" t="s">
        <v>881</v>
      </c>
      <c r="C76" s="867">
        <v>1</v>
      </c>
      <c r="D76" s="867" t="s">
        <v>871</v>
      </c>
      <c r="E76" s="859"/>
      <c r="F76" s="860"/>
      <c r="G76" s="857"/>
      <c r="H76" s="860">
        <v>3</v>
      </c>
      <c r="I76" s="859"/>
    </row>
    <row r="77" spans="1:9" hidden="1">
      <c r="A77" s="867" t="s">
        <v>570</v>
      </c>
      <c r="B77" s="867" t="s">
        <v>882</v>
      </c>
      <c r="C77" s="867">
        <v>1</v>
      </c>
      <c r="D77" s="867" t="s">
        <v>871</v>
      </c>
      <c r="E77" s="859"/>
      <c r="F77" s="860"/>
      <c r="G77" s="857"/>
      <c r="H77" s="860">
        <v>3</v>
      </c>
      <c r="I77" s="859"/>
    </row>
    <row r="78" spans="1:9" hidden="1">
      <c r="A78" s="867" t="s">
        <v>570</v>
      </c>
      <c r="B78" s="867" t="s">
        <v>883</v>
      </c>
      <c r="C78" s="867">
        <v>3</v>
      </c>
      <c r="D78" s="867" t="s">
        <v>829</v>
      </c>
      <c r="E78" s="859"/>
      <c r="F78" s="860">
        <v>0.3</v>
      </c>
      <c r="G78" s="857"/>
      <c r="H78" s="860">
        <v>0.41</v>
      </c>
      <c r="I78" s="859"/>
    </row>
    <row r="79" spans="1:9" hidden="1">
      <c r="A79" s="867" t="s">
        <v>570</v>
      </c>
      <c r="B79" s="867" t="s">
        <v>884</v>
      </c>
      <c r="C79" s="867">
        <v>3</v>
      </c>
      <c r="D79" s="867" t="s">
        <v>829</v>
      </c>
      <c r="E79" s="859"/>
      <c r="F79" s="860"/>
      <c r="G79" s="857"/>
      <c r="H79" s="860">
        <v>0.05</v>
      </c>
      <c r="I79" s="859"/>
    </row>
    <row r="80" spans="1:9" hidden="1">
      <c r="A80" s="867" t="s">
        <v>570</v>
      </c>
      <c r="B80" s="867" t="s">
        <v>885</v>
      </c>
      <c r="C80" s="867"/>
      <c r="D80" s="867" t="s">
        <v>829</v>
      </c>
      <c r="E80" s="859"/>
      <c r="F80" s="860"/>
      <c r="G80" s="857"/>
      <c r="H80" s="860">
        <v>25</v>
      </c>
      <c r="I80" s="859"/>
    </row>
    <row r="81" spans="1:16" hidden="1">
      <c r="A81" s="867" t="s">
        <v>570</v>
      </c>
      <c r="B81" s="867" t="s">
        <v>886</v>
      </c>
      <c r="C81" s="867">
        <v>1</v>
      </c>
      <c r="D81" s="867"/>
      <c r="E81" s="859"/>
      <c r="F81" s="860">
        <v>6.9</v>
      </c>
      <c r="G81" s="857"/>
      <c r="H81" s="860"/>
      <c r="I81" s="859"/>
    </row>
    <row r="82" spans="1:16" hidden="1">
      <c r="A82" s="867" t="s">
        <v>570</v>
      </c>
      <c r="B82" s="867" t="s">
        <v>887</v>
      </c>
      <c r="C82" s="867">
        <v>1</v>
      </c>
      <c r="D82" s="867"/>
      <c r="E82" s="859"/>
      <c r="F82" s="860"/>
      <c r="G82" s="857"/>
      <c r="H82" s="860">
        <v>3</v>
      </c>
      <c r="I82" s="859"/>
    </row>
    <row r="83" spans="1:16" s="305" customFormat="1">
      <c r="A83" s="868" t="s">
        <v>888</v>
      </c>
      <c r="B83" s="868" t="s">
        <v>889</v>
      </c>
      <c r="C83" s="868"/>
      <c r="D83" s="868"/>
      <c r="E83" s="869"/>
      <c r="F83" s="870"/>
      <c r="G83" s="871"/>
      <c r="H83" s="870"/>
      <c r="I83" s="869"/>
      <c r="J83" s="305" t="str" cm="1">
        <f t="array" aca="1" ref="J83" ca="1">IF(ISNUMBER(J$2),IF(ISBLANK(INDIRECT("'"&amp;J$2&amp;"'!C75")),"",INDIRECT("'"&amp;J$2&amp;"'!C75")),"")</f>
        <v/>
      </c>
      <c r="K83" s="305" t="str" cm="1">
        <f t="array" aca="1" ref="K83" ca="1">IF(ISNUMBER(K$2),IF(ISBLANK(INDIRECT("'"&amp;K$2&amp;"'!C75")),"",INDIRECT("'"&amp;K$2&amp;"'!C75")),"")</f>
        <v/>
      </c>
      <c r="L83" s="305" t="str" cm="1">
        <f t="array" aca="1" ref="L83" ca="1">IF(ISNUMBER(L$2),IF(ISBLANK(INDIRECT("'"&amp;L$2&amp;"'!C75")),"",INDIRECT("'"&amp;L$2&amp;"'!C75")),"")</f>
        <v/>
      </c>
      <c r="M83" s="305" t="str" cm="1">
        <f t="array" aca="1" ref="M83" ca="1">IF(ISNUMBER(M$2),IF(ISBLANK(INDIRECT("'"&amp;M$2&amp;"'!C75")),"",INDIRECT("'"&amp;M$2&amp;"'!C75")),"")</f>
        <v/>
      </c>
      <c r="N83" s="305" t="str" cm="1">
        <f t="array" aca="1" ref="N83" ca="1">IF(ISNUMBER(N$2),IF(ISBLANK(INDIRECT("'"&amp;N$2&amp;"'!C75")),"",INDIRECT("'"&amp;N$2&amp;"'!C75")),"")</f>
        <v/>
      </c>
      <c r="O83" s="305" t="str" cm="1">
        <f t="array" aca="1" ref="O83" ca="1">IF(ISNUMBER(O$2),IF(ISBLANK(INDIRECT("'"&amp;O$2&amp;"'!C75")),"",INDIRECT("'"&amp;O$2&amp;"'!C75")),"")</f>
        <v/>
      </c>
      <c r="P83" s="305" t="str" cm="1">
        <f t="array" aca="1" ref="P83" ca="1">IF(OR(ISNUMBER(J83:O83)),AVERAGE(J83:O83),J83)</f>
        <v/>
      </c>
    </row>
    <row r="84" spans="1:16">
      <c r="A84" s="867" t="s">
        <v>888</v>
      </c>
      <c r="B84" s="867" t="s">
        <v>890</v>
      </c>
      <c r="C84" s="867"/>
      <c r="D84" s="867"/>
      <c r="E84" s="859"/>
      <c r="F84" s="860"/>
      <c r="G84" s="857"/>
      <c r="H84" s="860"/>
      <c r="I84" s="859"/>
      <c r="J84" s="339" t="str" cm="1">
        <f t="array" aca="1" ref="J84" ca="1">IF(ISNUMBER(J$2),IF(ISBLANK(INDIRECT("'"&amp;J$2&amp;"'!C76")),"",INDIRECT("'"&amp;J$2&amp;"'!C76")),"")</f>
        <v/>
      </c>
      <c r="K84" s="339" t="str" cm="1">
        <f t="array" aca="1" ref="K84" ca="1">IF(ISNUMBER(K$2),IF(ISBLANK(INDIRECT("'"&amp;K$2&amp;"'!C76")),"",INDIRECT("'"&amp;K$2&amp;"'!C76")),"")</f>
        <v/>
      </c>
      <c r="L84" s="339" t="str" cm="1">
        <f t="array" aca="1" ref="L84" ca="1">IF(ISNUMBER(L$2),IF(ISBLANK(INDIRECT("'"&amp;L$2&amp;"'!C76")),"",INDIRECT("'"&amp;L$2&amp;"'!C76")),"")</f>
        <v/>
      </c>
      <c r="M84" s="339" t="str" cm="1">
        <f t="array" aca="1" ref="M84" ca="1">IF(ISNUMBER(M$2),IF(ISBLANK(INDIRECT("'"&amp;M$2&amp;"'!C76")),"",INDIRECT("'"&amp;M$2&amp;"'!C76")),"")</f>
        <v/>
      </c>
      <c r="N84" s="339" t="str" cm="1">
        <f t="array" aca="1" ref="N84" ca="1">IF(ISNUMBER(N$2),IF(ISBLANK(INDIRECT("'"&amp;N$2&amp;"'!C76")),"",INDIRECT("'"&amp;N$2&amp;"'!C76")),"")</f>
        <v/>
      </c>
      <c r="O84" s="339" t="str" cm="1">
        <f t="array" aca="1" ref="O84" ca="1">IF(ISNUMBER(O$2),IF(ISBLANK(INDIRECT("'"&amp;O$2&amp;"'!C76")),"",INDIRECT("'"&amp;O$2&amp;"'!C76")),"")</f>
        <v/>
      </c>
      <c r="P84" s="339" t="str" cm="1">
        <f t="array" aca="1" ref="P84" ca="1">IF(OR(ISNUMBER(J84:O84)),AVERAGE(J84:O84),J84)</f>
        <v/>
      </c>
    </row>
    <row r="85" spans="1:16">
      <c r="A85" s="867" t="s">
        <v>888</v>
      </c>
      <c r="B85" s="867" t="s">
        <v>891</v>
      </c>
      <c r="C85" s="867"/>
      <c r="D85" s="867"/>
      <c r="E85" s="859"/>
      <c r="F85" s="860"/>
      <c r="G85" s="857"/>
      <c r="H85" s="860"/>
      <c r="I85" s="859"/>
      <c r="J85" s="339" t="str" cm="1">
        <f t="array" aca="1" ref="J85" ca="1">IF(ISNUMBER(J$2),IF(ISBLANK(INDIRECT("'"&amp;J$2&amp;"'!C77")),"",INDIRECT("'"&amp;J$2&amp;"'!C77")),"")</f>
        <v/>
      </c>
      <c r="K85" s="339" t="str" cm="1">
        <f t="array" aca="1" ref="K85" ca="1">IF(ISNUMBER(K$2),IF(ISBLANK(INDIRECT("'"&amp;K$2&amp;"'!C77")),"",INDIRECT("'"&amp;K$2&amp;"'!C77")),"")</f>
        <v/>
      </c>
      <c r="L85" s="339" t="str" cm="1">
        <f t="array" aca="1" ref="L85" ca="1">IF(ISNUMBER(L$2),IF(ISBLANK(INDIRECT("'"&amp;L$2&amp;"'!C77")),"",INDIRECT("'"&amp;L$2&amp;"'!C77")),"")</f>
        <v/>
      </c>
      <c r="M85" s="339" t="str" cm="1">
        <f t="array" aca="1" ref="M85" ca="1">IF(ISNUMBER(M$2),IF(ISBLANK(INDIRECT("'"&amp;M$2&amp;"'!C77")),"",INDIRECT("'"&amp;M$2&amp;"'!C77")),"")</f>
        <v/>
      </c>
      <c r="N85" s="339" t="str" cm="1">
        <f t="array" aca="1" ref="N85" ca="1">IF(ISNUMBER(N$2),IF(ISBLANK(INDIRECT("'"&amp;N$2&amp;"'!C77")),"",INDIRECT("'"&amp;N$2&amp;"'!C77")),"")</f>
        <v/>
      </c>
      <c r="O85" s="339" t="str" cm="1">
        <f t="array" aca="1" ref="O85" ca="1">IF(ISNUMBER(O$2),IF(ISBLANK(INDIRECT("'"&amp;O$2&amp;"'!C77")),"",INDIRECT("'"&amp;O$2&amp;"'!C77")),"")</f>
        <v/>
      </c>
      <c r="P85" s="339" t="str" cm="1">
        <f t="array" aca="1" ref="P85" ca="1">IF(OR(ISNUMBER(J85:O85)),AVERAGE(J85:O85),J85)</f>
        <v/>
      </c>
    </row>
    <row r="86" spans="1:16">
      <c r="A86" s="867" t="s">
        <v>888</v>
      </c>
      <c r="B86" s="867" t="s">
        <v>892</v>
      </c>
      <c r="C86" s="867"/>
      <c r="D86" s="867" t="s">
        <v>594</v>
      </c>
      <c r="E86" s="859"/>
      <c r="F86" s="860"/>
      <c r="G86" s="857"/>
      <c r="H86" s="860"/>
      <c r="I86" s="859"/>
      <c r="J86" s="339" t="str" cm="1">
        <f t="array" aca="1" ref="J86" ca="1">IF(ISNUMBER(J$2),IF(ISBLANK(INDIRECT("'"&amp;J$2&amp;"'!D75")),"",INDIRECT("'"&amp;J$2&amp;"'!D75")),"")</f>
        <v/>
      </c>
      <c r="K86" s="339" t="str" cm="1">
        <f t="array" aca="1" ref="K86" ca="1">IF(ISNUMBER(K$2),IF(ISBLANK(INDIRECT("'"&amp;K$2&amp;"'!D75")),"",INDIRECT("'"&amp;K$2&amp;"'!D75")),"")</f>
        <v/>
      </c>
      <c r="L86" s="339" t="str" cm="1">
        <f t="array" aca="1" ref="L86" ca="1">IF(ISNUMBER(L$2),IF(ISBLANK(INDIRECT("'"&amp;L$2&amp;"'!D75")),"",INDIRECT("'"&amp;L$2&amp;"'!D75")),"")</f>
        <v/>
      </c>
      <c r="M86" s="339" t="str" cm="1">
        <f t="array" aca="1" ref="M86" ca="1">IF(ISNUMBER(M$2),IF(ISBLANK(INDIRECT("'"&amp;M$2&amp;"'!D75")),"",INDIRECT("'"&amp;M$2&amp;"'!D75")),"")</f>
        <v/>
      </c>
      <c r="N86" s="339" t="str" cm="1">
        <f t="array" aca="1" ref="N86" ca="1">IF(ISNUMBER(N$2),IF(ISBLANK(INDIRECT("'"&amp;N$2&amp;"'!D75")),"",INDIRECT("'"&amp;N$2&amp;"'!D75")),"")</f>
        <v/>
      </c>
      <c r="O86" s="339" t="str" cm="1">
        <f t="array" aca="1" ref="O86" ca="1">IF(ISNUMBER(O$2),IF(ISBLANK(INDIRECT("'"&amp;O$2&amp;"'!D75")),"",INDIRECT("'"&amp;O$2&amp;"'!D75")),"")</f>
        <v/>
      </c>
      <c r="P86" s="339" t="str" cm="1">
        <f t="array" aca="1" ref="P86" ca="1">IF(OR(ISNUMBER(J86:O86)),AVERAGE(J86:O86),J86)</f>
        <v/>
      </c>
    </row>
    <row r="87" spans="1:16">
      <c r="A87" s="867" t="s">
        <v>888</v>
      </c>
      <c r="B87" s="867" t="s">
        <v>893</v>
      </c>
      <c r="C87" s="867"/>
      <c r="D87" s="867" t="s">
        <v>594</v>
      </c>
      <c r="E87" s="859"/>
      <c r="F87" s="860"/>
      <c r="G87" s="857"/>
      <c r="H87" s="860"/>
      <c r="I87" s="859"/>
      <c r="J87" s="339" t="str" cm="1">
        <f t="array" aca="1" ref="J87" ca="1">IF(ISNUMBER(J$2),IF(ISBLANK(INDIRECT("'"&amp;J$2&amp;"'!D76")),"",INDIRECT("'"&amp;J$2&amp;"'!D76")),"")</f>
        <v/>
      </c>
      <c r="K87" s="339" t="str" cm="1">
        <f t="array" aca="1" ref="K87" ca="1">IF(ISNUMBER(K$2),IF(ISBLANK(INDIRECT("'"&amp;K$2&amp;"'!D76")),"",INDIRECT("'"&amp;K$2&amp;"'!D76")),"")</f>
        <v/>
      </c>
      <c r="L87" s="339" t="str" cm="1">
        <f t="array" aca="1" ref="L87" ca="1">IF(ISNUMBER(L$2),IF(ISBLANK(INDIRECT("'"&amp;L$2&amp;"'!D76")),"",INDIRECT("'"&amp;L$2&amp;"'!D76")),"")</f>
        <v/>
      </c>
      <c r="M87" s="339" t="str" cm="1">
        <f t="array" aca="1" ref="M87" ca="1">IF(ISNUMBER(M$2),IF(ISBLANK(INDIRECT("'"&amp;M$2&amp;"'!D76")),"",INDIRECT("'"&amp;M$2&amp;"'!D76")),"")</f>
        <v/>
      </c>
      <c r="N87" s="339" t="str" cm="1">
        <f t="array" aca="1" ref="N87" ca="1">IF(ISNUMBER(N$2),IF(ISBLANK(INDIRECT("'"&amp;N$2&amp;"'!D76")),"",INDIRECT("'"&amp;N$2&amp;"'!D76")),"")</f>
        <v/>
      </c>
      <c r="O87" s="339" t="str" cm="1">
        <f t="array" aca="1" ref="O87" ca="1">IF(ISNUMBER(O$2),IF(ISBLANK(INDIRECT("'"&amp;O$2&amp;"'!D76")),"",INDIRECT("'"&amp;O$2&amp;"'!D76")),"")</f>
        <v/>
      </c>
      <c r="P87" s="339" t="str" cm="1">
        <f t="array" aca="1" ref="P87" ca="1">IF(OR(ISNUMBER(J87:O87)),AVERAGE(J87:O87),J87)</f>
        <v/>
      </c>
    </row>
    <row r="88" spans="1:16">
      <c r="A88" s="867" t="s">
        <v>888</v>
      </c>
      <c r="B88" s="867" t="s">
        <v>894</v>
      </c>
      <c r="C88" s="867"/>
      <c r="D88" s="867" t="s">
        <v>594</v>
      </c>
      <c r="E88" s="859"/>
      <c r="F88" s="860"/>
      <c r="G88" s="857"/>
      <c r="H88" s="860"/>
      <c r="I88" s="859"/>
      <c r="J88" s="339" t="str" cm="1">
        <f t="array" aca="1" ref="J88" ca="1">IF(ISNUMBER(J$2),IF(ISBLANK(INDIRECT("'"&amp;J$2&amp;"'!D77")),"",INDIRECT("'"&amp;J$2&amp;"'!D77")),"")</f>
        <v/>
      </c>
      <c r="K88" s="339" t="str" cm="1">
        <f t="array" aca="1" ref="K88" ca="1">IF(ISNUMBER(K$2),IF(ISBLANK(INDIRECT("'"&amp;K$2&amp;"'!D77")),"",INDIRECT("'"&amp;K$2&amp;"'!D77")),"")</f>
        <v/>
      </c>
      <c r="L88" s="339" t="str" cm="1">
        <f t="array" aca="1" ref="L88" ca="1">IF(ISNUMBER(L$2),IF(ISBLANK(INDIRECT("'"&amp;L$2&amp;"'!D77")),"",INDIRECT("'"&amp;L$2&amp;"'!D77")),"")</f>
        <v/>
      </c>
      <c r="M88" s="339" t="str" cm="1">
        <f t="array" aca="1" ref="M88" ca="1">IF(ISNUMBER(M$2),IF(ISBLANK(INDIRECT("'"&amp;M$2&amp;"'!D77")),"",INDIRECT("'"&amp;M$2&amp;"'!D77")),"")</f>
        <v/>
      </c>
      <c r="N88" s="339" t="str" cm="1">
        <f t="array" aca="1" ref="N88" ca="1">IF(ISNUMBER(N$2),IF(ISBLANK(INDIRECT("'"&amp;N$2&amp;"'!D77")),"",INDIRECT("'"&amp;N$2&amp;"'!D77")),"")</f>
        <v/>
      </c>
      <c r="O88" s="339" t="str" cm="1">
        <f t="array" aca="1" ref="O88" ca="1">IF(ISNUMBER(O$2),IF(ISBLANK(INDIRECT("'"&amp;O$2&amp;"'!D77")),"",INDIRECT("'"&amp;O$2&amp;"'!D77")),"")</f>
        <v/>
      </c>
      <c r="P88" s="339" t="str" cm="1">
        <f t="array" aca="1" ref="P88" ca="1">IF(OR(ISNUMBER(J88:O88)),AVERAGE(J88:O88),J88)</f>
        <v/>
      </c>
    </row>
    <row r="89" spans="1:16">
      <c r="A89" s="867" t="s">
        <v>888</v>
      </c>
      <c r="B89" s="867" t="s">
        <v>895</v>
      </c>
      <c r="C89" s="867"/>
      <c r="D89" s="867" t="s">
        <v>594</v>
      </c>
      <c r="E89" s="859"/>
      <c r="F89" s="860"/>
      <c r="G89" s="857"/>
      <c r="H89" s="860"/>
      <c r="I89" s="859"/>
      <c r="J89" s="339" t="str" cm="1">
        <f t="array" aca="1" ref="J89" ca="1">IF(OR(ISNUMBER(J86:J88)),SUM(J86:J88),"")</f>
        <v/>
      </c>
      <c r="K89" s="339" t="str" cm="1">
        <f t="array" aca="1" ref="K89" ca="1">IF(OR(ISNUMBER(K86:K88)),SUM(K86:K88),"")</f>
        <v/>
      </c>
      <c r="L89" s="339" t="str" cm="1">
        <f t="array" aca="1" ref="L89" ca="1">IF(OR(ISNUMBER(L86:L88)),SUM(L86:L88),"")</f>
        <v/>
      </c>
      <c r="M89" s="339" t="str" cm="1">
        <f t="array" aca="1" ref="M89" ca="1">IF(OR(ISNUMBER(M86:M88)),SUM(M86:M88),"")</f>
        <v/>
      </c>
      <c r="N89" s="339" t="str" cm="1">
        <f t="array" aca="1" ref="N89" ca="1">IF(OR(ISNUMBER(N86:N88)),SUM(N86:N88),"")</f>
        <v/>
      </c>
      <c r="O89" s="339" t="str" cm="1">
        <f t="array" aca="1" ref="O89" ca="1">IF(OR(ISNUMBER(O86:O88)),SUM(O86:O88),"")</f>
        <v/>
      </c>
      <c r="P89" s="339" t="str" cm="1">
        <f t="array" aca="1" ref="P89" ca="1">IF(OR(ISNUMBER(J89:O89)),AVERAGE(J89:O89),J89)</f>
        <v/>
      </c>
    </row>
    <row r="90" spans="1:16">
      <c r="A90" s="867" t="s">
        <v>888</v>
      </c>
      <c r="B90" s="867" t="s">
        <v>896</v>
      </c>
      <c r="C90" s="867"/>
      <c r="D90" s="867" t="s">
        <v>829</v>
      </c>
      <c r="E90" s="859"/>
      <c r="F90" s="860">
        <v>34</v>
      </c>
      <c r="G90" s="857"/>
      <c r="H90" s="860">
        <v>36</v>
      </c>
      <c r="I90" s="859"/>
      <c r="J90" s="872" t="str">
        <f t="shared" ref="J90:O90" ca="1" si="0">IFERROR(IF(OR(ISBLANK(J86),ISBLANK(J89)),"",J86/J89),"")</f>
        <v/>
      </c>
      <c r="K90" s="872" t="str">
        <f t="shared" ca="1" si="0"/>
        <v/>
      </c>
      <c r="L90" s="872" t="str">
        <f t="shared" ca="1" si="0"/>
        <v/>
      </c>
      <c r="M90" s="872" t="str">
        <f t="shared" ca="1" si="0"/>
        <v/>
      </c>
      <c r="N90" s="872" t="str">
        <f t="shared" ca="1" si="0"/>
        <v/>
      </c>
      <c r="O90" s="872" t="str">
        <f t="shared" ca="1" si="0"/>
        <v/>
      </c>
      <c r="P90" s="872" t="str" cm="1">
        <f t="array" aca="1" ref="P90" ca="1">IF(OR(ISNUMBER(J90:O90)),AVERAGE(J90:O90),J90)</f>
        <v/>
      </c>
    </row>
    <row r="91" spans="1:16">
      <c r="A91" s="867" t="s">
        <v>888</v>
      </c>
      <c r="B91" s="867" t="s">
        <v>897</v>
      </c>
      <c r="C91" s="867"/>
      <c r="D91" s="867" t="s">
        <v>829</v>
      </c>
      <c r="E91" s="859"/>
      <c r="F91" s="860">
        <v>33</v>
      </c>
      <c r="G91" s="857"/>
      <c r="H91" s="860">
        <v>35</v>
      </c>
      <c r="I91" s="859"/>
      <c r="J91" s="872" t="str">
        <f t="shared" ref="J91:O91" ca="1" si="1">IFERROR(IF(OR(ISBLANK(J87),ISBLANK(J89)),"",J87/J89),"")</f>
        <v/>
      </c>
      <c r="K91" s="872" t="str">
        <f t="shared" ca="1" si="1"/>
        <v/>
      </c>
      <c r="L91" s="872" t="str">
        <f t="shared" ca="1" si="1"/>
        <v/>
      </c>
      <c r="M91" s="872" t="str">
        <f t="shared" ca="1" si="1"/>
        <v/>
      </c>
      <c r="N91" s="872" t="str">
        <f t="shared" ca="1" si="1"/>
        <v/>
      </c>
      <c r="O91" s="872" t="str">
        <f t="shared" ca="1" si="1"/>
        <v/>
      </c>
      <c r="P91" s="872" t="str" cm="1">
        <f t="array" aca="1" ref="P91" ca="1">IF(OR(ISNUMBER(J91:O91)),AVERAGE(J91:O91),J91)</f>
        <v/>
      </c>
    </row>
    <row r="92" spans="1:16">
      <c r="A92" s="867" t="s">
        <v>888</v>
      </c>
      <c r="B92" s="867" t="s">
        <v>898</v>
      </c>
      <c r="C92" s="867"/>
      <c r="D92" s="867" t="s">
        <v>829</v>
      </c>
      <c r="E92" s="859"/>
      <c r="F92" s="860">
        <v>30</v>
      </c>
      <c r="G92" s="857"/>
      <c r="H92" s="860">
        <v>32</v>
      </c>
      <c r="I92" s="859"/>
      <c r="J92" s="872" t="str">
        <f t="shared" ref="J92:O92" ca="1" si="2">IFERROR(IF(OR(ISBLANK(J88),ISBLANK(J89)),"",J88/J89),"")</f>
        <v/>
      </c>
      <c r="K92" s="872" t="str">
        <f t="shared" ca="1" si="2"/>
        <v/>
      </c>
      <c r="L92" s="872" t="str">
        <f t="shared" ca="1" si="2"/>
        <v/>
      </c>
      <c r="M92" s="872" t="str">
        <f t="shared" ca="1" si="2"/>
        <v/>
      </c>
      <c r="N92" s="872" t="str">
        <f t="shared" ca="1" si="2"/>
        <v/>
      </c>
      <c r="O92" s="872" t="str">
        <f t="shared" ca="1" si="2"/>
        <v/>
      </c>
      <c r="P92" s="872" t="str" cm="1">
        <f t="array" aca="1" ref="P92" ca="1">IF(OR(ISNUMBER(J92:O92)),AVERAGE(J92:O92),J92)</f>
        <v/>
      </c>
    </row>
    <row r="93" spans="1:16">
      <c r="A93" s="867" t="s">
        <v>888</v>
      </c>
      <c r="B93" s="867" t="s">
        <v>899</v>
      </c>
      <c r="C93" s="867">
        <v>3</v>
      </c>
      <c r="D93" s="867" t="s">
        <v>900</v>
      </c>
      <c r="E93" s="859"/>
      <c r="F93" s="860">
        <v>12</v>
      </c>
      <c r="G93" s="857"/>
      <c r="H93" s="860">
        <v>14</v>
      </c>
      <c r="I93" s="859"/>
      <c r="J93" s="873" t="str" cm="1">
        <f t="array" aca="1" ref="J93" ca="1">IF(OR(ISNUMBER(J86:J88)),IFERROR(SUM(J87:J88)*1000/(225*18/11),""),"")</f>
        <v/>
      </c>
      <c r="K93" s="873" t="str" cm="1">
        <f t="array" aca="1" ref="K93" ca="1">IF(OR(ISNUMBER(K86:K88)),IFERROR(SUM(K87:K88)*1000/(225*18/11),""),"")</f>
        <v/>
      </c>
      <c r="L93" s="873" t="str" cm="1">
        <f t="array" aca="1" ref="L93" ca="1">IF(OR(ISNUMBER(L86:L88)),IFERROR(SUM(L87:L88)*1000/(225*18/11),""),"")</f>
        <v/>
      </c>
      <c r="M93" s="873" t="str" cm="1">
        <f t="array" aca="1" ref="M93" ca="1">IF(OR(ISNUMBER(M86:M88)),IFERROR(SUM(M87:M88)*1000/(225*18/11),""),"")</f>
        <v/>
      </c>
      <c r="N93" s="873" t="str" cm="1">
        <f t="array" aca="1" ref="N93" ca="1">IF(OR(ISNUMBER(N86:N88)),IFERROR(SUM(N87:N88)*1000/(225*18/11),""),"")</f>
        <v/>
      </c>
      <c r="O93" s="873" t="str" cm="1">
        <f t="array" aca="1" ref="O93" ca="1">IF(OR(ISNUMBER(O86:O88)),IFERROR(SUM(O87:O88)*1000/(225*18/11),""),"")</f>
        <v/>
      </c>
      <c r="P93" s="873" t="str" cm="1">
        <f t="array" aca="1" ref="P93" ca="1">IF(OR(ISNUMBER(J93:O93)),AVERAGE(J93:O93),J93)</f>
        <v/>
      </c>
    </row>
    <row r="94" spans="1:16">
      <c r="A94" s="867" t="s">
        <v>888</v>
      </c>
      <c r="B94" s="867" t="s">
        <v>901</v>
      </c>
      <c r="C94" s="867">
        <v>1</v>
      </c>
      <c r="D94" s="867" t="s">
        <v>902</v>
      </c>
      <c r="E94" s="859"/>
      <c r="F94" s="860"/>
      <c r="G94" s="857" t="s">
        <v>290</v>
      </c>
      <c r="H94" s="860"/>
      <c r="I94" s="859"/>
      <c r="J94" s="339" t="str">
        <f t="shared" ref="J94:O97" si="3">IF(ISNUMBER(J$2),"OK","")</f>
        <v/>
      </c>
      <c r="K94" s="339" t="str">
        <f t="shared" si="3"/>
        <v/>
      </c>
      <c r="L94" s="339" t="str">
        <f t="shared" si="3"/>
        <v/>
      </c>
      <c r="M94" s="339" t="str">
        <f t="shared" si="3"/>
        <v/>
      </c>
      <c r="N94" s="339" t="str">
        <f t="shared" si="3"/>
        <v/>
      </c>
      <c r="O94" s="339" t="str">
        <f t="shared" si="3"/>
        <v/>
      </c>
      <c r="P94" s="339" t="str" cm="1">
        <f t="array" ref="P94">IF(OR(ISNUMBER(J94:O94)),AVERAGE(J94:O94),J94)</f>
        <v/>
      </c>
    </row>
    <row r="95" spans="1:16">
      <c r="A95" s="867" t="s">
        <v>888</v>
      </c>
      <c r="B95" s="867" t="s">
        <v>903</v>
      </c>
      <c r="C95" s="867"/>
      <c r="D95" s="867" t="s">
        <v>902</v>
      </c>
      <c r="E95" s="859"/>
      <c r="F95" s="860"/>
      <c r="G95" s="857" t="s">
        <v>290</v>
      </c>
      <c r="H95" s="860"/>
      <c r="I95" s="859"/>
      <c r="J95" s="339" t="str">
        <f t="shared" si="3"/>
        <v/>
      </c>
      <c r="K95" s="339" t="str">
        <f t="shared" si="3"/>
        <v/>
      </c>
      <c r="L95" s="339" t="str">
        <f t="shared" si="3"/>
        <v/>
      </c>
      <c r="M95" s="339" t="str">
        <f t="shared" si="3"/>
        <v/>
      </c>
      <c r="N95" s="339" t="str">
        <f t="shared" si="3"/>
        <v/>
      </c>
      <c r="O95" s="339" t="str">
        <f t="shared" si="3"/>
        <v/>
      </c>
      <c r="P95" s="339" t="str" cm="1">
        <f t="array" ref="P95">IF(OR(ISNUMBER(J95:O95)),AVERAGE(J95:O95),J95)</f>
        <v/>
      </c>
    </row>
    <row r="96" spans="1:16">
      <c r="A96" s="867" t="s">
        <v>888</v>
      </c>
      <c r="B96" s="867" t="s">
        <v>904</v>
      </c>
      <c r="C96" s="867"/>
      <c r="D96" s="867" t="s">
        <v>902</v>
      </c>
      <c r="E96" s="859"/>
      <c r="F96" s="860"/>
      <c r="G96" s="857" t="s">
        <v>290</v>
      </c>
      <c r="H96" s="860"/>
      <c r="I96" s="859"/>
      <c r="J96" s="339" t="str">
        <f t="shared" si="3"/>
        <v/>
      </c>
      <c r="K96" s="339" t="str">
        <f t="shared" si="3"/>
        <v/>
      </c>
      <c r="L96" s="339" t="str">
        <f t="shared" si="3"/>
        <v/>
      </c>
      <c r="M96" s="339" t="str">
        <f t="shared" si="3"/>
        <v/>
      </c>
      <c r="N96" s="339" t="str">
        <f t="shared" si="3"/>
        <v/>
      </c>
      <c r="O96" s="339" t="str">
        <f t="shared" si="3"/>
        <v/>
      </c>
      <c r="P96" s="339" t="str" cm="1">
        <f t="array" ref="P96">IF(OR(ISNUMBER(J96:O96)),AVERAGE(J96:O96),J96)</f>
        <v/>
      </c>
    </row>
    <row r="97" spans="1:16">
      <c r="A97" s="867" t="s">
        <v>888</v>
      </c>
      <c r="B97" s="867" t="s">
        <v>905</v>
      </c>
      <c r="C97" s="867"/>
      <c r="D97" s="867" t="s">
        <v>902</v>
      </c>
      <c r="E97" s="859"/>
      <c r="F97" s="860"/>
      <c r="G97" s="857" t="s">
        <v>290</v>
      </c>
      <c r="H97" s="860"/>
      <c r="I97" s="859"/>
      <c r="J97" s="339" t="str">
        <f t="shared" si="3"/>
        <v/>
      </c>
      <c r="K97" s="339" t="str">
        <f t="shared" si="3"/>
        <v/>
      </c>
      <c r="L97" s="339" t="str">
        <f t="shared" si="3"/>
        <v/>
      </c>
      <c r="M97" s="339" t="str">
        <f t="shared" si="3"/>
        <v/>
      </c>
      <c r="N97" s="339" t="str">
        <f t="shared" si="3"/>
        <v/>
      </c>
      <c r="O97" s="339" t="str">
        <f t="shared" si="3"/>
        <v/>
      </c>
      <c r="P97" s="339" t="str" cm="1">
        <f t="array" ref="P97">IF(OR(ISNUMBER(J97:O97)),AVERAGE(J97:O97),J97)</f>
        <v/>
      </c>
    </row>
    <row r="98" spans="1:16">
      <c r="A98" s="874" t="s">
        <v>906</v>
      </c>
      <c r="B98" s="874" t="s">
        <v>69</v>
      </c>
      <c r="C98" s="874"/>
      <c r="D98" s="874" t="s">
        <v>829</v>
      </c>
      <c r="E98" s="859"/>
      <c r="F98" s="860">
        <v>11</v>
      </c>
      <c r="G98" s="857"/>
      <c r="H98" s="860">
        <v>13</v>
      </c>
      <c r="I98" s="859"/>
      <c r="J98" s="872" t="str" cm="1">
        <f t="array" aca="1" ref="J98" ca="1">IF(ISNUMBER(J$2),IF(OR(ISBLANK(INDIRECT("'"&amp;J$2&amp;"'!L15")),ISBLANK(INDIRECT("'"&amp;J$2&amp;"'!E10"))),"",INDIRECT("'"&amp;J$2&amp;"'!L15"))/INDIRECT("'"&amp;J$2&amp;"'!E10"),"")</f>
        <v/>
      </c>
      <c r="K98" s="872" t="str" cm="1">
        <f t="array" aca="1" ref="K98" ca="1">IF(ISNUMBER(K$2),IF(OR(ISBLANK(INDIRECT("'"&amp;K$2&amp;"'!L15")),ISBLANK(INDIRECT("'"&amp;K$2&amp;"'!E10"))),"",INDIRECT("'"&amp;K$2&amp;"'!L15"))/INDIRECT("'"&amp;K$2&amp;"'!E10"),"")</f>
        <v/>
      </c>
      <c r="L98" s="872" t="str" cm="1">
        <f t="array" aca="1" ref="L98" ca="1">IF(ISNUMBER(L$2),IF(OR(ISBLANK(INDIRECT("'"&amp;L$2&amp;"'!L15")),ISBLANK(INDIRECT("'"&amp;L$2&amp;"'!E10"))),"",INDIRECT("'"&amp;L$2&amp;"'!L15"))/INDIRECT("'"&amp;L$2&amp;"'!E10"),"")</f>
        <v/>
      </c>
      <c r="M98" s="872" t="str" cm="1">
        <f t="array" aca="1" ref="M98" ca="1">IF(ISNUMBER(M$2),IF(OR(ISBLANK(INDIRECT("'"&amp;M$2&amp;"'!L15")),ISBLANK(INDIRECT("'"&amp;M$2&amp;"'!E10"))),"",INDIRECT("'"&amp;M$2&amp;"'!L15"))/INDIRECT("'"&amp;M$2&amp;"'!E10"),"")</f>
        <v/>
      </c>
      <c r="N98" s="872" t="str" cm="1">
        <f t="array" aca="1" ref="N98" ca="1">IF(ISNUMBER(N$2),IF(OR(ISBLANK(INDIRECT("'"&amp;N$2&amp;"'!L15")),ISBLANK(INDIRECT("'"&amp;N$2&amp;"'!E10"))),"",INDIRECT("'"&amp;N$2&amp;"'!L15"))/INDIRECT("'"&amp;N$2&amp;"'!E10"),"")</f>
        <v/>
      </c>
      <c r="O98" s="872" t="str" cm="1">
        <f t="array" aca="1" ref="O98" ca="1">IF(ISNUMBER(O$2),IF(OR(ISBLANK(INDIRECT("'"&amp;O$2&amp;"'!L15")),ISBLANK(INDIRECT("'"&amp;O$2&amp;"'!E10"))),"",INDIRECT("'"&amp;O$2&amp;"'!L15"))/INDIRECT("'"&amp;O$2&amp;"'!E10"),"")</f>
        <v/>
      </c>
      <c r="P98" s="872" t="str" cm="1">
        <f t="array" aca="1" ref="P98" ca="1">IF(OR(ISNUMBER(J98:O98)),AVERAGE(J98:O98),J98)</f>
        <v/>
      </c>
    </row>
    <row r="99" spans="1:16">
      <c r="A99" s="874" t="s">
        <v>906</v>
      </c>
      <c r="B99" s="874" t="s">
        <v>907</v>
      </c>
      <c r="C99" s="874">
        <v>1</v>
      </c>
      <c r="D99" s="874" t="s">
        <v>908</v>
      </c>
      <c r="E99" s="859"/>
      <c r="F99" s="860"/>
      <c r="G99" s="857"/>
      <c r="H99" s="860">
        <v>1.7</v>
      </c>
      <c r="I99" s="859"/>
      <c r="J99" s="875"/>
      <c r="K99" s="875"/>
      <c r="L99" s="875"/>
      <c r="M99" s="875"/>
      <c r="N99" s="875"/>
      <c r="O99" s="875"/>
      <c r="P99" s="875"/>
    </row>
    <row r="100" spans="1:16">
      <c r="A100" s="874" t="s">
        <v>906</v>
      </c>
      <c r="B100" s="874" t="s">
        <v>75</v>
      </c>
      <c r="C100" s="874"/>
      <c r="D100" s="874" t="s">
        <v>909</v>
      </c>
      <c r="E100" s="859"/>
      <c r="F100" s="860">
        <v>10</v>
      </c>
      <c r="G100" s="857"/>
      <c r="H100" s="860">
        <v>15</v>
      </c>
      <c r="I100" s="859"/>
      <c r="J100" s="339" t="str" cm="1">
        <f t="array" aca="1" ref="J100" ca="1">IF(ISNUMBER(J$2),IF(ISBLANK(INDIRECT("'"&amp;J$2&amp;"'!I22")),"",INDIRECT("'"&amp;J$2&amp;"'!I22")),"")</f>
        <v/>
      </c>
      <c r="K100" s="339" t="str" cm="1">
        <f t="array" aca="1" ref="K100" ca="1">IF(ISNUMBER(K$2),IF(ISBLANK(INDIRECT("'"&amp;K$2&amp;"'!I22")),"",INDIRECT("'"&amp;K$2&amp;"'!I22")),"")</f>
        <v/>
      </c>
      <c r="L100" s="339" t="str" cm="1">
        <f t="array" aca="1" ref="L100" ca="1">IF(ISNUMBER(L$2),IF(ISBLANK(INDIRECT("'"&amp;L$2&amp;"'!I22")),"",INDIRECT("'"&amp;L$2&amp;"'!I22")),"")</f>
        <v/>
      </c>
      <c r="M100" s="339" t="str" cm="1">
        <f t="array" aca="1" ref="M100" ca="1">IF(ISNUMBER(M$2),IF(ISBLANK(INDIRECT("'"&amp;M$2&amp;"'!I22")),"",INDIRECT("'"&amp;M$2&amp;"'!I22")),"")</f>
        <v/>
      </c>
      <c r="N100" s="339" t="str" cm="1">
        <f t="array" aca="1" ref="N100" ca="1">IF(ISNUMBER(N$2),IF(ISBLANK(INDIRECT("'"&amp;N$2&amp;"'!I22")),"",INDIRECT("'"&amp;N$2&amp;"'!I22")),"")</f>
        <v/>
      </c>
      <c r="O100" s="339" t="str" cm="1">
        <f t="array" aca="1" ref="O100" ca="1">IF(ISNUMBER(O$2),IF(ISBLANK(INDIRECT("'"&amp;O$2&amp;"'!I22")),"",INDIRECT("'"&amp;O$2&amp;"'!I22")),"")</f>
        <v/>
      </c>
      <c r="P100" s="873" t="str" cm="1">
        <f t="array" aca="1" ref="P100" ca="1">IF(OR(ISNUMBER(J100:O100)),AVERAGE(J100:O100),J100)</f>
        <v/>
      </c>
    </row>
    <row r="101" spans="1:16">
      <c r="A101" s="874" t="s">
        <v>906</v>
      </c>
      <c r="B101" s="874" t="s">
        <v>115</v>
      </c>
      <c r="C101" s="874"/>
      <c r="D101" s="874" t="s">
        <v>908</v>
      </c>
      <c r="E101" s="859"/>
      <c r="F101" s="860">
        <v>97.5</v>
      </c>
      <c r="G101" s="857"/>
      <c r="H101" s="860">
        <v>98.5</v>
      </c>
      <c r="I101" s="859"/>
      <c r="J101" s="339" t="str" cm="1">
        <f t="array" aca="1" ref="J101" ca="1">IF(ISNUMBER(J$2),IF(ISBLANK(INDIRECT("'"&amp;J$2&amp;"'!E22")),"",INDIRECT("'"&amp;J$2&amp;"'!E22")),"")</f>
        <v/>
      </c>
      <c r="K101" s="339" t="str" cm="1">
        <f t="array" aca="1" ref="K101" ca="1">IF(ISNUMBER(K$2),IF(ISBLANK(INDIRECT("'"&amp;K$2&amp;"'!E22")),"",INDIRECT("'"&amp;K$2&amp;"'!E22")),"")</f>
        <v/>
      </c>
      <c r="L101" s="339" t="str" cm="1">
        <f t="array" aca="1" ref="L101" ca="1">IF(ISNUMBER(L$2),IF(ISBLANK(INDIRECT("'"&amp;L$2&amp;"'!E22")),"",INDIRECT("'"&amp;L$2&amp;"'!E22")),"")</f>
        <v/>
      </c>
      <c r="M101" s="339" t="str" cm="1">
        <f t="array" aca="1" ref="M101" ca="1">IF(ISNUMBER(M$2),IF(ISBLANK(INDIRECT("'"&amp;M$2&amp;"'!E22")),"",INDIRECT("'"&amp;M$2&amp;"'!E22")),"")</f>
        <v/>
      </c>
      <c r="N101" s="339" t="str" cm="1">
        <f t="array" aca="1" ref="N101" ca="1">IF(ISNUMBER(N$2),IF(ISBLANK(INDIRECT("'"&amp;N$2&amp;"'!E22")),"",INDIRECT("'"&amp;N$2&amp;"'!E22")),"")</f>
        <v/>
      </c>
      <c r="O101" s="339" t="str" cm="1">
        <f t="array" aca="1" ref="O101" ca="1">IF(ISNUMBER(O$2),IF(ISBLANK(INDIRECT("'"&amp;O$2&amp;"'!E22")),"",INDIRECT("'"&amp;O$2&amp;"'!E22")),"")</f>
        <v/>
      </c>
      <c r="P101" s="873" t="str" cm="1">
        <f t="array" aca="1" ref="P101" ca="1">IF(OR(ISNUMBER(J101:O101)),AVERAGE(J101:O101),J101)</f>
        <v/>
      </c>
    </row>
    <row r="102" spans="1:16">
      <c r="A102" s="874" t="s">
        <v>906</v>
      </c>
      <c r="B102" s="874" t="s">
        <v>77</v>
      </c>
      <c r="C102" s="874"/>
      <c r="D102" s="874" t="s">
        <v>909</v>
      </c>
      <c r="E102" s="859"/>
      <c r="F102" s="860"/>
      <c r="G102" s="857"/>
      <c r="H102" s="860">
        <v>80</v>
      </c>
      <c r="I102" s="859"/>
      <c r="J102" s="339" t="str" cm="1">
        <f t="array" aca="1" ref="J102" ca="1">IF(ISNUMBER(J$2),IF(ISBLANK(INDIRECT("'"&amp;J$2&amp;"'!I33")),"",INDIRECT("'"&amp;J$2&amp;"'!I33")),"")</f>
        <v/>
      </c>
      <c r="K102" s="339" t="str" cm="1">
        <f t="array" aca="1" ref="K102" ca="1">IF(ISNUMBER(K$2),IF(ISBLANK(INDIRECT("'"&amp;K$2&amp;"'!I33")),"",INDIRECT("'"&amp;K$2&amp;"'!I33")),"")</f>
        <v/>
      </c>
      <c r="L102" s="339" t="str" cm="1">
        <f t="array" aca="1" ref="L102" ca="1">IF(ISNUMBER(L$2),IF(ISBLANK(INDIRECT("'"&amp;L$2&amp;"'!I33")),"",INDIRECT("'"&amp;L$2&amp;"'!I33")),"")</f>
        <v/>
      </c>
      <c r="M102" s="339" t="str" cm="1">
        <f t="array" aca="1" ref="M102" ca="1">IF(ISNUMBER(M$2),IF(ISBLANK(INDIRECT("'"&amp;M$2&amp;"'!I33")),"",INDIRECT("'"&amp;M$2&amp;"'!I33")),"")</f>
        <v/>
      </c>
      <c r="N102" s="339" t="str" cm="1">
        <f t="array" aca="1" ref="N102" ca="1">IF(ISNUMBER(N$2),IF(ISBLANK(INDIRECT("'"&amp;N$2&amp;"'!I33")),"",INDIRECT("'"&amp;N$2&amp;"'!I33")),"")</f>
        <v/>
      </c>
      <c r="O102" s="339" t="str" cm="1">
        <f t="array" aca="1" ref="O102" ca="1">IF(ISNUMBER(O$2),IF(ISBLANK(INDIRECT("'"&amp;O$2&amp;"'!I33")),"",INDIRECT("'"&amp;O$2&amp;"'!I33")),"")</f>
        <v/>
      </c>
      <c r="P102" s="873" t="str" cm="1">
        <f t="array" aca="1" ref="P102" ca="1">IF(OR(ISNUMBER(J102:O102)),AVERAGE(J102:O102),J102)</f>
        <v/>
      </c>
    </row>
    <row r="103" spans="1:16">
      <c r="A103" s="874" t="s">
        <v>906</v>
      </c>
      <c r="B103" s="874" t="s">
        <v>910</v>
      </c>
      <c r="C103" s="874"/>
      <c r="D103" s="874" t="s">
        <v>909</v>
      </c>
      <c r="E103" s="859"/>
      <c r="F103" s="860"/>
      <c r="G103" s="857"/>
      <c r="H103" s="860">
        <v>3</v>
      </c>
      <c r="I103" s="859"/>
      <c r="J103" s="339" t="str" cm="1">
        <f t="array" aca="1" ref="J103" ca="1">IF(ISNUMBER(J$2),IF(ISBLANK(INDIRECT("'"&amp;J$2&amp;"'!I22")),"",INDIRECT("'"&amp;J$2&amp;"'!I22"))-1,"")</f>
        <v/>
      </c>
      <c r="K103" s="339" t="str" cm="1">
        <f t="array" aca="1" ref="K103" ca="1">IF(ISNUMBER(K$2),IF(ISBLANK(INDIRECT("'"&amp;K$2&amp;"'!I22")),"",INDIRECT("'"&amp;K$2&amp;"'!I22"))-1,"")</f>
        <v/>
      </c>
      <c r="L103" s="339" t="str" cm="1">
        <f t="array" aca="1" ref="L103" ca="1">IF(ISNUMBER(L$2),IF(ISBLANK(INDIRECT("'"&amp;L$2&amp;"'!I22")),"",INDIRECT("'"&amp;L$2&amp;"'!I22"))-1,"")</f>
        <v/>
      </c>
      <c r="M103" s="339" t="str" cm="1">
        <f t="array" aca="1" ref="M103" ca="1">IF(ISNUMBER(M$2),IF(ISBLANK(INDIRECT("'"&amp;M$2&amp;"'!I22")),"",INDIRECT("'"&amp;M$2&amp;"'!I22"))-1,"")</f>
        <v/>
      </c>
      <c r="N103" s="339" t="str" cm="1">
        <f t="array" aca="1" ref="N103" ca="1">IF(ISNUMBER(N$2),IF(ISBLANK(INDIRECT("'"&amp;N$2&amp;"'!I22")),"",INDIRECT("'"&amp;N$2&amp;"'!I22"))-1,"")</f>
        <v/>
      </c>
      <c r="O103" s="339" t="str" cm="1">
        <f t="array" aca="1" ref="O103" ca="1">IF(ISNUMBER(O$2),IF(ISBLANK(INDIRECT("'"&amp;O$2&amp;"'!I22")),"",INDIRECT("'"&amp;O$2&amp;"'!I22"))-1,"")</f>
        <v/>
      </c>
      <c r="P103" s="873" t="str" cm="1">
        <f t="array" aca="1" ref="P103" ca="1">IF(OR(ISNUMBER(J103:O103)),AVERAGE(J103:O103),J103)</f>
        <v/>
      </c>
    </row>
    <row r="104" spans="1:16">
      <c r="A104" s="874" t="s">
        <v>632</v>
      </c>
      <c r="B104" s="874" t="s">
        <v>78</v>
      </c>
      <c r="C104" s="874"/>
      <c r="D104" s="874" t="s">
        <v>909</v>
      </c>
      <c r="E104" s="859"/>
      <c r="F104" s="860"/>
      <c r="G104" s="857"/>
      <c r="H104" s="860">
        <v>28</v>
      </c>
      <c r="I104" s="859"/>
      <c r="J104" s="339" t="str" cm="1">
        <f t="array" aca="1" ref="J104" ca="1">IF(ISNUMBER(J$2),IF(OR(ISBLANK(INDIRECT("'"&amp;J$2&amp;"'!I36")),ISBLANK(INDIRECT("'"&amp;J$2&amp;"'!I37"))),"",INDIRECT("'"&amp;J$2&amp;"'!I36"))+INDIRECT("'"&amp;J$2&amp;"'!I37"),"")</f>
        <v/>
      </c>
      <c r="K104" s="339" t="str" cm="1">
        <f t="array" aca="1" ref="K104" ca="1">IF(ISNUMBER(K$2),IF(OR(ISBLANK(INDIRECT("'"&amp;K$2&amp;"'!I36")),ISBLANK(INDIRECT("'"&amp;K$2&amp;"'!I37"))),"",INDIRECT("'"&amp;K$2&amp;"'!I36"))+INDIRECT("'"&amp;K$2&amp;"'!I37"),"")</f>
        <v/>
      </c>
      <c r="L104" s="339" t="str" cm="1">
        <f t="array" aca="1" ref="L104" ca="1">IF(ISNUMBER(L$2),IF(OR(ISBLANK(INDIRECT("'"&amp;L$2&amp;"'!I36")),ISBLANK(INDIRECT("'"&amp;L$2&amp;"'!I37"))),"",INDIRECT("'"&amp;L$2&amp;"'!I36"))+INDIRECT("'"&amp;L$2&amp;"'!I37"),"")</f>
        <v/>
      </c>
      <c r="M104" s="339" t="str" cm="1">
        <f t="array" aca="1" ref="M104" ca="1">IF(ISNUMBER(M$2),IF(OR(ISBLANK(INDIRECT("'"&amp;M$2&amp;"'!I36")),ISBLANK(INDIRECT("'"&amp;M$2&amp;"'!I37"))),"",INDIRECT("'"&amp;M$2&amp;"'!I36"))+INDIRECT("'"&amp;M$2&amp;"'!I37"),"")</f>
        <v/>
      </c>
      <c r="N104" s="339" t="str" cm="1">
        <f t="array" aca="1" ref="N104" ca="1">IF(ISNUMBER(N$2),IF(OR(ISBLANK(INDIRECT("'"&amp;N$2&amp;"'!I36")),ISBLANK(INDIRECT("'"&amp;N$2&amp;"'!I37"))),"",INDIRECT("'"&amp;N$2&amp;"'!I36"))+INDIRECT("'"&amp;N$2&amp;"'!I37"),"")</f>
        <v/>
      </c>
      <c r="O104" s="339" t="str" cm="1">
        <f t="array" aca="1" ref="O104" ca="1">IF(ISNUMBER(O$2),IF(OR(ISBLANK(INDIRECT("'"&amp;O$2&amp;"'!I36")),ISBLANK(INDIRECT("'"&amp;O$2&amp;"'!I37"))),"",INDIRECT("'"&amp;O$2&amp;"'!I36"))+INDIRECT("'"&amp;O$2&amp;"'!I37"),"")</f>
        <v/>
      </c>
      <c r="P104" s="873" t="str" cm="1">
        <f t="array" aca="1" ref="P104" ca="1">IF(OR(ISNUMBER(J104:O104)),AVERAGE(J104:O104),J104)</f>
        <v/>
      </c>
    </row>
    <row r="105" spans="1:16">
      <c r="A105" s="874" t="s">
        <v>632</v>
      </c>
      <c r="B105" s="874" t="s">
        <v>911</v>
      </c>
      <c r="C105" s="874">
        <v>1</v>
      </c>
      <c r="D105" s="874" t="s">
        <v>908</v>
      </c>
      <c r="E105" s="859"/>
      <c r="F105" s="860">
        <v>44.5</v>
      </c>
      <c r="G105" s="857"/>
      <c r="H105" s="860"/>
      <c r="I105" s="859"/>
      <c r="J105" s="339" t="str" cm="1">
        <f t="array" aca="1" ref="J105" ca="1">IF(ISNUMBER(J$2),IF(ISBLANK(INDIRECT("'"&amp;J$2&amp;"'!E40")),"",INDIRECT("'"&amp;J$2&amp;"'!E40")),"")</f>
        <v/>
      </c>
      <c r="K105" s="339" t="str" cm="1">
        <f t="array" aca="1" ref="K105" ca="1">IF(ISNUMBER(K$2),IF(ISBLANK(INDIRECT("'"&amp;K$2&amp;"'!E40")),"",INDIRECT("'"&amp;K$2&amp;"'!E40")),"")</f>
        <v/>
      </c>
      <c r="L105" s="339" t="str" cm="1">
        <f t="array" aca="1" ref="L105" ca="1">IF(ISNUMBER(L$2),IF(ISBLANK(INDIRECT("'"&amp;L$2&amp;"'!E40")),"",INDIRECT("'"&amp;L$2&amp;"'!E40")),"")</f>
        <v/>
      </c>
      <c r="M105" s="339" t="str" cm="1">
        <f t="array" aca="1" ref="M105" ca="1">IF(ISNUMBER(M$2),IF(ISBLANK(INDIRECT("'"&amp;M$2&amp;"'!E40")),"",INDIRECT("'"&amp;M$2&amp;"'!E40")),"")</f>
        <v/>
      </c>
      <c r="N105" s="339" t="str" cm="1">
        <f t="array" aca="1" ref="N105" ca="1">IF(ISNUMBER(N$2),IF(ISBLANK(INDIRECT("'"&amp;N$2&amp;"'!E40")),"",INDIRECT("'"&amp;N$2&amp;"'!E40")),"")</f>
        <v/>
      </c>
      <c r="O105" s="339" t="str" cm="1">
        <f t="array" aca="1" ref="O105" ca="1">IF(ISNUMBER(O$2),IF(ISBLANK(INDIRECT("'"&amp;O$2&amp;"'!E40")),"",INDIRECT("'"&amp;O$2&amp;"'!E40")),"")</f>
        <v/>
      </c>
      <c r="P105" s="873" t="str" cm="1">
        <f t="array" aca="1" ref="P105" ca="1">IF(OR(ISNUMBER(J105:O105)),AVERAGE(J105:O105),J105)</f>
        <v/>
      </c>
    </row>
    <row r="106" spans="1:16">
      <c r="A106" s="874" t="s">
        <v>632</v>
      </c>
      <c r="B106" s="874" t="s">
        <v>80</v>
      </c>
      <c r="C106" s="874"/>
      <c r="D106" s="874" t="s">
        <v>908</v>
      </c>
      <c r="E106" s="859"/>
      <c r="F106" s="860">
        <v>46</v>
      </c>
      <c r="G106" s="857"/>
      <c r="H106" s="860">
        <v>47</v>
      </c>
      <c r="I106" s="859"/>
      <c r="J106" s="339" t="str" cm="1">
        <f t="array" aca="1" ref="J106" ca="1">IF(ISNUMBER(J$2),IF(ISBLANK(INDIRECT("'"&amp;J$2&amp;"'!E40")),"",INDIRECT("'"&amp;J$2&amp;"'!E40")),"")</f>
        <v/>
      </c>
      <c r="K106" s="339" t="str" cm="1">
        <f t="array" aca="1" ref="K106" ca="1">IF(ISNUMBER(K$2),IF(ISBLANK(INDIRECT("'"&amp;K$2&amp;"'!E40")),"",INDIRECT("'"&amp;K$2&amp;"'!E40")),"")</f>
        <v/>
      </c>
      <c r="L106" s="339" t="str" cm="1">
        <f t="array" aca="1" ref="L106" ca="1">IF(ISNUMBER(L$2),IF(ISBLANK(INDIRECT("'"&amp;L$2&amp;"'!E40")),"",INDIRECT("'"&amp;L$2&amp;"'!E40")),"")</f>
        <v/>
      </c>
      <c r="M106" s="339" t="str" cm="1">
        <f t="array" aca="1" ref="M106" ca="1">IF(ISNUMBER(M$2),IF(ISBLANK(INDIRECT("'"&amp;M$2&amp;"'!E40")),"",INDIRECT("'"&amp;M$2&amp;"'!E40")),"")</f>
        <v/>
      </c>
      <c r="N106" s="339" t="str" cm="1">
        <f t="array" aca="1" ref="N106" ca="1">IF(ISNUMBER(N$2),IF(ISBLANK(INDIRECT("'"&amp;N$2&amp;"'!E40")),"",INDIRECT("'"&amp;N$2&amp;"'!E40")),"")</f>
        <v/>
      </c>
      <c r="O106" s="339" t="str" cm="1">
        <f t="array" aca="1" ref="O106" ca="1">IF(ISNUMBER(O$2),IF(ISBLANK(INDIRECT("'"&amp;O$2&amp;"'!E40")),"",INDIRECT("'"&amp;O$2&amp;"'!E40")),"")</f>
        <v/>
      </c>
      <c r="P106" s="873" t="str" cm="1">
        <f t="array" aca="1" ref="P106" ca="1">IF(OR(ISNUMBER(J106:O106)),AVERAGE(J106:O106),J106)</f>
        <v/>
      </c>
    </row>
    <row r="107" spans="1:16">
      <c r="A107" s="874" t="s">
        <v>632</v>
      </c>
      <c r="B107" s="874" t="s">
        <v>81</v>
      </c>
      <c r="C107" s="874"/>
      <c r="D107" s="874" t="s">
        <v>909</v>
      </c>
      <c r="E107" s="859"/>
      <c r="F107" s="860"/>
      <c r="G107" s="857"/>
      <c r="H107" s="860">
        <v>18</v>
      </c>
      <c r="I107" s="859"/>
      <c r="J107" s="339" t="str" cm="1">
        <f t="array" aca="1" ref="J107" ca="1">IF(ISNUMBER(J$2),IF(ISBLANK(INDIRECT("'"&amp;J$2&amp;"'!I40")),"",INDIRECT("'"&amp;J$2&amp;"'!I40")),"")</f>
        <v/>
      </c>
      <c r="K107" s="339" t="str" cm="1">
        <f t="array" aca="1" ref="K107" ca="1">IF(ISNUMBER(K$2),IF(ISBLANK(INDIRECT("'"&amp;K$2&amp;"'!I40")),"",INDIRECT("'"&amp;K$2&amp;"'!I40")),"")</f>
        <v/>
      </c>
      <c r="L107" s="339" t="str" cm="1">
        <f t="array" aca="1" ref="L107" ca="1">IF(ISNUMBER(L$2),IF(ISBLANK(INDIRECT("'"&amp;L$2&amp;"'!I40")),"",INDIRECT("'"&amp;L$2&amp;"'!I40")),"")</f>
        <v/>
      </c>
      <c r="M107" s="339" t="str" cm="1">
        <f t="array" aca="1" ref="M107" ca="1">IF(ISNUMBER(M$2),IF(ISBLANK(INDIRECT("'"&amp;M$2&amp;"'!I40")),"",INDIRECT("'"&amp;M$2&amp;"'!I40")),"")</f>
        <v/>
      </c>
      <c r="N107" s="339" t="str" cm="1">
        <f t="array" aca="1" ref="N107" ca="1">IF(ISNUMBER(N$2),IF(ISBLANK(INDIRECT("'"&amp;N$2&amp;"'!I40")),"",INDIRECT("'"&amp;N$2&amp;"'!I40")),"")</f>
        <v/>
      </c>
      <c r="O107" s="339" t="str" cm="1">
        <f t="array" aca="1" ref="O107" ca="1">IF(ISNUMBER(O$2),IF(ISBLANK(INDIRECT("'"&amp;O$2&amp;"'!I40")),"",INDIRECT("'"&amp;O$2&amp;"'!I40")),"")</f>
        <v/>
      </c>
      <c r="P107" s="873" t="str" cm="1">
        <f t="array" aca="1" ref="P107" ca="1">IF(OR(ISNUMBER(J107:O107)),AVERAGE(J107:O107),J107)</f>
        <v/>
      </c>
    </row>
    <row r="108" spans="1:16">
      <c r="A108" s="874" t="s">
        <v>632</v>
      </c>
      <c r="B108" s="874" t="s">
        <v>83</v>
      </c>
      <c r="C108" s="874"/>
      <c r="D108" s="874" t="s">
        <v>908</v>
      </c>
      <c r="E108" s="859"/>
      <c r="F108" s="860">
        <v>65</v>
      </c>
      <c r="G108" s="857"/>
      <c r="H108" s="860">
        <v>67</v>
      </c>
      <c r="I108" s="859"/>
      <c r="J108" s="339" t="str" cm="1">
        <f t="array" aca="1" ref="J108" ca="1">IF(ISNUMBER(J$2),IF(ISBLANK(INDIRECT("'"&amp;J$2&amp;"'!E43")),"",INDIRECT("'"&amp;J$2&amp;"'!E43")),"")</f>
        <v/>
      </c>
      <c r="K108" s="339" t="str" cm="1">
        <f t="array" aca="1" ref="K108" ca="1">IF(ISNUMBER(K$2),IF(ISBLANK(INDIRECT("'"&amp;K$2&amp;"'!E43")),"",INDIRECT("'"&amp;K$2&amp;"'!E43")),"")</f>
        <v/>
      </c>
      <c r="L108" s="339" t="str" cm="1">
        <f t="array" aca="1" ref="L108" ca="1">IF(ISNUMBER(L$2),IF(ISBLANK(INDIRECT("'"&amp;L$2&amp;"'!E43")),"",INDIRECT("'"&amp;L$2&amp;"'!E43")),"")</f>
        <v/>
      </c>
      <c r="M108" s="339" t="str" cm="1">
        <f t="array" aca="1" ref="M108" ca="1">IF(ISNUMBER(M$2),IF(ISBLANK(INDIRECT("'"&amp;M$2&amp;"'!E43")),"",INDIRECT("'"&amp;M$2&amp;"'!E43")),"")</f>
        <v/>
      </c>
      <c r="N108" s="339" t="str" cm="1">
        <f t="array" aca="1" ref="N108" ca="1">IF(ISNUMBER(N$2),IF(ISBLANK(INDIRECT("'"&amp;N$2&amp;"'!E43")),"",INDIRECT("'"&amp;N$2&amp;"'!E43")),"")</f>
        <v/>
      </c>
      <c r="O108" s="339" t="str" cm="1">
        <f t="array" aca="1" ref="O108" ca="1">IF(ISNUMBER(O$2),IF(ISBLANK(INDIRECT("'"&amp;O$2&amp;"'!E43")),"",INDIRECT("'"&amp;O$2&amp;"'!E43")),"")</f>
        <v/>
      </c>
      <c r="P108" s="873" t="str" cm="1">
        <f t="array" aca="1" ref="P108" ca="1">IF(OR(ISNUMBER(J108:O108)),AVERAGE(J108:O108),J108)</f>
        <v/>
      </c>
    </row>
    <row r="109" spans="1:16">
      <c r="A109" s="874" t="s">
        <v>632</v>
      </c>
      <c r="B109" s="874" t="s">
        <v>84</v>
      </c>
      <c r="C109" s="874"/>
      <c r="D109" s="874" t="s">
        <v>909</v>
      </c>
      <c r="E109" s="859"/>
      <c r="F109" s="860"/>
      <c r="G109" s="857"/>
      <c r="H109" s="860">
        <v>50</v>
      </c>
      <c r="I109" s="859"/>
      <c r="J109" s="339" t="str" cm="1">
        <f t="array" aca="1" ref="J109" ca="1">IF(ISNUMBER(J$2),IF(ISBLANK(INDIRECT("'"&amp;J$2&amp;"'!I43")),"",INDIRECT("'"&amp;J$2&amp;"'!I43")),"")</f>
        <v/>
      </c>
      <c r="K109" s="339" t="str" cm="1">
        <f t="array" aca="1" ref="K109" ca="1">IF(ISNUMBER(K$2),IF(ISBLANK(INDIRECT("'"&amp;K$2&amp;"'!I43")),"",INDIRECT("'"&amp;K$2&amp;"'!I43")),"")</f>
        <v/>
      </c>
      <c r="L109" s="339" t="str" cm="1">
        <f t="array" aca="1" ref="L109" ca="1">IF(ISNUMBER(L$2),IF(ISBLANK(INDIRECT("'"&amp;L$2&amp;"'!I43")),"",INDIRECT("'"&amp;L$2&amp;"'!I43")),"")</f>
        <v/>
      </c>
      <c r="M109" s="339" t="str" cm="1">
        <f t="array" aca="1" ref="M109" ca="1">IF(ISNUMBER(M$2),IF(ISBLANK(INDIRECT("'"&amp;M$2&amp;"'!I43")),"",INDIRECT("'"&amp;M$2&amp;"'!I43")),"")</f>
        <v/>
      </c>
      <c r="N109" s="339" t="str" cm="1">
        <f t="array" aca="1" ref="N109" ca="1">IF(ISNUMBER(N$2),IF(ISBLANK(INDIRECT("'"&amp;N$2&amp;"'!I43")),"",INDIRECT("'"&amp;N$2&amp;"'!I43")),"")</f>
        <v/>
      </c>
      <c r="O109" s="339" t="str" cm="1">
        <f t="array" aca="1" ref="O109" ca="1">IF(ISNUMBER(O$2),IF(ISBLANK(INDIRECT("'"&amp;O$2&amp;"'!I43")),"",INDIRECT("'"&amp;O$2&amp;"'!I43")),"")</f>
        <v/>
      </c>
      <c r="P109" s="873" t="str" cm="1">
        <f t="array" aca="1" ref="P109" ca="1">IF(OR(ISNUMBER(J109:O109)),AVERAGE(J109:O109),J109)</f>
        <v/>
      </c>
    </row>
    <row r="110" spans="1:16">
      <c r="A110" s="874" t="s">
        <v>632</v>
      </c>
      <c r="B110" s="874" t="s">
        <v>85</v>
      </c>
      <c r="C110" s="874"/>
      <c r="D110" s="874" t="s">
        <v>909</v>
      </c>
      <c r="E110" s="859"/>
      <c r="F110" s="860">
        <v>0</v>
      </c>
      <c r="G110" s="857"/>
      <c r="H110" s="860">
        <v>10</v>
      </c>
      <c r="I110" s="859"/>
      <c r="J110" s="339" t="str" cm="1">
        <f t="array" aca="1" ref="J110" ca="1">IF(ISNUMBER(J$2),IF(ISBLANK(INDIRECT("'"&amp;J$2&amp;"'!I45")),"",INDIRECT("'"&amp;J$2&amp;"'!I45")),"")</f>
        <v/>
      </c>
      <c r="K110" s="339" t="str" cm="1">
        <f t="array" aca="1" ref="K110" ca="1">IF(ISNUMBER(K$2),IF(ISBLANK(INDIRECT("'"&amp;K$2&amp;"'!I45")),"",INDIRECT("'"&amp;K$2&amp;"'!I45")),"")</f>
        <v/>
      </c>
      <c r="L110" s="339" t="str" cm="1">
        <f t="array" aca="1" ref="L110" ca="1">IF(ISNUMBER(L$2),IF(ISBLANK(INDIRECT("'"&amp;L$2&amp;"'!I45")),"",INDIRECT("'"&amp;L$2&amp;"'!I45")),"")</f>
        <v/>
      </c>
      <c r="M110" s="339" t="str" cm="1">
        <f t="array" aca="1" ref="M110" ca="1">IF(ISNUMBER(M$2),IF(ISBLANK(INDIRECT("'"&amp;M$2&amp;"'!I45")),"",INDIRECT("'"&amp;M$2&amp;"'!I45")),"")</f>
        <v/>
      </c>
      <c r="N110" s="339" t="str" cm="1">
        <f t="array" aca="1" ref="N110" ca="1">IF(ISNUMBER(N$2),IF(ISBLANK(INDIRECT("'"&amp;N$2&amp;"'!I45")),"",INDIRECT("'"&amp;N$2&amp;"'!I45")),"")</f>
        <v/>
      </c>
      <c r="O110" s="339" t="str" cm="1">
        <f t="array" aca="1" ref="O110" ca="1">IF(ISNUMBER(O$2),IF(ISBLANK(INDIRECT("'"&amp;O$2&amp;"'!I45")),"",INDIRECT("'"&amp;O$2&amp;"'!I45")),"")</f>
        <v/>
      </c>
      <c r="P110" s="873" t="str" cm="1">
        <f t="array" aca="1" ref="P110" ca="1">IF(OR(ISNUMBER(J110:O110)),AVERAGE(J110:O110),J110)</f>
        <v/>
      </c>
    </row>
    <row r="111" spans="1:16">
      <c r="A111" s="874" t="s">
        <v>632</v>
      </c>
      <c r="B111" s="874" t="s">
        <v>907</v>
      </c>
      <c r="C111" s="874">
        <v>1</v>
      </c>
      <c r="D111" s="874" t="s">
        <v>912</v>
      </c>
      <c r="E111" s="859"/>
      <c r="F111" s="860"/>
      <c r="G111" s="857"/>
      <c r="H111" s="860">
        <v>1.7</v>
      </c>
      <c r="I111" s="859"/>
      <c r="J111" s="875"/>
      <c r="K111" s="875"/>
      <c r="L111" s="875"/>
      <c r="M111" s="875"/>
      <c r="N111" s="875"/>
      <c r="O111" s="875"/>
      <c r="P111" s="875" t="str" cm="1">
        <f t="array" ref="P111">IF(OR(ISNUMBER(J111:O111)),AVERAGE(J111:O111),"")</f>
        <v/>
      </c>
    </row>
    <row r="112" spans="1:16">
      <c r="A112" s="874" t="s">
        <v>632</v>
      </c>
      <c r="B112" s="874" t="s">
        <v>86</v>
      </c>
      <c r="C112" s="874"/>
      <c r="D112" s="874" t="s">
        <v>908</v>
      </c>
      <c r="E112" s="859"/>
      <c r="F112" s="860">
        <v>73</v>
      </c>
      <c r="G112" s="857"/>
      <c r="H112" s="860">
        <v>75</v>
      </c>
      <c r="I112" s="859"/>
      <c r="J112" s="339" t="str" cm="1">
        <f t="array" aca="1" ref="J112" ca="1">IF(ISNUMBER(J$2),IF(ISBLANK(INDIRECT("'"&amp;J$2&amp;"'!E47")),"",INDIRECT("'"&amp;J$2&amp;"'!E47")),"")</f>
        <v/>
      </c>
      <c r="K112" s="339" t="str" cm="1">
        <f t="array" aca="1" ref="K112" ca="1">IF(ISNUMBER(K$2),IF(ISBLANK(INDIRECT("'"&amp;K$2&amp;"'!E47")),"",INDIRECT("'"&amp;K$2&amp;"'!E47")),"")</f>
        <v/>
      </c>
      <c r="L112" s="339" t="str" cm="1">
        <f t="array" aca="1" ref="L112" ca="1">IF(ISNUMBER(L$2),IF(ISBLANK(INDIRECT("'"&amp;L$2&amp;"'!E47")),"",INDIRECT("'"&amp;L$2&amp;"'!E47")),"")</f>
        <v/>
      </c>
      <c r="M112" s="339" t="str" cm="1">
        <f t="array" aca="1" ref="M112" ca="1">IF(ISNUMBER(M$2),IF(ISBLANK(INDIRECT("'"&amp;M$2&amp;"'!E47")),"",INDIRECT("'"&amp;M$2&amp;"'!E47")),"")</f>
        <v/>
      </c>
      <c r="N112" s="339" t="str" cm="1">
        <f t="array" aca="1" ref="N112" ca="1">IF(ISNUMBER(N$2),IF(ISBLANK(INDIRECT("'"&amp;N$2&amp;"'!E47")),"",INDIRECT("'"&amp;N$2&amp;"'!E47")),"")</f>
        <v/>
      </c>
      <c r="O112" s="339" t="str" cm="1">
        <f t="array" aca="1" ref="O112" ca="1">IF(ISNUMBER(O$2),IF(ISBLANK(INDIRECT("'"&amp;O$2&amp;"'!E47")),"",INDIRECT("'"&amp;O$2&amp;"'!E47")),"")</f>
        <v/>
      </c>
      <c r="P112" s="873" t="str" cm="1">
        <f t="array" aca="1" ref="P112" ca="1">IF(OR(ISNUMBER(J112:O112)),AVERAGE(J112:O112),J112)</f>
        <v/>
      </c>
    </row>
    <row r="113" spans="1:16">
      <c r="A113" s="874" t="s">
        <v>632</v>
      </c>
      <c r="B113" s="874" t="s">
        <v>87</v>
      </c>
      <c r="C113" s="874"/>
      <c r="D113" s="874" t="s">
        <v>909</v>
      </c>
      <c r="E113" s="859"/>
      <c r="F113" s="860"/>
      <c r="G113" s="857"/>
      <c r="H113" s="860">
        <v>80</v>
      </c>
      <c r="I113" s="859"/>
      <c r="J113" s="339" t="str" cm="1">
        <f t="array" aca="1" ref="J113" ca="1">IF(ISNUMBER(J$2),IF(ISBLANK(INDIRECT("'"&amp;J$2&amp;"'!I51")),"",INDIRECT("'"&amp;J$2&amp;"'!I51")),"")</f>
        <v/>
      </c>
      <c r="K113" s="339" t="str" cm="1">
        <f t="array" aca="1" ref="K113" ca="1">IF(ISNUMBER(K$2),IF(ISBLANK(INDIRECT("'"&amp;K$2&amp;"'!I51")),"",INDIRECT("'"&amp;K$2&amp;"'!I51")),"")</f>
        <v/>
      </c>
      <c r="L113" s="339" t="str" cm="1">
        <f t="array" aca="1" ref="L113" ca="1">IF(ISNUMBER(L$2),IF(ISBLANK(INDIRECT("'"&amp;L$2&amp;"'!I51")),"",INDIRECT("'"&amp;L$2&amp;"'!I51")),"")</f>
        <v/>
      </c>
      <c r="M113" s="339" t="str" cm="1">
        <f t="array" aca="1" ref="M113" ca="1">IF(ISNUMBER(M$2),IF(ISBLANK(INDIRECT("'"&amp;M$2&amp;"'!I51")),"",INDIRECT("'"&amp;M$2&amp;"'!I51")),"")</f>
        <v/>
      </c>
      <c r="N113" s="339" t="str" cm="1">
        <f t="array" aca="1" ref="N113" ca="1">IF(ISNUMBER(N$2),IF(ISBLANK(INDIRECT("'"&amp;N$2&amp;"'!I51")),"",INDIRECT("'"&amp;N$2&amp;"'!I51")),"")</f>
        <v/>
      </c>
      <c r="O113" s="339" t="str" cm="1">
        <f t="array" aca="1" ref="O113" ca="1">IF(ISNUMBER(O$2),IF(ISBLANK(INDIRECT("'"&amp;O$2&amp;"'!I51")),"",INDIRECT("'"&amp;O$2&amp;"'!I51")),"")</f>
        <v/>
      </c>
      <c r="P113" s="873" t="str" cm="1">
        <f t="array" aca="1" ref="P113" ca="1">IF(OR(ISNUMBER(J113:O113)),AVERAGE(J113:O113),J113)</f>
        <v/>
      </c>
    </row>
    <row r="114" spans="1:16">
      <c r="A114" s="874" t="s">
        <v>913</v>
      </c>
      <c r="B114" s="874" t="s">
        <v>89</v>
      </c>
      <c r="C114" s="874">
        <v>1</v>
      </c>
      <c r="D114" s="874" t="s">
        <v>866</v>
      </c>
      <c r="E114" s="859"/>
      <c r="F114" s="860"/>
      <c r="G114" s="857"/>
      <c r="H114" s="860">
        <v>20</v>
      </c>
      <c r="I114" s="859"/>
      <c r="J114" s="339" t="str" cm="1">
        <f t="array" aca="1" ref="J114" ca="1">IF(ISNUMBER(J$2),IF(ISBLANK(INDIRECT("'"&amp;J$2&amp;"'!E57")),"",INDIRECT("'"&amp;J$2&amp;"'!E57")),"")</f>
        <v/>
      </c>
      <c r="K114" s="339" t="str" cm="1">
        <f t="array" aca="1" ref="K114" ca="1">IF(ISNUMBER(K$2),IF(ISBLANK(INDIRECT("'"&amp;K$2&amp;"'!E57")),"",INDIRECT("'"&amp;K$2&amp;"'!E57")),"")</f>
        <v/>
      </c>
      <c r="L114" s="339" t="str" cm="1">
        <f t="array" aca="1" ref="L114" ca="1">IF(ISNUMBER(L$2),IF(ISBLANK(INDIRECT("'"&amp;L$2&amp;"'!E57")),"",INDIRECT("'"&amp;L$2&amp;"'!E57")),"")</f>
        <v/>
      </c>
      <c r="M114" s="339" t="str" cm="1">
        <f t="array" aca="1" ref="M114" ca="1">IF(ISNUMBER(M$2),IF(ISBLANK(INDIRECT("'"&amp;M$2&amp;"'!E57")),"",INDIRECT("'"&amp;M$2&amp;"'!E57")),"")</f>
        <v/>
      </c>
      <c r="N114" s="339" t="str" cm="1">
        <f t="array" aca="1" ref="N114" ca="1">IF(ISNUMBER(N$2),IF(ISBLANK(INDIRECT("'"&amp;N$2&amp;"'!E57")),"",INDIRECT("'"&amp;N$2&amp;"'!E57")),"")</f>
        <v/>
      </c>
      <c r="O114" s="339" t="str" cm="1">
        <f t="array" aca="1" ref="O114" ca="1">IF(ISNUMBER(O$2),IF(ISBLANK(INDIRECT("'"&amp;O$2&amp;"'!E57")),"",INDIRECT("'"&amp;O$2&amp;"'!E57")),"")</f>
        <v/>
      </c>
      <c r="P114" s="873" t="str" cm="1">
        <f t="array" aca="1" ref="P114" ca="1">IF(OR(ISNUMBER(J114:O114)),AVERAGE(J114:O114),J114)</f>
        <v/>
      </c>
    </row>
    <row r="115" spans="1:16">
      <c r="A115" s="874" t="s">
        <v>913</v>
      </c>
      <c r="B115" s="874" t="s">
        <v>90</v>
      </c>
      <c r="C115" s="874"/>
      <c r="D115" s="874" t="s">
        <v>817</v>
      </c>
      <c r="E115" s="859"/>
      <c r="F115" s="860">
        <v>19</v>
      </c>
      <c r="G115" s="857"/>
      <c r="H115" s="860"/>
      <c r="I115" s="859"/>
      <c r="J115" s="339" t="str" cm="1">
        <f t="array" aca="1" ref="J115" ca="1">IF(ISNUMBER(J$2),IF(ISBLANK(INDIRECT("'"&amp;J$2&amp;"'!L55")),"",INDIRECT("'"&amp;J$2&amp;"'!L55")),"")</f>
        <v/>
      </c>
      <c r="K115" s="339" t="str" cm="1">
        <f t="array" aca="1" ref="K115" ca="1">IF(ISNUMBER(K$2),IF(ISBLANK(INDIRECT("'"&amp;K$2&amp;"'!L55")),"",INDIRECT("'"&amp;K$2&amp;"'!L55")),"")</f>
        <v/>
      </c>
      <c r="L115" s="339" t="str" cm="1">
        <f t="array" aca="1" ref="L115" ca="1">IF(ISNUMBER(L$2),IF(ISBLANK(INDIRECT("'"&amp;L$2&amp;"'!L55")),"",INDIRECT("'"&amp;L$2&amp;"'!L55")),"")</f>
        <v/>
      </c>
      <c r="M115" s="339" t="str" cm="1">
        <f t="array" aca="1" ref="M115" ca="1">IF(ISNUMBER(M$2),IF(ISBLANK(INDIRECT("'"&amp;M$2&amp;"'!L55")),"",INDIRECT("'"&amp;M$2&amp;"'!L55")),"")</f>
        <v/>
      </c>
      <c r="N115" s="339" t="str" cm="1">
        <f t="array" aca="1" ref="N115" ca="1">IF(ISNUMBER(N$2),IF(ISBLANK(INDIRECT("'"&amp;N$2&amp;"'!L55")),"",INDIRECT("'"&amp;N$2&amp;"'!L55")),"")</f>
        <v/>
      </c>
      <c r="O115" s="339" t="str" cm="1">
        <f t="array" aca="1" ref="O115" ca="1">IF(ISNUMBER(O$2),IF(ISBLANK(INDIRECT("'"&amp;O$2&amp;"'!L55")),"",INDIRECT("'"&amp;O$2&amp;"'!L55")),"")</f>
        <v/>
      </c>
      <c r="P115" s="873" t="str" cm="1">
        <f t="array" aca="1" ref="P115" ca="1">IF(OR(ISNUMBER(J115:O115)),AVERAGE(J115:O115),J115)</f>
        <v/>
      </c>
    </row>
    <row r="116" spans="1:16">
      <c r="A116" s="874" t="s">
        <v>913</v>
      </c>
      <c r="B116" s="874" t="s">
        <v>914</v>
      </c>
      <c r="C116" s="874">
        <v>1</v>
      </c>
      <c r="D116" s="874"/>
      <c r="E116" s="859"/>
      <c r="F116" s="860"/>
      <c r="G116" s="857"/>
      <c r="H116" s="860">
        <v>2</v>
      </c>
      <c r="I116" s="859"/>
      <c r="J116" s="339" t="str" cm="1">
        <f t="array" aca="1" ref="J116" ca="1">IF(ISNUMBER(J$2),IF(ISBLANK(INDIRECT("'"&amp;J$2&amp;"'!E60")),"",INDIRECT("'"&amp;J$2&amp;"'!E60")),"")</f>
        <v/>
      </c>
      <c r="K116" s="339" t="str" cm="1">
        <f t="array" aca="1" ref="K116" ca="1">IF(ISNUMBER(K$2),IF(ISBLANK(INDIRECT("'"&amp;K$2&amp;"'!E60")),"",INDIRECT("'"&amp;K$2&amp;"'!E60")),"")</f>
        <v/>
      </c>
      <c r="L116" s="339" t="str" cm="1">
        <f t="array" aca="1" ref="L116" ca="1">IF(ISNUMBER(L$2),IF(ISBLANK(INDIRECT("'"&amp;L$2&amp;"'!E60")),"",INDIRECT("'"&amp;L$2&amp;"'!E60")),"")</f>
        <v/>
      </c>
      <c r="M116" s="339" t="str" cm="1">
        <f t="array" aca="1" ref="M116" ca="1">IF(ISNUMBER(M$2),IF(ISBLANK(INDIRECT("'"&amp;M$2&amp;"'!E60")),"",INDIRECT("'"&amp;M$2&amp;"'!E60")),"")</f>
        <v/>
      </c>
      <c r="N116" s="339" t="str" cm="1">
        <f t="array" aca="1" ref="N116" ca="1">IF(ISNUMBER(N$2),IF(ISBLANK(INDIRECT("'"&amp;N$2&amp;"'!E60")),"",INDIRECT("'"&amp;N$2&amp;"'!E60")),"")</f>
        <v/>
      </c>
      <c r="O116" s="339" t="str" cm="1">
        <f t="array" aca="1" ref="O116" ca="1">IF(ISNUMBER(O$2),IF(ISBLANK(INDIRECT("'"&amp;O$2&amp;"'!E60")),"",INDIRECT("'"&amp;O$2&amp;"'!E60")),"")</f>
        <v/>
      </c>
      <c r="P116" s="339" t="str" cm="1">
        <f t="array" aca="1" ref="P116" ca="1">IF(OR(ISNUMBER(J116:O116)),AVERAGE(J116:O116),J116)</f>
        <v/>
      </c>
    </row>
    <row r="117" spans="1:16">
      <c r="A117" s="874" t="s">
        <v>913</v>
      </c>
      <c r="B117" s="874" t="s">
        <v>99</v>
      </c>
      <c r="C117" s="874">
        <v>3</v>
      </c>
      <c r="D117" s="874" t="s">
        <v>817</v>
      </c>
      <c r="E117" s="859"/>
      <c r="F117" s="860"/>
      <c r="G117" s="857">
        <v>0.8</v>
      </c>
      <c r="H117" s="860">
        <v>1</v>
      </c>
      <c r="I117" s="859"/>
      <c r="J117" s="339" t="s">
        <v>155</v>
      </c>
      <c r="K117" s="339" t="s">
        <v>155</v>
      </c>
      <c r="L117" s="339" t="s">
        <v>155</v>
      </c>
      <c r="M117" s="339" t="s">
        <v>155</v>
      </c>
      <c r="N117" s="339" t="s">
        <v>155</v>
      </c>
      <c r="O117" s="339" t="s">
        <v>155</v>
      </c>
      <c r="P117" s="873" t="str" cm="1">
        <f t="array" ref="P117">IF(OR(ISNUMBER(J117:O117)),AVERAGE(J117:O117),J117)</f>
        <v>NA</v>
      </c>
    </row>
    <row r="118" spans="1:16">
      <c r="A118" s="874" t="s">
        <v>913</v>
      </c>
      <c r="B118" s="874" t="s">
        <v>100</v>
      </c>
      <c r="C118" s="874">
        <v>1</v>
      </c>
      <c r="D118" s="874" t="s">
        <v>909</v>
      </c>
      <c r="E118" s="859"/>
      <c r="F118" s="860"/>
      <c r="G118" s="857"/>
      <c r="H118" s="860">
        <v>85</v>
      </c>
      <c r="I118" s="859"/>
      <c r="J118" s="339" t="str" cm="1">
        <f t="array" aca="1" ref="J118" ca="1">IF(ISNUMBER(J$2),IF(OR(ISBLANK(INDIRECT("'"&amp;J$2&amp;"'!I58")),ISBLANK(INDIRECT("'"&amp;J$2&amp;"'!I59"))),"",INDIRECT("'"&amp;J$2&amp;"'!I58"))+INDIRECT("'"&amp;J$2&amp;"'!I59"),"")</f>
        <v/>
      </c>
      <c r="K118" s="339" t="str" cm="1">
        <f t="array" aca="1" ref="K118" ca="1">IF(ISNUMBER(K$2),IF(OR(ISBLANK(INDIRECT("'"&amp;K$2&amp;"'!I58")),ISBLANK(INDIRECT("'"&amp;K$2&amp;"'!I59"))),"",INDIRECT("'"&amp;K$2&amp;"'!I58"))+INDIRECT("'"&amp;K$2&amp;"'!I59"),"")</f>
        <v/>
      </c>
      <c r="L118" s="339" t="str" cm="1">
        <f t="array" aca="1" ref="L118" ca="1">IF(ISNUMBER(L$2),IF(OR(ISBLANK(INDIRECT("'"&amp;L$2&amp;"'!I58")),ISBLANK(INDIRECT("'"&amp;L$2&amp;"'!I59"))),"",INDIRECT("'"&amp;L$2&amp;"'!I58"))+INDIRECT("'"&amp;L$2&amp;"'!I59"),"")</f>
        <v/>
      </c>
      <c r="M118" s="339" t="str" cm="1">
        <f t="array" aca="1" ref="M118" ca="1">IF(ISNUMBER(M$2),IF(OR(ISBLANK(INDIRECT("'"&amp;M$2&amp;"'!I58")),ISBLANK(INDIRECT("'"&amp;M$2&amp;"'!I59"))),"",INDIRECT("'"&amp;M$2&amp;"'!I58"))+INDIRECT("'"&amp;M$2&amp;"'!I59"),"")</f>
        <v/>
      </c>
      <c r="N118" s="339" t="str" cm="1">
        <f t="array" aca="1" ref="N118" ca="1">IF(ISNUMBER(N$2),IF(OR(ISBLANK(INDIRECT("'"&amp;N$2&amp;"'!I58")),ISBLANK(INDIRECT("'"&amp;N$2&amp;"'!I59"))),"",INDIRECT("'"&amp;N$2&amp;"'!I58"))+INDIRECT("'"&amp;N$2&amp;"'!I59"),"")</f>
        <v/>
      </c>
      <c r="O118" s="339" t="str" cm="1">
        <f t="array" aca="1" ref="O118" ca="1">IF(ISNUMBER(O$2),IF(OR(ISBLANK(INDIRECT("'"&amp;O$2&amp;"'!I58")),ISBLANK(INDIRECT("'"&amp;O$2&amp;"'!I59"))),"",INDIRECT("'"&amp;O$2&amp;"'!I58"))+INDIRECT("'"&amp;O$2&amp;"'!I59"),"")</f>
        <v/>
      </c>
      <c r="P118" s="873" t="str" cm="1">
        <f t="array" aca="1" ref="P118" ca="1">IF(OR(ISNUMBER(J118:O118)),AVERAGE(J118:O118),J118)</f>
        <v/>
      </c>
    </row>
    <row r="119" spans="1:16">
      <c r="A119" s="874" t="s">
        <v>913</v>
      </c>
      <c r="B119" s="874" t="s">
        <v>101</v>
      </c>
      <c r="C119" s="874">
        <v>1</v>
      </c>
      <c r="D119" s="874" t="s">
        <v>908</v>
      </c>
      <c r="E119" s="859"/>
      <c r="F119" s="860"/>
      <c r="G119" s="857"/>
      <c r="H119" s="860">
        <v>75</v>
      </c>
      <c r="I119" s="859"/>
      <c r="J119" s="339" t="str" cm="1">
        <f t="array" aca="1" ref="J119" ca="1">IF(ISNUMBER(J$2),IF(ISBLANK(INDIRECT("'"&amp;J$2&amp;"'!L56")),"",INDIRECT("'"&amp;J$2&amp;"'!L56")),"")</f>
        <v/>
      </c>
      <c r="K119" s="339" t="str" cm="1">
        <f t="array" aca="1" ref="K119" ca="1">IF(ISNUMBER(K$2),IF(ISBLANK(INDIRECT("'"&amp;K$2&amp;"'!L56")),"",INDIRECT("'"&amp;K$2&amp;"'!L56")),"")</f>
        <v/>
      </c>
      <c r="L119" s="339" t="str" cm="1">
        <f t="array" aca="1" ref="L119" ca="1">IF(ISNUMBER(L$2),IF(ISBLANK(INDIRECT("'"&amp;L$2&amp;"'!L56")),"",INDIRECT("'"&amp;L$2&amp;"'!L56")),"")</f>
        <v/>
      </c>
      <c r="M119" s="339" t="str" cm="1">
        <f t="array" aca="1" ref="M119" ca="1">IF(ISNUMBER(M$2),IF(ISBLANK(INDIRECT("'"&amp;M$2&amp;"'!L56")),"",INDIRECT("'"&amp;M$2&amp;"'!L56")),"")</f>
        <v/>
      </c>
      <c r="N119" s="339" t="str" cm="1">
        <f t="array" aca="1" ref="N119" ca="1">IF(ISNUMBER(N$2),IF(ISBLANK(INDIRECT("'"&amp;N$2&amp;"'!L56")),"",INDIRECT("'"&amp;N$2&amp;"'!L56")),"")</f>
        <v/>
      </c>
      <c r="O119" s="339" t="str" cm="1">
        <f t="array" aca="1" ref="O119" ca="1">IF(ISNUMBER(O$2),IF(ISBLANK(INDIRECT("'"&amp;O$2&amp;"'!L56")),"",INDIRECT("'"&amp;O$2&amp;"'!L56")),"")</f>
        <v/>
      </c>
      <c r="P119" s="873" t="str" cm="1">
        <f t="array" aca="1" ref="P119" ca="1">IF(OR(ISNUMBER(J119:O119)),AVERAGE(J119:O119),J119)</f>
        <v/>
      </c>
    </row>
    <row r="120" spans="1:16">
      <c r="A120" s="874" t="s">
        <v>915</v>
      </c>
      <c r="B120" s="874" t="s">
        <v>41</v>
      </c>
      <c r="C120" s="874">
        <v>1</v>
      </c>
      <c r="D120" s="874" t="s">
        <v>817</v>
      </c>
      <c r="E120" s="859"/>
      <c r="F120" s="860">
        <v>1.5</v>
      </c>
      <c r="G120" s="857">
        <v>2</v>
      </c>
      <c r="H120" s="860"/>
      <c r="I120" s="859"/>
      <c r="J120" s="339" t="s">
        <v>155</v>
      </c>
      <c r="K120" s="339" t="s">
        <v>155</v>
      </c>
      <c r="L120" s="339" t="s">
        <v>155</v>
      </c>
      <c r="M120" s="339" t="s">
        <v>155</v>
      </c>
      <c r="N120" s="339" t="s">
        <v>155</v>
      </c>
      <c r="O120" s="339" t="s">
        <v>155</v>
      </c>
      <c r="P120" s="339" t="s">
        <v>155</v>
      </c>
    </row>
    <row r="121" spans="1:16">
      <c r="A121" s="874" t="s">
        <v>916</v>
      </c>
      <c r="B121" s="874" t="s">
        <v>104</v>
      </c>
      <c r="C121" s="874"/>
      <c r="D121" s="874" t="s">
        <v>592</v>
      </c>
      <c r="E121" s="859"/>
      <c r="F121" s="860">
        <v>500</v>
      </c>
      <c r="G121" s="857"/>
      <c r="H121" s="860">
        <v>550</v>
      </c>
      <c r="I121" s="859"/>
      <c r="J121" s="339" t="str" cm="1">
        <f t="array" aca="1" ref="J121" ca="1">IF(ISNUMBER(J$2),IF(ISBLANK(INDIRECT("'"&amp;J$2&amp;"'!E72")),"",INDIRECT("'"&amp;J$2&amp;"'!E72")),"")</f>
        <v/>
      </c>
      <c r="K121" s="339" t="str" cm="1">
        <f t="array" aca="1" ref="K121" ca="1">IF(ISNUMBER(K$2),IF(ISBLANK(INDIRECT("'"&amp;K$2&amp;"'!E72")),"",INDIRECT("'"&amp;K$2&amp;"'!E72")),"")</f>
        <v/>
      </c>
      <c r="L121" s="339" t="str" cm="1">
        <f t="array" aca="1" ref="L121" ca="1">IF(ISNUMBER(L$2),IF(ISBLANK(INDIRECT("'"&amp;L$2&amp;"'!E72")),"",INDIRECT("'"&amp;L$2&amp;"'!E72")),"")</f>
        <v/>
      </c>
      <c r="M121" s="339" t="str" cm="1">
        <f t="array" aca="1" ref="M121" ca="1">IF(ISNUMBER(M$2),IF(ISBLANK(INDIRECT("'"&amp;M$2&amp;"'!E72")),"",INDIRECT("'"&amp;M$2&amp;"'!E72")),"")</f>
        <v/>
      </c>
      <c r="N121" s="339" t="str" cm="1">
        <f t="array" aca="1" ref="N121" ca="1">IF(ISNUMBER(N$2),IF(ISBLANK(INDIRECT("'"&amp;N$2&amp;"'!E72")),"",INDIRECT("'"&amp;N$2&amp;"'!E72")),"")</f>
        <v/>
      </c>
      <c r="O121" s="339" t="str" cm="1">
        <f t="array" aca="1" ref="O121" ca="1">IF(ISNUMBER(O$2),IF(ISBLANK(INDIRECT("'"&amp;O$2&amp;"'!E72")),"",INDIRECT("'"&amp;O$2&amp;"'!E72")),"")</f>
        <v/>
      </c>
      <c r="P121" s="873" t="str" cm="1">
        <f t="array" aca="1" ref="P121" ca="1">IF(OR(ISNUMBER(J121:O121)),AVERAGE(J121:O121),J121)</f>
        <v/>
      </c>
    </row>
    <row r="122" spans="1:16">
      <c r="A122" s="874" t="s">
        <v>916</v>
      </c>
      <c r="B122" s="874" t="s">
        <v>109</v>
      </c>
      <c r="C122" s="874">
        <v>1</v>
      </c>
      <c r="D122" s="874" t="s">
        <v>909</v>
      </c>
      <c r="E122" s="859"/>
      <c r="F122" s="860">
        <v>25</v>
      </c>
      <c r="G122" s="857"/>
      <c r="H122" s="860">
        <v>30</v>
      </c>
      <c r="I122" s="859"/>
      <c r="J122" s="339" t="str" cm="1">
        <f t="array" aca="1" ref="J122" ca="1">IF(ISNUMBER(J$2),IF(ISBLANK(INDIRECT("'"&amp;J$2&amp;"'!I72")),"",INDIRECT("'"&amp;J$2&amp;"'!I72")),"")</f>
        <v/>
      </c>
      <c r="K122" s="339" t="str" cm="1">
        <f t="array" aca="1" ref="K122" ca="1">IF(ISNUMBER(K$2),IF(ISBLANK(INDIRECT("'"&amp;K$2&amp;"'!I72")),"",INDIRECT("'"&amp;K$2&amp;"'!I72")),"")</f>
        <v/>
      </c>
      <c r="L122" s="339" t="str" cm="1">
        <f t="array" aca="1" ref="L122" ca="1">IF(ISNUMBER(L$2),IF(ISBLANK(INDIRECT("'"&amp;L$2&amp;"'!I72")),"",INDIRECT("'"&amp;L$2&amp;"'!I72")),"")</f>
        <v/>
      </c>
      <c r="M122" s="339" t="str" cm="1">
        <f t="array" aca="1" ref="M122" ca="1">IF(ISNUMBER(M$2),IF(ISBLANK(INDIRECT("'"&amp;M$2&amp;"'!I72")),"",INDIRECT("'"&amp;M$2&amp;"'!I72")),"")</f>
        <v/>
      </c>
      <c r="N122" s="339" t="str" cm="1">
        <f t="array" aca="1" ref="N122" ca="1">IF(ISNUMBER(N$2),IF(ISBLANK(INDIRECT("'"&amp;N$2&amp;"'!I72")),"",INDIRECT("'"&amp;N$2&amp;"'!I72")),"")</f>
        <v/>
      </c>
      <c r="O122" s="339" t="str" cm="1">
        <f t="array" aca="1" ref="O122" ca="1">IF(ISNUMBER(O$2),IF(ISBLANK(INDIRECT("'"&amp;O$2&amp;"'!I72")),"",INDIRECT("'"&amp;O$2&amp;"'!I72")),"")</f>
        <v/>
      </c>
      <c r="P122" s="873" t="str" cm="1">
        <f t="array" aca="1" ref="P122" ca="1">IF(OR(ISNUMBER(J122:O122)),AVERAGE(J122:O122),J122)</f>
        <v/>
      </c>
    </row>
    <row r="123" spans="1:16">
      <c r="A123" s="874" t="s">
        <v>916</v>
      </c>
      <c r="B123" s="874" t="s">
        <v>110</v>
      </c>
      <c r="C123" s="874"/>
      <c r="D123" s="874" t="s">
        <v>909</v>
      </c>
      <c r="E123" s="859"/>
      <c r="F123" s="860">
        <v>45</v>
      </c>
      <c r="G123" s="857"/>
      <c r="H123" s="860">
        <v>50</v>
      </c>
      <c r="I123" s="859"/>
      <c r="J123" s="339" t="str" cm="1">
        <f t="array" aca="1" ref="J123" ca="1">IF(ISNUMBER(J$2),IF(OR(ISBLANK(INDIRECT("'"&amp;J$2&amp;"'!I78")),ISBLANK(INDIRECT("'"&amp;J$2&amp;"'!I80"))),"",INDIRECT("'"&amp;J$2&amp;"'!I78"))+INDIRECT("'"&amp;J$2&amp;"'!I80"),"")</f>
        <v/>
      </c>
      <c r="K123" s="339" t="str" cm="1">
        <f t="array" aca="1" ref="K123" ca="1">IF(ISNUMBER(K$2),IF(OR(ISBLANK(INDIRECT("'"&amp;K$2&amp;"'!I78")),ISBLANK(INDIRECT("'"&amp;K$2&amp;"'!I80"))),"",INDIRECT("'"&amp;K$2&amp;"'!I78"))+INDIRECT("'"&amp;K$2&amp;"'!I80"),"")</f>
        <v/>
      </c>
      <c r="L123" s="339" t="str" cm="1">
        <f t="array" aca="1" ref="L123" ca="1">IF(ISNUMBER(L$2),IF(OR(ISBLANK(INDIRECT("'"&amp;L$2&amp;"'!I78")),ISBLANK(INDIRECT("'"&amp;L$2&amp;"'!I80"))),"",INDIRECT("'"&amp;L$2&amp;"'!I78"))+INDIRECT("'"&amp;L$2&amp;"'!I80"),"")</f>
        <v/>
      </c>
      <c r="M123" s="339" t="str" cm="1">
        <f t="array" aca="1" ref="M123" ca="1">IF(ISNUMBER(M$2),IF(OR(ISBLANK(INDIRECT("'"&amp;M$2&amp;"'!I78")),ISBLANK(INDIRECT("'"&amp;M$2&amp;"'!I80"))),"",INDIRECT("'"&amp;M$2&amp;"'!I78"))+INDIRECT("'"&amp;M$2&amp;"'!I80"),"")</f>
        <v/>
      </c>
      <c r="N123" s="339" t="str" cm="1">
        <f t="array" aca="1" ref="N123" ca="1">IF(ISNUMBER(N$2),IF(OR(ISBLANK(INDIRECT("'"&amp;N$2&amp;"'!I78")),ISBLANK(INDIRECT("'"&amp;N$2&amp;"'!I80"))),"",INDIRECT("'"&amp;N$2&amp;"'!I78"))+INDIRECT("'"&amp;N$2&amp;"'!I80"),"")</f>
        <v/>
      </c>
      <c r="O123" s="339" t="str" cm="1">
        <f t="array" aca="1" ref="O123" ca="1">IF(ISNUMBER(O$2),IF(OR(ISBLANK(INDIRECT("'"&amp;O$2&amp;"'!I78")),ISBLANK(INDIRECT("'"&amp;O$2&amp;"'!I80"))),"",INDIRECT("'"&amp;O$2&amp;"'!I78"))+INDIRECT("'"&amp;O$2&amp;"'!I80"),"")</f>
        <v/>
      </c>
      <c r="P123" s="873" t="str" cm="1">
        <f t="array" aca="1" ref="P123" ca="1">IF(OR(ISNUMBER(J123:O123)),AVERAGE(J123:O123),J123)</f>
        <v/>
      </c>
    </row>
    <row r="124" spans="1:16">
      <c r="A124" s="874" t="s">
        <v>916</v>
      </c>
      <c r="B124" s="874" t="s">
        <v>917</v>
      </c>
      <c r="C124" s="874">
        <v>1</v>
      </c>
      <c r="D124" s="874" t="s">
        <v>909</v>
      </c>
      <c r="E124" s="859"/>
      <c r="F124" s="860"/>
      <c r="G124" s="857"/>
      <c r="H124" s="860">
        <v>2</v>
      </c>
      <c r="I124" s="859"/>
      <c r="J124" s="339" t="str">
        <f ca="1">IFERROR(J122+J123-75,"")</f>
        <v/>
      </c>
      <c r="K124" s="339" t="str">
        <f t="shared" ref="K124:O124" ca="1" si="4">IFERROR(K122+K123-75,"")</f>
        <v/>
      </c>
      <c r="L124" s="339" t="str">
        <f t="shared" ca="1" si="4"/>
        <v/>
      </c>
      <c r="M124" s="339" t="str">
        <f t="shared" ca="1" si="4"/>
        <v/>
      </c>
      <c r="N124" s="339" t="str">
        <f t="shared" ca="1" si="4"/>
        <v/>
      </c>
      <c r="O124" s="339" t="str">
        <f t="shared" ca="1" si="4"/>
        <v/>
      </c>
      <c r="P124" s="873" t="str" cm="1">
        <f t="array" aca="1" ref="P124" ca="1">IF(OR(ISNUMBER(J124:O124)),AVERAGE(J124:O124),J124)</f>
        <v/>
      </c>
    </row>
    <row r="125" spans="1:16">
      <c r="A125" s="874" t="s">
        <v>916</v>
      </c>
      <c r="B125" s="874" t="s">
        <v>46</v>
      </c>
      <c r="C125" s="874">
        <v>1</v>
      </c>
      <c r="D125" s="874" t="s">
        <v>829</v>
      </c>
      <c r="E125" s="859"/>
      <c r="F125" s="860">
        <v>4.5</v>
      </c>
      <c r="G125" s="857">
        <v>5</v>
      </c>
      <c r="H125" s="860">
        <v>6</v>
      </c>
      <c r="I125" s="859"/>
      <c r="J125" s="872" t="str" cm="1">
        <f t="array" aca="1" ref="J125" ca="1">IF(ISNUMBER(J$2),IF(OR(ISBLANK(INDIRECT("'"&amp;J$2&amp;"'!E78")),ISBLANK(INDIRECT("'"&amp;J$2&amp;"'!E84"))),"",1-(INDIRECT("'"&amp;J$2&amp;"'!E84"))/INDIRECT("'"&amp;J$2&amp;"'!E78")),"")</f>
        <v/>
      </c>
      <c r="K125" s="872" t="str" cm="1">
        <f t="array" aca="1" ref="K125" ca="1">IF(ISNUMBER(K$2),IF(OR(ISBLANK(INDIRECT("'"&amp;K$2&amp;"'!E78")),ISBLANK(INDIRECT("'"&amp;K$2&amp;"'!E84"))),"",1-(INDIRECT("'"&amp;K$2&amp;"'!E84"))/INDIRECT("'"&amp;K$2&amp;"'!E78")),"")</f>
        <v/>
      </c>
      <c r="L125" s="872" t="str" cm="1">
        <f t="array" aca="1" ref="L125" ca="1">IF(ISNUMBER(L$2),IF(OR(ISBLANK(INDIRECT("'"&amp;L$2&amp;"'!E78")),ISBLANK(INDIRECT("'"&amp;L$2&amp;"'!E84"))),"",1-(INDIRECT("'"&amp;L$2&amp;"'!E84"))/INDIRECT("'"&amp;L$2&amp;"'!E78")),"")</f>
        <v/>
      </c>
      <c r="M125" s="872" t="str" cm="1">
        <f t="array" aca="1" ref="M125" ca="1">IF(ISNUMBER(M$2),IF(OR(ISBLANK(INDIRECT("'"&amp;M$2&amp;"'!E78")),ISBLANK(INDIRECT("'"&amp;M$2&amp;"'!E84"))),"",1-(INDIRECT("'"&amp;M$2&amp;"'!E84"))/INDIRECT("'"&amp;M$2&amp;"'!E78")),"")</f>
        <v/>
      </c>
      <c r="N125" s="872" t="str" cm="1">
        <f t="array" aca="1" ref="N125" ca="1">IF(ISNUMBER(N$2),IF(OR(ISBLANK(INDIRECT("'"&amp;N$2&amp;"'!E78")),ISBLANK(INDIRECT("'"&amp;N$2&amp;"'!E84"))),"",1-(INDIRECT("'"&amp;N$2&amp;"'!E84"))/INDIRECT("'"&amp;N$2&amp;"'!E78")),"")</f>
        <v/>
      </c>
      <c r="O125" s="872" t="str" cm="1">
        <f t="array" aca="1" ref="O125" ca="1">IF(ISNUMBER(O$2),IF(OR(ISBLANK(INDIRECT("'"&amp;O$2&amp;"'!E78")),ISBLANK(INDIRECT("'"&amp;O$2&amp;"'!E84"))),"",1-(INDIRECT("'"&amp;O$2&amp;"'!E84"))/INDIRECT("'"&amp;O$2&amp;"'!E78")),"")</f>
        <v/>
      </c>
      <c r="P125" s="872" t="str" cm="1">
        <f t="array" aca="1" ref="P125" ca="1">IF(OR(ISNUMBER(J125:O125)),AVERAGE(J125:O125),J125)</f>
        <v/>
      </c>
    </row>
    <row r="126" spans="1:16">
      <c r="A126" s="874" t="s">
        <v>916</v>
      </c>
      <c r="B126" s="874" t="s">
        <v>47</v>
      </c>
      <c r="C126" s="874">
        <v>1</v>
      </c>
      <c r="D126" s="874" t="s">
        <v>829</v>
      </c>
      <c r="E126" s="859"/>
      <c r="F126" s="860">
        <v>8</v>
      </c>
      <c r="G126" s="857">
        <v>9</v>
      </c>
      <c r="H126" s="860">
        <v>10</v>
      </c>
      <c r="I126" s="859"/>
      <c r="J126" s="872" t="str" cm="1">
        <f t="array" aca="1" ref="J126" ca="1">IF(ISNUMBER(J$2),IF(OR(ISBLANK(INDIRECT("'"&amp;J$2&amp;"'!E66")),ISBLANK(INDIRECT("'"&amp;J$2&amp;"'!E98"))),"",1-(INDIRECT("'"&amp;J$2&amp;"'!E98")+10.5)/INDIRECT("'"&amp;J$2&amp;"'!E66")),"")</f>
        <v/>
      </c>
      <c r="K126" s="872" t="str" cm="1">
        <f t="array" aca="1" ref="K126" ca="1">IF(ISNUMBER(K$2),IF(OR(ISBLANK(INDIRECT("'"&amp;K$2&amp;"'!E66")),ISBLANK(INDIRECT("'"&amp;K$2&amp;"'!E98"))),"",1-(INDIRECT("'"&amp;K$2&amp;"'!E98")+10.5)/INDIRECT("'"&amp;K$2&amp;"'!E66")),"")</f>
        <v/>
      </c>
      <c r="L126" s="872" t="str" cm="1">
        <f t="array" aca="1" ref="L126" ca="1">IF(ISNUMBER(L$2),IF(OR(ISBLANK(INDIRECT("'"&amp;L$2&amp;"'!E66")),ISBLANK(INDIRECT("'"&amp;L$2&amp;"'!E98"))),"",1-(INDIRECT("'"&amp;L$2&amp;"'!E98")+10.5)/INDIRECT("'"&amp;L$2&amp;"'!E66")),"")</f>
        <v/>
      </c>
      <c r="M126" s="872" t="str" cm="1">
        <f t="array" aca="1" ref="M126" ca="1">IF(ISNUMBER(M$2),IF(OR(ISBLANK(INDIRECT("'"&amp;M$2&amp;"'!E66")),ISBLANK(INDIRECT("'"&amp;M$2&amp;"'!E98"))),"",1-(INDIRECT("'"&amp;M$2&amp;"'!E98")+10.5)/INDIRECT("'"&amp;M$2&amp;"'!E66")),"")</f>
        <v/>
      </c>
      <c r="N126" s="872" t="str" cm="1">
        <f t="array" aca="1" ref="N126" ca="1">IF(ISNUMBER(N$2),IF(OR(ISBLANK(INDIRECT("'"&amp;N$2&amp;"'!E66")),ISBLANK(INDIRECT("'"&amp;N$2&amp;"'!E98"))),"",1-(INDIRECT("'"&amp;N$2&amp;"'!E98")+10.5)/INDIRECT("'"&amp;N$2&amp;"'!E66")),"")</f>
        <v/>
      </c>
      <c r="O126" s="872" t="str" cm="1">
        <f t="array" aca="1" ref="O126" ca="1">IF(ISNUMBER(O$2),IF(OR(ISBLANK(INDIRECT("'"&amp;O$2&amp;"'!E66")),ISBLANK(INDIRECT("'"&amp;O$2&amp;"'!E98"))),"",1-(INDIRECT("'"&amp;O$2&amp;"'!E98")+10.5)/INDIRECT("'"&amp;O$2&amp;"'!E66")),"")</f>
        <v/>
      </c>
      <c r="P126" s="873" t="str" cm="1">
        <f t="array" aca="1" ref="P126" ca="1">IFERROR(IF(OR(ISNUMBER(J126:O126)),AVERAGE(J126:O126),J126)*100,"")</f>
        <v/>
      </c>
    </row>
    <row r="127" spans="1:16">
      <c r="A127" s="874" t="s">
        <v>916</v>
      </c>
      <c r="B127" s="874" t="s">
        <v>918</v>
      </c>
      <c r="C127" s="874">
        <v>1</v>
      </c>
      <c r="D127" s="874" t="s">
        <v>829</v>
      </c>
      <c r="E127" s="859"/>
      <c r="F127" s="860">
        <v>8</v>
      </c>
      <c r="G127" s="857">
        <v>9</v>
      </c>
      <c r="H127" s="860">
        <v>10</v>
      </c>
      <c r="I127" s="859"/>
      <c r="J127" s="872" t="str" cm="1">
        <f t="array" aca="1" ref="J127" ca="1">IF(ISNUMBER(J$2),IF(OR(ISBLANK(INDIRECT("'"&amp;J$2&amp;"'!E66")),ISBLANK(INDIRECT("'"&amp;J$2&amp;"'!E98"))),"",1-(INDIRECT("'"&amp;J$2&amp;"'!E98")+10.5)/INDIRECT("'"&amp;J$2&amp;"'!E66")),"")</f>
        <v/>
      </c>
      <c r="K127" s="872" t="str" cm="1">
        <f t="array" aca="1" ref="K127" ca="1">IF(ISNUMBER(K$2),IF(OR(ISBLANK(INDIRECT("'"&amp;K$2&amp;"'!E66")),ISBLANK(INDIRECT("'"&amp;K$2&amp;"'!E98"))),"",1-(INDIRECT("'"&amp;K$2&amp;"'!E98")+10.5)/INDIRECT("'"&amp;K$2&amp;"'!E66")),"")</f>
        <v/>
      </c>
      <c r="L127" s="872" t="str" cm="1">
        <f t="array" aca="1" ref="L127" ca="1">IF(ISNUMBER(L$2),IF(OR(ISBLANK(INDIRECT("'"&amp;L$2&amp;"'!E66")),ISBLANK(INDIRECT("'"&amp;L$2&amp;"'!E98"))),"",1-(INDIRECT("'"&amp;L$2&amp;"'!E98")+10.5)/INDIRECT("'"&amp;L$2&amp;"'!E66")),"")</f>
        <v/>
      </c>
      <c r="M127" s="872" t="str" cm="1">
        <f t="array" aca="1" ref="M127" ca="1">IF(ISNUMBER(M$2),IF(OR(ISBLANK(INDIRECT("'"&amp;M$2&amp;"'!E66")),ISBLANK(INDIRECT("'"&amp;M$2&amp;"'!E98"))),"",1-(INDIRECT("'"&amp;M$2&amp;"'!E98")+10.5)/INDIRECT("'"&amp;M$2&amp;"'!E66")),"")</f>
        <v/>
      </c>
      <c r="N127" s="872" t="str" cm="1">
        <f t="array" aca="1" ref="N127" ca="1">IF(ISNUMBER(N$2),IF(OR(ISBLANK(INDIRECT("'"&amp;N$2&amp;"'!E66")),ISBLANK(INDIRECT("'"&amp;N$2&amp;"'!E98"))),"",1-(INDIRECT("'"&amp;N$2&amp;"'!E98")+10.5)/INDIRECT("'"&amp;N$2&amp;"'!E66")),"")</f>
        <v/>
      </c>
      <c r="O127" s="872" t="str" cm="1">
        <f t="array" aca="1" ref="O127" ca="1">IF(ISNUMBER(O$2),IF(OR(ISBLANK(INDIRECT("'"&amp;O$2&amp;"'!E66")),ISBLANK(INDIRECT("'"&amp;O$2&amp;"'!E98"))),"",1-(INDIRECT("'"&amp;O$2&amp;"'!E98")+10.5)/INDIRECT("'"&amp;O$2&amp;"'!E66")),"")</f>
        <v/>
      </c>
      <c r="P127" s="873" t="str" cm="1">
        <f t="array" aca="1" ref="P127" ca="1">IFERROR(IF(OR(ISNUMBER(J127:O127)),MAX(J127:O127),J127)*100,"")</f>
        <v/>
      </c>
    </row>
    <row r="128" spans="1:16">
      <c r="A128" s="874" t="s">
        <v>916</v>
      </c>
      <c r="B128" s="874" t="s">
        <v>919</v>
      </c>
      <c r="C128" s="874">
        <v>1</v>
      </c>
      <c r="D128" s="874" t="s">
        <v>829</v>
      </c>
      <c r="E128" s="859"/>
      <c r="F128" s="860">
        <v>8</v>
      </c>
      <c r="G128" s="857">
        <v>9</v>
      </c>
      <c r="H128" s="860">
        <v>10</v>
      </c>
      <c r="I128" s="859"/>
      <c r="J128" s="872" t="str" cm="1">
        <f t="array" aca="1" ref="J128" ca="1">IF(ISNUMBER(J$2),IF(OR(ISBLANK(INDIRECT("'"&amp;J$2&amp;"'!E66")),ISBLANK(INDIRECT("'"&amp;J$2&amp;"'!E98"))),"",1-(INDIRECT("'"&amp;J$2&amp;"'!E98")+10.5)/INDIRECT("'"&amp;J$2&amp;"'!E66")),"")</f>
        <v/>
      </c>
      <c r="K128" s="872" t="str" cm="1">
        <f t="array" aca="1" ref="K128" ca="1">IF(ISNUMBER(K$2),IF(OR(ISBLANK(INDIRECT("'"&amp;K$2&amp;"'!E66")),ISBLANK(INDIRECT("'"&amp;K$2&amp;"'!E98"))),"",1-(INDIRECT("'"&amp;K$2&amp;"'!E98")+10.5)/INDIRECT("'"&amp;K$2&amp;"'!E66")),"")</f>
        <v/>
      </c>
      <c r="L128" s="872" t="str" cm="1">
        <f t="array" aca="1" ref="L128" ca="1">IF(ISNUMBER(L$2),IF(OR(ISBLANK(INDIRECT("'"&amp;L$2&amp;"'!E66")),ISBLANK(INDIRECT("'"&amp;L$2&amp;"'!E98"))),"",1-(INDIRECT("'"&amp;L$2&amp;"'!E98")+10.5)/INDIRECT("'"&amp;L$2&amp;"'!E66")),"")</f>
        <v/>
      </c>
      <c r="M128" s="872" t="str" cm="1">
        <f t="array" aca="1" ref="M128" ca="1">IF(ISNUMBER(M$2),IF(OR(ISBLANK(INDIRECT("'"&amp;M$2&amp;"'!E66")),ISBLANK(INDIRECT("'"&amp;M$2&amp;"'!E98"))),"",1-(INDIRECT("'"&amp;M$2&amp;"'!E98")+10.5)/INDIRECT("'"&amp;M$2&amp;"'!E66")),"")</f>
        <v/>
      </c>
      <c r="N128" s="872" t="str" cm="1">
        <f t="array" aca="1" ref="N128" ca="1">IF(ISNUMBER(N$2),IF(OR(ISBLANK(INDIRECT("'"&amp;N$2&amp;"'!E66")),ISBLANK(INDIRECT("'"&amp;N$2&amp;"'!E98"))),"",1-(INDIRECT("'"&amp;N$2&amp;"'!E98")+10.5)/INDIRECT("'"&amp;N$2&amp;"'!E66")),"")</f>
        <v/>
      </c>
      <c r="O128" s="872" t="str" cm="1">
        <f t="array" aca="1" ref="O128" ca="1">IF(ISNUMBER(O$2),IF(OR(ISBLANK(INDIRECT("'"&amp;O$2&amp;"'!E66")),ISBLANK(INDIRECT("'"&amp;O$2&amp;"'!E98"))),"",1-(INDIRECT("'"&amp;O$2&amp;"'!E98")+10.5)/INDIRECT("'"&amp;O$2&amp;"'!E66")),"")</f>
        <v/>
      </c>
      <c r="P128" s="873" t="str" cm="1">
        <f t="array" aca="1" ref="P128" ca="1">IFERROR(IF(OR(ISNUMBER(J128:O128)),MIN(J128:O128),J128)*100,"")</f>
        <v/>
      </c>
    </row>
    <row r="129" spans="1:16">
      <c r="A129" s="874" t="s">
        <v>916</v>
      </c>
      <c r="B129" s="874" t="s">
        <v>920</v>
      </c>
      <c r="C129" s="874">
        <v>1</v>
      </c>
      <c r="D129" s="874" t="s">
        <v>909</v>
      </c>
      <c r="E129" s="859"/>
      <c r="F129" s="860"/>
      <c r="G129" s="857">
        <v>15</v>
      </c>
      <c r="H129" s="860">
        <v>15</v>
      </c>
      <c r="I129" s="859"/>
      <c r="J129" s="339" t="str" cm="1">
        <f t="array" aca="1" ref="J129" ca="1">IF(ISNUMBER(J$2),IF(ISBLANK(INDIRECT("'"&amp;J$2&amp;"'!I80")),"",INDIRECT("'"&amp;J$2&amp;"'!I80"))-5,"")</f>
        <v/>
      </c>
      <c r="K129" s="339" t="str" cm="1">
        <f t="array" aca="1" ref="K129" ca="1">IF(ISNUMBER(K$2),IF(ISBLANK(INDIRECT("'"&amp;K$2&amp;"'!I80")),"",INDIRECT("'"&amp;K$2&amp;"'!I80"))-5,"")</f>
        <v/>
      </c>
      <c r="L129" s="339" t="str" cm="1">
        <f t="array" aca="1" ref="L129" ca="1">IF(ISNUMBER(L$2),IF(ISBLANK(INDIRECT("'"&amp;L$2&amp;"'!I80")),"",INDIRECT("'"&amp;L$2&amp;"'!I80"))-5,"")</f>
        <v/>
      </c>
      <c r="M129" s="339" t="str" cm="1">
        <f t="array" aca="1" ref="M129" ca="1">IF(ISNUMBER(M$2),IF(ISBLANK(INDIRECT("'"&amp;M$2&amp;"'!I80")),"",INDIRECT("'"&amp;M$2&amp;"'!I80"))-5,"")</f>
        <v/>
      </c>
      <c r="N129" s="339" t="str" cm="1">
        <f t="array" aca="1" ref="N129" ca="1">IF(ISNUMBER(N$2),IF(ISBLANK(INDIRECT("'"&amp;N$2&amp;"'!I80")),"",INDIRECT("'"&amp;N$2&amp;"'!I80"))-5,"")</f>
        <v/>
      </c>
      <c r="O129" s="339" t="str" cm="1">
        <f t="array" aca="1" ref="O129" ca="1">IF(ISNUMBER(O$2),IF(ISBLANK(INDIRECT("'"&amp;O$2&amp;"'!I80")),"",INDIRECT("'"&amp;O$2&amp;"'!I80"))-5,"")</f>
        <v/>
      </c>
      <c r="P129" s="873" t="str" cm="1">
        <f t="array" aca="1" ref="P129" ca="1">IF(OR(ISNUMBER(J129:O129)),AVERAGE(J129:O129),J129)</f>
        <v/>
      </c>
    </row>
    <row r="130" spans="1:16">
      <c r="A130" s="874" t="s">
        <v>916</v>
      </c>
      <c r="B130" s="874" t="s">
        <v>921</v>
      </c>
      <c r="C130" s="874">
        <v>3</v>
      </c>
      <c r="D130" s="874"/>
      <c r="E130" s="859"/>
      <c r="F130" s="860"/>
      <c r="G130" s="857"/>
      <c r="H130" s="860">
        <v>2</v>
      </c>
      <c r="I130" s="859"/>
      <c r="J130" s="339" t="str" cm="1">
        <f t="array" aca="1" ref="J130" ca="1">IF(ISNUMBER(J$2),IF(ISBLANK(INDIRECT("'"&amp;J$2&amp;"'!I76")),"",INDIRECT("'"&amp;J$2&amp;"'!I76")),"")</f>
        <v/>
      </c>
      <c r="K130" s="339" t="str" cm="1">
        <f t="array" aca="1" ref="K130" ca="1">IF(ISNUMBER(K$2),IF(ISBLANK(INDIRECT("'"&amp;K$2&amp;"'!I76")),"",INDIRECT("'"&amp;K$2&amp;"'!I76")),"")</f>
        <v/>
      </c>
      <c r="L130" s="339" t="str" cm="1">
        <f t="array" aca="1" ref="L130" ca="1">IF(ISNUMBER(L$2),IF(ISBLANK(INDIRECT("'"&amp;L$2&amp;"'!I76")),"",INDIRECT("'"&amp;L$2&amp;"'!I76")),"")</f>
        <v/>
      </c>
      <c r="M130" s="339" t="str" cm="1">
        <f t="array" aca="1" ref="M130" ca="1">IF(ISNUMBER(M$2),IF(ISBLANK(INDIRECT("'"&amp;M$2&amp;"'!I76")),"",INDIRECT("'"&amp;M$2&amp;"'!I76")),"")</f>
        <v/>
      </c>
      <c r="N130" s="339" t="str" cm="1">
        <f t="array" aca="1" ref="N130" ca="1">IF(ISNUMBER(N$2),IF(ISBLANK(INDIRECT("'"&amp;N$2&amp;"'!I76")),"",INDIRECT("'"&amp;N$2&amp;"'!I76")),"")</f>
        <v/>
      </c>
      <c r="O130" s="339" t="str" cm="1">
        <f t="array" aca="1" ref="O130" ca="1">IF(ISNUMBER(O$2),IF(ISBLANK(INDIRECT("'"&amp;O$2&amp;"'!I76")),"",INDIRECT("'"&amp;O$2&amp;"'!I76")),"")</f>
        <v/>
      </c>
      <c r="P130" s="873" t="str" cm="1">
        <f t="array" aca="1" ref="P130" ca="1">IF(OR(ISNUMBER(J130:O130)),AVERAGE(J130:O130),J130)</f>
        <v/>
      </c>
    </row>
    <row r="131" spans="1:16">
      <c r="A131" s="874" t="s">
        <v>916</v>
      </c>
      <c r="B131" s="874" t="s">
        <v>922</v>
      </c>
      <c r="C131" s="874">
        <v>3</v>
      </c>
      <c r="D131" s="874"/>
      <c r="E131" s="859"/>
      <c r="F131" s="860"/>
      <c r="G131" s="857">
        <v>2</v>
      </c>
      <c r="H131" s="860">
        <v>3</v>
      </c>
      <c r="I131" s="859"/>
      <c r="J131" s="875"/>
      <c r="K131" s="875"/>
      <c r="L131" s="875"/>
      <c r="M131" s="875"/>
      <c r="N131" s="875"/>
      <c r="O131" s="875"/>
      <c r="P131" s="875" t="str" cm="1">
        <f t="array" ref="P131">IF(OR(ISNUMBER(J131:O131)),AVERAGE(J131:O131),"")</f>
        <v/>
      </c>
    </row>
    <row r="132" spans="1:16">
      <c r="A132" s="874" t="s">
        <v>916</v>
      </c>
      <c r="B132" s="874" t="s">
        <v>115</v>
      </c>
      <c r="C132" s="874">
        <v>1</v>
      </c>
      <c r="D132" s="874" t="s">
        <v>908</v>
      </c>
      <c r="E132" s="859"/>
      <c r="F132" s="860"/>
      <c r="G132" s="857"/>
      <c r="H132" s="860">
        <v>100.5</v>
      </c>
      <c r="I132" s="859"/>
      <c r="J132" s="876"/>
      <c r="K132" s="876"/>
      <c r="L132" s="876"/>
      <c r="M132" s="876"/>
      <c r="N132" s="876"/>
      <c r="O132" s="876"/>
      <c r="P132" s="876" t="str" cm="1">
        <f t="array" ref="P132">IF(OR(ISNUMBER(J132:O132)),AVERAGE(J132:O132),"")</f>
        <v/>
      </c>
    </row>
    <row r="133" spans="1:16">
      <c r="A133" s="874" t="s">
        <v>916</v>
      </c>
      <c r="B133" s="874" t="s">
        <v>116</v>
      </c>
      <c r="C133" s="874">
        <v>1</v>
      </c>
      <c r="D133" s="874" t="s">
        <v>912</v>
      </c>
      <c r="E133" s="859"/>
      <c r="F133" s="860"/>
      <c r="G133" s="857"/>
      <c r="H133" s="860">
        <v>15</v>
      </c>
      <c r="I133" s="859"/>
      <c r="J133" s="875"/>
      <c r="K133" s="875"/>
      <c r="L133" s="875"/>
      <c r="M133" s="875"/>
      <c r="N133" s="875"/>
      <c r="O133" s="875"/>
      <c r="P133" s="875" t="str" cm="1">
        <f t="array" ref="P133">IF(OR(ISNUMBER(J133:O133)),AVERAGE(J133:O133),"")</f>
        <v/>
      </c>
    </row>
    <row r="134" spans="1:16">
      <c r="A134" s="874" t="s">
        <v>916</v>
      </c>
      <c r="B134" s="874" t="s">
        <v>923</v>
      </c>
      <c r="C134" s="874">
        <v>1</v>
      </c>
      <c r="D134" s="874" t="s">
        <v>912</v>
      </c>
      <c r="E134" s="859"/>
      <c r="F134" s="860"/>
      <c r="G134" s="857"/>
      <c r="H134" s="860"/>
      <c r="I134" s="859"/>
      <c r="J134" s="876"/>
      <c r="K134" s="876"/>
      <c r="L134" s="876"/>
      <c r="M134" s="876"/>
      <c r="N134" s="876"/>
      <c r="O134" s="876"/>
      <c r="P134" s="876" t="str" cm="1">
        <f t="array" ref="P134">IF(OR(ISNUMBER(J134:O134)),AVERAGE(J134:O134),"")</f>
        <v/>
      </c>
    </row>
    <row r="135" spans="1:16">
      <c r="A135" s="874" t="s">
        <v>916</v>
      </c>
      <c r="B135" s="874" t="s">
        <v>924</v>
      </c>
      <c r="C135" s="874">
        <v>1</v>
      </c>
      <c r="D135" s="874" t="s">
        <v>912</v>
      </c>
      <c r="E135" s="859"/>
      <c r="F135" s="860"/>
      <c r="G135" s="857"/>
      <c r="H135" s="860">
        <v>1.7</v>
      </c>
      <c r="I135" s="859"/>
      <c r="J135" s="876"/>
      <c r="K135" s="876"/>
      <c r="L135" s="876"/>
      <c r="M135" s="876"/>
      <c r="N135" s="876"/>
      <c r="O135" s="876"/>
      <c r="P135" s="876" t="str" cm="1">
        <f t="array" ref="P135">IF(OR(ISNUMBER(J135:O135)),AVERAGE(J135:O135),"")</f>
        <v/>
      </c>
    </row>
    <row r="136" spans="1:16">
      <c r="A136" s="874" t="s">
        <v>787</v>
      </c>
      <c r="B136" s="874" t="s">
        <v>120</v>
      </c>
      <c r="C136" s="874"/>
      <c r="D136" s="874" t="s">
        <v>909</v>
      </c>
      <c r="E136" s="859"/>
      <c r="F136" s="860"/>
      <c r="G136" s="857"/>
      <c r="H136" s="860">
        <v>10</v>
      </c>
      <c r="I136" s="859"/>
      <c r="J136" s="339" t="str" cm="1">
        <f t="array" aca="1" ref="J136" ca="1">IF(ISNUMBER(J$2),IF(ISBLANK(INDIRECT("'"&amp;J$2&amp;"'!I88")),"",INDIRECT("'"&amp;J$2&amp;"'!I88")),"")</f>
        <v/>
      </c>
      <c r="K136" s="339" t="str" cm="1">
        <f t="array" aca="1" ref="K136" ca="1">IF(ISNUMBER(K$2),IF(ISBLANK(INDIRECT("'"&amp;K$2&amp;"'!I88")),"",INDIRECT("'"&amp;K$2&amp;"'!I88")),"")</f>
        <v/>
      </c>
      <c r="L136" s="339" t="str" cm="1">
        <f t="array" aca="1" ref="L136" ca="1">IF(ISNUMBER(L$2),IF(ISBLANK(INDIRECT("'"&amp;L$2&amp;"'!I88")),"",INDIRECT("'"&amp;L$2&amp;"'!I88")),"")</f>
        <v/>
      </c>
      <c r="M136" s="339" t="str" cm="1">
        <f t="array" aca="1" ref="M136" ca="1">IF(ISNUMBER(M$2),IF(ISBLANK(INDIRECT("'"&amp;M$2&amp;"'!I88")),"",INDIRECT("'"&amp;M$2&amp;"'!I88")),"")</f>
        <v/>
      </c>
      <c r="N136" s="339" t="str" cm="1">
        <f t="array" aca="1" ref="N136" ca="1">IF(ISNUMBER(N$2),IF(ISBLANK(INDIRECT("'"&amp;N$2&amp;"'!I88")),"",INDIRECT("'"&amp;N$2&amp;"'!I88")),"")</f>
        <v/>
      </c>
      <c r="O136" s="339" t="str" cm="1">
        <f t="array" aca="1" ref="O136" ca="1">IF(ISNUMBER(O$2),IF(ISBLANK(INDIRECT("'"&amp;O$2&amp;"'!I88")),"",INDIRECT("'"&amp;O$2&amp;"'!I88")),"")</f>
        <v/>
      </c>
      <c r="P136" s="873" t="str" cm="1">
        <f t="array" aca="1" ref="P136" ca="1">IF(OR(ISNUMBER(J136:O136)),AVERAGE(J136:O136),J136)</f>
        <v/>
      </c>
    </row>
    <row r="137" spans="1:16">
      <c r="A137" s="874" t="s">
        <v>787</v>
      </c>
      <c r="B137" s="874" t="s">
        <v>925</v>
      </c>
      <c r="C137" s="874"/>
      <c r="D137" s="874" t="s">
        <v>926</v>
      </c>
      <c r="E137" s="859"/>
      <c r="F137" s="860"/>
      <c r="G137" s="857"/>
      <c r="H137" s="860"/>
      <c r="I137" s="859"/>
      <c r="J137" s="339" t="str" cm="1">
        <f t="array" aca="1" ref="J137" ca="1">IF(ISNUMBER(J$2),IF(ISBLANK(INDIRECT("'"&amp;J$2&amp;"'!D83")),"",INDIRECT("'"&amp;J$2&amp;"'!D83")),"")</f>
        <v/>
      </c>
      <c r="K137" s="339" t="str" cm="1">
        <f t="array" aca="1" ref="K137" ca="1">IF(ISNUMBER(K$2),IF(ISBLANK(INDIRECT("'"&amp;K$2&amp;"'!D83")),"",INDIRECT("'"&amp;K$2&amp;"'!D83")),"")</f>
        <v/>
      </c>
      <c r="L137" s="339" t="str" cm="1">
        <f t="array" aca="1" ref="L137" ca="1">IF(ISNUMBER(L$2),IF(ISBLANK(INDIRECT("'"&amp;L$2&amp;"'!D83")),"",INDIRECT("'"&amp;L$2&amp;"'!D83")),"")</f>
        <v/>
      </c>
      <c r="M137" s="339" t="str" cm="1">
        <f t="array" aca="1" ref="M137" ca="1">IF(ISNUMBER(M$2),IF(ISBLANK(INDIRECT("'"&amp;M$2&amp;"'!D83")),"",INDIRECT("'"&amp;M$2&amp;"'!D83")),"")</f>
        <v/>
      </c>
      <c r="N137" s="339" t="str" cm="1">
        <f t="array" aca="1" ref="N137" ca="1">IF(ISNUMBER(N$2),IF(ISBLANK(INDIRECT("'"&amp;N$2&amp;"'!D83")),"",INDIRECT("'"&amp;N$2&amp;"'!D83")),"")</f>
        <v/>
      </c>
      <c r="O137" s="339" t="str" cm="1">
        <f t="array" aca="1" ref="O137" ca="1">IF(ISNUMBER(O$2),IF(ISBLANK(INDIRECT("'"&amp;O$2&amp;"'!D83")),"",INDIRECT("'"&amp;O$2&amp;"'!D83")),"")</f>
        <v/>
      </c>
      <c r="P137" s="873" t="str" cm="1">
        <f t="array" aca="1" ref="P137" ca="1">IF(OR(ISNUMBER(J137:O137)),AVERAGE(J137:O137),J137)</f>
        <v/>
      </c>
    </row>
    <row r="138" spans="1:16">
      <c r="A138" s="874" t="s">
        <v>787</v>
      </c>
      <c r="B138" s="874" t="s">
        <v>123</v>
      </c>
      <c r="C138" s="874"/>
      <c r="D138" s="874" t="s">
        <v>909</v>
      </c>
      <c r="E138" s="859"/>
      <c r="F138" s="860"/>
      <c r="G138" s="857"/>
      <c r="H138" s="860">
        <v>50</v>
      </c>
      <c r="I138" s="859"/>
      <c r="J138" s="339" t="str" cm="1">
        <f t="array" aca="1" ref="J138" ca="1">IF(ISNUMBER(J$2),IF(ISBLANK(INDIRECT("'"&amp;J$2&amp;"'!I98")),"",INDIRECT("'"&amp;J$2&amp;"'!I98")),"")</f>
        <v/>
      </c>
      <c r="K138" s="339" t="str" cm="1">
        <f t="array" aca="1" ref="K138" ca="1">IF(ISNUMBER(K$2),IF(ISBLANK(INDIRECT("'"&amp;K$2&amp;"'!I98")),"",INDIRECT("'"&amp;K$2&amp;"'!I98")),"")</f>
        <v/>
      </c>
      <c r="L138" s="339" t="str" cm="1">
        <f t="array" aca="1" ref="L138" ca="1">IF(ISNUMBER(L$2),IF(ISBLANK(INDIRECT("'"&amp;L$2&amp;"'!I98")),"",INDIRECT("'"&amp;L$2&amp;"'!I98")),"")</f>
        <v/>
      </c>
      <c r="M138" s="339" t="str" cm="1">
        <f t="array" aca="1" ref="M138" ca="1">IF(ISNUMBER(M$2),IF(ISBLANK(INDIRECT("'"&amp;M$2&amp;"'!I98")),"",INDIRECT("'"&amp;M$2&amp;"'!I98")),"")</f>
        <v/>
      </c>
      <c r="N138" s="339" t="str" cm="1">
        <f t="array" aca="1" ref="N138" ca="1">IF(ISNUMBER(N$2),IF(ISBLANK(INDIRECT("'"&amp;N$2&amp;"'!I98")),"",INDIRECT("'"&amp;N$2&amp;"'!I98")),"")</f>
        <v/>
      </c>
      <c r="O138" s="339" t="str" cm="1">
        <f t="array" aca="1" ref="O138" ca="1">IF(ISNUMBER(O$2),IF(ISBLANK(INDIRECT("'"&amp;O$2&amp;"'!I98")),"",INDIRECT("'"&amp;O$2&amp;"'!I98")),"")</f>
        <v/>
      </c>
      <c r="P138" s="873" t="str" cm="1">
        <f t="array" aca="1" ref="P138" ca="1">IF(OR(ISNUMBER(J138:O138)),AVERAGE(J138:O138),J138)</f>
        <v/>
      </c>
    </row>
    <row r="139" spans="1:16">
      <c r="A139" s="874" t="s">
        <v>787</v>
      </c>
      <c r="B139" s="874" t="s">
        <v>57</v>
      </c>
      <c r="C139" s="874"/>
      <c r="D139" s="874" t="s">
        <v>592</v>
      </c>
      <c r="E139" s="859"/>
      <c r="F139" s="860"/>
      <c r="G139" s="857"/>
      <c r="H139" s="860"/>
      <c r="I139" s="859"/>
      <c r="J139" s="339" t="str" cm="1">
        <f t="array" aca="1" ref="J139" ca="1">IF(ISNUMBER(J$2),IF(ISBLANK(INDIRECT("'"&amp;J$2&amp;"'!E98")),"",INDIRECT("'"&amp;J$2&amp;"'!E98")),"")</f>
        <v/>
      </c>
      <c r="K139" s="339" t="str" cm="1">
        <f t="array" aca="1" ref="K139" ca="1">IF(ISNUMBER(K$2),IF(ISBLANK(INDIRECT("'"&amp;K$2&amp;"'!E98")),"",INDIRECT("'"&amp;K$2&amp;"'!E98")),"")</f>
        <v/>
      </c>
      <c r="L139" s="339" t="str" cm="1">
        <f t="array" aca="1" ref="L139" ca="1">IF(ISNUMBER(L$2),IF(ISBLANK(INDIRECT("'"&amp;L$2&amp;"'!E98")),"",INDIRECT("'"&amp;L$2&amp;"'!E98")),"")</f>
        <v/>
      </c>
      <c r="M139" s="339" t="str" cm="1">
        <f t="array" aca="1" ref="M139" ca="1">IF(ISNUMBER(M$2),IF(ISBLANK(INDIRECT("'"&amp;M$2&amp;"'!E98")),"",INDIRECT("'"&amp;M$2&amp;"'!E98")),"")</f>
        <v/>
      </c>
      <c r="N139" s="339" t="str" cm="1">
        <f t="array" aca="1" ref="N139" ca="1">IF(ISNUMBER(N$2),IF(ISBLANK(INDIRECT("'"&amp;N$2&amp;"'!E98")),"",INDIRECT("'"&amp;N$2&amp;"'!E98")),"")</f>
        <v/>
      </c>
      <c r="O139" s="339" t="str" cm="1">
        <f t="array" aca="1" ref="O139" ca="1">IF(ISNUMBER(O$2),IF(ISBLANK(INDIRECT("'"&amp;O$2&amp;"'!E98")),"",INDIRECT("'"&amp;O$2&amp;"'!E98")),"")</f>
        <v/>
      </c>
      <c r="P139" s="873" t="str" cm="1">
        <f t="array" aca="1" ref="P139" ca="1">IF(OR(ISNUMBER(J139:O139)),AVERAGE(J139:O139),J139)</f>
        <v/>
      </c>
    </row>
    <row r="140" spans="1:16">
      <c r="A140" s="874" t="s">
        <v>787</v>
      </c>
      <c r="B140" s="874" t="s">
        <v>927</v>
      </c>
      <c r="C140" s="874"/>
      <c r="D140" s="874" t="s">
        <v>909</v>
      </c>
      <c r="E140" s="859"/>
      <c r="F140" s="860"/>
      <c r="G140" s="857"/>
      <c r="H140" s="860">
        <v>200</v>
      </c>
      <c r="I140" s="859"/>
      <c r="J140" s="339">
        <v>211</v>
      </c>
      <c r="K140" s="339">
        <v>211</v>
      </c>
      <c r="L140" s="339">
        <v>211</v>
      </c>
      <c r="M140" s="339">
        <v>211</v>
      </c>
      <c r="N140" s="339">
        <v>211</v>
      </c>
      <c r="O140" s="339">
        <v>211</v>
      </c>
      <c r="P140" s="873" cm="1">
        <f t="array" ref="P140">IF(OR(ISNUMBER(J140:O140)),AVERAGE(J140:O140),J140)</f>
        <v>211</v>
      </c>
    </row>
    <row r="141" spans="1:16">
      <c r="A141" s="874" t="s">
        <v>787</v>
      </c>
      <c r="B141" s="874" t="s">
        <v>927</v>
      </c>
      <c r="C141" s="874"/>
      <c r="D141" s="874" t="s">
        <v>909</v>
      </c>
      <c r="E141" s="859"/>
      <c r="F141" s="860"/>
      <c r="G141" s="857"/>
      <c r="H141" s="860">
        <v>220</v>
      </c>
      <c r="I141" s="859">
        <v>230</v>
      </c>
      <c r="J141" s="873" t="str" cm="1">
        <f t="array" aca="1" ref="J141" ca="1">IF(ISNUMBER(J$2),IF(ISBLANK(INDIRECT("'"&amp;J$2&amp;"'!L105")),"",INDIRECT("'"&amp;J$2&amp;"'!L105")),"")</f>
        <v/>
      </c>
      <c r="K141" s="873" t="str" cm="1">
        <f t="array" aca="1" ref="K141" ca="1">IF(ISNUMBER(K$2),IF(ISBLANK(INDIRECT("'"&amp;K$2&amp;"'!L105")),"",INDIRECT("'"&amp;K$2&amp;"'!L105")),"")</f>
        <v/>
      </c>
      <c r="L141" s="873" t="str" cm="1">
        <f t="array" aca="1" ref="L141" ca="1">IF(ISNUMBER(L$2),IF(ISBLANK(INDIRECT("'"&amp;L$2&amp;"'!L105")),"",INDIRECT("'"&amp;L$2&amp;"'!L105")),"")</f>
        <v/>
      </c>
      <c r="M141" s="873" t="str" cm="1">
        <f t="array" aca="1" ref="M141" ca="1">IF(ISNUMBER(M$2),IF(ISBLANK(INDIRECT("'"&amp;M$2&amp;"'!L105")),"",INDIRECT("'"&amp;M$2&amp;"'!L105")),"")</f>
        <v/>
      </c>
      <c r="N141" s="873" t="str" cm="1">
        <f t="array" aca="1" ref="N141" ca="1">IF(ISNUMBER(N$2),IF(ISBLANK(INDIRECT("'"&amp;N$2&amp;"'!L105")),"",INDIRECT("'"&amp;N$2&amp;"'!L105")),"")</f>
        <v/>
      </c>
      <c r="O141" s="873" t="str" cm="1">
        <f t="array" aca="1" ref="O141" ca="1">IF(ISNUMBER(O$2),IF(ISBLANK(INDIRECT("'"&amp;O$2&amp;"'!L105")),"",INDIRECT("'"&amp;O$2&amp;"'!L105")),"")</f>
        <v/>
      </c>
      <c r="P141" s="873" t="str" cm="1">
        <f t="array" aca="1" ref="P141" ca="1">IF(OR(ISNUMBER(J141:O141)),AVERAGE(J141:O141),J141)</f>
        <v/>
      </c>
    </row>
    <row r="142" spans="1:16">
      <c r="A142" s="874" t="s">
        <v>787</v>
      </c>
      <c r="B142" s="874" t="s">
        <v>928</v>
      </c>
      <c r="C142" s="874"/>
      <c r="D142" s="874" t="s">
        <v>909</v>
      </c>
      <c r="E142" s="859"/>
      <c r="F142" s="860"/>
      <c r="G142" s="857"/>
      <c r="H142" s="860">
        <v>5.5</v>
      </c>
      <c r="I142" s="859"/>
      <c r="J142" s="873" t="str" cm="1">
        <f t="array" aca="1" ref="J142" ca="1">IF(ISNUMBER(J$2),IF(ISBLANK(INDIRECT("'"&amp;J$2&amp;"'!L103")),"",INDIRECT("'"&amp;J$2&amp;"'!L103")),"")</f>
        <v/>
      </c>
      <c r="K142" s="873" t="str" cm="1">
        <f t="array" aca="1" ref="K142" ca="1">IF(ISNUMBER(K$2),IF(ISBLANK(INDIRECT("'"&amp;K$2&amp;"'!L103")),"",INDIRECT("'"&amp;K$2&amp;"'!L103")),"")</f>
        <v/>
      </c>
      <c r="L142" s="873" t="str" cm="1">
        <f t="array" aca="1" ref="L142" ca="1">IF(ISNUMBER(L$2),IF(ISBLANK(INDIRECT("'"&amp;L$2&amp;"'!L103")),"",INDIRECT("'"&amp;L$2&amp;"'!L103")),"")</f>
        <v/>
      </c>
      <c r="M142" s="873" t="str" cm="1">
        <f t="array" aca="1" ref="M142" ca="1">IF(ISNUMBER(M$2),IF(ISBLANK(INDIRECT("'"&amp;M$2&amp;"'!L103")),"",INDIRECT("'"&amp;M$2&amp;"'!L103")),"")</f>
        <v/>
      </c>
      <c r="N142" s="873" t="str" cm="1">
        <f t="array" aca="1" ref="N142" ca="1">IF(ISNUMBER(N$2),IF(ISBLANK(INDIRECT("'"&amp;N$2&amp;"'!L103")),"",INDIRECT("'"&amp;N$2&amp;"'!L103")),"")</f>
        <v/>
      </c>
      <c r="O142" s="873" t="str" cm="1">
        <f t="array" aca="1" ref="O142" ca="1">IF(ISNUMBER(O$2),IF(ISBLANK(INDIRECT("'"&amp;O$2&amp;"'!L103")),"",INDIRECT("'"&amp;O$2&amp;"'!L103")),"")</f>
        <v/>
      </c>
      <c r="P142" s="873" t="str" cm="1">
        <f t="array" aca="1" ref="P142" ca="1">IF(OR(ISNUMBER(J142:O142)),AVERAGE(J142:O142),J142)</f>
        <v/>
      </c>
    </row>
    <row r="143" spans="1:16">
      <c r="A143" s="874" t="s">
        <v>787</v>
      </c>
      <c r="B143" s="874" t="s">
        <v>929</v>
      </c>
      <c r="C143" s="874">
        <v>1</v>
      </c>
      <c r="D143" s="874" t="s">
        <v>909</v>
      </c>
      <c r="E143" s="859"/>
      <c r="F143" s="860"/>
      <c r="G143" s="857"/>
      <c r="H143" s="860">
        <v>0.2</v>
      </c>
      <c r="I143" s="859">
        <v>0.5</v>
      </c>
      <c r="J143" s="877" t="str">
        <f ca="1">IFERROR(J142-5.85,"")</f>
        <v/>
      </c>
      <c r="K143" s="877" t="str">
        <f t="shared" ref="K143:O143" ca="1" si="5">IFERROR(K142-5.85,"")</f>
        <v/>
      </c>
      <c r="L143" s="877" t="str">
        <f t="shared" ca="1" si="5"/>
        <v/>
      </c>
      <c r="M143" s="877" t="str">
        <f t="shared" ca="1" si="5"/>
        <v/>
      </c>
      <c r="N143" s="877" t="str">
        <f t="shared" ca="1" si="5"/>
        <v/>
      </c>
      <c r="O143" s="877" t="str">
        <f t="shared" ca="1" si="5"/>
        <v/>
      </c>
      <c r="P143" s="873" t="str" cm="1">
        <f t="array" aca="1" ref="P143" ca="1">IF(OR(ISNUMBER(J143:O143)),AVERAGE(J143:O143),J143)</f>
        <v/>
      </c>
    </row>
    <row r="144" spans="1:16">
      <c r="A144" s="874" t="s">
        <v>787</v>
      </c>
      <c r="B144" s="874" t="s">
        <v>427</v>
      </c>
      <c r="C144" s="874">
        <v>3</v>
      </c>
      <c r="D144" s="874"/>
      <c r="E144" s="859"/>
      <c r="F144" s="860"/>
      <c r="G144" s="857"/>
      <c r="H144" s="860">
        <v>300</v>
      </c>
      <c r="I144" s="859"/>
      <c r="J144" s="339" t="str" cm="1">
        <f t="array" aca="1" ref="J144" ca="1">IF(ISNUMBER(J$2),IF(ISBLANK(INDIRECT("'"&amp;J$2&amp;"'!E98")),"",INDIRECT("'"&amp;J$2&amp;"'!E98")),"")</f>
        <v/>
      </c>
      <c r="K144" s="339" t="str" cm="1">
        <f t="array" aca="1" ref="K144" ca="1">IF(ISNUMBER(K$2),IF(ISBLANK(INDIRECT("'"&amp;K$2&amp;"'!E98")),"",INDIRECT("'"&amp;K$2&amp;"'!E98")),"")</f>
        <v/>
      </c>
      <c r="L144" s="339" t="str" cm="1">
        <f t="array" aca="1" ref="L144" ca="1">IF(ISNUMBER(L$2),IF(ISBLANK(INDIRECT("'"&amp;L$2&amp;"'!E98")),"",INDIRECT("'"&amp;L$2&amp;"'!E98")),"")</f>
        <v/>
      </c>
      <c r="M144" s="339" t="str" cm="1">
        <f t="array" aca="1" ref="M144" ca="1">IF(ISNUMBER(M$2),IF(ISBLANK(INDIRECT("'"&amp;M$2&amp;"'!E98")),"",INDIRECT("'"&amp;M$2&amp;"'!E98")),"")</f>
        <v/>
      </c>
      <c r="N144" s="339" t="str" cm="1">
        <f t="array" aca="1" ref="N144" ca="1">IF(ISNUMBER(N$2),IF(ISBLANK(INDIRECT("'"&amp;N$2&amp;"'!E98")),"",INDIRECT("'"&amp;N$2&amp;"'!E98")),"")</f>
        <v/>
      </c>
      <c r="O144" s="339" t="str" cm="1">
        <f t="array" aca="1" ref="O144" ca="1">IF(ISNUMBER(O$2),IF(ISBLANK(INDIRECT("'"&amp;O$2&amp;"'!E98")),"",INDIRECT("'"&amp;O$2&amp;"'!E98")),"")</f>
        <v/>
      </c>
      <c r="P144" s="873" t="str" cm="1">
        <f t="array" aca="1" ref="P144" ca="1">IF(OR(ISNUMBER(J144:O144)),AVERAGE(J144:O144),J144)</f>
        <v/>
      </c>
    </row>
    <row r="145" spans="1:16">
      <c r="A145" s="874" t="s">
        <v>787</v>
      </c>
      <c r="B145" s="874" t="s">
        <v>930</v>
      </c>
      <c r="C145" s="874">
        <v>1</v>
      </c>
      <c r="D145" s="874" t="s">
        <v>902</v>
      </c>
      <c r="E145" s="859"/>
      <c r="F145" s="860"/>
      <c r="G145" s="857" t="s">
        <v>290</v>
      </c>
      <c r="H145" s="860"/>
      <c r="I145" s="859"/>
      <c r="J145" s="339" t="s">
        <v>290</v>
      </c>
      <c r="K145" s="339" t="s">
        <v>290</v>
      </c>
      <c r="L145" s="339" t="s">
        <v>290</v>
      </c>
      <c r="M145" s="339" t="s">
        <v>290</v>
      </c>
      <c r="N145" s="339" t="s">
        <v>290</v>
      </c>
      <c r="O145" s="339" t="s">
        <v>290</v>
      </c>
      <c r="P145" s="873" t="str" cm="1">
        <f t="array" ref="P145">IF(OR(ISNUMBER(J145:O145)),AVERAGE(J145:O145),J145)</f>
        <v>OK</v>
      </c>
    </row>
    <row r="146" spans="1:16" hidden="1">
      <c r="A146" s="878" t="s">
        <v>931</v>
      </c>
      <c r="B146" s="878" t="s">
        <v>932</v>
      </c>
      <c r="C146" s="878">
        <v>1</v>
      </c>
      <c r="D146" s="878" t="s">
        <v>908</v>
      </c>
      <c r="E146" s="859"/>
      <c r="F146" s="860"/>
      <c r="G146" s="857"/>
      <c r="H146" s="860">
        <v>8</v>
      </c>
      <c r="I146" s="859"/>
      <c r="P146" s="873" cm="1">
        <f t="array" ref="P146">IF(OR(ISNUMBER(J146:O146)),AVERAGE(J146:O146),J146)</f>
        <v>0</v>
      </c>
    </row>
    <row r="147" spans="1:16" hidden="1">
      <c r="A147" s="878" t="s">
        <v>931</v>
      </c>
      <c r="B147" s="878" t="s">
        <v>933</v>
      </c>
      <c r="C147" s="878">
        <v>1</v>
      </c>
      <c r="D147" s="878" t="s">
        <v>580</v>
      </c>
      <c r="E147" s="859"/>
      <c r="F147" s="860">
        <v>150</v>
      </c>
      <c r="G147" s="857"/>
      <c r="H147" s="860">
        <v>250</v>
      </c>
      <c r="I147" s="859"/>
      <c r="P147" s="873" cm="1">
        <f t="array" ref="P147">IF(OR(ISNUMBER(J147:O147)),AVERAGE(J147:O147),J147)</f>
        <v>0</v>
      </c>
    </row>
    <row r="148" spans="1:16" hidden="1">
      <c r="A148" s="878" t="s">
        <v>934</v>
      </c>
      <c r="B148" s="878" t="s">
        <v>935</v>
      </c>
      <c r="C148" s="878"/>
      <c r="D148" s="878" t="s">
        <v>936</v>
      </c>
      <c r="E148" s="859"/>
      <c r="F148" s="860"/>
      <c r="G148" s="857"/>
      <c r="H148" s="860">
        <v>12</v>
      </c>
      <c r="I148" s="859"/>
      <c r="P148" s="873" cm="1">
        <f t="array" ref="P148">IF(OR(ISNUMBER(J148:O148)),AVERAGE(J148:O148),J148)</f>
        <v>0</v>
      </c>
    </row>
    <row r="149" spans="1:16" hidden="1">
      <c r="A149" s="878" t="s">
        <v>934</v>
      </c>
      <c r="B149" s="878" t="s">
        <v>937</v>
      </c>
      <c r="C149" s="878"/>
      <c r="D149" s="878" t="s">
        <v>829</v>
      </c>
      <c r="E149" s="859"/>
      <c r="F149" s="860"/>
      <c r="G149" s="857"/>
      <c r="H149" s="860">
        <v>75</v>
      </c>
      <c r="I149" s="859"/>
      <c r="P149" s="873" cm="1">
        <f t="array" ref="P149">IF(OR(ISNUMBER(J149:O149)),AVERAGE(J149:O149),J149)</f>
        <v>0</v>
      </c>
    </row>
    <row r="150" spans="1:16" hidden="1">
      <c r="A150" s="878" t="s">
        <v>934</v>
      </c>
      <c r="B150" s="878" t="s">
        <v>938</v>
      </c>
      <c r="C150" s="878"/>
      <c r="D150" s="878" t="s">
        <v>936</v>
      </c>
      <c r="E150" s="859"/>
      <c r="F150" s="860">
        <v>6</v>
      </c>
      <c r="G150" s="857"/>
      <c r="H150" s="860"/>
      <c r="I150" s="859"/>
      <c r="P150" s="873" cm="1">
        <f t="array" ref="P150">IF(OR(ISNUMBER(J150:O150)),AVERAGE(J150:O150),J150)</f>
        <v>0</v>
      </c>
    </row>
    <row r="151" spans="1:16" hidden="1">
      <c r="A151" s="878" t="s">
        <v>934</v>
      </c>
      <c r="B151" s="878" t="s">
        <v>939</v>
      </c>
      <c r="C151" s="878"/>
      <c r="D151" s="878"/>
      <c r="E151" s="859"/>
      <c r="F151" s="860"/>
      <c r="G151" s="857"/>
      <c r="H151" s="860">
        <v>1.5</v>
      </c>
      <c r="I151" s="859"/>
      <c r="P151" s="873" cm="1">
        <f t="array" ref="P151">IF(OR(ISNUMBER(J151:O151)),AVERAGE(J151:O151),J151)</f>
        <v>0</v>
      </c>
    </row>
    <row r="152" spans="1:16" hidden="1">
      <c r="A152" s="878" t="s">
        <v>934</v>
      </c>
      <c r="B152" s="878" t="s">
        <v>940</v>
      </c>
      <c r="C152" s="878">
        <v>1</v>
      </c>
      <c r="D152" s="878" t="s">
        <v>909</v>
      </c>
      <c r="E152" s="859"/>
      <c r="F152" s="860">
        <v>2</v>
      </c>
      <c r="G152" s="857"/>
      <c r="H152" s="860">
        <v>5</v>
      </c>
      <c r="I152" s="859"/>
      <c r="P152" s="873" cm="1">
        <f t="array" ref="P152">IF(OR(ISNUMBER(J152:O152)),AVERAGE(J152:O152),J152)</f>
        <v>0</v>
      </c>
    </row>
    <row r="153" spans="1:16" hidden="1">
      <c r="A153" s="878" t="s">
        <v>934</v>
      </c>
      <c r="B153" s="878" t="s">
        <v>941</v>
      </c>
      <c r="C153" s="878">
        <v>1</v>
      </c>
      <c r="D153" s="878" t="s">
        <v>942</v>
      </c>
      <c r="E153" s="859"/>
      <c r="F153" s="860"/>
      <c r="G153" s="857"/>
      <c r="H153" s="860">
        <v>48</v>
      </c>
      <c r="I153" s="859">
        <v>72</v>
      </c>
      <c r="P153" s="873" cm="1">
        <f t="array" ref="P153">IF(OR(ISNUMBER(J153:O153)),AVERAGE(J153:O153),J153)</f>
        <v>0</v>
      </c>
    </row>
    <row r="154" spans="1:16" hidden="1">
      <c r="A154" s="878" t="s">
        <v>934</v>
      </c>
      <c r="B154" s="878" t="s">
        <v>943</v>
      </c>
      <c r="C154" s="878">
        <v>1</v>
      </c>
      <c r="D154" s="878" t="s">
        <v>877</v>
      </c>
      <c r="E154" s="859"/>
      <c r="F154" s="860">
        <v>1</v>
      </c>
      <c r="G154" s="857"/>
      <c r="H154" s="860">
        <v>3</v>
      </c>
      <c r="I154" s="859"/>
      <c r="P154" s="873" cm="1">
        <f t="array" ref="P154">IF(OR(ISNUMBER(J154:O154)),AVERAGE(J154:O154),J154)</f>
        <v>0</v>
      </c>
    </row>
    <row r="155" spans="1:16" hidden="1">
      <c r="A155" s="878" t="s">
        <v>934</v>
      </c>
      <c r="B155" s="878" t="s">
        <v>944</v>
      </c>
      <c r="C155" s="878">
        <v>1</v>
      </c>
      <c r="D155" s="878" t="s">
        <v>945</v>
      </c>
      <c r="E155" s="859"/>
      <c r="F155" s="860">
        <v>16</v>
      </c>
      <c r="G155" s="857"/>
      <c r="H155" s="860">
        <v>18</v>
      </c>
      <c r="I155" s="859"/>
      <c r="P155" s="873" cm="1">
        <f t="array" ref="P155">IF(OR(ISNUMBER(J155:O155)),AVERAGE(J155:O155),J155)</f>
        <v>0</v>
      </c>
    </row>
    <row r="156" spans="1:16" hidden="1">
      <c r="A156" s="878" t="s">
        <v>934</v>
      </c>
      <c r="B156" s="878" t="s">
        <v>946</v>
      </c>
      <c r="C156" s="878"/>
      <c r="D156" s="878" t="s">
        <v>947</v>
      </c>
      <c r="E156" s="859"/>
      <c r="F156" s="860">
        <v>0.3</v>
      </c>
      <c r="G156" s="857"/>
      <c r="H156" s="860">
        <v>0.38</v>
      </c>
      <c r="I156" s="859"/>
      <c r="P156" s="873" cm="1">
        <f t="array" ref="P156">IF(OR(ISNUMBER(J156:O156)),AVERAGE(J156:O156),J156)</f>
        <v>0</v>
      </c>
    </row>
    <row r="157" spans="1:16" hidden="1">
      <c r="A157" s="878" t="s">
        <v>934</v>
      </c>
      <c r="B157" s="878" t="s">
        <v>948</v>
      </c>
      <c r="C157" s="878">
        <v>1</v>
      </c>
      <c r="D157" s="878" t="s">
        <v>949</v>
      </c>
      <c r="E157" s="859"/>
      <c r="F157" s="860">
        <v>8.1999999999999993</v>
      </c>
      <c r="G157" s="857"/>
      <c r="H157" s="860">
        <v>9.1999999999999993</v>
      </c>
      <c r="I157" s="859"/>
      <c r="P157" s="873" cm="1">
        <f t="array" ref="P157">IF(OR(ISNUMBER(J157:O157)),AVERAGE(J157:O157),J157)</f>
        <v>0</v>
      </c>
    </row>
    <row r="158" spans="1:16" hidden="1">
      <c r="A158" s="878" t="s">
        <v>934</v>
      </c>
      <c r="B158" s="878" t="s">
        <v>950</v>
      </c>
      <c r="C158" s="878">
        <v>1</v>
      </c>
      <c r="D158" s="878" t="s">
        <v>580</v>
      </c>
      <c r="E158" s="859"/>
      <c r="F158" s="860">
        <v>9.5</v>
      </c>
      <c r="G158" s="857"/>
      <c r="H158" s="860">
        <v>10.5</v>
      </c>
      <c r="I158" s="859"/>
      <c r="P158" s="873" cm="1">
        <f t="array" ref="P158">IF(OR(ISNUMBER(J158:O158)),AVERAGE(J158:O158),J158)</f>
        <v>0</v>
      </c>
    </row>
    <row r="159" spans="1:16" hidden="1">
      <c r="A159" s="878" t="s">
        <v>934</v>
      </c>
      <c r="B159" s="878" t="s">
        <v>951</v>
      </c>
      <c r="C159" s="878"/>
      <c r="D159" s="878" t="s">
        <v>942</v>
      </c>
      <c r="E159" s="859"/>
      <c r="F159" s="860"/>
      <c r="G159" s="857"/>
      <c r="H159" s="860">
        <v>12</v>
      </c>
      <c r="I159" s="859"/>
      <c r="P159" s="873" cm="1">
        <f t="array" ref="P159">IF(OR(ISNUMBER(J159:O159)),AVERAGE(J159:O159),J159)</f>
        <v>0</v>
      </c>
    </row>
    <row r="160" spans="1:16" hidden="1">
      <c r="A160" s="878" t="s">
        <v>934</v>
      </c>
      <c r="B160" s="878" t="s">
        <v>952</v>
      </c>
      <c r="C160" s="878">
        <v>1</v>
      </c>
      <c r="D160" s="878" t="s">
        <v>908</v>
      </c>
      <c r="E160" s="859"/>
      <c r="F160" s="860">
        <v>10.8</v>
      </c>
      <c r="G160" s="857"/>
      <c r="H160" s="860">
        <v>11.2</v>
      </c>
      <c r="I160" s="859"/>
      <c r="P160" s="873" cm="1">
        <f t="array" ref="P160">IF(OR(ISNUMBER(J160:O160)),AVERAGE(J160:O160),J160)</f>
        <v>0</v>
      </c>
    </row>
    <row r="161" spans="1:16" hidden="1">
      <c r="A161" s="878" t="s">
        <v>934</v>
      </c>
      <c r="B161" s="878" t="s">
        <v>953</v>
      </c>
      <c r="C161" s="878">
        <v>1</v>
      </c>
      <c r="D161" s="878" t="s">
        <v>817</v>
      </c>
      <c r="E161" s="859"/>
      <c r="F161" s="860">
        <v>15.8</v>
      </c>
      <c r="G161" s="857"/>
      <c r="H161" s="860"/>
      <c r="I161" s="859"/>
      <c r="P161" s="873" cm="1">
        <f t="array" ref="P161">IF(OR(ISNUMBER(J161:O161)),AVERAGE(J161:O161),J161)</f>
        <v>0</v>
      </c>
    </row>
    <row r="162" spans="1:16" hidden="1">
      <c r="A162" s="878" t="s">
        <v>934</v>
      </c>
      <c r="B162" s="878" t="s">
        <v>227</v>
      </c>
      <c r="C162" s="878">
        <v>1</v>
      </c>
      <c r="D162" s="878"/>
      <c r="E162" s="859"/>
      <c r="F162" s="860">
        <v>5.3</v>
      </c>
      <c r="G162" s="857"/>
      <c r="H162" s="860">
        <v>5.7</v>
      </c>
      <c r="I162" s="859"/>
      <c r="P162" s="873" cm="1">
        <f t="array" ref="P162">IF(OR(ISNUMBER(J162:O162)),AVERAGE(J162:O162),J162)</f>
        <v>0</v>
      </c>
    </row>
    <row r="163" spans="1:16" hidden="1">
      <c r="A163" s="878" t="s">
        <v>934</v>
      </c>
      <c r="B163" s="878" t="s">
        <v>502</v>
      </c>
      <c r="C163" s="878">
        <v>1</v>
      </c>
      <c r="D163" s="878" t="s">
        <v>580</v>
      </c>
      <c r="E163" s="859"/>
      <c r="F163" s="860">
        <v>230</v>
      </c>
      <c r="G163" s="857"/>
      <c r="H163" s="860">
        <v>270</v>
      </c>
      <c r="I163" s="859"/>
      <c r="P163" s="873" cm="1">
        <f t="array" ref="P163">IF(OR(ISNUMBER(J163:O163)),AVERAGE(J163:O163),J163)</f>
        <v>0</v>
      </c>
    </row>
    <row r="164" spans="1:16" hidden="1">
      <c r="A164" s="878" t="s">
        <v>934</v>
      </c>
      <c r="B164" s="878" t="s">
        <v>954</v>
      </c>
      <c r="C164" s="878"/>
      <c r="D164" s="878" t="s">
        <v>829</v>
      </c>
      <c r="E164" s="859"/>
      <c r="F164" s="860">
        <v>70</v>
      </c>
      <c r="G164" s="857"/>
      <c r="H164" s="860">
        <v>71</v>
      </c>
      <c r="I164" s="859"/>
      <c r="P164" s="873" cm="1">
        <f t="array" ref="P164">IF(OR(ISNUMBER(J164:O164)),AVERAGE(J164:O164),J164)</f>
        <v>0</v>
      </c>
    </row>
    <row r="165" spans="1:16" hidden="1">
      <c r="A165" s="878" t="s">
        <v>934</v>
      </c>
      <c r="B165" s="878" t="s">
        <v>955</v>
      </c>
      <c r="C165" s="878"/>
      <c r="D165" s="878" t="s">
        <v>817</v>
      </c>
      <c r="E165" s="859"/>
      <c r="F165" s="860">
        <v>2.4</v>
      </c>
      <c r="G165" s="857"/>
      <c r="H165" s="860">
        <v>2.7</v>
      </c>
      <c r="I165" s="859"/>
      <c r="P165" s="873" cm="1">
        <f t="array" ref="P165">IF(OR(ISNUMBER(J165:O165)),AVERAGE(J165:O165),J165)</f>
        <v>0</v>
      </c>
    </row>
    <row r="166" spans="1:16" hidden="1">
      <c r="A166" s="878" t="s">
        <v>956</v>
      </c>
      <c r="B166" s="878" t="s">
        <v>957</v>
      </c>
      <c r="C166" s="878"/>
      <c r="D166" s="878" t="s">
        <v>908</v>
      </c>
      <c r="E166" s="859"/>
      <c r="F166" s="860">
        <v>13</v>
      </c>
      <c r="G166" s="857"/>
      <c r="H166" s="860">
        <v>13.5</v>
      </c>
      <c r="I166" s="859"/>
      <c r="P166" s="873" cm="1">
        <f t="array" ref="P166">IF(OR(ISNUMBER(J166:O166)),AVERAGE(J166:O166),J166)</f>
        <v>0</v>
      </c>
    </row>
    <row r="167" spans="1:16" hidden="1">
      <c r="A167" s="878" t="s">
        <v>956</v>
      </c>
      <c r="B167" s="878" t="s">
        <v>958</v>
      </c>
      <c r="C167" s="878">
        <v>1</v>
      </c>
      <c r="D167" s="878" t="s">
        <v>959</v>
      </c>
      <c r="E167" s="859"/>
      <c r="F167" s="860">
        <v>22</v>
      </c>
      <c r="G167" s="857"/>
      <c r="H167" s="860">
        <v>27</v>
      </c>
      <c r="I167" s="859"/>
      <c r="P167" s="873" cm="1">
        <f t="array" ref="P167">IF(OR(ISNUMBER(J167:O167)),AVERAGE(J167:O167),J167)</f>
        <v>0</v>
      </c>
    </row>
    <row r="168" spans="1:16" hidden="1">
      <c r="A168" s="878" t="s">
        <v>956</v>
      </c>
      <c r="B168" s="878" t="s">
        <v>960</v>
      </c>
      <c r="C168" s="878"/>
      <c r="D168" s="878" t="s">
        <v>942</v>
      </c>
      <c r="E168" s="859"/>
      <c r="F168" s="860"/>
      <c r="G168" s="857"/>
      <c r="H168" s="860"/>
      <c r="I168" s="859"/>
      <c r="P168" s="873" cm="1">
        <f t="array" ref="P168">IF(OR(ISNUMBER(J168:O168)),AVERAGE(J168:O168),J168)</f>
        <v>0</v>
      </c>
    </row>
    <row r="169" spans="1:16" hidden="1">
      <c r="A169" s="878" t="s">
        <v>956</v>
      </c>
      <c r="B169" s="878" t="s">
        <v>961</v>
      </c>
      <c r="C169" s="878"/>
      <c r="D169" s="878" t="s">
        <v>912</v>
      </c>
      <c r="E169" s="859"/>
      <c r="F169" s="860"/>
      <c r="G169" s="857"/>
      <c r="H169" s="860">
        <v>0.1</v>
      </c>
      <c r="I169" s="859"/>
      <c r="P169" s="873" cm="1">
        <f t="array" ref="P169">IF(OR(ISNUMBER(J169:O169)),AVERAGE(J169:O169),J169)</f>
        <v>0</v>
      </c>
    </row>
    <row r="170" spans="1:16" hidden="1">
      <c r="A170" s="878" t="s">
        <v>956</v>
      </c>
      <c r="B170" s="878" t="s">
        <v>962</v>
      </c>
      <c r="C170" s="878">
        <v>1</v>
      </c>
      <c r="D170" s="878" t="s">
        <v>817</v>
      </c>
      <c r="E170" s="859"/>
      <c r="F170" s="860">
        <v>9.1</v>
      </c>
      <c r="G170" s="857"/>
      <c r="H170" s="860">
        <v>9.6999999999999993</v>
      </c>
      <c r="I170" s="859"/>
      <c r="P170" s="873" cm="1">
        <f t="array" ref="P170">IF(OR(ISNUMBER(J170:O170)),AVERAGE(J170:O170),J170)</f>
        <v>0</v>
      </c>
    </row>
    <row r="171" spans="1:16" hidden="1">
      <c r="A171" s="878" t="s">
        <v>956</v>
      </c>
      <c r="B171" s="878" t="s">
        <v>963</v>
      </c>
      <c r="C171" s="878">
        <v>1</v>
      </c>
      <c r="D171" s="878" t="s">
        <v>945</v>
      </c>
      <c r="E171" s="859"/>
      <c r="F171" s="860">
        <v>80</v>
      </c>
      <c r="G171" s="857"/>
      <c r="H171" s="860">
        <v>90</v>
      </c>
      <c r="I171" s="859"/>
      <c r="P171" s="873" cm="1">
        <f t="array" ref="P171">IF(OR(ISNUMBER(J171:O171)),AVERAGE(J171:O171),J171)</f>
        <v>0</v>
      </c>
    </row>
    <row r="172" spans="1:16" hidden="1">
      <c r="A172" s="878" t="s">
        <v>956</v>
      </c>
      <c r="B172" s="878" t="s">
        <v>964</v>
      </c>
      <c r="C172" s="878">
        <v>3</v>
      </c>
      <c r="D172" s="878" t="s">
        <v>959</v>
      </c>
      <c r="E172" s="859">
        <v>100</v>
      </c>
      <c r="F172" s="860">
        <v>120</v>
      </c>
      <c r="G172" s="857"/>
      <c r="H172" s="860">
        <v>135</v>
      </c>
      <c r="I172" s="859">
        <v>150</v>
      </c>
      <c r="P172" s="873" cm="1">
        <f t="array" ref="P172">IF(OR(ISNUMBER(J172:O172)),AVERAGE(J172:O172),J172)</f>
        <v>0</v>
      </c>
    </row>
    <row r="173" spans="1:16" hidden="1">
      <c r="A173" s="878" t="s">
        <v>956</v>
      </c>
      <c r="B173" s="878" t="s">
        <v>965</v>
      </c>
      <c r="C173" s="878"/>
      <c r="D173" s="878" t="s">
        <v>817</v>
      </c>
      <c r="E173" s="859"/>
      <c r="F173" s="860">
        <v>5</v>
      </c>
      <c r="G173" s="857"/>
      <c r="H173" s="860">
        <v>5.3</v>
      </c>
      <c r="I173" s="859"/>
      <c r="P173" s="873" cm="1">
        <f t="array" ref="P173">IF(OR(ISNUMBER(J173:O173)),AVERAGE(J173:O173),J173)</f>
        <v>0</v>
      </c>
    </row>
    <row r="174" spans="1:16" hidden="1">
      <c r="A174" s="878" t="s">
        <v>956</v>
      </c>
      <c r="B174" s="878" t="s">
        <v>966</v>
      </c>
      <c r="C174" s="878"/>
      <c r="D174" s="878" t="s">
        <v>942</v>
      </c>
      <c r="E174" s="859"/>
      <c r="F174" s="860"/>
      <c r="G174" s="857"/>
      <c r="H174" s="860">
        <v>6</v>
      </c>
      <c r="I174" s="859"/>
      <c r="P174" s="873" cm="1">
        <f t="array" ref="P174">IF(OR(ISNUMBER(J174:O174)),AVERAGE(J174:O174),J174)</f>
        <v>0</v>
      </c>
    </row>
    <row r="175" spans="1:16" hidden="1">
      <c r="A175" s="878" t="s">
        <v>956</v>
      </c>
      <c r="B175" s="878" t="s">
        <v>967</v>
      </c>
      <c r="C175" s="878"/>
      <c r="D175" s="878" t="s">
        <v>580</v>
      </c>
      <c r="E175" s="859"/>
      <c r="F175" s="860">
        <v>110</v>
      </c>
      <c r="G175" s="857"/>
      <c r="H175" s="860">
        <v>130</v>
      </c>
      <c r="I175" s="859"/>
      <c r="P175" s="873" cm="1">
        <f t="array" ref="P175">IF(OR(ISNUMBER(J175:O175)),AVERAGE(J175:O175),J175)</f>
        <v>0</v>
      </c>
    </row>
    <row r="176" spans="1:16" hidden="1">
      <c r="A176" s="878" t="s">
        <v>956</v>
      </c>
      <c r="B176" s="878" t="s">
        <v>968</v>
      </c>
      <c r="C176" s="878">
        <v>1</v>
      </c>
      <c r="D176" s="878" t="s">
        <v>580</v>
      </c>
      <c r="E176" s="859"/>
      <c r="F176" s="860">
        <v>90</v>
      </c>
      <c r="G176" s="857"/>
      <c r="H176" s="860">
        <v>105</v>
      </c>
      <c r="I176" s="859"/>
      <c r="P176" s="873" cm="1">
        <f t="array" ref="P176">IF(OR(ISNUMBER(J176:O176)),AVERAGE(J176:O176),J176)</f>
        <v>0</v>
      </c>
    </row>
    <row r="177" spans="1:16" hidden="1">
      <c r="A177" s="878" t="s">
        <v>956</v>
      </c>
      <c r="B177" s="878" t="s">
        <v>969</v>
      </c>
      <c r="C177" s="878">
        <v>1</v>
      </c>
      <c r="D177" s="878" t="s">
        <v>580</v>
      </c>
      <c r="E177" s="859"/>
      <c r="F177" s="860">
        <v>8</v>
      </c>
      <c r="G177" s="857"/>
      <c r="H177" s="860">
        <v>10</v>
      </c>
      <c r="I177" s="859"/>
      <c r="P177" s="873" cm="1">
        <f t="array" ref="P177">IF(OR(ISNUMBER(J177:O177)),AVERAGE(J177:O177),J177)</f>
        <v>0</v>
      </c>
    </row>
    <row r="178" spans="1:16" hidden="1">
      <c r="A178" s="878" t="s">
        <v>970</v>
      </c>
      <c r="B178" s="878" t="s">
        <v>971</v>
      </c>
      <c r="C178" s="878">
        <v>1</v>
      </c>
      <c r="D178" s="878" t="s">
        <v>945</v>
      </c>
      <c r="E178" s="859"/>
      <c r="F178" s="860">
        <v>30</v>
      </c>
      <c r="G178" s="857"/>
      <c r="H178" s="860">
        <v>45</v>
      </c>
      <c r="I178" s="859"/>
      <c r="P178" s="873" cm="1">
        <f t="array" ref="P178">IF(OR(ISNUMBER(J178:O178)),AVERAGE(J178:O178),J178)</f>
        <v>0</v>
      </c>
    </row>
    <row r="179" spans="1:16" hidden="1">
      <c r="A179" s="878" t="s">
        <v>970</v>
      </c>
      <c r="B179" s="878" t="s">
        <v>972</v>
      </c>
      <c r="C179" s="878">
        <v>1</v>
      </c>
      <c r="D179" s="878" t="s">
        <v>945</v>
      </c>
      <c r="E179" s="859"/>
      <c r="F179" s="860">
        <v>20</v>
      </c>
      <c r="G179" s="857"/>
      <c r="H179" s="860">
        <v>30</v>
      </c>
      <c r="I179" s="859"/>
      <c r="P179" s="873" cm="1">
        <f t="array" ref="P179">IF(OR(ISNUMBER(J179:O179)),AVERAGE(J179:O179),J179)</f>
        <v>0</v>
      </c>
    </row>
    <row r="180" spans="1:16" hidden="1">
      <c r="A180" s="878" t="s">
        <v>970</v>
      </c>
      <c r="B180" s="878" t="s">
        <v>973</v>
      </c>
      <c r="C180" s="878"/>
      <c r="D180" s="878" t="s">
        <v>945</v>
      </c>
      <c r="E180" s="859"/>
      <c r="F180" s="860">
        <v>15</v>
      </c>
      <c r="G180" s="857"/>
      <c r="H180" s="860">
        <v>25</v>
      </c>
      <c r="I180" s="859"/>
      <c r="P180" s="873" cm="1">
        <f t="array" ref="P180">IF(OR(ISNUMBER(J180:O180)),AVERAGE(J180:O180),J180)</f>
        <v>0</v>
      </c>
    </row>
    <row r="181" spans="1:16" hidden="1">
      <c r="A181" s="878" t="s">
        <v>970</v>
      </c>
      <c r="B181" s="878" t="s">
        <v>974</v>
      </c>
      <c r="C181" s="878"/>
      <c r="D181" s="878" t="s">
        <v>829</v>
      </c>
      <c r="E181" s="859"/>
      <c r="F181" s="860"/>
      <c r="G181" s="857"/>
      <c r="H181" s="860">
        <v>5</v>
      </c>
      <c r="I181" s="859"/>
      <c r="P181" s="873" cm="1">
        <f t="array" ref="P181">IF(OR(ISNUMBER(J181:O181)),AVERAGE(J181:O181),J181)</f>
        <v>0</v>
      </c>
    </row>
    <row r="182" spans="1:16" hidden="1">
      <c r="A182" s="878" t="s">
        <v>970</v>
      </c>
      <c r="B182" s="878" t="s">
        <v>975</v>
      </c>
      <c r="C182" s="878"/>
      <c r="D182" s="878" t="s">
        <v>976</v>
      </c>
      <c r="E182" s="859"/>
      <c r="F182" s="860">
        <v>0.5</v>
      </c>
      <c r="G182" s="857"/>
      <c r="H182" s="860">
        <v>0.65</v>
      </c>
      <c r="I182" s="859"/>
      <c r="P182" s="873" cm="1">
        <f t="array" ref="P182">IF(OR(ISNUMBER(J182:O182)),AVERAGE(J182:O182),J182)</f>
        <v>0</v>
      </c>
    </row>
    <row r="183" spans="1:16" hidden="1">
      <c r="A183" s="878" t="s">
        <v>970</v>
      </c>
      <c r="B183" s="878" t="s">
        <v>977</v>
      </c>
      <c r="C183" s="878">
        <v>1</v>
      </c>
      <c r="D183" s="878" t="s">
        <v>871</v>
      </c>
      <c r="E183" s="859"/>
      <c r="F183" s="860"/>
      <c r="G183" s="857"/>
      <c r="H183" s="860">
        <v>20.5</v>
      </c>
      <c r="I183" s="859"/>
      <c r="P183" s="873" cm="1">
        <f t="array" ref="P183">IF(OR(ISNUMBER(J183:O183)),AVERAGE(J183:O183),J183)</f>
        <v>0</v>
      </c>
    </row>
    <row r="184" spans="1:16" hidden="1">
      <c r="A184" s="878" t="s">
        <v>970</v>
      </c>
      <c r="B184" s="878" t="s">
        <v>978</v>
      </c>
      <c r="C184" s="878"/>
      <c r="D184" s="878" t="s">
        <v>871</v>
      </c>
      <c r="E184" s="859"/>
      <c r="F184" s="860"/>
      <c r="G184" s="857"/>
      <c r="H184" s="860">
        <v>1</v>
      </c>
      <c r="I184" s="859"/>
      <c r="P184" s="873" cm="1">
        <f t="array" ref="P184">IF(OR(ISNUMBER(J184:O184)),AVERAGE(J184:O184),J184)</f>
        <v>0</v>
      </c>
    </row>
    <row r="185" spans="1:16" hidden="1">
      <c r="A185" s="878" t="s">
        <v>970</v>
      </c>
      <c r="B185" s="878" t="s">
        <v>979</v>
      </c>
      <c r="C185" s="878"/>
      <c r="D185" s="878" t="s">
        <v>908</v>
      </c>
      <c r="E185" s="859"/>
      <c r="F185" s="860"/>
      <c r="G185" s="857"/>
      <c r="H185" s="860">
        <v>2</v>
      </c>
      <c r="I185" s="859"/>
      <c r="P185" s="873" cm="1">
        <f t="array" ref="P185">IF(OR(ISNUMBER(J185:O185)),AVERAGE(J185:O185),J185)</f>
        <v>0</v>
      </c>
    </row>
    <row r="186" spans="1:16" hidden="1">
      <c r="A186" s="878" t="s">
        <v>970</v>
      </c>
      <c r="B186" s="878" t="s">
        <v>980</v>
      </c>
      <c r="C186" s="878"/>
      <c r="D186" s="878" t="s">
        <v>871</v>
      </c>
      <c r="E186" s="859"/>
      <c r="F186" s="860">
        <v>20</v>
      </c>
      <c r="G186" s="857"/>
      <c r="H186" s="860">
        <v>30</v>
      </c>
      <c r="I186" s="859"/>
      <c r="P186" s="873" cm="1">
        <f t="array" ref="P186">IF(OR(ISNUMBER(J186:O186)),AVERAGE(J186:O186),J186)</f>
        <v>0</v>
      </c>
    </row>
    <row r="187" spans="1:16" hidden="1">
      <c r="A187" s="878" t="s">
        <v>970</v>
      </c>
      <c r="B187" s="878" t="s">
        <v>981</v>
      </c>
      <c r="C187" s="878">
        <v>1</v>
      </c>
      <c r="D187" s="878" t="s">
        <v>871</v>
      </c>
      <c r="E187" s="859"/>
      <c r="F187" s="860">
        <v>2</v>
      </c>
      <c r="G187" s="857"/>
      <c r="H187" s="860"/>
      <c r="I187" s="859"/>
      <c r="P187" s="873" cm="1">
        <f t="array" ref="P187">IF(OR(ISNUMBER(J187:O187)),AVERAGE(J187:O187),J187)</f>
        <v>0</v>
      </c>
    </row>
    <row r="188" spans="1:16" hidden="1">
      <c r="A188" s="878" t="s">
        <v>982</v>
      </c>
      <c r="B188" s="878" t="s">
        <v>983</v>
      </c>
      <c r="C188" s="878"/>
      <c r="D188" s="878" t="s">
        <v>817</v>
      </c>
      <c r="E188" s="859"/>
      <c r="F188" s="860"/>
      <c r="G188" s="857"/>
      <c r="H188" s="860">
        <v>30</v>
      </c>
      <c r="I188" s="859"/>
      <c r="P188" s="873" cm="1">
        <f t="array" ref="P188">IF(OR(ISNUMBER(J188:O188)),AVERAGE(J188:O188),J188)</f>
        <v>0</v>
      </c>
    </row>
    <row r="189" spans="1:16" hidden="1">
      <c r="A189" s="878" t="s">
        <v>982</v>
      </c>
      <c r="B189" s="878" t="s">
        <v>984</v>
      </c>
      <c r="C189" s="878"/>
      <c r="D189" s="878" t="s">
        <v>227</v>
      </c>
      <c r="E189" s="859"/>
      <c r="F189" s="860"/>
      <c r="G189" s="857"/>
      <c r="H189" s="860">
        <v>18</v>
      </c>
      <c r="I189" s="859"/>
      <c r="P189" s="873" cm="1">
        <f t="array" ref="P189">IF(OR(ISNUMBER(J189:O189)),AVERAGE(J189:O189),J189)</f>
        <v>0</v>
      </c>
    </row>
    <row r="190" spans="1:16" hidden="1">
      <c r="A190" s="878" t="s">
        <v>982</v>
      </c>
      <c r="B190" s="878" t="s">
        <v>985</v>
      </c>
      <c r="C190" s="878"/>
      <c r="D190" s="878" t="s">
        <v>871</v>
      </c>
      <c r="E190" s="859"/>
      <c r="F190" s="860"/>
      <c r="G190" s="857"/>
      <c r="H190" s="860">
        <v>6</v>
      </c>
      <c r="I190" s="859"/>
      <c r="P190" s="873" cm="1">
        <f t="array" ref="P190">IF(OR(ISNUMBER(J190:O190)),AVERAGE(J190:O190),J190)</f>
        <v>0</v>
      </c>
    </row>
    <row r="191" spans="1:16" hidden="1">
      <c r="A191" s="878" t="s">
        <v>982</v>
      </c>
      <c r="B191" s="878" t="s">
        <v>986</v>
      </c>
      <c r="C191" s="878"/>
      <c r="D191" s="878" t="s">
        <v>658</v>
      </c>
      <c r="E191" s="859"/>
      <c r="F191" s="860"/>
      <c r="G191" s="857"/>
      <c r="H191" s="860">
        <v>30</v>
      </c>
      <c r="I191" s="859"/>
      <c r="P191" s="873" cm="1">
        <f t="array" ref="P191">IF(OR(ISNUMBER(J191:O191)),AVERAGE(J191:O191),J191)</f>
        <v>0</v>
      </c>
    </row>
    <row r="192" spans="1:16" hidden="1">
      <c r="A192" s="878" t="s">
        <v>982</v>
      </c>
      <c r="B192" s="878" t="s">
        <v>987</v>
      </c>
      <c r="C192" s="878"/>
      <c r="D192" s="878" t="s">
        <v>658</v>
      </c>
      <c r="E192" s="859"/>
      <c r="F192" s="860"/>
      <c r="G192" s="857"/>
      <c r="H192" s="860">
        <v>18</v>
      </c>
      <c r="I192" s="859"/>
      <c r="P192" s="873" cm="1">
        <f t="array" ref="P192">IF(OR(ISNUMBER(J192:O192)),AVERAGE(J192:O192),J192)</f>
        <v>0</v>
      </c>
    </row>
    <row r="193" spans="1:16" hidden="1">
      <c r="A193" s="878" t="s">
        <v>982</v>
      </c>
      <c r="B193" s="878" t="s">
        <v>988</v>
      </c>
      <c r="C193" s="878"/>
      <c r="D193" s="878" t="s">
        <v>580</v>
      </c>
      <c r="E193" s="859"/>
      <c r="F193" s="860"/>
      <c r="G193" s="857"/>
      <c r="H193" s="860"/>
      <c r="I193" s="859"/>
      <c r="P193" s="873" cm="1">
        <f t="array" ref="P193">IF(OR(ISNUMBER(J193:O193)),AVERAGE(J193:O193),J193)</f>
        <v>0</v>
      </c>
    </row>
    <row r="194" spans="1:16" hidden="1">
      <c r="A194" s="878" t="s">
        <v>982</v>
      </c>
      <c r="B194" s="878" t="s">
        <v>989</v>
      </c>
      <c r="C194" s="878"/>
      <c r="D194" s="878" t="s">
        <v>829</v>
      </c>
      <c r="E194" s="859"/>
      <c r="F194" s="860">
        <v>65</v>
      </c>
      <c r="G194" s="857"/>
      <c r="H194" s="860">
        <v>66</v>
      </c>
      <c r="I194" s="859"/>
      <c r="P194" s="873" cm="1">
        <f t="array" ref="P194">IF(OR(ISNUMBER(J194:O194)),AVERAGE(J194:O194),J194)</f>
        <v>0</v>
      </c>
    </row>
    <row r="195" spans="1:16" hidden="1">
      <c r="A195" s="878" t="s">
        <v>982</v>
      </c>
      <c r="B195" s="878" t="s">
        <v>990</v>
      </c>
      <c r="C195" s="878"/>
      <c r="D195" s="878" t="s">
        <v>829</v>
      </c>
      <c r="E195" s="859"/>
      <c r="F195" s="860">
        <v>1</v>
      </c>
      <c r="G195" s="857"/>
      <c r="H195" s="860">
        <v>2</v>
      </c>
      <c r="I195" s="859"/>
      <c r="P195" s="873" cm="1">
        <f t="array" ref="P195">IF(OR(ISNUMBER(J195:O195)),AVERAGE(J195:O195),J195)</f>
        <v>0</v>
      </c>
    </row>
    <row r="196" spans="1:16" hidden="1">
      <c r="A196" s="878" t="s">
        <v>982</v>
      </c>
      <c r="B196" s="878" t="s">
        <v>991</v>
      </c>
      <c r="C196" s="878">
        <v>1</v>
      </c>
      <c r="D196" s="878" t="s">
        <v>817</v>
      </c>
      <c r="E196" s="859"/>
      <c r="F196" s="860">
        <v>0.2</v>
      </c>
      <c r="G196" s="857"/>
      <c r="H196" s="860">
        <v>0.4</v>
      </c>
      <c r="I196" s="859"/>
      <c r="P196" s="873" cm="1">
        <f t="array" ref="P196">IF(OR(ISNUMBER(J196:O196)),AVERAGE(J196:O196),J196)</f>
        <v>0</v>
      </c>
    </row>
    <row r="197" spans="1:16" hidden="1">
      <c r="A197" s="878" t="s">
        <v>982</v>
      </c>
      <c r="B197" s="878" t="s">
        <v>227</v>
      </c>
      <c r="C197" s="878"/>
      <c r="D197" s="878" t="s">
        <v>908</v>
      </c>
      <c r="E197" s="859"/>
      <c r="F197" s="860">
        <v>4.3</v>
      </c>
      <c r="G197" s="857"/>
      <c r="H197" s="860">
        <v>4.4000000000000004</v>
      </c>
      <c r="I197" s="859"/>
      <c r="P197" s="873" cm="1">
        <f t="array" ref="P197">IF(OR(ISNUMBER(J197:O197)),AVERAGE(J197:O197),J197)</f>
        <v>0</v>
      </c>
    </row>
    <row r="198" spans="1:16" hidden="1">
      <c r="A198" s="878" t="s">
        <v>982</v>
      </c>
      <c r="B198" s="878" t="s">
        <v>865</v>
      </c>
      <c r="C198" s="878"/>
      <c r="D198" s="878" t="s">
        <v>866</v>
      </c>
      <c r="E198" s="859"/>
      <c r="F198" s="860">
        <v>6.5</v>
      </c>
      <c r="G198" s="857"/>
      <c r="H198" s="860">
        <v>7.5</v>
      </c>
      <c r="I198" s="859"/>
      <c r="P198" s="873" cm="1">
        <f t="array" ref="P198">IF(OR(ISNUMBER(J198:O198)),AVERAGE(J198:O198),J198)</f>
        <v>0</v>
      </c>
    </row>
    <row r="199" spans="1:16" hidden="1">
      <c r="A199" s="878" t="s">
        <v>982</v>
      </c>
      <c r="B199" s="878" t="s">
        <v>854</v>
      </c>
      <c r="C199" s="878"/>
      <c r="D199" s="878" t="s">
        <v>855</v>
      </c>
      <c r="E199" s="859"/>
      <c r="F199" s="860">
        <v>4.8</v>
      </c>
      <c r="G199" s="857"/>
      <c r="H199" s="860">
        <v>5.2</v>
      </c>
      <c r="I199" s="859"/>
      <c r="P199" s="873" cm="1">
        <f t="array" ref="P199">IF(OR(ISNUMBER(J199:O199)),AVERAGE(J199:O199),J199)</f>
        <v>0</v>
      </c>
    </row>
    <row r="200" spans="1:16" hidden="1">
      <c r="A200" s="878" t="s">
        <v>982</v>
      </c>
      <c r="B200" s="878" t="s">
        <v>992</v>
      </c>
      <c r="C200" s="878"/>
      <c r="D200" s="878"/>
      <c r="E200" s="859"/>
      <c r="F200" s="860">
        <v>11</v>
      </c>
      <c r="G200" s="857"/>
      <c r="H200" s="860">
        <v>14</v>
      </c>
      <c r="I200" s="859"/>
      <c r="P200" s="873" cm="1">
        <f t="array" ref="P200">IF(OR(ISNUMBER(J200:O200)),AVERAGE(J200:O200),J200)</f>
        <v>0</v>
      </c>
    </row>
    <row r="201" spans="1:16" hidden="1">
      <c r="A201" s="878" t="s">
        <v>993</v>
      </c>
      <c r="B201" s="878" t="s">
        <v>994</v>
      </c>
      <c r="C201" s="878"/>
      <c r="D201" s="878" t="s">
        <v>908</v>
      </c>
      <c r="E201" s="859"/>
      <c r="F201" s="860"/>
      <c r="G201" s="857"/>
      <c r="H201" s="860">
        <v>-1.7</v>
      </c>
      <c r="I201" s="859"/>
      <c r="P201" s="873" cm="1">
        <f t="array" ref="P201">IF(OR(ISNUMBER(J201:O201)),AVERAGE(J201:O201),J201)</f>
        <v>0</v>
      </c>
    </row>
    <row r="202" spans="1:16" hidden="1">
      <c r="A202" s="878" t="s">
        <v>995</v>
      </c>
      <c r="B202" s="878" t="s">
        <v>996</v>
      </c>
      <c r="C202" s="878"/>
      <c r="D202" s="878" t="s">
        <v>580</v>
      </c>
      <c r="E202" s="859"/>
      <c r="F202" s="860"/>
      <c r="G202" s="857"/>
      <c r="H202" s="860">
        <v>30</v>
      </c>
      <c r="I202" s="859"/>
      <c r="P202" s="873" cm="1">
        <f t="array" ref="P202">IF(OR(ISNUMBER(J202:O202)),AVERAGE(J202:O202),J202)</f>
        <v>0</v>
      </c>
    </row>
    <row r="203" spans="1:16" hidden="1">
      <c r="A203" s="878" t="s">
        <v>995</v>
      </c>
      <c r="B203" s="878" t="s">
        <v>997</v>
      </c>
      <c r="C203" s="878">
        <v>1</v>
      </c>
      <c r="D203" s="878" t="s">
        <v>580</v>
      </c>
      <c r="E203" s="859"/>
      <c r="F203" s="860"/>
      <c r="G203" s="857"/>
      <c r="H203" s="860">
        <v>9</v>
      </c>
      <c r="I203" s="859"/>
      <c r="P203" s="873" cm="1">
        <f t="array" ref="P203">IF(OR(ISNUMBER(J203:O203)),AVERAGE(J203:O203),J203)</f>
        <v>0</v>
      </c>
    </row>
    <row r="204" spans="1:16" hidden="1">
      <c r="A204" s="878" t="s">
        <v>998</v>
      </c>
      <c r="B204" s="878" t="s">
        <v>999</v>
      </c>
      <c r="C204" s="878">
        <v>1</v>
      </c>
      <c r="D204" s="878" t="s">
        <v>658</v>
      </c>
      <c r="E204" s="859"/>
      <c r="F204" s="860"/>
      <c r="G204" s="857"/>
      <c r="H204" s="860">
        <v>10</v>
      </c>
      <c r="I204" s="859"/>
      <c r="P204" s="873" cm="1">
        <f t="array" ref="P204">IF(OR(ISNUMBER(J204:O204)),AVERAGE(J204:O204),J204)</f>
        <v>0</v>
      </c>
    </row>
    <row r="205" spans="1:16" hidden="1">
      <c r="A205" s="878" t="s">
        <v>998</v>
      </c>
      <c r="B205" s="878" t="s">
        <v>1000</v>
      </c>
      <c r="C205" s="878">
        <v>1</v>
      </c>
      <c r="D205" s="878" t="s">
        <v>908</v>
      </c>
      <c r="E205" s="859"/>
      <c r="F205" s="860"/>
      <c r="G205" s="857"/>
      <c r="H205" s="860">
        <v>2</v>
      </c>
      <c r="I205" s="859"/>
      <c r="P205" s="873" cm="1">
        <f t="array" ref="P205">IF(OR(ISNUMBER(J205:O205)),AVERAGE(J205:O205),J205)</f>
        <v>0</v>
      </c>
    </row>
    <row r="206" spans="1:16" hidden="1">
      <c r="A206" s="878" t="s">
        <v>998</v>
      </c>
      <c r="B206" s="878" t="s">
        <v>1001</v>
      </c>
      <c r="C206" s="878"/>
      <c r="D206" s="878" t="s">
        <v>908</v>
      </c>
      <c r="E206" s="859"/>
      <c r="F206" s="860"/>
      <c r="G206" s="857"/>
      <c r="H206" s="860">
        <v>3</v>
      </c>
      <c r="I206" s="859"/>
      <c r="P206" s="873" cm="1">
        <f t="array" ref="P206">IF(OR(ISNUMBER(J206:O206)),AVERAGE(J206:O206),J206)</f>
        <v>0</v>
      </c>
    </row>
    <row r="207" spans="1:16" hidden="1">
      <c r="A207" s="879" t="s">
        <v>1002</v>
      </c>
      <c r="B207" s="879" t="s">
        <v>1003</v>
      </c>
      <c r="C207" s="879"/>
      <c r="D207" s="879" t="s">
        <v>658</v>
      </c>
      <c r="E207" s="859"/>
      <c r="F207" s="860"/>
      <c r="G207" s="857"/>
      <c r="H207" s="860"/>
      <c r="I207" s="859"/>
      <c r="P207" s="873" cm="1">
        <f t="array" ref="P207">IF(OR(ISNUMBER(J207:O207)),AVERAGE(J207:O207),J207)</f>
        <v>0</v>
      </c>
    </row>
    <row r="208" spans="1:16" hidden="1">
      <c r="A208" s="879" t="s">
        <v>1002</v>
      </c>
      <c r="B208" s="879" t="s">
        <v>1004</v>
      </c>
      <c r="C208" s="879">
        <v>3</v>
      </c>
      <c r="D208" s="879" t="s">
        <v>658</v>
      </c>
      <c r="E208" s="859"/>
      <c r="F208" s="860"/>
      <c r="G208" s="857"/>
      <c r="H208" s="860">
        <v>60</v>
      </c>
      <c r="I208" s="859"/>
      <c r="P208" s="873" cm="1">
        <f t="array" ref="P208">IF(OR(ISNUMBER(J208:O208)),AVERAGE(J208:O208),J208)</f>
        <v>0</v>
      </c>
    </row>
    <row r="209" spans="1:16" hidden="1">
      <c r="A209" s="879" t="s">
        <v>1002</v>
      </c>
      <c r="B209" s="879" t="s">
        <v>1005</v>
      </c>
      <c r="C209" s="879">
        <v>3</v>
      </c>
      <c r="D209" s="879" t="s">
        <v>658</v>
      </c>
      <c r="E209" s="859"/>
      <c r="F209" s="860">
        <v>60</v>
      </c>
      <c r="G209" s="857">
        <v>80</v>
      </c>
      <c r="H209" s="860"/>
      <c r="I209" s="859"/>
      <c r="P209" s="873" cm="1">
        <f t="array" ref="P209">IF(OR(ISNUMBER(J209:O209)),AVERAGE(J209:O209),J209)</f>
        <v>0</v>
      </c>
    </row>
    <row r="210" spans="1:16" hidden="1">
      <c r="A210" s="879" t="s">
        <v>1002</v>
      </c>
      <c r="B210" s="879" t="s">
        <v>1006</v>
      </c>
      <c r="C210" s="879"/>
      <c r="D210" s="879" t="s">
        <v>1007</v>
      </c>
      <c r="E210" s="859"/>
      <c r="F210" s="860">
        <v>0.5</v>
      </c>
      <c r="G210" s="857"/>
      <c r="H210" s="860">
        <v>2</v>
      </c>
      <c r="I210" s="859"/>
      <c r="P210" s="873" cm="1">
        <f t="array" ref="P210">IF(OR(ISNUMBER(J210:O210)),AVERAGE(J210:O210),J210)</f>
        <v>0</v>
      </c>
    </row>
    <row r="211" spans="1:16" hidden="1">
      <c r="A211" s="879" t="s">
        <v>1008</v>
      </c>
      <c r="B211" s="879" t="s">
        <v>1008</v>
      </c>
      <c r="C211" s="879">
        <v>1</v>
      </c>
      <c r="D211" s="879"/>
      <c r="E211" s="859"/>
      <c r="F211" s="860">
        <v>8</v>
      </c>
      <c r="G211" s="857"/>
      <c r="H211" s="860">
        <v>10</v>
      </c>
      <c r="I211" s="859"/>
      <c r="P211" s="873" cm="1">
        <f t="array" ref="P211">IF(OR(ISNUMBER(J211:O211)),AVERAGE(J211:O211),J211)</f>
        <v>0</v>
      </c>
    </row>
    <row r="212" spans="1:16" hidden="1">
      <c r="A212" s="879" t="s">
        <v>1008</v>
      </c>
      <c r="B212" s="879" t="s">
        <v>1009</v>
      </c>
      <c r="C212" s="879"/>
      <c r="D212" s="879" t="s">
        <v>909</v>
      </c>
      <c r="E212" s="859"/>
      <c r="F212" s="860"/>
      <c r="G212" s="857"/>
      <c r="H212" s="860">
        <v>60</v>
      </c>
      <c r="I212" s="859"/>
      <c r="P212" s="873" cm="1">
        <f t="array" ref="P212">IF(OR(ISNUMBER(J212:O212)),AVERAGE(J212:O212),J212)</f>
        <v>0</v>
      </c>
    </row>
    <row r="213" spans="1:16" hidden="1">
      <c r="A213" s="879" t="s">
        <v>1008</v>
      </c>
      <c r="B213" s="879" t="s">
        <v>1010</v>
      </c>
      <c r="C213" s="879"/>
      <c r="D213" s="879" t="s">
        <v>908</v>
      </c>
      <c r="E213" s="859"/>
      <c r="F213" s="860">
        <v>63</v>
      </c>
      <c r="G213" s="857"/>
      <c r="H213" s="860">
        <v>64</v>
      </c>
      <c r="I213" s="859"/>
      <c r="P213" s="873" cm="1">
        <f t="array" ref="P213">IF(OR(ISNUMBER(J213:O213)),AVERAGE(J213:O213),J213)</f>
        <v>0</v>
      </c>
    </row>
    <row r="214" spans="1:16" hidden="1">
      <c r="A214" s="879" t="s">
        <v>1008</v>
      </c>
      <c r="B214" s="879" t="s">
        <v>1011</v>
      </c>
      <c r="C214" s="879">
        <v>1</v>
      </c>
      <c r="D214" s="879" t="s">
        <v>908</v>
      </c>
      <c r="E214" s="859"/>
      <c r="F214" s="860"/>
      <c r="G214" s="857"/>
      <c r="H214" s="860">
        <v>26.5</v>
      </c>
      <c r="I214" s="859"/>
      <c r="P214" s="873" cm="1">
        <f t="array" ref="P214">IF(OR(ISNUMBER(J214:O214)),AVERAGE(J214:O214),J214)</f>
        <v>0</v>
      </c>
    </row>
    <row r="215" spans="1:16" hidden="1">
      <c r="A215" s="879" t="s">
        <v>1008</v>
      </c>
      <c r="B215" s="879" t="s">
        <v>1012</v>
      </c>
      <c r="C215" s="879">
        <v>1</v>
      </c>
      <c r="D215" s="879" t="s">
        <v>908</v>
      </c>
      <c r="E215" s="859"/>
      <c r="F215" s="860">
        <v>60</v>
      </c>
      <c r="G215" s="857"/>
      <c r="H215" s="860"/>
      <c r="I215" s="859"/>
      <c r="P215" s="873" cm="1">
        <f t="array" ref="P215">IF(OR(ISNUMBER(J215:O215)),AVERAGE(J215:O215),J215)</f>
        <v>0</v>
      </c>
    </row>
    <row r="216" spans="1:16" hidden="1">
      <c r="A216" s="879" t="s">
        <v>1013</v>
      </c>
      <c r="B216" s="879" t="s">
        <v>1014</v>
      </c>
      <c r="C216" s="879">
        <v>1</v>
      </c>
      <c r="D216" s="879" t="s">
        <v>912</v>
      </c>
      <c r="E216" s="859"/>
      <c r="F216" s="860">
        <v>1.2</v>
      </c>
      <c r="G216" s="857"/>
      <c r="H216" s="860"/>
      <c r="I216" s="859"/>
      <c r="P216" s="873" cm="1">
        <f t="array" ref="P216">IF(OR(ISNUMBER(J216:O216)),AVERAGE(J216:O216),J216)</f>
        <v>0</v>
      </c>
    </row>
    <row r="217" spans="1:16" hidden="1">
      <c r="A217" s="860" t="s">
        <v>1015</v>
      </c>
      <c r="B217" s="860" t="s">
        <v>1016</v>
      </c>
      <c r="C217" s="860">
        <v>1</v>
      </c>
      <c r="D217" s="860" t="s">
        <v>817</v>
      </c>
      <c r="E217" s="859">
        <v>10.5</v>
      </c>
      <c r="F217" s="860">
        <v>10.75</v>
      </c>
      <c r="G217" s="857">
        <v>11</v>
      </c>
      <c r="H217" s="860">
        <v>11.25</v>
      </c>
      <c r="I217" s="859">
        <v>11.5</v>
      </c>
      <c r="P217" s="873" cm="1">
        <f t="array" ref="P217">IF(OR(ISNUMBER(J217:O217)),AVERAGE(J217:O217),J217)</f>
        <v>0</v>
      </c>
    </row>
    <row r="218" spans="1:16" hidden="1">
      <c r="A218" s="860" t="s">
        <v>1015</v>
      </c>
      <c r="B218" s="860" t="s">
        <v>1017</v>
      </c>
      <c r="C218" s="860">
        <v>1</v>
      </c>
      <c r="D218" s="860" t="s">
        <v>817</v>
      </c>
      <c r="E218" s="859">
        <v>1.29</v>
      </c>
      <c r="F218" s="860">
        <v>1.44</v>
      </c>
      <c r="G218" s="857"/>
      <c r="H218" s="860">
        <v>1.94</v>
      </c>
      <c r="I218" s="859">
        <v>2.09</v>
      </c>
      <c r="P218" s="873" cm="1">
        <f t="array" ref="P218">IF(OR(ISNUMBER(J218:O218)),AVERAGE(J218:O218),J218)</f>
        <v>0</v>
      </c>
    </row>
    <row r="219" spans="1:16" hidden="1">
      <c r="A219" s="860" t="s">
        <v>1015</v>
      </c>
      <c r="B219" s="860" t="s">
        <v>989</v>
      </c>
      <c r="C219" s="860">
        <v>1</v>
      </c>
      <c r="D219" s="860" t="s">
        <v>829</v>
      </c>
      <c r="E219" s="859"/>
      <c r="F219" s="860">
        <v>69</v>
      </c>
      <c r="G219" s="857"/>
      <c r="H219" s="860">
        <v>71</v>
      </c>
      <c r="I219" s="859"/>
      <c r="P219" s="873" cm="1">
        <f t="array" ref="P219">IF(OR(ISNUMBER(J219:O219)),AVERAGE(J219:O219),J219)</f>
        <v>0</v>
      </c>
    </row>
    <row r="220" spans="1:16" hidden="1">
      <c r="A220" s="860" t="s">
        <v>1015</v>
      </c>
      <c r="B220" s="860" t="s">
        <v>1018</v>
      </c>
      <c r="C220" s="860"/>
      <c r="D220" s="860" t="s">
        <v>829</v>
      </c>
      <c r="E220" s="859"/>
      <c r="F220" s="860">
        <v>4.8</v>
      </c>
      <c r="G220" s="857"/>
      <c r="H220" s="860">
        <v>5.2</v>
      </c>
      <c r="I220" s="859"/>
      <c r="P220" s="873" cm="1">
        <f t="array" ref="P220">IF(OR(ISNUMBER(J220:O220)),AVERAGE(J220:O220),J220)</f>
        <v>0</v>
      </c>
    </row>
    <row r="221" spans="1:16" hidden="1">
      <c r="A221" s="860" t="s">
        <v>1015</v>
      </c>
      <c r="B221" s="860" t="s">
        <v>865</v>
      </c>
      <c r="C221" s="860"/>
      <c r="D221" s="860" t="s">
        <v>866</v>
      </c>
      <c r="E221" s="859"/>
      <c r="F221" s="860">
        <v>4</v>
      </c>
      <c r="G221" s="857"/>
      <c r="H221" s="860">
        <v>5.5</v>
      </c>
      <c r="I221" s="859"/>
      <c r="P221" s="873" cm="1">
        <f t="array" ref="P221">IF(OR(ISNUMBER(J221:O221)),AVERAGE(J221:O221),J221)</f>
        <v>0</v>
      </c>
    </row>
    <row r="222" spans="1:16" hidden="1">
      <c r="A222" s="860" t="s">
        <v>1015</v>
      </c>
      <c r="B222" s="860" t="s">
        <v>227</v>
      </c>
      <c r="C222" s="860">
        <v>1</v>
      </c>
      <c r="D222" s="860"/>
      <c r="E222" s="859"/>
      <c r="F222" s="860">
        <v>4.3</v>
      </c>
      <c r="G222" s="857"/>
      <c r="H222" s="860">
        <v>4.4000000000000004</v>
      </c>
      <c r="I222" s="859"/>
      <c r="P222" s="873" cm="1">
        <f t="array" ref="P222">IF(OR(ISNUMBER(J222:O222)),AVERAGE(J222:O222),J222)</f>
        <v>0</v>
      </c>
    </row>
    <row r="223" spans="1:16" hidden="1">
      <c r="A223" s="860" t="s">
        <v>1015</v>
      </c>
      <c r="B223" s="860" t="s">
        <v>1019</v>
      </c>
      <c r="C223" s="860">
        <v>1</v>
      </c>
      <c r="D223" s="860" t="s">
        <v>580</v>
      </c>
      <c r="E223" s="859"/>
      <c r="F223" s="860">
        <v>7</v>
      </c>
      <c r="G223" s="857"/>
      <c r="H223" s="860">
        <v>8</v>
      </c>
      <c r="I223" s="859"/>
      <c r="P223" s="873" cm="1">
        <f t="array" ref="P223">IF(OR(ISNUMBER(J223:O223)),AVERAGE(J223:O223),J223)</f>
        <v>0</v>
      </c>
    </row>
    <row r="224" spans="1:16" hidden="1">
      <c r="A224" s="860" t="s">
        <v>1015</v>
      </c>
      <c r="B224" s="860" t="s">
        <v>1020</v>
      </c>
      <c r="C224" s="860">
        <v>3</v>
      </c>
      <c r="D224" s="860" t="s">
        <v>1021</v>
      </c>
      <c r="E224" s="859"/>
      <c r="F224" s="860">
        <v>205</v>
      </c>
      <c r="G224" s="857"/>
      <c r="H224" s="860"/>
      <c r="I224" s="859"/>
      <c r="P224" s="873" cm="1">
        <f t="array" ref="P224">IF(OR(ISNUMBER(J224:O224)),AVERAGE(J224:O224),J224)</f>
        <v>0</v>
      </c>
    </row>
    <row r="225" spans="1:16" hidden="1">
      <c r="A225" s="860" t="s">
        <v>1015</v>
      </c>
      <c r="B225" s="860" t="s">
        <v>854</v>
      </c>
      <c r="C225" s="860">
        <v>1</v>
      </c>
      <c r="D225" s="860" t="s">
        <v>855</v>
      </c>
      <c r="E225" s="859"/>
      <c r="F225" s="860">
        <v>5.45</v>
      </c>
      <c r="G225" s="857"/>
      <c r="H225" s="860">
        <v>5.6</v>
      </c>
      <c r="I225" s="859"/>
      <c r="P225" s="873" cm="1">
        <f t="array" ref="P225">IF(OR(ISNUMBER(J225:O225)),AVERAGE(J225:O225),J225)</f>
        <v>0</v>
      </c>
    </row>
    <row r="226" spans="1:16" hidden="1">
      <c r="A226" s="860" t="s">
        <v>1015</v>
      </c>
      <c r="B226" s="860" t="s">
        <v>1022</v>
      </c>
      <c r="C226" s="860"/>
      <c r="D226" s="860" t="s">
        <v>866</v>
      </c>
      <c r="E226" s="859"/>
      <c r="F226" s="860"/>
      <c r="G226" s="857"/>
      <c r="H226" s="860">
        <v>0.3</v>
      </c>
      <c r="I226" s="859"/>
      <c r="P226" s="873" cm="1">
        <f t="array" ref="P226">IF(OR(ISNUMBER(J226:O226)),AVERAGE(J226:O226),J226)</f>
        <v>0</v>
      </c>
    </row>
    <row r="227" spans="1:16" hidden="1">
      <c r="A227" s="860" t="s">
        <v>1015</v>
      </c>
      <c r="B227" s="860" t="s">
        <v>1023</v>
      </c>
      <c r="C227" s="860">
        <v>1</v>
      </c>
      <c r="D227" s="860" t="s">
        <v>580</v>
      </c>
      <c r="E227" s="859"/>
      <c r="F227" s="860">
        <v>4</v>
      </c>
      <c r="G227" s="857"/>
      <c r="H227" s="860">
        <v>7</v>
      </c>
      <c r="I227" s="859"/>
      <c r="P227" s="873" cm="1">
        <f t="array" ref="P227">IF(OR(ISNUMBER(J227:O227)),AVERAGE(J227:O227),J227)</f>
        <v>0</v>
      </c>
    </row>
    <row r="228" spans="1:16" hidden="1">
      <c r="A228" s="860" t="s">
        <v>1015</v>
      </c>
      <c r="B228" s="860" t="s">
        <v>1024</v>
      </c>
      <c r="C228" s="860">
        <v>1</v>
      </c>
      <c r="D228" s="860" t="s">
        <v>580</v>
      </c>
      <c r="E228" s="859"/>
      <c r="F228" s="860"/>
      <c r="G228" s="857"/>
      <c r="H228" s="860">
        <v>2</v>
      </c>
      <c r="I228" s="859"/>
      <c r="P228" s="873" cm="1">
        <f t="array" ref="P228">IF(OR(ISNUMBER(J228:O228)),AVERAGE(J228:O228),J228)</f>
        <v>0</v>
      </c>
    </row>
    <row r="229" spans="1:16" hidden="1">
      <c r="A229" s="860" t="s">
        <v>1015</v>
      </c>
      <c r="B229" s="860" t="s">
        <v>1025</v>
      </c>
      <c r="C229" s="860">
        <v>1</v>
      </c>
      <c r="D229" s="860" t="s">
        <v>658</v>
      </c>
      <c r="E229" s="859"/>
      <c r="F229" s="860"/>
      <c r="G229" s="857"/>
      <c r="H229" s="860">
        <v>12</v>
      </c>
      <c r="I229" s="859"/>
      <c r="P229" s="873" cm="1">
        <f t="array" ref="P229">IF(OR(ISNUMBER(J229:O229)),AVERAGE(J229:O229),J229)</f>
        <v>0</v>
      </c>
    </row>
    <row r="230" spans="1:16" hidden="1">
      <c r="A230" s="860" t="s">
        <v>1015</v>
      </c>
      <c r="B230" s="860" t="s">
        <v>1026</v>
      </c>
      <c r="C230" s="860"/>
      <c r="D230" s="860" t="s">
        <v>580</v>
      </c>
      <c r="E230" s="859"/>
      <c r="F230" s="860"/>
      <c r="G230" s="857"/>
      <c r="H230" s="860">
        <v>8</v>
      </c>
      <c r="I230" s="859"/>
      <c r="P230" s="873" cm="1">
        <f t="array" ref="P230">IF(OR(ISNUMBER(J230:O230)),AVERAGE(J230:O230),J230)</f>
        <v>0</v>
      </c>
    </row>
    <row r="231" spans="1:16" hidden="1">
      <c r="A231" s="860" t="s">
        <v>1015</v>
      </c>
      <c r="B231" s="860" t="s">
        <v>1027</v>
      </c>
      <c r="C231" s="860">
        <v>1</v>
      </c>
      <c r="D231" s="860" t="s">
        <v>580</v>
      </c>
      <c r="E231" s="859"/>
      <c r="F231" s="860"/>
      <c r="G231" s="857"/>
      <c r="H231" s="860">
        <v>2.5</v>
      </c>
      <c r="I231" s="859"/>
      <c r="P231" s="873" cm="1">
        <f t="array" ref="P231">IF(OR(ISNUMBER(J231:O231)),AVERAGE(J231:O231),J231)</f>
        <v>0</v>
      </c>
    </row>
    <row r="232" spans="1:16" hidden="1">
      <c r="A232" s="860" t="s">
        <v>1015</v>
      </c>
      <c r="B232" s="860" t="s">
        <v>1028</v>
      </c>
      <c r="C232" s="860"/>
      <c r="D232" s="860" t="s">
        <v>580</v>
      </c>
      <c r="E232" s="859"/>
      <c r="F232" s="860">
        <v>50</v>
      </c>
      <c r="G232" s="857"/>
      <c r="H232" s="860">
        <v>60</v>
      </c>
      <c r="I232" s="859"/>
      <c r="P232" s="873" cm="1">
        <f t="array" ref="P232">IF(OR(ISNUMBER(J232:O232)),AVERAGE(J232:O232),J232)</f>
        <v>0</v>
      </c>
    </row>
    <row r="233" spans="1:16" hidden="1">
      <c r="A233" s="860" t="s">
        <v>1015</v>
      </c>
      <c r="B233" s="860" t="s">
        <v>502</v>
      </c>
      <c r="C233" s="860">
        <v>1</v>
      </c>
      <c r="D233" s="860" t="s">
        <v>580</v>
      </c>
      <c r="E233" s="859"/>
      <c r="F233" s="860">
        <v>72</v>
      </c>
      <c r="G233" s="857"/>
      <c r="H233" s="860">
        <v>84</v>
      </c>
      <c r="I233" s="859"/>
      <c r="P233" s="873" cm="1">
        <f t="array" ref="P233">IF(OR(ISNUMBER(J233:O233)),AVERAGE(J233:O233),J233)</f>
        <v>0</v>
      </c>
    </row>
    <row r="234" spans="1:16" hidden="1">
      <c r="A234" s="860" t="s">
        <v>1015</v>
      </c>
      <c r="B234" s="860" t="s">
        <v>1029</v>
      </c>
      <c r="C234" s="860">
        <v>1</v>
      </c>
      <c r="D234" s="860" t="s">
        <v>580</v>
      </c>
      <c r="E234" s="859"/>
      <c r="F234" s="860"/>
      <c r="G234" s="857"/>
      <c r="H234" s="860">
        <v>5</v>
      </c>
      <c r="I234" s="859"/>
      <c r="P234" s="873" cm="1">
        <f t="array" ref="P234">IF(OR(ISNUMBER(J234:O234)),AVERAGE(J234:O234),J234)</f>
        <v>0</v>
      </c>
    </row>
    <row r="235" spans="1:16" hidden="1">
      <c r="A235" s="860" t="s">
        <v>1015</v>
      </c>
      <c r="B235" s="860" t="s">
        <v>1030</v>
      </c>
      <c r="C235" s="860">
        <v>1</v>
      </c>
      <c r="D235" s="860" t="s">
        <v>580</v>
      </c>
      <c r="E235" s="859"/>
      <c r="F235" s="860"/>
      <c r="G235" s="857"/>
      <c r="H235" s="860">
        <v>5</v>
      </c>
      <c r="I235" s="859"/>
      <c r="P235" s="873" cm="1">
        <f t="array" ref="P235">IF(OR(ISNUMBER(J235:O235)),AVERAGE(J235:O235),J235)</f>
        <v>0</v>
      </c>
    </row>
    <row r="236" spans="1:16" hidden="1">
      <c r="A236" s="857" t="s">
        <v>1031</v>
      </c>
      <c r="B236" s="857" t="s">
        <v>1031</v>
      </c>
      <c r="C236" s="858">
        <v>5</v>
      </c>
      <c r="D236" s="857"/>
      <c r="E236" s="859"/>
      <c r="F236" s="860"/>
      <c r="G236" s="857" t="s">
        <v>290</v>
      </c>
      <c r="H236" s="860"/>
      <c r="I236" s="859"/>
      <c r="P236" s="873" cm="1">
        <f t="array" ref="P236">IF(OR(ISNUMBER(J236:O236)),AVERAGE(J236:O236),J236)</f>
        <v>0</v>
      </c>
    </row>
    <row r="237" spans="1:16" hidden="1">
      <c r="A237" s="920"/>
      <c r="B237" s="920"/>
      <c r="C237" s="920"/>
      <c r="D237" s="920"/>
      <c r="E237" s="1096"/>
      <c r="F237" s="1096"/>
      <c r="G237" s="920"/>
      <c r="H237" s="920"/>
      <c r="I237" s="920"/>
      <c r="P237" s="873" cm="1">
        <f t="array" ref="P237">IF(OR(ISNUMBER(J237:O237)),AVERAGE(J237:O237),J237)</f>
        <v>0</v>
      </c>
    </row>
    <row r="238" spans="1:16" hidden="1">
      <c r="A238" s="1090" t="s">
        <v>1032</v>
      </c>
      <c r="B238" s="1091"/>
      <c r="C238" s="920"/>
      <c r="D238" s="920"/>
      <c r="E238" s="1092"/>
      <c r="F238" s="1092"/>
      <c r="G238" s="920"/>
      <c r="H238" s="920"/>
      <c r="I238" s="920"/>
      <c r="P238" s="873" cm="1">
        <f t="array" ref="P238">IF(OR(ISNUMBER(J238:O238)),AVERAGE(J238:O238),J238)</f>
        <v>0</v>
      </c>
    </row>
    <row r="239" spans="1:16" hidden="1">
      <c r="A239" s="1090" t="s">
        <v>1033</v>
      </c>
      <c r="B239" s="1091"/>
      <c r="C239" s="920"/>
      <c r="D239" s="920"/>
      <c r="E239" s="1092"/>
      <c r="F239" s="1092"/>
      <c r="G239" s="920"/>
      <c r="H239" s="920"/>
      <c r="I239" s="920"/>
      <c r="P239" s="873" cm="1">
        <f t="array" ref="P239">IF(OR(ISNUMBER(J239:O239)),AVERAGE(J239:O239),J239)</f>
        <v>0</v>
      </c>
    </row>
    <row r="240" spans="1:16" hidden="1">
      <c r="A240" s="1090" t="s">
        <v>1034</v>
      </c>
      <c r="B240" s="1091"/>
      <c r="C240" s="920"/>
      <c r="D240" s="920"/>
      <c r="E240" s="1092"/>
      <c r="F240" s="1092"/>
      <c r="G240" s="920"/>
      <c r="H240" s="920"/>
      <c r="I240" s="920"/>
      <c r="P240" s="873" cm="1">
        <f t="array" ref="P240">IF(OR(ISNUMBER(J240:O240)),AVERAGE(J240:O240),J240)</f>
        <v>0</v>
      </c>
    </row>
    <row r="241" spans="1:16" hidden="1">
      <c r="A241" s="1090" t="s">
        <v>1035</v>
      </c>
      <c r="B241" s="1091"/>
      <c r="C241" s="920"/>
      <c r="D241" s="920"/>
      <c r="E241" s="1092"/>
      <c r="F241" s="1092"/>
      <c r="G241" s="920"/>
      <c r="H241" s="920"/>
      <c r="I241" s="920"/>
      <c r="P241" s="873" cm="1">
        <f t="array" ref="P241">IF(OR(ISNUMBER(J241:O241)),AVERAGE(J241:O241),J241)</f>
        <v>0</v>
      </c>
    </row>
    <row r="242" spans="1:16" hidden="1">
      <c r="A242" s="1090" t="s">
        <v>1036</v>
      </c>
      <c r="B242" s="1091"/>
      <c r="C242" s="920"/>
      <c r="D242" s="920"/>
      <c r="E242" s="1092"/>
      <c r="F242" s="1092"/>
      <c r="G242" s="920"/>
      <c r="H242" s="920"/>
      <c r="I242" s="920"/>
      <c r="P242" s="873" cm="1">
        <f t="array" ref="P242">IF(OR(ISNUMBER(J242:O242)),AVERAGE(J242:O242),J242)</f>
        <v>0</v>
      </c>
    </row>
    <row r="243" spans="1:16" hidden="1">
      <c r="A243" s="1090" t="s">
        <v>1037</v>
      </c>
      <c r="B243" s="1091"/>
      <c r="C243" s="920"/>
      <c r="D243" s="920"/>
      <c r="E243" s="1092"/>
      <c r="F243" s="1092"/>
      <c r="G243" s="920"/>
      <c r="H243" s="920"/>
      <c r="I243" s="920"/>
      <c r="P243" s="873" cm="1">
        <f t="array" ref="P243">IF(OR(ISNUMBER(J243:O243)),AVERAGE(J243:O243),J243)</f>
        <v>0</v>
      </c>
    </row>
    <row r="244" spans="1:16" hidden="1">
      <c r="A244" s="1090" t="s">
        <v>1038</v>
      </c>
      <c r="B244" s="1091"/>
      <c r="C244" s="920"/>
      <c r="D244" s="920"/>
      <c r="E244" s="920"/>
      <c r="F244" s="920"/>
      <c r="G244" s="920"/>
      <c r="H244" s="920"/>
      <c r="I244" s="920"/>
      <c r="P244" s="873" cm="1">
        <f t="array" ref="P244">IF(OR(ISNUMBER(J244:O244)),AVERAGE(J244:O244),J244)</f>
        <v>0</v>
      </c>
    </row>
    <row r="245" spans="1:16" hidden="1">
      <c r="A245" s="1090" t="s">
        <v>1039</v>
      </c>
      <c r="B245" s="1091"/>
      <c r="C245" s="920"/>
      <c r="D245" s="920"/>
      <c r="E245" s="920"/>
      <c r="F245" s="920"/>
      <c r="G245" s="920"/>
      <c r="H245" s="920"/>
      <c r="I245" s="920"/>
      <c r="P245" s="873" cm="1">
        <f t="array" ref="P245">IF(OR(ISNUMBER(J245:O245)),AVERAGE(J245:O245),J245)</f>
        <v>0</v>
      </c>
    </row>
    <row r="246" spans="1:16" hidden="1">
      <c r="A246" s="1090" t="s">
        <v>1040</v>
      </c>
      <c r="B246" s="1091"/>
      <c r="C246" s="920"/>
      <c r="D246" s="920"/>
      <c r="E246" s="920"/>
      <c r="F246" s="920"/>
      <c r="G246" s="920"/>
      <c r="H246" s="920"/>
      <c r="I246" s="920"/>
      <c r="P246" s="873" cm="1">
        <f t="array" ref="P246">IF(OR(ISNUMBER(J246:O246)),AVERAGE(J246:O246),J246)</f>
        <v>0</v>
      </c>
    </row>
    <row r="247" spans="1:16" hidden="1">
      <c r="A247" s="1090" t="s">
        <v>1041</v>
      </c>
      <c r="B247" s="1091"/>
      <c r="C247" s="920"/>
      <c r="D247" s="920"/>
      <c r="E247" s="920"/>
      <c r="F247" s="920"/>
      <c r="G247" s="920"/>
      <c r="H247" s="920"/>
      <c r="I247" s="920"/>
      <c r="P247" s="873" cm="1">
        <f t="array" ref="P247">IF(OR(ISNUMBER(J247:O247)),AVERAGE(J247:O247),J247)</f>
        <v>0</v>
      </c>
    </row>
    <row r="248" spans="1:16" hidden="1">
      <c r="A248" s="1090" t="s">
        <v>1042</v>
      </c>
      <c r="B248" s="1091"/>
      <c r="C248" s="920"/>
      <c r="D248" s="920"/>
      <c r="E248" s="920"/>
      <c r="F248" s="920"/>
      <c r="G248" s="920"/>
      <c r="H248" s="920"/>
      <c r="I248" s="920"/>
      <c r="P248" s="873" cm="1">
        <f t="array" ref="P248">IF(OR(ISNUMBER(J248:O248)),AVERAGE(J248:O248),J248)</f>
        <v>0</v>
      </c>
    </row>
    <row r="249" spans="1:16" hidden="1">
      <c r="A249" s="1090" t="s">
        <v>1043</v>
      </c>
      <c r="B249" s="1091"/>
      <c r="C249" s="880"/>
      <c r="D249" s="880"/>
      <c r="E249" s="880"/>
      <c r="F249" s="880"/>
      <c r="G249" s="880"/>
      <c r="H249" s="880"/>
      <c r="I249" s="880"/>
      <c r="P249" s="873" cm="1">
        <f t="array" ref="P249">IF(OR(ISNUMBER(J249:O249)),AVERAGE(J249:O249),J249)</f>
        <v>0</v>
      </c>
    </row>
    <row r="250" spans="1:16" hidden="1">
      <c r="A250" s="1090" t="s">
        <v>1044</v>
      </c>
      <c r="B250" s="1091"/>
      <c r="P250" s="873" cm="1">
        <f t="array" ref="P250">IF(OR(ISNUMBER(J250:O250)),AVERAGE(J250:O250),J250)</f>
        <v>0</v>
      </c>
    </row>
    <row r="251" spans="1:16" hidden="1">
      <c r="A251" s="1090" t="s">
        <v>1045</v>
      </c>
      <c r="B251" s="1091"/>
      <c r="P251" s="873" cm="1">
        <f t="array" ref="P251">IF(OR(ISNUMBER(J251:O251)),AVERAGE(J251:O251),J251)</f>
        <v>0</v>
      </c>
    </row>
    <row r="252" spans="1:16" hidden="1">
      <c r="A252" s="1090" t="s">
        <v>1046</v>
      </c>
      <c r="B252" s="1091"/>
      <c r="P252" s="873" cm="1">
        <f t="array" ref="P252">IF(OR(ISNUMBER(J252:O252)),AVERAGE(J252:O252),J252)</f>
        <v>0</v>
      </c>
    </row>
    <row r="253" spans="1:16" hidden="1">
      <c r="P253" s="873" cm="1">
        <f t="array" ref="P253">IF(OR(ISNUMBER(J253:O253)),AVERAGE(J253:O253),J253)</f>
        <v>0</v>
      </c>
    </row>
    <row r="254" spans="1:16" hidden="1">
      <c r="P254" s="873" cm="1">
        <f t="array" ref="P254">IF(OR(ISNUMBER(J254:O254)),AVERAGE(J254:O254),J254)</f>
        <v>0</v>
      </c>
    </row>
    <row r="255" spans="1:16" hidden="1">
      <c r="P255" s="873" cm="1">
        <f t="array" ref="P255">IF(OR(ISNUMBER(J255:O255)),AVERAGE(J255:O255),J255)</f>
        <v>0</v>
      </c>
    </row>
    <row r="256" spans="1:16" hidden="1">
      <c r="P256" s="873" cm="1">
        <f t="array" ref="P256">IF(OR(ISNUMBER(J256:O256)),AVERAGE(J256:O256),J256)</f>
        <v>0</v>
      </c>
    </row>
    <row r="257" spans="1:17" hidden="1">
      <c r="A257" s="880"/>
      <c r="B257" s="880"/>
      <c r="C257" s="880"/>
      <c r="D257" s="880"/>
      <c r="E257" s="880"/>
      <c r="F257" s="880"/>
      <c r="G257" s="880"/>
      <c r="H257" s="880"/>
      <c r="I257" s="880"/>
      <c r="P257" s="873" cm="1">
        <f t="array" ref="P257">IF(OR(ISNUMBER(J257:O257)),AVERAGE(J257:O257),J257)</f>
        <v>0</v>
      </c>
    </row>
    <row r="258" spans="1:17" hidden="1">
      <c r="A258" s="1087" t="s">
        <v>1047</v>
      </c>
      <c r="B258" s="1088"/>
      <c r="C258" s="1089"/>
      <c r="D258" s="920"/>
      <c r="E258" s="920"/>
      <c r="F258" s="920"/>
      <c r="G258" s="920"/>
      <c r="H258" s="920"/>
      <c r="I258" s="920"/>
      <c r="P258" s="873" cm="1">
        <f t="array" ref="P258">IF(OR(ISNUMBER(J258:O258)),AVERAGE(J258:O258),J258)</f>
        <v>0</v>
      </c>
    </row>
    <row r="259" spans="1:17" hidden="1">
      <c r="A259" s="1082" t="s">
        <v>1048</v>
      </c>
      <c r="B259" s="1083"/>
      <c r="C259" s="1084"/>
      <c r="D259" s="920"/>
      <c r="E259" s="920"/>
      <c r="F259" s="920"/>
      <c r="G259" s="920"/>
      <c r="H259" s="920"/>
      <c r="I259" s="920"/>
      <c r="P259" s="873" cm="1">
        <f t="array" ref="P259">IF(OR(ISNUMBER(J259:O259)),AVERAGE(J259:O259),J259)</f>
        <v>0</v>
      </c>
    </row>
    <row r="260" spans="1:17" hidden="1">
      <c r="A260" s="1082" t="s">
        <v>1049</v>
      </c>
      <c r="B260" s="1083"/>
      <c r="C260" s="1084"/>
      <c r="D260" s="920"/>
      <c r="E260" s="920"/>
      <c r="F260" s="920"/>
      <c r="G260" s="920"/>
      <c r="H260" s="920"/>
      <c r="I260" s="920"/>
      <c r="P260" s="873" cm="1">
        <f t="array" ref="P260">IF(OR(ISNUMBER(J260:O260)),AVERAGE(J260:O260),J260)</f>
        <v>0</v>
      </c>
    </row>
    <row r="261" spans="1:17" hidden="1">
      <c r="B261" s="851" t="s">
        <v>1050</v>
      </c>
      <c r="D261" s="920"/>
      <c r="E261" s="920"/>
      <c r="F261" s="920"/>
      <c r="G261" s="920"/>
      <c r="H261" s="920"/>
      <c r="I261" s="920"/>
      <c r="P261" s="873" cm="1">
        <f t="array" ref="P261">IF(OR(ISNUMBER(J261:O261)),AVERAGE(J261:O261),J261)</f>
        <v>0</v>
      </c>
    </row>
    <row r="262" spans="1:17" hidden="1">
      <c r="A262" s="1082" t="s">
        <v>1051</v>
      </c>
      <c r="B262" s="1083"/>
      <c r="C262" s="1084"/>
      <c r="D262" s="920"/>
      <c r="E262" s="920"/>
      <c r="F262" s="920"/>
      <c r="G262" s="920"/>
      <c r="H262" s="920"/>
      <c r="I262" s="920"/>
      <c r="P262" s="873" cm="1">
        <f t="array" ref="P262">IF(OR(ISNUMBER(J262:O262)),AVERAGE(J262:O262),J262)</f>
        <v>0</v>
      </c>
    </row>
    <row r="263" spans="1:17" hidden="1">
      <c r="A263" s="1082" t="s">
        <v>1052</v>
      </c>
      <c r="B263" s="1083"/>
      <c r="C263" s="921"/>
      <c r="D263" s="920"/>
      <c r="E263" s="920"/>
      <c r="F263" s="920"/>
      <c r="G263" s="920"/>
      <c r="H263" s="920"/>
      <c r="I263" s="920"/>
      <c r="P263" s="873" cm="1">
        <f t="array" ref="P263">IF(OR(ISNUMBER(J263:O263)),AVERAGE(J263:O263),J263)</f>
        <v>0</v>
      </c>
    </row>
    <row r="264" spans="1:17" hidden="1">
      <c r="A264" s="1085" t="s">
        <v>1015</v>
      </c>
      <c r="B264" s="1086"/>
      <c r="C264" s="881"/>
      <c r="P264" s="873" cm="1">
        <f t="array" ref="P264">IF(OR(ISNUMBER(J264:O264)),AVERAGE(J264:O264),J264)</f>
        <v>0</v>
      </c>
    </row>
    <row r="266" spans="1:17">
      <c r="A266" s="903" t="s">
        <v>1053</v>
      </c>
      <c r="B266" s="903" t="s">
        <v>1054</v>
      </c>
      <c r="C266" s="903" t="s">
        <v>1055</v>
      </c>
      <c r="D266" s="903" t="s">
        <v>1056</v>
      </c>
      <c r="E266" s="903" t="s">
        <v>1057</v>
      </c>
      <c r="F266" s="903" t="s">
        <v>1058</v>
      </c>
      <c r="G266" s="903" t="s">
        <v>1059</v>
      </c>
      <c r="H266" s="903" t="s">
        <v>1060</v>
      </c>
      <c r="I266" s="903" t="s">
        <v>1061</v>
      </c>
      <c r="J266" s="903" t="s">
        <v>1062</v>
      </c>
      <c r="K266" s="903" t="s">
        <v>1063</v>
      </c>
      <c r="L266" s="903" t="s">
        <v>1064</v>
      </c>
      <c r="M266" s="903" t="s">
        <v>1065</v>
      </c>
      <c r="N266" s="903" t="s">
        <v>1066</v>
      </c>
      <c r="O266" s="903" t="s">
        <v>1067</v>
      </c>
      <c r="P266" s="903" t="s">
        <v>1068</v>
      </c>
      <c r="Q266" s="903" t="s">
        <v>1069</v>
      </c>
    </row>
    <row r="267" spans="1:17">
      <c r="A267" s="904" t="str" cm="1">
        <f t="array" aca="1" ref="A267" ca="1">IF(ISNUMBER($B267),IF(ISBLANK(INDIRECT("'"&amp;$B267&amp;"'!J3")),"",INDIRECT("'"&amp;$B267&amp;"'!J3")),"")</f>
        <v/>
      </c>
      <c r="B267" s="905"/>
      <c r="C267" s="905" t="s">
        <v>155</v>
      </c>
      <c r="D267" s="905" t="str" cm="1">
        <f t="array" aca="1" ref="D267" ca="1">IF(ISNUMBER($B267),IF(ISBLANK(INDIRECT("'"&amp;$B267&amp;"'!L3")),"",INDIRECT("'"&amp;$B267&amp;"'!L3")),"")</f>
        <v/>
      </c>
      <c r="E267" s="905" t="str" cm="1">
        <f t="array" aca="1" ref="E267" ca="1">IF(ISNUMBER($B267),IF(ISBLANK(INDIRECT("'"&amp;$B267&amp;"'!E3")),"",INDIRECT("'"&amp;$B267&amp;"'!E3")),"")</f>
        <v/>
      </c>
      <c r="F267" s="905" t="str" cm="1">
        <f t="array" aca="1" ref="F267" ca="1">IF(ISNUMBER($B267),IF(ISBLANK(INDIRECT("'"&amp;$B267&amp;"'!E20")),"",INDIRECT("'"&amp;$B267&amp;"'!E20")),"")</f>
        <v/>
      </c>
      <c r="G267" s="905" t="str" cm="1">
        <f t="array" aca="1" ref="G267" ca="1">IF(ISNUMBER($B267),IF(ISBLANK(INDIRECT("'"&amp;$B267&amp;"'!E22")),"",INDIRECT("'"&amp;$B267&amp;"'!E22")),"")</f>
        <v/>
      </c>
      <c r="H267" s="905" t="str" cm="1">
        <f t="array" aca="1" ref="H267" ca="1">IF(ISNUMBER($B267),IF(ISBLANK(INDIRECT("'"&amp;$B267&amp;"'!E40")),"",INDIRECT("'"&amp;$B267&amp;"'!E40")),"")</f>
        <v/>
      </c>
      <c r="I267" s="905" t="str" cm="1">
        <f t="array" aca="1" ref="I267" ca="1">IF(ISNUMBER($B267),IF(ISBLANK(INDIRECT("'"&amp;$B267&amp;"'!I40")),"",INDIRECT("'"&amp;$B267&amp;"'!I40")),"")</f>
        <v/>
      </c>
      <c r="J267" s="905" t="str" cm="1">
        <f t="array" aca="1" ref="J267" ca="1">IF(ISNUMBER($B267),IF(ISBLANK(INDIRECT("'"&amp;$B267&amp;"'!L56")),"",INDIRECT("'"&amp;$B267&amp;"'!L56")),"")</f>
        <v/>
      </c>
      <c r="K267" s="905" t="str" cm="1">
        <f t="array" aca="1" ref="K267" ca="1">IF(ISNUMBER($B267),IF(ISBLANK(INDIRECT("'"&amp;$B267&amp;"'!E66")),"",INDIRECT("'"&amp;$B267&amp;"'!E66")),"")</f>
        <v/>
      </c>
      <c r="L267" s="905" t="str" cm="1">
        <f t="array" aca="1" ref="L267" ca="1">IF(ISNUMBER($B267),IF(ISBLANK(INDIRECT("'"&amp;$B267&amp;"'!K86")),"",INDIRECT("'"&amp;$B267&amp;"'!K86")),"")</f>
        <v/>
      </c>
      <c r="M267" s="905" t="str" cm="1">
        <f t="array" aca="1" ref="M267" ca="1">IF(ISNUMBER($B267),IF(OR(ISBLANK(INDIRECT("'"&amp;$B267&amp;"'!I78")),ISBLANK(INDIRECT("'"&amp;$B267&amp;"'!I80"))),"",INDIRECT("'"&amp;$B267&amp;"'!I78"))+INDIRECT("'"&amp;$B267&amp;"'!I80"),"")</f>
        <v/>
      </c>
      <c r="N267" s="905" t="str" cm="1">
        <f t="array" aca="1" ref="N267" ca="1">IF(ISNUMBER($B267),IF(ISBLANK(INDIRECT("'"&amp;$B267&amp;"'!I88")),"",INDIRECT("'"&amp;$B267&amp;"'!I88")),"")</f>
        <v/>
      </c>
      <c r="O267" s="905" t="str" cm="1">
        <f t="array" aca="1" ref="O267" ca="1">IF(ISNUMBER($B267),IF(ISBLANK(INDIRECT("'"&amp;$B267&amp;"'!L97")),"",INDIRECT("'"&amp;$B267&amp;"'!L97")),"")</f>
        <v/>
      </c>
      <c r="P267" s="905" t="str" cm="1">
        <f t="array" aca="1" ref="P267" ca="1">IF(ISNUMBER($B267),IF(ISBLANK(INDIRECT("'"&amp;$B267&amp;"'!E98")),"",INDIRECT("'"&amp;$B267&amp;"'!E98")),"")</f>
        <v/>
      </c>
      <c r="Q267" s="906" t="str" cm="1">
        <f t="array" aca="1" ref="Q267" ca="1">IF(ISNUMBER($B267),IF(OR(ISBLANK(INDIRECT("'"&amp;$B267&amp;"'!E66")),ISBLANK(INDIRECT("'"&amp;$B267&amp;"'!E98"))),"",1-(INDIRECT("'"&amp;$B267&amp;"'!E98")+10.5)/INDIRECT("'"&amp;$B267&amp;"'!E66")),"")</f>
        <v/>
      </c>
    </row>
    <row r="268" spans="1:17">
      <c r="A268" s="904" t="str" cm="1">
        <f t="array" aca="1" ref="A268" ca="1">IF(ISNUMBER($B268),IF(ISBLANK(INDIRECT("'"&amp;$B268&amp;"'!J3")),"",INDIRECT("'"&amp;$B268&amp;"'!J3")),"")</f>
        <v/>
      </c>
      <c r="B268" s="905"/>
      <c r="C268" s="905" t="s">
        <v>155</v>
      </c>
      <c r="D268" s="905" t="str" cm="1">
        <f t="array" aca="1" ref="D268" ca="1">IF(ISNUMBER($B268),IF(ISBLANK(INDIRECT("'"&amp;$B268&amp;"'!L3")),"",INDIRECT("'"&amp;$B268&amp;"'!L3")),"")</f>
        <v/>
      </c>
      <c r="E268" s="905" t="str" cm="1">
        <f t="array" aca="1" ref="E268" ca="1">IF(ISNUMBER($B268),IF(ISBLANK(INDIRECT("'"&amp;$B268&amp;"'!E3")),"",INDIRECT("'"&amp;$B268&amp;"'!E3")),"")</f>
        <v/>
      </c>
      <c r="F268" s="905" t="str" cm="1">
        <f t="array" aca="1" ref="F268" ca="1">IF(ISNUMBER($B268),IF(ISBLANK(INDIRECT("'"&amp;$B268&amp;"'!E20")),"",INDIRECT("'"&amp;$B268&amp;"'!E20")),"")</f>
        <v/>
      </c>
      <c r="G268" s="905" t="str" cm="1">
        <f t="array" aca="1" ref="G268" ca="1">IF(ISNUMBER($B268),IF(ISBLANK(INDIRECT("'"&amp;$B268&amp;"'!E22")),"",INDIRECT("'"&amp;$B268&amp;"'!E22")),"")</f>
        <v/>
      </c>
      <c r="H268" s="905" t="str" cm="1">
        <f t="array" aca="1" ref="H268" ca="1">IF(ISNUMBER($B268),IF(ISBLANK(INDIRECT("'"&amp;$B268&amp;"'!E40")),"",INDIRECT("'"&amp;$B268&amp;"'!E40")),"")</f>
        <v/>
      </c>
      <c r="I268" s="905" t="str" cm="1">
        <f t="array" aca="1" ref="I268" ca="1">IF(ISNUMBER($B268),IF(ISBLANK(INDIRECT("'"&amp;$B268&amp;"'!I40")),"",INDIRECT("'"&amp;$B268&amp;"'!I40")),"")</f>
        <v/>
      </c>
      <c r="J268" s="905" t="str" cm="1">
        <f t="array" aca="1" ref="J268" ca="1">IF(ISNUMBER($B268),IF(ISBLANK(INDIRECT("'"&amp;$B268&amp;"'!L56")),"",INDIRECT("'"&amp;$B268&amp;"'!L56")),"")</f>
        <v/>
      </c>
      <c r="K268" s="905" t="str" cm="1">
        <f t="array" aca="1" ref="K268" ca="1">IF(ISNUMBER($B268),IF(ISBLANK(INDIRECT("'"&amp;$B268&amp;"'!E66")),"",INDIRECT("'"&amp;$B268&amp;"'!E66")),"")</f>
        <v/>
      </c>
      <c r="L268" s="905" t="str" cm="1">
        <f t="array" aca="1" ref="L268" ca="1">IF(ISNUMBER($B268),IF(ISBLANK(INDIRECT("'"&amp;$B268&amp;"'!K86")),"",INDIRECT("'"&amp;$B268&amp;"'!K86")),"")</f>
        <v/>
      </c>
      <c r="M268" s="905" t="str" cm="1">
        <f t="array" aca="1" ref="M268" ca="1">IF(ISNUMBER($B268),IF(OR(ISBLANK(INDIRECT("'"&amp;$B268&amp;"'!I78")),ISBLANK(INDIRECT("'"&amp;$B268&amp;"'!I80"))),"",INDIRECT("'"&amp;$B268&amp;"'!I78"))+INDIRECT("'"&amp;$B268&amp;"'!I80"),"")</f>
        <v/>
      </c>
      <c r="N268" s="905" t="str" cm="1">
        <f t="array" aca="1" ref="N268" ca="1">IF(ISNUMBER($B268),IF(ISBLANK(INDIRECT("'"&amp;$B268&amp;"'!I88")),"",INDIRECT("'"&amp;$B268&amp;"'!I88")),"")</f>
        <v/>
      </c>
      <c r="O268" s="905" t="str" cm="1">
        <f t="array" aca="1" ref="O268" ca="1">IF(ISNUMBER($B268),IF(ISBLANK(INDIRECT("'"&amp;$B268&amp;"'!L97")),"",INDIRECT("'"&amp;$B268&amp;"'!L97")),"")</f>
        <v/>
      </c>
      <c r="P268" s="905" t="str" cm="1">
        <f t="array" aca="1" ref="P268" ca="1">IF(ISNUMBER($B268),IF(ISBLANK(INDIRECT("'"&amp;$B268&amp;"'!E98")),"",INDIRECT("'"&amp;$B268&amp;"'!E98")),"")</f>
        <v/>
      </c>
      <c r="Q268" s="906" t="str" cm="1">
        <f t="array" aca="1" ref="Q268" ca="1">IF(ISNUMBER($B268),IF(OR(ISBLANK(INDIRECT("'"&amp;$B268&amp;"'!E66")),ISBLANK(INDIRECT("'"&amp;$B268&amp;"'!E98"))),"",1-(INDIRECT("'"&amp;$B268&amp;"'!E98")+10.5)/INDIRECT("'"&amp;$B268&amp;"'!E66")),"")</f>
        <v/>
      </c>
    </row>
    <row r="269" spans="1:17">
      <c r="A269" s="904" t="str" cm="1">
        <f t="array" aca="1" ref="A269" ca="1">IF(ISNUMBER($B269),IF(ISBLANK(INDIRECT("'"&amp;$B269&amp;"'!J3")),"",INDIRECT("'"&amp;$B269&amp;"'!J3")),"")</f>
        <v/>
      </c>
      <c r="B269" s="905"/>
      <c r="C269" s="905" t="s">
        <v>155</v>
      </c>
      <c r="D269" s="905" t="str" cm="1">
        <f t="array" aca="1" ref="D269" ca="1">IF(ISNUMBER($B269),IF(ISBLANK(INDIRECT("'"&amp;$B269&amp;"'!L3")),"",INDIRECT("'"&amp;$B269&amp;"'!L3")),"")</f>
        <v/>
      </c>
      <c r="E269" s="905" t="str" cm="1">
        <f t="array" aca="1" ref="E269" ca="1">IF(ISNUMBER($B269),IF(ISBLANK(INDIRECT("'"&amp;$B269&amp;"'!E3")),"",INDIRECT("'"&amp;$B269&amp;"'!E3")),"")</f>
        <v/>
      </c>
      <c r="F269" s="905" t="str" cm="1">
        <f t="array" aca="1" ref="F269" ca="1">IF(ISNUMBER($B269),IF(ISBLANK(INDIRECT("'"&amp;$B269&amp;"'!E20")),"",INDIRECT("'"&amp;$B269&amp;"'!E20")),"")</f>
        <v/>
      </c>
      <c r="G269" s="905" t="str" cm="1">
        <f t="array" aca="1" ref="G269" ca="1">IF(ISNUMBER($B269),IF(ISBLANK(INDIRECT("'"&amp;$B269&amp;"'!E22")),"",INDIRECT("'"&amp;$B269&amp;"'!E22")),"")</f>
        <v/>
      </c>
      <c r="H269" s="905" t="str" cm="1">
        <f t="array" aca="1" ref="H269" ca="1">IF(ISNUMBER($B269),IF(ISBLANK(INDIRECT("'"&amp;$B269&amp;"'!E40")),"",INDIRECT("'"&amp;$B269&amp;"'!E40")),"")</f>
        <v/>
      </c>
      <c r="I269" s="905" t="str" cm="1">
        <f t="array" aca="1" ref="I269" ca="1">IF(ISNUMBER($B269),IF(ISBLANK(INDIRECT("'"&amp;$B269&amp;"'!I40")),"",INDIRECT("'"&amp;$B269&amp;"'!I40")),"")</f>
        <v/>
      </c>
      <c r="J269" s="905" t="str" cm="1">
        <f t="array" aca="1" ref="J269" ca="1">IF(ISNUMBER($B269),IF(ISBLANK(INDIRECT("'"&amp;$B269&amp;"'!L56")),"",INDIRECT("'"&amp;$B269&amp;"'!L56")),"")</f>
        <v/>
      </c>
      <c r="K269" s="905" t="str" cm="1">
        <f t="array" aca="1" ref="K269" ca="1">IF(ISNUMBER($B269),IF(ISBLANK(INDIRECT("'"&amp;$B269&amp;"'!E66")),"",INDIRECT("'"&amp;$B269&amp;"'!E66")),"")</f>
        <v/>
      </c>
      <c r="L269" s="905" t="str" cm="1">
        <f t="array" aca="1" ref="L269" ca="1">IF(ISNUMBER($B269),IF(ISBLANK(INDIRECT("'"&amp;$B269&amp;"'!K86")),"",INDIRECT("'"&amp;$B269&amp;"'!K86")),"")</f>
        <v/>
      </c>
      <c r="M269" s="905" t="str" cm="1">
        <f t="array" aca="1" ref="M269" ca="1">IF(ISNUMBER($B269),IF(OR(ISBLANK(INDIRECT("'"&amp;$B269&amp;"'!I78")),ISBLANK(INDIRECT("'"&amp;$B269&amp;"'!I80"))),"",INDIRECT("'"&amp;$B269&amp;"'!I78"))+INDIRECT("'"&amp;$B269&amp;"'!I80"),"")</f>
        <v/>
      </c>
      <c r="N269" s="905" t="str" cm="1">
        <f t="array" aca="1" ref="N269" ca="1">IF(ISNUMBER($B269),IF(ISBLANK(INDIRECT("'"&amp;$B269&amp;"'!I88")),"",INDIRECT("'"&amp;$B269&amp;"'!I88")),"")</f>
        <v/>
      </c>
      <c r="O269" s="905" t="str" cm="1">
        <f t="array" aca="1" ref="O269" ca="1">IF(ISNUMBER($B269),IF(ISBLANK(INDIRECT("'"&amp;$B269&amp;"'!L97")),"",INDIRECT("'"&amp;$B269&amp;"'!L97")),"")</f>
        <v/>
      </c>
      <c r="P269" s="905" t="str" cm="1">
        <f t="array" aca="1" ref="P269" ca="1">IF(ISNUMBER($B269),IF(ISBLANK(INDIRECT("'"&amp;$B269&amp;"'!E98")),"",INDIRECT("'"&amp;$B269&amp;"'!E98")),"")</f>
        <v/>
      </c>
      <c r="Q269" s="906" t="str" cm="1">
        <f t="array" aca="1" ref="Q269" ca="1">IF(ISNUMBER($B269),IF(OR(ISBLANK(INDIRECT("'"&amp;$B269&amp;"'!E66")),ISBLANK(INDIRECT("'"&amp;$B269&amp;"'!E98"))),"",1-(INDIRECT("'"&amp;$B269&amp;"'!E98")+10.5)/INDIRECT("'"&amp;$B269&amp;"'!E66")),"")</f>
        <v/>
      </c>
    </row>
    <row r="270" spans="1:17">
      <c r="A270" s="904" t="str" cm="1">
        <f t="array" aca="1" ref="A270" ca="1">IF(ISNUMBER($B270),IF(ISBLANK(INDIRECT("'"&amp;$B270&amp;"'!J3")),"",INDIRECT("'"&amp;$B270&amp;"'!J3")),"")</f>
        <v/>
      </c>
      <c r="B270" s="905"/>
      <c r="C270" s="905" t="s">
        <v>155</v>
      </c>
      <c r="D270" s="905" t="str" cm="1">
        <f t="array" aca="1" ref="D270" ca="1">IF(ISNUMBER($B270),IF(ISBLANK(INDIRECT("'"&amp;$B270&amp;"'!L3")),"",INDIRECT("'"&amp;$B270&amp;"'!L3")),"")</f>
        <v/>
      </c>
      <c r="E270" s="905" t="str" cm="1">
        <f t="array" aca="1" ref="E270" ca="1">IF(ISNUMBER($B270),IF(ISBLANK(INDIRECT("'"&amp;$B270&amp;"'!E3")),"",INDIRECT("'"&amp;$B270&amp;"'!E3")),"")</f>
        <v/>
      </c>
      <c r="F270" s="905" t="str" cm="1">
        <f t="array" aca="1" ref="F270" ca="1">IF(ISNUMBER($B270),IF(ISBLANK(INDIRECT("'"&amp;$B270&amp;"'!E20")),"",INDIRECT("'"&amp;$B270&amp;"'!E20")),"")</f>
        <v/>
      </c>
      <c r="G270" s="905" t="str" cm="1">
        <f t="array" aca="1" ref="G270" ca="1">IF(ISNUMBER($B270),IF(ISBLANK(INDIRECT("'"&amp;$B270&amp;"'!E22")),"",INDIRECT("'"&amp;$B270&amp;"'!E22")),"")</f>
        <v/>
      </c>
      <c r="H270" s="905" t="str" cm="1">
        <f t="array" aca="1" ref="H270" ca="1">IF(ISNUMBER($B270),IF(ISBLANK(INDIRECT("'"&amp;$B270&amp;"'!E40")),"",INDIRECT("'"&amp;$B270&amp;"'!E40")),"")</f>
        <v/>
      </c>
      <c r="I270" s="905" t="str" cm="1">
        <f t="array" aca="1" ref="I270" ca="1">IF(ISNUMBER($B270),IF(ISBLANK(INDIRECT("'"&amp;$B270&amp;"'!I40")),"",INDIRECT("'"&amp;$B270&amp;"'!I40")),"")</f>
        <v/>
      </c>
      <c r="J270" s="905" t="str" cm="1">
        <f t="array" aca="1" ref="J270" ca="1">IF(ISNUMBER($B270),IF(ISBLANK(INDIRECT("'"&amp;$B270&amp;"'!L56")),"",INDIRECT("'"&amp;$B270&amp;"'!L56")),"")</f>
        <v/>
      </c>
      <c r="K270" s="905" t="str" cm="1">
        <f t="array" aca="1" ref="K270" ca="1">IF(ISNUMBER($B270),IF(ISBLANK(INDIRECT("'"&amp;$B270&amp;"'!E66")),"",INDIRECT("'"&amp;$B270&amp;"'!E66")),"")</f>
        <v/>
      </c>
      <c r="L270" s="905" t="str" cm="1">
        <f t="array" aca="1" ref="L270" ca="1">IF(ISNUMBER($B270),IF(ISBLANK(INDIRECT("'"&amp;$B270&amp;"'!K86")),"",INDIRECT("'"&amp;$B270&amp;"'!K86")),"")</f>
        <v/>
      </c>
      <c r="M270" s="905" t="str" cm="1">
        <f t="array" aca="1" ref="M270" ca="1">IF(ISNUMBER($B270),IF(OR(ISBLANK(INDIRECT("'"&amp;$B270&amp;"'!I78")),ISBLANK(INDIRECT("'"&amp;$B270&amp;"'!I80"))),"",INDIRECT("'"&amp;$B270&amp;"'!I78"))+INDIRECT("'"&amp;$B270&amp;"'!I80"),"")</f>
        <v/>
      </c>
      <c r="N270" s="905" t="str" cm="1">
        <f t="array" aca="1" ref="N270" ca="1">IF(ISNUMBER($B270),IF(ISBLANK(INDIRECT("'"&amp;$B270&amp;"'!I88")),"",INDIRECT("'"&amp;$B270&amp;"'!I88")),"")</f>
        <v/>
      </c>
      <c r="O270" s="905" t="str" cm="1">
        <f t="array" aca="1" ref="O270" ca="1">IF(ISNUMBER($B270),IF(ISBLANK(INDIRECT("'"&amp;$B270&amp;"'!L97")),"",INDIRECT("'"&amp;$B270&amp;"'!L97")),"")</f>
        <v/>
      </c>
      <c r="P270" s="905" t="str" cm="1">
        <f t="array" aca="1" ref="P270" ca="1">IF(ISNUMBER($B270),IF(ISBLANK(INDIRECT("'"&amp;$B270&amp;"'!E98")),"",INDIRECT("'"&amp;$B270&amp;"'!E98")),"")</f>
        <v/>
      </c>
      <c r="Q270" s="906" t="str" cm="1">
        <f t="array" aca="1" ref="Q270" ca="1">IF(ISNUMBER($B270),IF(OR(ISBLANK(INDIRECT("'"&amp;$B270&amp;"'!E66")),ISBLANK(INDIRECT("'"&amp;$B270&amp;"'!E98"))),"",1-(INDIRECT("'"&amp;$B270&amp;"'!E98")+10.5)/INDIRECT("'"&amp;$B270&amp;"'!E66")),"")</f>
        <v/>
      </c>
    </row>
    <row r="271" spans="1:17">
      <c r="A271" s="904" t="str" cm="1">
        <f t="array" aca="1" ref="A271" ca="1">IF(ISNUMBER($B271),IF(ISBLANK(INDIRECT("'"&amp;$B271&amp;"'!J3")),"",INDIRECT("'"&amp;$B271&amp;"'!J3")),"")</f>
        <v/>
      </c>
      <c r="B271" s="905"/>
      <c r="C271" s="905" t="s">
        <v>155</v>
      </c>
      <c r="D271" s="905" t="str" cm="1">
        <f t="array" aca="1" ref="D271" ca="1">IF(ISNUMBER($B271),IF(ISBLANK(INDIRECT("'"&amp;$B271&amp;"'!L3")),"",INDIRECT("'"&amp;$B271&amp;"'!L3")),"")</f>
        <v/>
      </c>
      <c r="E271" s="905" t="str" cm="1">
        <f t="array" aca="1" ref="E271" ca="1">IF(ISNUMBER($B271),IF(ISBLANK(INDIRECT("'"&amp;$B271&amp;"'!E3")),"",INDIRECT("'"&amp;$B271&amp;"'!E3")),"")</f>
        <v/>
      </c>
      <c r="F271" s="905" t="str" cm="1">
        <f t="array" aca="1" ref="F271" ca="1">IF(ISNUMBER($B271),IF(ISBLANK(INDIRECT("'"&amp;$B271&amp;"'!E20")),"",INDIRECT("'"&amp;$B271&amp;"'!E20")),"")</f>
        <v/>
      </c>
      <c r="G271" s="905" t="str" cm="1">
        <f t="array" aca="1" ref="G271" ca="1">IF(ISNUMBER($B271),IF(ISBLANK(INDIRECT("'"&amp;$B271&amp;"'!E22")),"",INDIRECT("'"&amp;$B271&amp;"'!E22")),"")</f>
        <v/>
      </c>
      <c r="H271" s="905" t="str" cm="1">
        <f t="array" aca="1" ref="H271" ca="1">IF(ISNUMBER($B271),IF(ISBLANK(INDIRECT("'"&amp;$B271&amp;"'!E40")),"",INDIRECT("'"&amp;$B271&amp;"'!E40")),"")</f>
        <v/>
      </c>
      <c r="I271" s="905" t="str" cm="1">
        <f t="array" aca="1" ref="I271" ca="1">IF(ISNUMBER($B271),IF(ISBLANK(INDIRECT("'"&amp;$B271&amp;"'!I40")),"",INDIRECT("'"&amp;$B271&amp;"'!I40")),"")</f>
        <v/>
      </c>
      <c r="J271" s="905" t="str" cm="1">
        <f t="array" aca="1" ref="J271" ca="1">IF(ISNUMBER($B271),IF(ISBLANK(INDIRECT("'"&amp;$B271&amp;"'!L56")),"",INDIRECT("'"&amp;$B271&amp;"'!L56")),"")</f>
        <v/>
      </c>
      <c r="K271" s="905" t="str" cm="1">
        <f t="array" aca="1" ref="K271" ca="1">IF(ISNUMBER($B271),IF(ISBLANK(INDIRECT("'"&amp;$B271&amp;"'!E66")),"",INDIRECT("'"&amp;$B271&amp;"'!E66")),"")</f>
        <v/>
      </c>
      <c r="L271" s="905" t="str" cm="1">
        <f t="array" aca="1" ref="L271" ca="1">IF(ISNUMBER($B271),IF(ISBLANK(INDIRECT("'"&amp;$B271&amp;"'!K86")),"",INDIRECT("'"&amp;$B271&amp;"'!K86")),"")</f>
        <v/>
      </c>
      <c r="M271" s="905" t="str" cm="1">
        <f t="array" aca="1" ref="M271" ca="1">IF(ISNUMBER($B271),IF(OR(ISBLANK(INDIRECT("'"&amp;$B271&amp;"'!I78")),ISBLANK(INDIRECT("'"&amp;$B271&amp;"'!I80"))),"",INDIRECT("'"&amp;$B271&amp;"'!I78"))+INDIRECT("'"&amp;$B271&amp;"'!I80"),"")</f>
        <v/>
      </c>
      <c r="N271" s="905" t="str" cm="1">
        <f t="array" aca="1" ref="N271" ca="1">IF(ISNUMBER($B271),IF(ISBLANK(INDIRECT("'"&amp;$B271&amp;"'!I88")),"",INDIRECT("'"&amp;$B271&amp;"'!I88")),"")</f>
        <v/>
      </c>
      <c r="O271" s="905" t="str" cm="1">
        <f t="array" aca="1" ref="O271" ca="1">IF(ISNUMBER($B271),IF(ISBLANK(INDIRECT("'"&amp;$B271&amp;"'!L97")),"",INDIRECT("'"&amp;$B271&amp;"'!L97")),"")</f>
        <v/>
      </c>
      <c r="P271" s="905" t="str" cm="1">
        <f t="array" aca="1" ref="P271" ca="1">IF(ISNUMBER($B271),IF(ISBLANK(INDIRECT("'"&amp;$B271&amp;"'!E98")),"",INDIRECT("'"&amp;$B271&amp;"'!E98")),"")</f>
        <v/>
      </c>
      <c r="Q271" s="906" t="str" cm="1">
        <f t="array" aca="1" ref="Q271" ca="1">IF(ISNUMBER($B271),IF(OR(ISBLANK(INDIRECT("'"&amp;$B271&amp;"'!E66")),ISBLANK(INDIRECT("'"&amp;$B271&amp;"'!E98"))),"",1-(INDIRECT("'"&amp;$B271&amp;"'!E98")+10.5)/INDIRECT("'"&amp;$B271&amp;"'!E66")),"")</f>
        <v/>
      </c>
    </row>
    <row r="272" spans="1:17">
      <c r="A272" s="904" t="str" cm="1">
        <f t="array" aca="1" ref="A272" ca="1">IF(ISNUMBER($B272),IF(ISBLANK(INDIRECT("'"&amp;$B272&amp;"'!J3")),"",INDIRECT("'"&amp;$B272&amp;"'!J3")),"")</f>
        <v/>
      </c>
      <c r="B272" s="905"/>
      <c r="C272" s="905" t="s">
        <v>155</v>
      </c>
      <c r="D272" s="905" t="str" cm="1">
        <f t="array" aca="1" ref="D272" ca="1">IF(ISNUMBER($B272),IF(ISBLANK(INDIRECT("'"&amp;$B272&amp;"'!L3")),"",INDIRECT("'"&amp;$B272&amp;"'!L3")),"")</f>
        <v/>
      </c>
      <c r="E272" s="905" t="str" cm="1">
        <f t="array" aca="1" ref="E272" ca="1">IF(ISNUMBER($B272),IF(ISBLANK(INDIRECT("'"&amp;$B272&amp;"'!E3")),"",INDIRECT("'"&amp;$B272&amp;"'!E3")),"")</f>
        <v/>
      </c>
      <c r="F272" s="905" t="str" cm="1">
        <f t="array" aca="1" ref="F272" ca="1">IF(ISNUMBER($B272),IF(ISBLANK(INDIRECT("'"&amp;$B272&amp;"'!E20")),"",INDIRECT("'"&amp;$B272&amp;"'!E20")),"")</f>
        <v/>
      </c>
      <c r="G272" s="905" t="str" cm="1">
        <f t="array" aca="1" ref="G272" ca="1">IF(ISNUMBER($B272),IF(ISBLANK(INDIRECT("'"&amp;$B272&amp;"'!E22")),"",INDIRECT("'"&amp;$B272&amp;"'!E22")),"")</f>
        <v/>
      </c>
      <c r="H272" s="905" t="str" cm="1">
        <f t="array" aca="1" ref="H272" ca="1">IF(ISNUMBER($B272),IF(ISBLANK(INDIRECT("'"&amp;$B272&amp;"'!E40")),"",INDIRECT("'"&amp;$B272&amp;"'!E40")),"")</f>
        <v/>
      </c>
      <c r="I272" s="905" t="str" cm="1">
        <f t="array" aca="1" ref="I272" ca="1">IF(ISNUMBER($B272),IF(ISBLANK(INDIRECT("'"&amp;$B272&amp;"'!I40")),"",INDIRECT("'"&amp;$B272&amp;"'!I40")),"")</f>
        <v/>
      </c>
      <c r="J272" s="905" t="str" cm="1">
        <f t="array" aca="1" ref="J272" ca="1">IF(ISNUMBER($B272),IF(ISBLANK(INDIRECT("'"&amp;$B272&amp;"'!L56")),"",INDIRECT("'"&amp;$B272&amp;"'!L56")),"")</f>
        <v/>
      </c>
      <c r="K272" s="905" t="str" cm="1">
        <f t="array" aca="1" ref="K272" ca="1">IF(ISNUMBER($B272),IF(ISBLANK(INDIRECT("'"&amp;$B272&amp;"'!E66")),"",INDIRECT("'"&amp;$B272&amp;"'!E66")),"")</f>
        <v/>
      </c>
      <c r="L272" s="905" t="str" cm="1">
        <f t="array" aca="1" ref="L272" ca="1">IF(ISNUMBER($B272),IF(ISBLANK(INDIRECT("'"&amp;$B272&amp;"'!K86")),"",INDIRECT("'"&amp;$B272&amp;"'!K86")),"")</f>
        <v/>
      </c>
      <c r="M272" s="905" t="str" cm="1">
        <f t="array" aca="1" ref="M272" ca="1">IF(ISNUMBER($B272),IF(OR(ISBLANK(INDIRECT("'"&amp;$B272&amp;"'!I78")),ISBLANK(INDIRECT("'"&amp;$B272&amp;"'!I80"))),"",INDIRECT("'"&amp;$B272&amp;"'!I78"))+INDIRECT("'"&amp;$B272&amp;"'!I80"),"")</f>
        <v/>
      </c>
      <c r="N272" s="905" t="str" cm="1">
        <f t="array" aca="1" ref="N272" ca="1">IF(ISNUMBER($B272),IF(ISBLANK(INDIRECT("'"&amp;$B272&amp;"'!I88")),"",INDIRECT("'"&amp;$B272&amp;"'!I88")),"")</f>
        <v/>
      </c>
      <c r="O272" s="905" t="str" cm="1">
        <f t="array" aca="1" ref="O272" ca="1">IF(ISNUMBER($B272),IF(ISBLANK(INDIRECT("'"&amp;$B272&amp;"'!L97")),"",INDIRECT("'"&amp;$B272&amp;"'!L97")),"")</f>
        <v/>
      </c>
      <c r="P272" s="905" t="str" cm="1">
        <f t="array" aca="1" ref="P272" ca="1">IF(ISNUMBER($B272),IF(ISBLANK(INDIRECT("'"&amp;$B272&amp;"'!E98")),"",INDIRECT("'"&amp;$B272&amp;"'!E98")),"")</f>
        <v/>
      </c>
      <c r="Q272" s="906" t="str" cm="1">
        <f t="array" aca="1" ref="Q272" ca="1">IF(ISNUMBER($B272),IF(OR(ISBLANK(INDIRECT("'"&amp;$B272&amp;"'!E66")),ISBLANK(INDIRECT("'"&amp;$B272&amp;"'!E98"))),"",1-(INDIRECT("'"&amp;$B272&amp;"'!E98")+10.5)/INDIRECT("'"&amp;$B272&amp;"'!E66")),"")</f>
        <v/>
      </c>
    </row>
    <row r="274" spans="1:106" s="907" customFormat="1" ht="64" customHeight="1">
      <c r="A274" s="907" t="s">
        <v>1054</v>
      </c>
      <c r="B274" s="907" t="s">
        <v>542</v>
      </c>
      <c r="C274" s="907" t="s">
        <v>1070</v>
      </c>
      <c r="D274" s="907" t="s">
        <v>544</v>
      </c>
      <c r="E274" s="907" t="s">
        <v>1054</v>
      </c>
      <c r="H274" s="908" t="s">
        <v>69</v>
      </c>
      <c r="I274" s="908" t="s">
        <v>70</v>
      </c>
      <c r="J274" s="908" t="s">
        <v>71</v>
      </c>
      <c r="K274" s="908" t="s">
        <v>72</v>
      </c>
      <c r="L274" s="908" t="s">
        <v>73</v>
      </c>
      <c r="M274" s="908" t="s">
        <v>74</v>
      </c>
      <c r="N274" s="908" t="s">
        <v>75</v>
      </c>
      <c r="O274" s="908" t="s">
        <v>76</v>
      </c>
      <c r="P274" s="908" t="s">
        <v>77</v>
      </c>
      <c r="Q274" s="908" t="s">
        <v>78</v>
      </c>
      <c r="R274" s="908" t="s">
        <v>79</v>
      </c>
      <c r="S274" s="908" t="s">
        <v>71</v>
      </c>
      <c r="T274" s="908" t="s">
        <v>80</v>
      </c>
      <c r="U274" s="908" t="s">
        <v>81</v>
      </c>
      <c r="V274" s="908" t="s">
        <v>82</v>
      </c>
      <c r="W274" s="908" t="s">
        <v>40</v>
      </c>
      <c r="X274" s="908" t="s">
        <v>83</v>
      </c>
      <c r="Y274" s="908" t="s">
        <v>84</v>
      </c>
      <c r="Z274" s="908" t="s">
        <v>85</v>
      </c>
      <c r="AA274" s="908" t="s">
        <v>74</v>
      </c>
      <c r="AB274" s="908" t="s">
        <v>86</v>
      </c>
      <c r="AC274" s="908" t="s">
        <v>87</v>
      </c>
      <c r="AD274" s="908" t="s">
        <v>88</v>
      </c>
      <c r="AE274" s="908" t="s">
        <v>89</v>
      </c>
      <c r="AF274" s="908" t="s">
        <v>90</v>
      </c>
      <c r="AG274" s="908" t="s">
        <v>91</v>
      </c>
      <c r="AH274" s="908" t="s">
        <v>41</v>
      </c>
      <c r="AI274" s="908" t="s">
        <v>92</v>
      </c>
      <c r="AJ274" s="908" t="s">
        <v>93</v>
      </c>
      <c r="AK274" s="908" t="s">
        <v>94</v>
      </c>
      <c r="AL274" s="908" t="s">
        <v>95</v>
      </c>
      <c r="AM274" s="908" t="s">
        <v>96</v>
      </c>
      <c r="AN274" s="908" t="s">
        <v>97</v>
      </c>
      <c r="AO274" s="908" t="s">
        <v>98</v>
      </c>
      <c r="AP274" s="908" t="s">
        <v>99</v>
      </c>
      <c r="AQ274" s="908" t="s">
        <v>100</v>
      </c>
      <c r="AR274" s="908" t="s">
        <v>42</v>
      </c>
      <c r="AS274" s="908" t="s">
        <v>101</v>
      </c>
      <c r="AT274" s="909"/>
      <c r="AU274" s="909"/>
      <c r="AV274" s="909"/>
      <c r="AW274" s="909"/>
      <c r="AX274" s="909"/>
      <c r="AY274" s="909"/>
      <c r="AZ274" s="909"/>
      <c r="BA274" s="909"/>
      <c r="BB274" s="909"/>
      <c r="BC274" s="909"/>
      <c r="BD274" s="909"/>
      <c r="BE274" s="909"/>
      <c r="BF274" s="909"/>
      <c r="BG274" s="908" t="s">
        <v>102</v>
      </c>
      <c r="BH274" s="908" t="s">
        <v>103</v>
      </c>
      <c r="BI274" s="908" t="s">
        <v>104</v>
      </c>
      <c r="BJ274" s="908" t="s">
        <v>105</v>
      </c>
      <c r="BK274" s="908" t="s">
        <v>105</v>
      </c>
      <c r="BL274" s="908" t="s">
        <v>106</v>
      </c>
      <c r="BM274" s="908" t="s">
        <v>107</v>
      </c>
      <c r="BN274" s="908" t="s">
        <v>108</v>
      </c>
      <c r="BO274" s="908" t="s">
        <v>109</v>
      </c>
      <c r="BP274" s="908" t="s">
        <v>110</v>
      </c>
      <c r="BQ274" s="908" t="s">
        <v>111</v>
      </c>
      <c r="BR274" s="908" t="s">
        <v>112</v>
      </c>
      <c r="BS274" s="908" t="s">
        <v>113</v>
      </c>
      <c r="BT274" s="908" t="s">
        <v>114</v>
      </c>
      <c r="BU274" s="908" t="s">
        <v>43</v>
      </c>
      <c r="BV274" s="908" t="s">
        <v>44</v>
      </c>
      <c r="BW274" s="908" t="s">
        <v>45</v>
      </c>
      <c r="BX274" s="908" t="s">
        <v>46</v>
      </c>
      <c r="BY274" s="908" t="s">
        <v>46</v>
      </c>
      <c r="BZ274" s="908" t="s">
        <v>47</v>
      </c>
      <c r="CA274" s="908" t="s">
        <v>48</v>
      </c>
      <c r="CB274" s="908" t="s">
        <v>49</v>
      </c>
      <c r="CC274" s="908" t="s">
        <v>50</v>
      </c>
      <c r="CD274" s="908" t="s">
        <v>115</v>
      </c>
      <c r="CE274" s="908" t="s">
        <v>116</v>
      </c>
      <c r="CF274" s="908" t="s">
        <v>51</v>
      </c>
      <c r="CG274" s="908" t="s">
        <v>52</v>
      </c>
      <c r="CH274" s="908" t="s">
        <v>53</v>
      </c>
      <c r="CI274" s="908" t="s">
        <v>117</v>
      </c>
      <c r="CJ274" s="908" t="s">
        <v>118</v>
      </c>
      <c r="CK274" s="908" t="s">
        <v>119</v>
      </c>
      <c r="CL274" s="908" t="s">
        <v>120</v>
      </c>
      <c r="CM274" s="908" t="s">
        <v>121</v>
      </c>
      <c r="CN274" s="908" t="s">
        <v>54</v>
      </c>
      <c r="CO274" s="908" t="s">
        <v>122</v>
      </c>
      <c r="CP274" s="908" t="s">
        <v>123</v>
      </c>
      <c r="CQ274" s="908" t="s">
        <v>124</v>
      </c>
      <c r="CR274" s="908" t="s">
        <v>125</v>
      </c>
      <c r="CS274" s="908" t="s">
        <v>55</v>
      </c>
      <c r="CT274" s="908" t="s">
        <v>56</v>
      </c>
      <c r="CU274" s="908" t="s">
        <v>57</v>
      </c>
      <c r="CV274" s="908" t="s">
        <v>58</v>
      </c>
      <c r="CW274" s="908" t="s">
        <v>126</v>
      </c>
      <c r="CX274" s="908" t="s">
        <v>127</v>
      </c>
      <c r="CY274" s="908" t="s">
        <v>59</v>
      </c>
      <c r="CZ274" s="908" t="s">
        <v>128</v>
      </c>
      <c r="DA274" s="908" t="s">
        <v>129</v>
      </c>
      <c r="DB274" s="908" t="s">
        <v>130</v>
      </c>
    </row>
    <row r="275" spans="1:106">
      <c r="A275" s="851">
        <v>10027</v>
      </c>
      <c r="B275" s="339"/>
      <c r="C275" s="910" cm="1">
        <f t="array" aca="1" ref="C275" ca="1">IF(ISNUMBER(A275),IF(ISBLANK(INDIRECT("'"&amp;A275&amp;"'!J3")),"",INDIRECT("'"&amp;A275&amp;"'!J3")),"")</f>
        <v>46043</v>
      </c>
      <c r="D275" s="339" t="str" cm="1">
        <f t="array" aca="1" ref="D275" ca="1">IF(ISNUMBER(A275),IF(ISBLANK(INDIRECT("'"&amp;A275&amp;"'!E2")),"",INDIRECT("'"&amp;A275&amp;"'!E2")),"")</f>
        <v>Budweiser</v>
      </c>
      <c r="E275" s="851" t="str" cm="1">
        <f t="array" aca="1" ref="E275" ca="1">"BUD"&amp;IF(ISNUMBER(A275),IF(ISBLANK(INDIRECT("'"&amp;A275&amp;"'!H2")),"",INDIRECT("'"&amp;A275&amp;"'!H2")),"")</f>
        <v>BUD27</v>
      </c>
      <c r="G275" s="911"/>
      <c r="H275" s="911" cm="1">
        <f t="array" aca="1" ref="H275:DB275" ca="1">IFERROR(IF(ISBLANK(INDIRECT("'"&amp;A275&amp;"'!AU8"):INDIRECT("'"&amp;A275&amp;"'!EO8")),"",INDIRECT("'"&amp;A275&amp;"'!AU8"):INDIRECT("'"&amp;A275&amp;"'!EO8")),"")</f>
        <v>10.70627802690583</v>
      </c>
      <c r="I275" s="911">
        <f ca="1"/>
        <v>12.999999999999954</v>
      </c>
      <c r="J275" s="911">
        <f ca="1"/>
        <v>2.7848101265822787</v>
      </c>
      <c r="K275" s="911">
        <f ca="1"/>
        <v>79.7</v>
      </c>
      <c r="L275" s="911">
        <f ca="1"/>
        <v>9.9999999999999645</v>
      </c>
      <c r="M275" s="911" t="str">
        <f ca="1"/>
        <v/>
      </c>
      <c r="N275" s="912">
        <f ca="1"/>
        <v>1.9999999999999929</v>
      </c>
      <c r="O275" s="912">
        <f ca="1"/>
        <v>96.4</v>
      </c>
      <c r="P275" s="912">
        <f ca="1"/>
        <v>53.999999999999972</v>
      </c>
      <c r="Q275" s="912">
        <f ca="1"/>
        <v>16.99999999999994</v>
      </c>
      <c r="R275" s="912">
        <f ca="1"/>
        <v>47</v>
      </c>
      <c r="S275" s="912">
        <f ca="1"/>
        <v>2.3797468354430378</v>
      </c>
      <c r="T275" s="912">
        <f ca="1"/>
        <v>46.4</v>
      </c>
      <c r="U275" s="912">
        <f ca="1"/>
        <v>4.9999999999999822</v>
      </c>
      <c r="V275" s="912">
        <f ca="1"/>
        <v>65.3</v>
      </c>
      <c r="W275" s="912">
        <f ca="1"/>
        <v>0</v>
      </c>
      <c r="X275" s="912">
        <f ca="1"/>
        <v>65.7</v>
      </c>
      <c r="Y275" s="912">
        <f ca="1"/>
        <v>49.999999999999986</v>
      </c>
      <c r="Z275" s="912">
        <f ca="1"/>
        <v>9.9999999999999645</v>
      </c>
      <c r="AA275" s="912" t="str">
        <f ca="1"/>
        <v/>
      </c>
      <c r="AB275" s="912">
        <f ca="1"/>
        <v>75.7</v>
      </c>
      <c r="AC275" s="912">
        <f ca="1"/>
        <v>119.00000000000006</v>
      </c>
      <c r="AD275" s="912">
        <f ca="1"/>
        <v>7.9999999999999716</v>
      </c>
      <c r="AE275" s="912">
        <f ca="1"/>
        <v>11.2</v>
      </c>
      <c r="AF275" s="912">
        <f ca="1"/>
        <v>22.75</v>
      </c>
      <c r="AG275" s="912">
        <f ca="1"/>
        <v>2.46</v>
      </c>
      <c r="AH275" s="912">
        <f ca="1"/>
        <v>0.81</v>
      </c>
      <c r="AI275" s="912">
        <f ca="1"/>
        <v>75</v>
      </c>
      <c r="AJ275" s="912">
        <f ca="1"/>
        <v>2</v>
      </c>
      <c r="AK275" s="912">
        <f ca="1"/>
        <v>142</v>
      </c>
      <c r="AL275" s="912">
        <f ca="1"/>
        <v>264</v>
      </c>
      <c r="AM275" s="912">
        <f ca="1"/>
        <v>16.61</v>
      </c>
      <c r="AN275" s="912">
        <f ca="1"/>
        <v>88.198757763975152</v>
      </c>
      <c r="AO275" s="912">
        <f ca="1"/>
        <v>53.787878787878782</v>
      </c>
      <c r="AP275" s="912" t="str">
        <f ca="1"/>
        <v/>
      </c>
      <c r="AQ275" s="912">
        <f ca="1"/>
        <v>99.000000000000128</v>
      </c>
      <c r="AR275" s="912">
        <f ca="1"/>
        <v>136</v>
      </c>
      <c r="AS275" s="912">
        <f ca="1"/>
        <v>79.7</v>
      </c>
      <c r="AT275" s="912" t="str">
        <f ca="1"/>
        <v/>
      </c>
      <c r="AU275" s="912" t="str">
        <f ca="1"/>
        <v/>
      </c>
      <c r="AV275" s="912" t="str">
        <f ca="1"/>
        <v/>
      </c>
      <c r="AW275" s="912" t="str">
        <f ca="1"/>
        <v/>
      </c>
      <c r="AX275" s="912" t="str">
        <f ca="1"/>
        <v/>
      </c>
      <c r="AY275" s="912" t="str">
        <f ca="1"/>
        <v/>
      </c>
      <c r="AZ275" s="912" t="str">
        <f ca="1"/>
        <v/>
      </c>
      <c r="BA275" s="912" t="str">
        <f ca="1"/>
        <v/>
      </c>
      <c r="BB275" s="912" t="str">
        <f ca="1"/>
        <v/>
      </c>
      <c r="BC275" s="912" t="str">
        <f ca="1"/>
        <v/>
      </c>
      <c r="BD275" s="912" t="str">
        <f ca="1"/>
        <v/>
      </c>
      <c r="BE275" s="912" t="str">
        <f ca="1"/>
        <v/>
      </c>
      <c r="BF275" s="912" t="str">
        <f ca="1"/>
        <v/>
      </c>
      <c r="BG275" s="913" t="str">
        <f ca="1"/>
        <v>Before</v>
      </c>
      <c r="BH275" s="913" t="str">
        <f ca="1"/>
        <v>MSB</v>
      </c>
      <c r="BI275" s="913">
        <f ca="1"/>
        <v>180</v>
      </c>
      <c r="BJ275" s="913" t="str">
        <f ca="1"/>
        <v/>
      </c>
      <c r="BK275" s="912" t="str">
        <f ca="1"/>
        <v/>
      </c>
      <c r="BL275" s="912">
        <f ca="1"/>
        <v>270</v>
      </c>
      <c r="BM275" s="913">
        <f ca="1"/>
        <v>101</v>
      </c>
      <c r="BN275" s="913" t="str">
        <f ca="1"/>
        <v/>
      </c>
      <c r="BO275" s="913">
        <f ca="1"/>
        <v>30.000000000000053</v>
      </c>
      <c r="BP275" s="912">
        <f ca="1"/>
        <v>45</v>
      </c>
      <c r="BQ275" s="912">
        <f ca="1"/>
        <v>75.000000000000057</v>
      </c>
      <c r="BR275" s="913">
        <f ca="1"/>
        <v>0</v>
      </c>
      <c r="BS275" s="913" t="str">
        <f ca="1"/>
        <v>No</v>
      </c>
      <c r="BT275" s="913" t="str">
        <f ca="1"/>
        <v/>
      </c>
      <c r="BU275" s="912">
        <f ca="1"/>
        <v>5</v>
      </c>
      <c r="BV275" s="912">
        <f ca="1"/>
        <v>10</v>
      </c>
      <c r="BW275" s="912" t="str">
        <f ca="1"/>
        <v>NA</v>
      </c>
      <c r="BX275" s="912">
        <f ca="1"/>
        <v>9.2592592592592595</v>
      </c>
      <c r="BY275" s="912" t="str">
        <f ca="1"/>
        <v/>
      </c>
      <c r="BZ275" s="912" t="str">
        <f ca="1"/>
        <v/>
      </c>
      <c r="CA275" s="913" t="str">
        <f ca="1"/>
        <v/>
      </c>
      <c r="CB275" s="912">
        <f ca="1"/>
        <v>11.296296296296296</v>
      </c>
      <c r="CC275" s="912">
        <f ca="1"/>
        <v>0</v>
      </c>
      <c r="CD275" s="912">
        <f ca="1"/>
        <v>100.9</v>
      </c>
      <c r="CE275" s="912" t="str">
        <f ca="1"/>
        <v/>
      </c>
      <c r="CF275" s="913" t="str">
        <f ca="1"/>
        <v/>
      </c>
      <c r="CG275" s="913" t="str">
        <f ca="1"/>
        <v/>
      </c>
      <c r="CH275" s="912">
        <f ca="1"/>
        <v>1366</v>
      </c>
      <c r="CI275" s="913">
        <f ca="1"/>
        <v>2418</v>
      </c>
      <c r="CJ275" s="913" t="str">
        <f ca="1"/>
        <v/>
      </c>
      <c r="CK275" s="913">
        <f ca="1"/>
        <v>9.9999999999999645</v>
      </c>
      <c r="CL275" s="912">
        <f ca="1"/>
        <v>9.9999999999999645</v>
      </c>
      <c r="CM275" s="912">
        <f ca="1"/>
        <v>-3.5527136788005009E-14</v>
      </c>
      <c r="CN275" s="912" t="str">
        <f ca="1"/>
        <v/>
      </c>
      <c r="CO275" s="912">
        <f ca="1"/>
        <v>0.66375545851528384</v>
      </c>
      <c r="CP275" s="912">
        <f ca="1"/>
        <v>50.999999999999979</v>
      </c>
      <c r="CQ275" s="873">
        <f ca="1"/>
        <v>10.4</v>
      </c>
      <c r="CR275" s="912">
        <f ca="1"/>
        <v>3.6</v>
      </c>
      <c r="CS275" s="912">
        <f ca="1"/>
        <v>15.720524017467248</v>
      </c>
      <c r="CT275" s="913" t="str">
        <f ca="1"/>
        <v/>
      </c>
      <c r="CU275" s="912">
        <f ca="1"/>
        <v>229</v>
      </c>
      <c r="CV275" s="912">
        <f ca="1"/>
        <v>224.99999999999983</v>
      </c>
      <c r="CW275" s="912">
        <f ca="1"/>
        <v>5.0000000000001705</v>
      </c>
      <c r="CX275" s="912">
        <f ca="1"/>
        <v>6.1499999999999968</v>
      </c>
      <c r="CY275" s="873">
        <f ca="1"/>
        <v>0.1499999999999968</v>
      </c>
      <c r="CZ275" s="873">
        <f ca="1"/>
        <v>175.92592592592729</v>
      </c>
      <c r="DA275" s="339">
        <f ca="1"/>
        <v>18.09</v>
      </c>
      <c r="DB275" s="339">
        <f ca="1"/>
        <v>5.25</v>
      </c>
    </row>
    <row r="276" spans="1:106">
      <c r="A276" s="851">
        <v>10028</v>
      </c>
      <c r="B276" s="339"/>
      <c r="C276" s="910" cm="1">
        <f t="array" aca="1" ref="C276" ca="1">IF(ISNUMBER(A276),IF(ISBLANK(INDIRECT("'"&amp;A276&amp;"'!J3")),"",INDIRECT("'"&amp;A276&amp;"'!J3")),"")</f>
        <v>46043</v>
      </c>
      <c r="D276" s="339" t="str" cm="1">
        <f t="array" aca="1" ref="D276" ca="1">IF(ISNUMBER(A276),IF(ISBLANK(INDIRECT("'"&amp;A276&amp;"'!E2")),"",INDIRECT("'"&amp;A276&amp;"'!E2")),"")</f>
        <v>Budweiser</v>
      </c>
      <c r="E276" s="851" t="str" cm="1">
        <f t="array" aca="1" ref="E276" ca="1">"BUD"&amp;IF(ISNUMBER(A276),IF(ISBLANK(INDIRECT("'"&amp;A276&amp;"'!H2")),"",INDIRECT("'"&amp;A276&amp;"'!H2")),"")</f>
        <v>BUD28</v>
      </c>
      <c r="G276" s="911"/>
      <c r="H276" s="911" cm="1">
        <f t="array" aca="1" ref="H276:DB276" ca="1">IFERROR(IF(ISBLANK(INDIRECT("'"&amp;A276&amp;"'!AU8"):INDIRECT("'"&amp;A276&amp;"'!EO8")),"",INDIRECT("'"&amp;A276&amp;"'!AU8"):INDIRECT("'"&amp;A276&amp;"'!EO8")),"")</f>
        <v>11.174458380843786</v>
      </c>
      <c r="I276" s="911">
        <f ca="1"/>
        <v>13.000000000000114</v>
      </c>
      <c r="J276" s="911">
        <f ca="1"/>
        <v>2.8205128205128207</v>
      </c>
      <c r="K276" s="911">
        <f ca="1"/>
        <v>79.7</v>
      </c>
      <c r="L276" s="911">
        <f ca="1"/>
        <v>9.9999999999999645</v>
      </c>
      <c r="M276" s="911" t="str">
        <f ca="1"/>
        <v/>
      </c>
      <c r="N276" s="912">
        <f ca="1"/>
        <v>1.9999999999999929</v>
      </c>
      <c r="O276" s="912">
        <f ca="1"/>
        <v>96.4</v>
      </c>
      <c r="P276" s="912">
        <f ca="1"/>
        <v>51.999999999999972</v>
      </c>
      <c r="Q276" s="912">
        <f ca="1"/>
        <v>17.000000000000099</v>
      </c>
      <c r="R276" s="912">
        <f ca="1"/>
        <v>46.7</v>
      </c>
      <c r="S276" s="912">
        <f ca="1"/>
        <v>2.3779408044523147</v>
      </c>
      <c r="T276" s="912">
        <f ca="1"/>
        <v>47</v>
      </c>
      <c r="U276" s="912">
        <f ca="1"/>
        <v>4.9999999999999822</v>
      </c>
      <c r="V276" s="912">
        <f ca="1"/>
        <v>64</v>
      </c>
      <c r="W276" s="912">
        <f ca="1"/>
        <v>0</v>
      </c>
      <c r="X276" s="912">
        <f ca="1"/>
        <v>65.599999999999994</v>
      </c>
      <c r="Y276" s="912">
        <f ca="1"/>
        <v>49.999999999999986</v>
      </c>
      <c r="Z276" s="912">
        <f ca="1"/>
        <v>9.9999999999999645</v>
      </c>
      <c r="AA276" s="912" t="str">
        <f ca="1"/>
        <v/>
      </c>
      <c r="AB276" s="912">
        <f ca="1"/>
        <v>76</v>
      </c>
      <c r="AC276" s="912">
        <f ca="1"/>
        <v>120.00000000000006</v>
      </c>
      <c r="AD276" s="912">
        <f ca="1"/>
        <v>7.9999999999999716</v>
      </c>
      <c r="AE276" s="912">
        <f ca="1"/>
        <v>10.6</v>
      </c>
      <c r="AF276" s="912">
        <f ca="1"/>
        <v>22.2</v>
      </c>
      <c r="AG276" s="912">
        <f ca="1"/>
        <v>2.41</v>
      </c>
      <c r="AH276" s="912">
        <f ca="1"/>
        <v>0.76</v>
      </c>
      <c r="AI276" s="912">
        <f ca="1"/>
        <v>75</v>
      </c>
      <c r="AJ276" s="912">
        <f ca="1"/>
        <v>1</v>
      </c>
      <c r="AK276" s="912">
        <f ca="1"/>
        <v>142</v>
      </c>
      <c r="AL276" s="912">
        <f ca="1"/>
        <v>264</v>
      </c>
      <c r="AM276" s="912">
        <f ca="1"/>
        <v>16.440000000000001</v>
      </c>
      <c r="AN276" s="912">
        <f ca="1"/>
        <v>88.198757763975152</v>
      </c>
      <c r="AO276" s="912">
        <f ca="1"/>
        <v>53.787878787878782</v>
      </c>
      <c r="AP276" s="912" t="str">
        <f ca="1"/>
        <v/>
      </c>
      <c r="AQ276" s="912">
        <f ca="1"/>
        <v>90</v>
      </c>
      <c r="AR276" s="912">
        <f ca="1"/>
        <v>128.00000000000003</v>
      </c>
      <c r="AS276" s="912">
        <f ca="1"/>
        <v>80.2</v>
      </c>
      <c r="AT276" s="912" t="str">
        <f ca="1"/>
        <v/>
      </c>
      <c r="AU276" s="912" t="str">
        <f ca="1"/>
        <v/>
      </c>
      <c r="AV276" s="912" t="str">
        <f ca="1"/>
        <v/>
      </c>
      <c r="AW276" s="912" t="str">
        <f ca="1"/>
        <v/>
      </c>
      <c r="AX276" s="912" t="str">
        <f ca="1"/>
        <v/>
      </c>
      <c r="AY276" s="912" t="str">
        <f ca="1"/>
        <v/>
      </c>
      <c r="AZ276" s="912" t="str">
        <f ca="1"/>
        <v/>
      </c>
      <c r="BA276" s="912" t="str">
        <f ca="1"/>
        <v/>
      </c>
      <c r="BB276" s="912" t="str">
        <f ca="1"/>
        <v/>
      </c>
      <c r="BC276" s="912" t="str">
        <f ca="1"/>
        <v/>
      </c>
      <c r="BD276" s="912" t="str">
        <f ca="1"/>
        <v/>
      </c>
      <c r="BE276" s="912" t="str">
        <f ca="1"/>
        <v/>
      </c>
      <c r="BF276" s="912" t="str">
        <f ca="1"/>
        <v/>
      </c>
      <c r="BG276" s="913" t="str">
        <f ca="1"/>
        <v>Before</v>
      </c>
      <c r="BH276" s="913" t="str">
        <f ca="1"/>
        <v>MSB</v>
      </c>
      <c r="BI276" s="913">
        <f ca="1"/>
        <v>180</v>
      </c>
      <c r="BJ276" s="913" t="str">
        <f ca="1"/>
        <v/>
      </c>
      <c r="BK276" s="912" t="str">
        <f ca="1"/>
        <v/>
      </c>
      <c r="BL276" s="912">
        <f ca="1"/>
        <v>270</v>
      </c>
      <c r="BM276" s="913">
        <f ca="1"/>
        <v>101.1</v>
      </c>
      <c r="BN276" s="913" t="str">
        <f ca="1"/>
        <v/>
      </c>
      <c r="BO276" s="913">
        <f ca="1"/>
        <v>30.000000000000053</v>
      </c>
      <c r="BP276" s="912">
        <f ca="1"/>
        <v>45</v>
      </c>
      <c r="BQ276" s="912">
        <f ca="1"/>
        <v>75.000000000000057</v>
      </c>
      <c r="BR276" s="913">
        <f ca="1"/>
        <v>0</v>
      </c>
      <c r="BS276" s="913" t="str">
        <f ca="1"/>
        <v>No</v>
      </c>
      <c r="BT276" s="913" t="str">
        <f ca="1"/>
        <v/>
      </c>
      <c r="BU276" s="912">
        <f ca="1"/>
        <v>5</v>
      </c>
      <c r="BV276" s="912">
        <f ca="1"/>
        <v>10</v>
      </c>
      <c r="BW276" s="912" t="str">
        <f ca="1"/>
        <v>NA</v>
      </c>
      <c r="BX276" s="912">
        <f ca="1"/>
        <v>8.5185185185185173</v>
      </c>
      <c r="BY276" s="912" t="str">
        <f ca="1"/>
        <v/>
      </c>
      <c r="BZ276" s="912" t="str">
        <f ca="1"/>
        <v/>
      </c>
      <c r="CA276" s="913" t="str">
        <f ca="1"/>
        <v/>
      </c>
      <c r="CB276" s="912">
        <f ca="1"/>
        <v>11.296296296296296</v>
      </c>
      <c r="CC276" s="912">
        <f ca="1"/>
        <v>0</v>
      </c>
      <c r="CD276" s="912">
        <f ca="1"/>
        <v>101.2</v>
      </c>
      <c r="CE276" s="912" t="str">
        <f ca="1"/>
        <v/>
      </c>
      <c r="CF276" s="913" t="str">
        <f ca="1"/>
        <v/>
      </c>
      <c r="CG276" s="913" t="str">
        <f ca="1"/>
        <v/>
      </c>
      <c r="CH276" s="912">
        <f ca="1"/>
        <v>1356</v>
      </c>
      <c r="CI276" s="913">
        <f ca="1"/>
        <v>2455</v>
      </c>
      <c r="CJ276" s="913" t="str">
        <f ca="1"/>
        <v/>
      </c>
      <c r="CK276" s="913">
        <f ca="1"/>
        <v>9.9999999999999645</v>
      </c>
      <c r="CL276" s="912">
        <f ca="1"/>
        <v>9.9999999999999645</v>
      </c>
      <c r="CM276" s="912">
        <f ca="1"/>
        <v>-3.5527136788005009E-14</v>
      </c>
      <c r="CN276" s="912" t="str">
        <f ca="1"/>
        <v/>
      </c>
      <c r="CO276" s="912">
        <f ca="1"/>
        <v>0.66375545851528384</v>
      </c>
      <c r="CP276" s="912">
        <f ca="1"/>
        <v>50.999999999999979</v>
      </c>
      <c r="CQ276" s="873">
        <f ca="1"/>
        <v>10.6</v>
      </c>
      <c r="CR276" s="912">
        <f ca="1"/>
        <v>3.3</v>
      </c>
      <c r="CS276" s="912">
        <f ca="1"/>
        <v>14.410480349344978</v>
      </c>
      <c r="CT276" s="913" t="str">
        <f ca="1"/>
        <v/>
      </c>
      <c r="CU276" s="912">
        <f ca="1"/>
        <v>229</v>
      </c>
      <c r="CV276" s="912">
        <f ca="1"/>
        <v>224.99999999999983</v>
      </c>
      <c r="CW276" s="912">
        <f ca="1"/>
        <v>5.0000000000001705</v>
      </c>
      <c r="CX276" s="912">
        <f ca="1"/>
        <v>6.1666666666666661</v>
      </c>
      <c r="CY276" s="873">
        <f ca="1"/>
        <v>0.16666666666666607</v>
      </c>
      <c r="CZ276" s="873">
        <f ca="1"/>
        <v>101.85185185185307</v>
      </c>
      <c r="DA276" s="339">
        <f ca="1"/>
        <v>18.100000000000001</v>
      </c>
      <c r="DB276" s="339">
        <f ca="1"/>
        <v>5.25</v>
      </c>
    </row>
    <row r="277" spans="1:106">
      <c r="A277" s="851">
        <v>10029</v>
      </c>
      <c r="B277" s="339"/>
      <c r="C277" s="910" cm="1">
        <f t="array" aca="1" ref="C277" ca="1">IF(ISNUMBER(A277),IF(ISBLANK(INDIRECT("'"&amp;A277&amp;"'!J3")),"",INDIRECT("'"&amp;A277&amp;"'!J3")),"")</f>
        <v>46043</v>
      </c>
      <c r="D277" s="339" t="str" cm="1">
        <f t="array" aca="1" ref="D277" ca="1">IF(ISNUMBER(A277),IF(ISBLANK(INDIRECT("'"&amp;A277&amp;"'!E2")),"",INDIRECT("'"&amp;A277&amp;"'!E2")),"")</f>
        <v>Budweiser</v>
      </c>
      <c r="E277" s="851" t="str" cm="1">
        <f t="array" aca="1" ref="E277" ca="1">"BUD"&amp;IF(ISNUMBER(A277),IF(ISBLANK(INDIRECT("'"&amp;A277&amp;"'!H2")),"",INDIRECT("'"&amp;A277&amp;"'!H2")),"")</f>
        <v>BUD29</v>
      </c>
      <c r="G277" s="911"/>
      <c r="H277" s="911" cm="1">
        <f t="array" aca="1" ref="H277:DB277" ca="1">IFERROR(IF(ISBLANK(INDIRECT("'"&amp;A277&amp;"'!AU8"):INDIRECT("'"&amp;A277&amp;"'!EO8")),"",INDIRECT("'"&amp;A277&amp;"'!AU8"):INDIRECT("'"&amp;A277&amp;"'!EO8")),"")</f>
        <v>10.262008733624453</v>
      </c>
      <c r="I277" s="911">
        <f ca="1"/>
        <v>13.000000000000114</v>
      </c>
      <c r="J277" s="911">
        <f ca="1"/>
        <v>2.722772277227723</v>
      </c>
      <c r="K277" s="911">
        <f ca="1"/>
        <v>79.7</v>
      </c>
      <c r="L277" s="911">
        <f ca="1"/>
        <v>9.9999999999999645</v>
      </c>
      <c r="M277" s="911" t="str">
        <f ca="1"/>
        <v/>
      </c>
      <c r="N277" s="912">
        <f ca="1"/>
        <v>1.9999999999999929</v>
      </c>
      <c r="O277" s="912">
        <f ca="1"/>
        <v>96.4</v>
      </c>
      <c r="P277" s="912">
        <f ca="1"/>
        <v>52.999999999999972</v>
      </c>
      <c r="Q277" s="912">
        <f ca="1"/>
        <v>17.000000000000099</v>
      </c>
      <c r="R277" s="912">
        <f ca="1"/>
        <v>46.800000000000004</v>
      </c>
      <c r="S277" s="912">
        <f ca="1"/>
        <v>2.3851814260340016</v>
      </c>
      <c r="T277" s="912">
        <f ca="1"/>
        <v>47</v>
      </c>
      <c r="U277" s="912">
        <f ca="1"/>
        <v>5.9999999999999787</v>
      </c>
      <c r="V277" s="912">
        <f ca="1"/>
        <v>64</v>
      </c>
      <c r="W277" s="912">
        <f ca="1"/>
        <v>0</v>
      </c>
      <c r="X277" s="912">
        <f ca="1"/>
        <v>65.599999999999994</v>
      </c>
      <c r="Y277" s="912">
        <f ca="1"/>
        <v>49.999999999999986</v>
      </c>
      <c r="Z277" s="912">
        <f ca="1"/>
        <v>9.9999999999999645</v>
      </c>
      <c r="AA277" s="912" t="str">
        <f ca="1"/>
        <v/>
      </c>
      <c r="AB277" s="912">
        <f ca="1"/>
        <v>76</v>
      </c>
      <c r="AC277" s="912">
        <f ca="1"/>
        <v>117.9999999999999</v>
      </c>
      <c r="AD277" s="912">
        <f ca="1"/>
        <v>7.000000000000135</v>
      </c>
      <c r="AE277" s="912">
        <f ca="1"/>
        <v>16.600000000000001</v>
      </c>
      <c r="AF277" s="912">
        <f ca="1"/>
        <v>22.84</v>
      </c>
      <c r="AG277" s="912">
        <f ca="1"/>
        <v>2.57</v>
      </c>
      <c r="AH277" s="912">
        <f ca="1"/>
        <v>0.78</v>
      </c>
      <c r="AI277" s="912">
        <f ca="1"/>
        <v>75</v>
      </c>
      <c r="AJ277" s="912">
        <f ca="1"/>
        <v>2</v>
      </c>
      <c r="AK277" s="912">
        <f ca="1"/>
        <v>142</v>
      </c>
      <c r="AL277" s="912">
        <f ca="1"/>
        <v>263</v>
      </c>
      <c r="AM277" s="912">
        <f ca="1"/>
        <v>16.38</v>
      </c>
      <c r="AN277" s="912">
        <f ca="1"/>
        <v>88.198757763975152</v>
      </c>
      <c r="AO277" s="912">
        <f ca="1"/>
        <v>53.99239543726236</v>
      </c>
      <c r="AP277" s="912" t="str">
        <f ca="1"/>
        <v/>
      </c>
      <c r="AQ277" s="912">
        <f ca="1"/>
        <v>93.999999999999929</v>
      </c>
      <c r="AR277" s="912">
        <f ca="1"/>
        <v>131</v>
      </c>
      <c r="AS277" s="912">
        <f ca="1"/>
        <v>79.900000000000006</v>
      </c>
      <c r="AT277" s="912" t="str">
        <f ca="1"/>
        <v/>
      </c>
      <c r="AU277" s="912" t="str">
        <f ca="1"/>
        <v/>
      </c>
      <c r="AV277" s="912" t="str">
        <f ca="1"/>
        <v/>
      </c>
      <c r="AW277" s="912" t="str">
        <f ca="1"/>
        <v/>
      </c>
      <c r="AX277" s="912" t="str">
        <f ca="1"/>
        <v/>
      </c>
      <c r="AY277" s="912" t="str">
        <f ca="1"/>
        <v/>
      </c>
      <c r="AZ277" s="912" t="str">
        <f ca="1"/>
        <v/>
      </c>
      <c r="BA277" s="912" t="str">
        <f ca="1"/>
        <v/>
      </c>
      <c r="BB277" s="912" t="str">
        <f ca="1"/>
        <v/>
      </c>
      <c r="BC277" s="912" t="str">
        <f ca="1"/>
        <v/>
      </c>
      <c r="BD277" s="912" t="str">
        <f ca="1"/>
        <v/>
      </c>
      <c r="BE277" s="912" t="str">
        <f ca="1"/>
        <v/>
      </c>
      <c r="BF277" s="912" t="str">
        <f ca="1"/>
        <v/>
      </c>
      <c r="BG277" s="913" t="str">
        <f ca="1"/>
        <v>Before</v>
      </c>
      <c r="BH277" s="913" t="str">
        <f ca="1"/>
        <v>MSB</v>
      </c>
      <c r="BI277" s="913">
        <f ca="1"/>
        <v>180</v>
      </c>
      <c r="BJ277" s="913" t="str">
        <f ca="1"/>
        <v/>
      </c>
      <c r="BK277" s="912" t="str">
        <f ca="1"/>
        <v/>
      </c>
      <c r="BL277" s="912">
        <f ca="1"/>
        <v>269</v>
      </c>
      <c r="BM277" s="913">
        <f ca="1"/>
        <v>101</v>
      </c>
      <c r="BN277" s="913" t="str">
        <f ca="1"/>
        <v/>
      </c>
      <c r="BO277" s="913">
        <f ca="1"/>
        <v>29.999999999999993</v>
      </c>
      <c r="BP277" s="912">
        <f ca="1"/>
        <v>45</v>
      </c>
      <c r="BQ277" s="912">
        <f ca="1"/>
        <v>75</v>
      </c>
      <c r="BR277" s="913">
        <f ca="1"/>
        <v>0</v>
      </c>
      <c r="BS277" s="913" t="str">
        <f ca="1"/>
        <v>No</v>
      </c>
      <c r="BT277" s="913" t="str">
        <f ca="1"/>
        <v/>
      </c>
      <c r="BU277" s="912">
        <f ca="1"/>
        <v>5</v>
      </c>
      <c r="BV277" s="912">
        <f ca="1"/>
        <v>10</v>
      </c>
      <c r="BW277" s="912" t="str">
        <f ca="1"/>
        <v>NA</v>
      </c>
      <c r="BX277" s="912">
        <f ca="1"/>
        <v>8.1784386617100377</v>
      </c>
      <c r="BY277" s="912" t="str">
        <f ca="1"/>
        <v/>
      </c>
      <c r="BZ277" s="912" t="str">
        <f ca="1"/>
        <v/>
      </c>
      <c r="CA277" s="913" t="str">
        <f ca="1"/>
        <v/>
      </c>
      <c r="CB277" s="912">
        <f ca="1"/>
        <v>9.8513011152416361</v>
      </c>
      <c r="CC277" s="912">
        <f ca="1"/>
        <v>0</v>
      </c>
      <c r="CD277" s="912">
        <f ca="1"/>
        <v>100.9</v>
      </c>
      <c r="CE277" s="912" t="str">
        <f ca="1"/>
        <v/>
      </c>
      <c r="CF277" s="913" t="str">
        <f ca="1"/>
        <v/>
      </c>
      <c r="CG277" s="913" t="str">
        <f ca="1"/>
        <v/>
      </c>
      <c r="CH277" s="912">
        <f ca="1"/>
        <v>1347</v>
      </c>
      <c r="CI277" s="913">
        <f ca="1"/>
        <v>2281</v>
      </c>
      <c r="CJ277" s="913" t="str">
        <f ca="1"/>
        <v/>
      </c>
      <c r="CK277" s="913">
        <f ca="1"/>
        <v>10.000000000000004</v>
      </c>
      <c r="CL277" s="912">
        <f ca="1"/>
        <v>10.000000000000004</v>
      </c>
      <c r="CM277" s="912">
        <f ca="1"/>
        <v>0</v>
      </c>
      <c r="CN277" s="912" t="str">
        <f ca="1"/>
        <v/>
      </c>
      <c r="CO277" s="912">
        <f ca="1"/>
        <v>0.65517241379310343</v>
      </c>
      <c r="CP277" s="912">
        <f ca="1"/>
        <v>51.999999999999993</v>
      </c>
      <c r="CQ277" s="873">
        <f ca="1"/>
        <v>10.5</v>
      </c>
      <c r="CR277" s="912">
        <f ca="1"/>
        <v>3.4</v>
      </c>
      <c r="CS277" s="912">
        <f ca="1"/>
        <v>14.655172413793103</v>
      </c>
      <c r="CT277" s="913" t="str">
        <f ca="1"/>
        <v/>
      </c>
      <c r="CU277" s="912">
        <f ca="1"/>
        <v>232</v>
      </c>
      <c r="CV277" s="912">
        <f ca="1"/>
        <v>228</v>
      </c>
      <c r="CW277" s="912">
        <f ca="1"/>
        <v>2</v>
      </c>
      <c r="CX277" s="912">
        <f ca="1"/>
        <v>6.1666666666666687</v>
      </c>
      <c r="CY277" s="873">
        <f ca="1"/>
        <v>0.16666666666666874</v>
      </c>
      <c r="CZ277" s="873">
        <f ca="1"/>
        <v>37.84386617100413</v>
      </c>
      <c r="DA277" s="339">
        <f ca="1"/>
        <v>17.939999999999998</v>
      </c>
      <c r="DB277" s="339">
        <f ca="1"/>
        <v>5.25</v>
      </c>
    </row>
    <row r="278" spans="1:106">
      <c r="A278" s="851">
        <v>10038</v>
      </c>
      <c r="B278" s="339"/>
      <c r="C278" s="910" t="e" cm="1">
        <f t="array" aca="1" ref="C278" ca="1">IF(ISNUMBER(A278),IF(ISBLANK(INDIRECT("'"&amp;A278&amp;"'!J3")),"",INDIRECT("'"&amp;A278&amp;"'!J3")),"")</f>
        <v>#REF!</v>
      </c>
      <c r="D278" s="339" t="e" cm="1">
        <f t="array" aca="1" ref="D278" ca="1">IF(ISNUMBER(A278),IF(ISBLANK(INDIRECT("'"&amp;A278&amp;"'!E2")),"",INDIRECT("'"&amp;A278&amp;"'!E2")),"")</f>
        <v>#REF!</v>
      </c>
      <c r="E278" s="851" t="e" cm="1">
        <f t="array" aca="1" ref="E278" ca="1">"BUD"&amp;IF(ISNUMBER(A278),IF(ISBLANK(INDIRECT("'"&amp;A278&amp;"'!H2")),"",INDIRECT("'"&amp;A278&amp;"'!H2")),"")</f>
        <v>#REF!</v>
      </c>
      <c r="G278" s="911"/>
      <c r="H278" s="911" t="str" cm="1">
        <f t="array" aca="1" ref="H278" ca="1">IFERROR(IF(ISBLANK(INDIRECT("'"&amp;A278&amp;"'!AU8"):INDIRECT("'"&amp;A278&amp;"'!EO8")),"",INDIRECT("'"&amp;A278&amp;"'!AU8"):INDIRECT("'"&amp;A278&amp;"'!EO8")),"")</f>
        <v/>
      </c>
      <c r="I278" s="911"/>
      <c r="J278" s="911"/>
      <c r="K278" s="911"/>
      <c r="L278" s="911"/>
      <c r="M278" s="911"/>
      <c r="N278" s="912"/>
      <c r="O278" s="912"/>
      <c r="P278" s="912"/>
      <c r="Q278" s="912"/>
      <c r="R278" s="912"/>
      <c r="S278" s="912"/>
      <c r="T278" s="912"/>
      <c r="U278" s="912"/>
      <c r="V278" s="912"/>
      <c r="W278" s="912"/>
      <c r="X278" s="912"/>
      <c r="Y278" s="912"/>
      <c r="Z278" s="912"/>
      <c r="AA278" s="912"/>
      <c r="AB278" s="912"/>
      <c r="AC278" s="912"/>
      <c r="AD278" s="912"/>
      <c r="AE278" s="912"/>
      <c r="AF278" s="912"/>
      <c r="AG278" s="912"/>
      <c r="AH278" s="912"/>
      <c r="AI278" s="912"/>
      <c r="AJ278" s="912"/>
      <c r="AK278" s="912"/>
      <c r="AL278" s="912"/>
      <c r="AM278" s="912"/>
      <c r="AN278" s="912"/>
      <c r="AO278" s="912"/>
      <c r="AP278" s="912"/>
      <c r="AQ278" s="912"/>
      <c r="AR278" s="912"/>
      <c r="AS278" s="912"/>
      <c r="AT278" s="912"/>
      <c r="AU278" s="912"/>
      <c r="AV278" s="912"/>
      <c r="AW278" s="912"/>
      <c r="AX278" s="912"/>
      <c r="AY278" s="912"/>
      <c r="AZ278" s="912"/>
      <c r="BA278" s="912"/>
      <c r="BB278" s="912"/>
      <c r="BC278" s="912"/>
      <c r="BD278" s="912"/>
      <c r="BE278" s="912"/>
      <c r="BF278" s="912"/>
      <c r="BG278" s="913"/>
      <c r="BH278" s="913"/>
      <c r="BI278" s="913"/>
      <c r="BJ278" s="913"/>
      <c r="BK278" s="912"/>
      <c r="BL278" s="912"/>
      <c r="BM278" s="913"/>
      <c r="BN278" s="913"/>
      <c r="BO278" s="913"/>
      <c r="BP278" s="912"/>
      <c r="BQ278" s="912"/>
      <c r="BR278" s="913"/>
      <c r="BS278" s="913"/>
      <c r="BT278" s="913"/>
      <c r="BU278" s="912"/>
      <c r="BV278" s="912"/>
      <c r="BW278" s="912"/>
      <c r="BX278" s="912"/>
      <c r="BY278" s="912"/>
      <c r="BZ278" s="912"/>
      <c r="CA278" s="913"/>
      <c r="CB278" s="912"/>
      <c r="CC278" s="912"/>
      <c r="CD278" s="912"/>
      <c r="CE278" s="912"/>
      <c r="CF278" s="913"/>
      <c r="CG278" s="913"/>
      <c r="CH278" s="912"/>
      <c r="CI278" s="913"/>
      <c r="CJ278" s="913"/>
      <c r="CK278" s="913"/>
      <c r="CL278" s="912"/>
      <c r="CM278" s="912"/>
      <c r="CN278" s="912"/>
      <c r="CO278" s="912"/>
      <c r="CP278" s="912"/>
      <c r="CQ278" s="873"/>
      <c r="CR278" s="912"/>
      <c r="CS278" s="912"/>
      <c r="CT278" s="913"/>
      <c r="CU278" s="912"/>
      <c r="CV278" s="912"/>
      <c r="CW278" s="912"/>
      <c r="CX278" s="912"/>
      <c r="CY278" s="873"/>
      <c r="CZ278" s="873"/>
    </row>
    <row r="279" spans="1:106">
      <c r="B279" s="339"/>
      <c r="C279" s="910" t="str" cm="1">
        <f t="array" aca="1" ref="C279" ca="1">IF(ISNUMBER(A279),IF(ISBLANK(INDIRECT("'"&amp;A279&amp;"'!J3")),"",INDIRECT("'"&amp;A279&amp;"'!J3")),"")</f>
        <v/>
      </c>
      <c r="D279" s="339" t="str" cm="1">
        <f t="array" aca="1" ref="D279" ca="1">IF(ISNUMBER(A279),IF(ISBLANK(INDIRECT("'"&amp;A279&amp;"'!E2")),"",INDIRECT("'"&amp;A279&amp;"'!E2")),"")</f>
        <v/>
      </c>
      <c r="E279" s="851" t="str" cm="1">
        <f t="array" aca="1" ref="E279" ca="1">"BUD"&amp;IF(ISNUMBER(A279),IF(ISBLANK(INDIRECT("'"&amp;A279&amp;"'!H2")),"",INDIRECT("'"&amp;A279&amp;"'!H2")),"")</f>
        <v>BUD</v>
      </c>
      <c r="G279" s="911"/>
      <c r="H279" s="911" t="str" cm="1">
        <f t="array" aca="1" ref="H279" ca="1">IFERROR(IF(ISBLANK(INDIRECT("'"&amp;A279&amp;"'!AU8"):INDIRECT("'"&amp;A279&amp;"'!EO8")),"",INDIRECT("'"&amp;A279&amp;"'!AU8"):INDIRECT("'"&amp;A279&amp;"'!EO8")),"")</f>
        <v/>
      </c>
      <c r="I279" s="911"/>
      <c r="J279" s="911"/>
      <c r="K279" s="911"/>
      <c r="L279" s="911"/>
      <c r="M279" s="911"/>
      <c r="N279" s="912"/>
      <c r="O279" s="912"/>
      <c r="P279" s="912"/>
      <c r="Q279" s="912"/>
      <c r="R279" s="912"/>
      <c r="S279" s="912"/>
      <c r="T279" s="912"/>
      <c r="U279" s="912"/>
      <c r="V279" s="912"/>
      <c r="W279" s="912"/>
      <c r="X279" s="912"/>
      <c r="Y279" s="912"/>
      <c r="Z279" s="912"/>
      <c r="AA279" s="912"/>
      <c r="AB279" s="912"/>
      <c r="AC279" s="912"/>
      <c r="AD279" s="912"/>
      <c r="AE279" s="912"/>
      <c r="AF279" s="912"/>
      <c r="AG279" s="912"/>
      <c r="AH279" s="912"/>
      <c r="AI279" s="912"/>
      <c r="AJ279" s="912"/>
      <c r="AK279" s="912"/>
      <c r="AL279" s="912"/>
      <c r="AM279" s="912"/>
      <c r="AN279" s="912"/>
      <c r="AO279" s="912"/>
      <c r="AP279" s="912"/>
      <c r="AQ279" s="912"/>
      <c r="AR279" s="912"/>
      <c r="AS279" s="912"/>
      <c r="AT279" s="912"/>
      <c r="AU279" s="912"/>
      <c r="AV279" s="912"/>
      <c r="AW279" s="912"/>
      <c r="AX279" s="912"/>
      <c r="AY279" s="912"/>
      <c r="AZ279" s="912"/>
      <c r="BA279" s="912"/>
      <c r="BB279" s="912"/>
      <c r="BC279" s="912"/>
      <c r="BD279" s="912"/>
      <c r="BE279" s="912"/>
      <c r="BF279" s="912"/>
      <c r="BG279" s="913"/>
      <c r="BH279" s="913"/>
      <c r="BI279" s="913"/>
      <c r="BJ279" s="913"/>
      <c r="BK279" s="912"/>
      <c r="BL279" s="912"/>
      <c r="BM279" s="913"/>
      <c r="BN279" s="913"/>
      <c r="BO279" s="913"/>
      <c r="BP279" s="912"/>
      <c r="BQ279" s="912"/>
      <c r="BR279" s="913"/>
      <c r="BS279" s="913"/>
      <c r="BT279" s="913"/>
      <c r="BU279" s="912"/>
      <c r="BV279" s="912"/>
      <c r="BW279" s="912"/>
      <c r="BX279" s="912"/>
      <c r="BY279" s="912"/>
      <c r="BZ279" s="912"/>
      <c r="CA279" s="913"/>
      <c r="CB279" s="912"/>
      <c r="CC279" s="912"/>
      <c r="CD279" s="912"/>
      <c r="CE279" s="912"/>
      <c r="CF279" s="913"/>
      <c r="CG279" s="913"/>
      <c r="CH279" s="912"/>
      <c r="CI279" s="913"/>
      <c r="CJ279" s="913"/>
      <c r="CK279" s="913"/>
      <c r="CL279" s="912"/>
      <c r="CM279" s="912"/>
      <c r="CN279" s="912"/>
      <c r="CO279" s="912"/>
      <c r="CP279" s="912"/>
      <c r="CQ279" s="873"/>
      <c r="CR279" s="912"/>
      <c r="CS279" s="912"/>
      <c r="CT279" s="913"/>
      <c r="CU279" s="912"/>
      <c r="CV279" s="912"/>
      <c r="CW279" s="912"/>
      <c r="CX279" s="912"/>
      <c r="CY279" s="873"/>
      <c r="CZ279" s="873"/>
    </row>
    <row r="280" spans="1:106">
      <c r="B280" s="339"/>
      <c r="C280" s="910" t="str" cm="1">
        <f t="array" aca="1" ref="C280" ca="1">IF(ISNUMBER(A280),IF(ISBLANK(INDIRECT("'"&amp;A280&amp;"'!J3")),"",INDIRECT("'"&amp;A280&amp;"'!J3")),"")</f>
        <v/>
      </c>
      <c r="D280" s="339" t="str" cm="1">
        <f t="array" aca="1" ref="D280" ca="1">IF(ISNUMBER(A280),IF(ISBLANK(INDIRECT("'"&amp;A280&amp;"'!E2")),"",INDIRECT("'"&amp;A280&amp;"'!E2")),"")</f>
        <v/>
      </c>
      <c r="E280" s="851" t="str" cm="1">
        <f t="array" aca="1" ref="E280" ca="1">"BUD"&amp;IF(ISNUMBER(A280),IF(ISBLANK(INDIRECT("'"&amp;A280&amp;"'!H2")),"",INDIRECT("'"&amp;A280&amp;"'!H2")),"")</f>
        <v>BUD</v>
      </c>
      <c r="G280" s="911"/>
      <c r="H280" s="911" t="str" cm="1">
        <f t="array" aca="1" ref="H280" ca="1">IFERROR(IF(ISBLANK(INDIRECT("'"&amp;A280&amp;"'!AU8"):INDIRECT("'"&amp;A280&amp;"'!EO8")),"",INDIRECT("'"&amp;A280&amp;"'!AU8"):INDIRECT("'"&amp;A280&amp;"'!EO8")),"")</f>
        <v/>
      </c>
      <c r="I280" s="911"/>
      <c r="J280" s="911"/>
      <c r="K280" s="911"/>
      <c r="L280" s="911"/>
      <c r="M280" s="911"/>
      <c r="N280" s="912"/>
      <c r="O280" s="912"/>
      <c r="P280" s="912"/>
      <c r="Q280" s="912"/>
      <c r="R280" s="912"/>
      <c r="S280" s="912"/>
      <c r="T280" s="912"/>
      <c r="U280" s="912"/>
      <c r="V280" s="912"/>
      <c r="W280" s="912"/>
      <c r="X280" s="912"/>
      <c r="Y280" s="912"/>
      <c r="Z280" s="912"/>
      <c r="AA280" s="912"/>
      <c r="AB280" s="912"/>
      <c r="AC280" s="912"/>
      <c r="AD280" s="912"/>
      <c r="AE280" s="912"/>
      <c r="AF280" s="912"/>
      <c r="AG280" s="912"/>
      <c r="AH280" s="912"/>
      <c r="AI280" s="912"/>
      <c r="AJ280" s="912"/>
      <c r="AK280" s="912"/>
      <c r="AL280" s="912"/>
      <c r="AM280" s="912"/>
      <c r="AN280" s="912"/>
      <c r="AO280" s="912"/>
      <c r="AP280" s="912"/>
      <c r="AQ280" s="912"/>
      <c r="AR280" s="912"/>
      <c r="AS280" s="912"/>
      <c r="AT280" s="912"/>
      <c r="AU280" s="912"/>
      <c r="AV280" s="912"/>
      <c r="AW280" s="912"/>
      <c r="AX280" s="912"/>
      <c r="AY280" s="912"/>
      <c r="AZ280" s="912"/>
      <c r="BA280" s="912"/>
      <c r="BB280" s="912"/>
      <c r="BC280" s="912"/>
      <c r="BD280" s="912"/>
      <c r="BE280" s="912"/>
      <c r="BF280" s="912"/>
      <c r="BG280" s="913"/>
      <c r="BH280" s="913"/>
      <c r="BI280" s="913"/>
      <c r="BJ280" s="913"/>
      <c r="BK280" s="912"/>
      <c r="BL280" s="912"/>
      <c r="BM280" s="913"/>
      <c r="BN280" s="913"/>
      <c r="BO280" s="913"/>
      <c r="BP280" s="912"/>
      <c r="BQ280" s="912"/>
      <c r="BR280" s="913"/>
      <c r="BS280" s="913"/>
      <c r="BT280" s="913"/>
      <c r="BU280" s="912"/>
      <c r="BV280" s="912"/>
      <c r="BW280" s="912"/>
      <c r="BX280" s="912"/>
      <c r="BY280" s="912"/>
      <c r="BZ280" s="912"/>
      <c r="CA280" s="913"/>
      <c r="CB280" s="912"/>
      <c r="CC280" s="912"/>
      <c r="CD280" s="912"/>
      <c r="CE280" s="912"/>
      <c r="CF280" s="913"/>
      <c r="CG280" s="913"/>
      <c r="CH280" s="912"/>
      <c r="CI280" s="913"/>
      <c r="CJ280" s="913"/>
      <c r="CK280" s="913"/>
      <c r="CL280" s="912"/>
      <c r="CM280" s="912"/>
      <c r="CN280" s="912"/>
      <c r="CO280" s="912"/>
      <c r="CP280" s="912"/>
      <c r="CQ280" s="873"/>
      <c r="CR280" s="912"/>
      <c r="CS280" s="912"/>
      <c r="CT280" s="913"/>
      <c r="CU280" s="912"/>
      <c r="CV280" s="912"/>
      <c r="CW280" s="912"/>
      <c r="CX280" s="912"/>
      <c r="CY280" s="873"/>
      <c r="CZ280" s="873"/>
    </row>
  </sheetData>
  <mergeCells count="29">
    <mergeCell ref="A259:C259"/>
    <mergeCell ref="A260:C260"/>
    <mergeCell ref="A262:C262"/>
    <mergeCell ref="A263:B263"/>
    <mergeCell ref="A264:B264"/>
    <mergeCell ref="A248:B248"/>
    <mergeCell ref="A249:B249"/>
    <mergeCell ref="A250:B250"/>
    <mergeCell ref="A251:B251"/>
    <mergeCell ref="A252:B252"/>
    <mergeCell ref="A258:C258"/>
    <mergeCell ref="A243:B243"/>
    <mergeCell ref="E243:F243"/>
    <mergeCell ref="A244:B244"/>
    <mergeCell ref="A245:B245"/>
    <mergeCell ref="A246:B246"/>
    <mergeCell ref="A247:B247"/>
    <mergeCell ref="A240:B240"/>
    <mergeCell ref="E240:F240"/>
    <mergeCell ref="A241:B241"/>
    <mergeCell ref="E241:F241"/>
    <mergeCell ref="A242:B242"/>
    <mergeCell ref="E242:F242"/>
    <mergeCell ref="J1:P1"/>
    <mergeCell ref="E237:F237"/>
    <mergeCell ref="A238:B238"/>
    <mergeCell ref="E238:F238"/>
    <mergeCell ref="A239:B239"/>
    <mergeCell ref="E239:F239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5D35539F85BA42BC5E751CC4051F5A" ma:contentTypeVersion="21" ma:contentTypeDescription="Create a new document." ma:contentTypeScope="" ma:versionID="01b323ddb98b0a1901276b1ab99bf216">
  <xsd:schema xmlns:xsd="http://www.w3.org/2001/XMLSchema" xmlns:xs="http://www.w3.org/2001/XMLSchema" xmlns:p="http://schemas.microsoft.com/office/2006/metadata/properties" xmlns:ns2="5318484c-ef13-47f8-9214-217523e40a0a" xmlns:ns3="758ff83c-f29c-40a3-b974-d11e8e089546" targetNamespace="http://schemas.microsoft.com/office/2006/metadata/properties" ma:root="true" ma:fieldsID="b1094fa3f9d31212eb3e0e290cf28dcf" ns2:_="" ns3:_="">
    <xsd:import namespace="5318484c-ef13-47f8-9214-217523e40a0a"/>
    <xsd:import namespace="758ff83c-f29c-40a3-b974-d11e8e08954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nu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18484c-ef13-47f8-9214-217523e40a0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e2deea9-f698-482e-8f77-105b59b605f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nu" ma:index="25" nillable="true" ma:displayName="Menu" ma:format="Dropdown" ma:internalName="Menu">
      <xsd:simpleType>
        <xsd:restriction base="dms:Text">
          <xsd:maxLength value="255"/>
        </xsd:restriction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8ff83c-f29c-40a3-b974-d11e8e089546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184679d2-7a10-48f8-b8d6-fa3e3a718de7}" ma:internalName="TaxCatchAll" ma:showField="CatchAllData" ma:web="758ff83c-f29c-40a3-b974-d11e8e08954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58ff83c-f29c-40a3-b974-d11e8e089546" xsi:nil="true"/>
    <lcf76f155ced4ddcb4097134ff3c332f xmlns="5318484c-ef13-47f8-9214-217523e40a0a">
      <Terms xmlns="http://schemas.microsoft.com/office/infopath/2007/PartnerControls"/>
    </lcf76f155ced4ddcb4097134ff3c332f>
    <Menu xmlns="5318484c-ef13-47f8-9214-217523e40a0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67F3E3-A783-43D8-ADF5-728239B8E5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18484c-ef13-47f8-9214-217523e40a0a"/>
    <ds:schemaRef ds:uri="758ff83c-f29c-40a3-b974-d11e8e08954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5B8C0DD-2188-461B-A324-F5FE936092F5}">
  <ds:schemaRefs>
    <ds:schemaRef ds:uri="http://schemas.microsoft.com/office/2006/metadata/properties"/>
    <ds:schemaRef ds:uri="http://schemas.microsoft.com/office/infopath/2007/PartnerControls"/>
    <ds:schemaRef ds:uri="758ff83c-f29c-40a3-b974-d11e8e089546"/>
    <ds:schemaRef ds:uri="5318484c-ef13-47f8-9214-217523e40a0a"/>
  </ds:schemaRefs>
</ds:datastoreItem>
</file>

<file path=customXml/itemProps3.xml><?xml version="1.0" encoding="utf-8"?>
<ds:datastoreItem xmlns:ds="http://schemas.openxmlformats.org/officeDocument/2006/customXml" ds:itemID="{89FBEFFE-3CFD-491A-A962-0812B9D4CAF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7</vt:i4>
      </vt:variant>
    </vt:vector>
  </HeadingPairs>
  <TitlesOfParts>
    <vt:vector size="31" baseType="lpstr">
      <vt:lpstr>Version</vt:lpstr>
      <vt:lpstr>10027</vt:lpstr>
      <vt:lpstr>Budweiser brewcard</vt:lpstr>
      <vt:lpstr>Diagram</vt:lpstr>
      <vt:lpstr>Sheet2</vt:lpstr>
      <vt:lpstr>Sheet1</vt:lpstr>
      <vt:lpstr>Extract inputs</vt:lpstr>
      <vt:lpstr>Ca addition</vt:lpstr>
      <vt:lpstr>CaCl2 addition</vt:lpstr>
      <vt:lpstr>CaSO4 addition</vt:lpstr>
      <vt:lpstr>Zn addition</vt:lpstr>
      <vt:lpstr>Hop calculation</vt:lpstr>
      <vt:lpstr>Hop trial</vt:lpstr>
      <vt:lpstr>Heat calculation</vt:lpstr>
      <vt:lpstr>Heat calculation (no PHE)</vt:lpstr>
      <vt:lpstr>Steam Enthalpy</vt:lpstr>
      <vt:lpstr>Piping length</vt:lpstr>
      <vt:lpstr>Platotable - wv - oP</vt:lpstr>
      <vt:lpstr>10028</vt:lpstr>
      <vt:lpstr>10029</vt:lpstr>
      <vt:lpstr>Brew (4)</vt:lpstr>
      <vt:lpstr>Brew (5)</vt:lpstr>
      <vt:lpstr>Brew (6)</vt:lpstr>
      <vt:lpstr>Sensory PI</vt:lpstr>
      <vt:lpstr>'10027'!Print_Area</vt:lpstr>
      <vt:lpstr>'10028'!Print_Area</vt:lpstr>
      <vt:lpstr>'10029'!Print_Area</vt:lpstr>
      <vt:lpstr>'Brew (4)'!Print_Area</vt:lpstr>
      <vt:lpstr>'Brew (5)'!Print_Area</vt:lpstr>
      <vt:lpstr>'Brew (6)'!Print_Area</vt:lpstr>
      <vt:lpstr>'Extract inputs'!Print_Area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Lam Phat</dc:creator>
  <cp:keywords/>
  <dc:description/>
  <cp:lastModifiedBy>Thuy Le Quan (VietNam)</cp:lastModifiedBy>
  <cp:revision/>
  <dcterms:created xsi:type="dcterms:W3CDTF">2014-07-03T01:18:09Z</dcterms:created>
  <dcterms:modified xsi:type="dcterms:W3CDTF">2026-03-22T10:14:10Z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0x010100D85D35539F85BA42BC5E751CC4051F5A</vt:lpwstr>
  </property>
  <property fmtid="{D5CDD505-2E9C-101B-9397-08002B2CF9AE}" pid="3" name="MSIP_Label_68104b14-b53d-46de-9ae8-975cc0e84815_Enabled">
    <vt:lpwstr>true</vt:lpwstr>
  </property>
  <property fmtid="{D5CDD505-2E9C-101B-9397-08002B2CF9AE}" pid="4" name="MSIP_Label_68104b14-b53d-46de-9ae8-975cc0e84815_SetDate">
    <vt:lpwstr>2023-09-17T23:09:38Z</vt:lpwstr>
  </property>
  <property fmtid="{D5CDD505-2E9C-101B-9397-08002B2CF9AE}" pid="5" name="MSIP_Label_68104b14-b53d-46de-9ae8-975cc0e84815_Method">
    <vt:lpwstr>Standard</vt:lpwstr>
  </property>
  <property fmtid="{D5CDD505-2E9C-101B-9397-08002B2CF9AE}" pid="6" name="MSIP_Label_68104b14-b53d-46de-9ae8-975cc0e84815_Name">
    <vt:lpwstr>ABI_MIP_InternalUseOnly</vt:lpwstr>
  </property>
  <property fmtid="{D5CDD505-2E9C-101B-9397-08002B2CF9AE}" pid="7" name="MSIP_Label_68104b14-b53d-46de-9ae8-975cc0e84815_SiteId">
    <vt:lpwstr>cef04b19-7776-4a94-b89b-375c77a8f936</vt:lpwstr>
  </property>
  <property fmtid="{D5CDD505-2E9C-101B-9397-08002B2CF9AE}" pid="8" name="MSIP_Label_68104b14-b53d-46de-9ae8-975cc0e84815_ActionId">
    <vt:lpwstr>3c98f33f-fe98-45d7-af76-a18df390b25c</vt:lpwstr>
  </property>
  <property fmtid="{D5CDD505-2E9C-101B-9397-08002B2CF9AE}" pid="9" name="MSIP_Label_68104b14-b53d-46de-9ae8-975cc0e84815_ContentBits">
    <vt:lpwstr>0</vt:lpwstr>
  </property>
  <property fmtid="{D5CDD505-2E9C-101B-9397-08002B2CF9AE}" pid="10" name="MediaServiceImageTags">
    <vt:lpwstr/>
  </property>
</Properties>
</file>