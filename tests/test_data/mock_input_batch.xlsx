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am Thuy\BrewCard_Batch_Updater\tests\test_data\"/>
    </mc:Choice>
  </mc:AlternateContent>
  <xr:revisionPtr revIDLastSave="0" documentId="8_{AF128474-E067-44FE-8D06-BA670DA0C4D4}" xr6:coauthVersionLast="47" xr6:coauthVersionMax="47" xr10:uidLastSave="{00000000-0000-0000-0000-000000000000}"/>
  <bookViews>
    <workbookView xWindow="-80520" yWindow="-120" windowWidth="29040" windowHeight="15720" xr2:uid="{F26C9D34-5601-4342-A93F-70E43D3C09B3}"/>
  </bookViews>
  <sheets>
    <sheet name="10295" sheetId="1" r:id="rId1"/>
  </sheets>
  <externalReferences>
    <externalReference r:id="rId2"/>
  </externalReferences>
  <definedNames>
    <definedName name="COST" localSheetId="0">#REF!</definedName>
    <definedName name="CO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2" i="1" l="1"/>
  <c r="H96" i="1"/>
  <c r="H90" i="1"/>
  <c r="AI84" i="1"/>
  <c r="AL84" i="1" s="1"/>
  <c r="H84" i="1"/>
  <c r="AI83" i="1"/>
  <c r="AL83" i="1" s="1"/>
  <c r="AN82" i="1"/>
  <c r="AL82" i="1"/>
  <c r="AI82" i="1"/>
  <c r="AI81" i="1"/>
  <c r="AL81" i="1" s="1"/>
  <c r="K81" i="1"/>
  <c r="D81" i="1"/>
  <c r="O79" i="1"/>
  <c r="O77" i="1"/>
  <c r="AJ74" i="1"/>
  <c r="AK74" i="1" s="1"/>
  <c r="O71" i="1"/>
  <c r="G71" i="1"/>
  <c r="O70" i="1"/>
  <c r="I70" i="1"/>
  <c r="F70" i="1"/>
  <c r="I69" i="1"/>
  <c r="D65" i="1"/>
  <c r="H66" i="1" s="1"/>
  <c r="T60" i="1"/>
  <c r="H60" i="1"/>
  <c r="G60" i="1"/>
  <c r="X58" i="1"/>
  <c r="W59" i="1" s="1"/>
  <c r="I58" i="1"/>
  <c r="H58" i="1"/>
  <c r="H65" i="1" s="1"/>
  <c r="W57" i="1"/>
  <c r="W58" i="1" s="1"/>
  <c r="T57" i="1"/>
  <c r="T58" i="1" s="1"/>
  <c r="T59" i="1" s="1"/>
  <c r="I57" i="1"/>
  <c r="H57" i="1"/>
  <c r="I56" i="1"/>
  <c r="F55" i="1"/>
  <c r="AS54" i="1"/>
  <c r="H54" i="1"/>
  <c r="H63" i="1" s="1"/>
  <c r="F54" i="1"/>
  <c r="I54" i="1" s="1"/>
  <c r="I53" i="1"/>
  <c r="G48" i="1"/>
  <c r="I47" i="1"/>
  <c r="AO46" i="1"/>
  <c r="AP46" i="1" s="1"/>
  <c r="I46" i="1"/>
  <c r="AR45" i="1"/>
  <c r="AR48" i="1" s="1"/>
  <c r="G43" i="1"/>
  <c r="F45" i="1" s="1"/>
  <c r="AO42" i="1"/>
  <c r="AP42" i="1" s="1"/>
  <c r="I42" i="1"/>
  <c r="AR41" i="1"/>
  <c r="H41" i="1"/>
  <c r="F41" i="1"/>
  <c r="I41" i="1" s="1"/>
  <c r="I40" i="1"/>
  <c r="G40" i="1"/>
  <c r="AO37" i="1"/>
  <c r="AP37" i="1" s="1"/>
  <c r="I37" i="1"/>
  <c r="H37" i="1"/>
  <c r="AR36" i="1"/>
  <c r="I36" i="1"/>
  <c r="H36" i="1"/>
  <c r="H50" i="1" s="1"/>
  <c r="AO32" i="1"/>
  <c r="AP32" i="1" s="1"/>
  <c r="AR31" i="1"/>
  <c r="G31" i="1"/>
  <c r="I30" i="1"/>
  <c r="I29" i="1"/>
  <c r="I28" i="1"/>
  <c r="I27" i="1"/>
  <c r="I26" i="1"/>
  <c r="I25" i="1"/>
  <c r="I24" i="1"/>
  <c r="I23" i="1"/>
  <c r="I22" i="1"/>
  <c r="G22" i="1"/>
  <c r="T21" i="1"/>
  <c r="CH20" i="1"/>
  <c r="CG20" i="1"/>
  <c r="CF20" i="1"/>
  <c r="CA20" i="1"/>
  <c r="BZ20" i="1"/>
  <c r="BY20" i="1"/>
  <c r="BV20" i="1"/>
  <c r="BU20" i="1"/>
  <c r="BT20" i="1"/>
  <c r="BS20" i="1"/>
  <c r="BW20" i="1" s="1"/>
  <c r="BX20" i="1" s="1"/>
  <c r="BR20" i="1"/>
  <c r="BP20" i="1"/>
  <c r="BO20" i="1"/>
  <c r="BN20" i="1"/>
  <c r="BM20" i="1"/>
  <c r="BK20" i="1"/>
  <c r="BI20" i="1"/>
  <c r="BH20" i="1"/>
  <c r="BG20" i="1"/>
  <c r="BB20" i="1"/>
  <c r="BE20" i="1" s="1"/>
  <c r="AW20" i="1"/>
  <c r="AV20" i="1"/>
  <c r="AU20" i="1"/>
  <c r="G20" i="1"/>
  <c r="F21" i="1" s="1"/>
  <c r="V19" i="1"/>
  <c r="T19" i="1"/>
  <c r="I19" i="1"/>
  <c r="V16" i="1"/>
  <c r="V20" i="1" s="1"/>
  <c r="AD15" i="1"/>
  <c r="X15" i="1"/>
  <c r="K15" i="1"/>
  <c r="V35" i="1" s="1"/>
  <c r="I15" i="1"/>
  <c r="H15" i="1"/>
  <c r="I14" i="1"/>
  <c r="I13" i="1"/>
  <c r="H13" i="1"/>
  <c r="BC12" i="1"/>
  <c r="AZ12" i="1"/>
  <c r="AX12" i="1"/>
  <c r="AW12" i="1"/>
  <c r="AV12" i="1"/>
  <c r="V12" i="1"/>
  <c r="AD11" i="1"/>
  <c r="AD13" i="1" s="1"/>
  <c r="AE13" i="1" s="1"/>
  <c r="U9" i="1"/>
  <c r="T9" i="1"/>
  <c r="V9" i="1" s="1"/>
  <c r="R9" i="1"/>
  <c r="N9" i="1"/>
  <c r="L9" i="1"/>
  <c r="K9" i="1"/>
  <c r="EO8" i="1"/>
  <c r="EN8" i="1"/>
  <c r="EH8" i="1"/>
  <c r="EE8" i="1"/>
  <c r="EF8" i="1" s="1"/>
  <c r="ED8" i="1"/>
  <c r="EB8" i="1"/>
  <c r="DW8" i="1"/>
  <c r="DV8" i="1"/>
  <c r="DU8" i="1"/>
  <c r="DQ8" i="1"/>
  <c r="DP8" i="1"/>
  <c r="DO8" i="1"/>
  <c r="DL8" i="1"/>
  <c r="DK8" i="1"/>
  <c r="DI8" i="1"/>
  <c r="DH8" i="1"/>
  <c r="DG8" i="1"/>
  <c r="DA8" i="1"/>
  <c r="CZ8" i="1"/>
  <c r="CY8" i="1"/>
  <c r="CX8" i="1"/>
  <c r="CW8" i="1"/>
  <c r="CV8" i="1"/>
  <c r="CF8" i="1"/>
  <c r="CD8" i="1"/>
  <c r="BZ8" i="1"/>
  <c r="BY8" i="1"/>
  <c r="BX8" i="1"/>
  <c r="BW8" i="1"/>
  <c r="BV8" i="1"/>
  <c r="BU8" i="1"/>
  <c r="BT8" i="1"/>
  <c r="BS8" i="1"/>
  <c r="BR8" i="1"/>
  <c r="BQ8" i="1"/>
  <c r="BO8" i="1"/>
  <c r="BK8" i="1"/>
  <c r="BJ8" i="1"/>
  <c r="BI8" i="1"/>
  <c r="BH8" i="1"/>
  <c r="BG8" i="1"/>
  <c r="BE8" i="1"/>
  <c r="BD8" i="1"/>
  <c r="BA8" i="1"/>
  <c r="AX8" i="1"/>
  <c r="AW8" i="1"/>
  <c r="AV8" i="1"/>
  <c r="AU8" i="1"/>
  <c r="AH8" i="1"/>
  <c r="AH9" i="1" s="1"/>
  <c r="AB8" i="1"/>
  <c r="AC8" i="1" s="1"/>
  <c r="U8" i="1"/>
  <c r="R8" i="1"/>
  <c r="N8" i="1"/>
  <c r="L8" i="1"/>
  <c r="BF8" i="1" s="1"/>
  <c r="K8" i="1"/>
  <c r="AN3" i="1"/>
  <c r="AM3" i="1"/>
  <c r="AL3" i="1"/>
  <c r="P3" i="1"/>
  <c r="P4" i="1" s="1"/>
  <c r="I71" i="1" l="1"/>
  <c r="DB8" i="1" s="1"/>
  <c r="F77" i="1"/>
  <c r="G77" i="1" s="1"/>
  <c r="I63" i="1"/>
  <c r="CE8" i="1" s="1"/>
  <c r="I60" i="1"/>
  <c r="I50" i="1"/>
  <c r="BP8" i="1" s="1"/>
  <c r="I48" i="1"/>
  <c r="AS48" i="1"/>
  <c r="AR49" i="1"/>
  <c r="I45" i="1"/>
  <c r="I43" i="1"/>
  <c r="BL8" i="1" s="1"/>
  <c r="I33" i="1"/>
  <c r="BC8" i="1" s="1"/>
  <c r="I31" i="1"/>
  <c r="BF20" i="1"/>
  <c r="CI20" i="1" s="1"/>
  <c r="CJ20" i="1" s="1"/>
  <c r="BD20" i="1"/>
  <c r="I21" i="1"/>
  <c r="I20" i="1"/>
  <c r="AY8" i="1" s="1"/>
  <c r="H100" i="1"/>
  <c r="H33" i="1"/>
  <c r="X9" i="1"/>
  <c r="AA9" i="1"/>
  <c r="AM20" i="1"/>
  <c r="V13" i="1"/>
  <c r="Y12" i="1"/>
  <c r="O9" i="1"/>
  <c r="CB8" i="1"/>
  <c r="CA8" i="1"/>
  <c r="U57" i="1"/>
  <c r="U58" i="1" s="1"/>
  <c r="N53" i="1"/>
  <c r="N54" i="1" s="1"/>
  <c r="V36" i="1"/>
  <c r="V42" i="1"/>
  <c r="Y42" i="1"/>
  <c r="AM21" i="1"/>
  <c r="AG12" i="1"/>
  <c r="AM10" i="1"/>
  <c r="AN10" i="1" s="1"/>
  <c r="AO10" i="1" s="1"/>
  <c r="T8" i="1"/>
  <c r="V8" i="1" s="1"/>
  <c r="O8" i="1"/>
  <c r="AD16" i="1"/>
  <c r="I77" i="1" l="1"/>
  <c r="F79" i="1"/>
  <c r="G79" i="1" s="1"/>
  <c r="AH12" i="1"/>
  <c r="AG13" i="1"/>
  <c r="X8" i="1"/>
  <c r="AA8" i="1"/>
  <c r="AD8" i="1" s="1"/>
  <c r="AN20" i="1"/>
  <c r="W11" i="1"/>
  <c r="I79" i="1" l="1"/>
  <c r="DC8" i="1" s="1"/>
  <c r="DD8" i="1" s="1"/>
  <c r="DE8" i="1" s="1"/>
  <c r="F82" i="1"/>
  <c r="F86" i="1" s="1"/>
  <c r="BA12" i="1"/>
  <c r="G86" i="1" l="1"/>
  <c r="I82" i="1"/>
  <c r="DX8" i="1" s="1"/>
  <c r="I86" i="1" l="1"/>
  <c r="DY8" i="1" s="1"/>
  <c r="DZ8" i="1" s="1"/>
  <c r="F96" i="1"/>
  <c r="G96" i="1" s="1"/>
  <c r="I96" i="1" l="1"/>
  <c r="EC8" i="1" s="1"/>
  <c r="I100" i="1"/>
  <c r="L101" i="1"/>
  <c r="L103" i="1"/>
  <c r="BD12" i="1"/>
  <c r="EK8" i="1" l="1"/>
  <c r="EL8" i="1"/>
  <c r="L104" i="1"/>
  <c r="EM8" i="1" s="1"/>
  <c r="EJ8" i="1"/>
  <c r="EI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L15" authorId="0" shapeId="0" xr:uid="{0454E392-AEBF-4450-A7A0-4110EA095C22}">
      <text>
        <r>
          <rPr>
            <sz val="9"/>
            <color indexed="81"/>
            <rFont val="Tahoma"/>
            <family val="2"/>
          </rPr>
          <t xml:space="preserve">Nhập số malt khi mashing được 5HL vào RC
</t>
        </r>
      </text>
    </comment>
  </commentList>
</comments>
</file>

<file path=xl/sharedStrings.xml><?xml version="1.0" encoding="utf-8"?>
<sst xmlns="http://schemas.openxmlformats.org/spreadsheetml/2006/main" count="441" uniqueCount="391">
  <si>
    <t xml:space="preserve">             BREW CARD - AB InBev Vietnam            </t>
  </si>
  <si>
    <t>Công</t>
  </si>
  <si>
    <t>Technician:</t>
  </si>
  <si>
    <t>Brand:</t>
  </si>
  <si>
    <t>Budweiser</t>
  </si>
  <si>
    <t>Brew no:</t>
  </si>
  <si>
    <t>WTGR RC</t>
  </si>
  <si>
    <t>WTGR MT</t>
  </si>
  <si>
    <t>WTGR Total</t>
  </si>
  <si>
    <t>Hưng</t>
  </si>
  <si>
    <t>Order:              Batch:  10               CCT:</t>
  </si>
  <si>
    <t>Batch:</t>
  </si>
  <si>
    <t>Date:</t>
  </si>
  <si>
    <t>CCT:</t>
  </si>
  <si>
    <t>Nhân</t>
  </si>
  <si>
    <t>Calculation</t>
  </si>
  <si>
    <t>Steam Usage Before Conversion</t>
  </si>
  <si>
    <t>Weak Wort Extract (Last Runnings)</t>
  </si>
  <si>
    <t>Lauter Tun Cycle Time</t>
  </si>
  <si>
    <t>1st Hops Addition - Time Before SOB</t>
  </si>
  <si>
    <t>2n Hops Addition - Time Before EOB</t>
  </si>
  <si>
    <t>Evap % - SOB to KF</t>
  </si>
  <si>
    <t>Evap % - KF to KO</t>
  </si>
  <si>
    <t>Evap % - SOB to KO</t>
  </si>
  <si>
    <t>Total Evap %  - Conventional Boiling</t>
  </si>
  <si>
    <t>Total Evap % - MSB</t>
  </si>
  <si>
    <t>Over foaming times</t>
  </si>
  <si>
    <t>Highest Steam  Pressure-Upper Calandria</t>
  </si>
  <si>
    <t>Highest Steam  Pressure-Lower Calandria</t>
  </si>
  <si>
    <t>Steam Used -</t>
  </si>
  <si>
    <t>Wort Stripper Outlet Temp</t>
  </si>
  <si>
    <t>Wort Aeration Mass Flow Rate</t>
  </si>
  <si>
    <t>Double Mass Flow  Rate Deviation</t>
  </si>
  <si>
    <t>Cold Wort Volume</t>
  </si>
  <si>
    <t>BH Hot time</t>
  </si>
  <si>
    <t>BH cyle time dev</t>
  </si>
  <si>
    <t>Step</t>
  </si>
  <si>
    <t>Description</t>
  </si>
  <si>
    <t>Qty/Vol.</t>
  </si>
  <si>
    <t>Time, min</t>
  </si>
  <si>
    <t>REMARKS</t>
  </si>
  <si>
    <t>Spec.</t>
  </si>
  <si>
    <t>Act.</t>
  </si>
  <si>
    <t>NOTE</t>
  </si>
  <si>
    <t>malt</t>
  </si>
  <si>
    <t>Malt Ratio</t>
  </si>
  <si>
    <t xml:space="preserve">Mash-In Time </t>
  </si>
  <si>
    <t>Grist/Water</t>
  </si>
  <si>
    <t>Gel Temp</t>
  </si>
  <si>
    <t>Gel Time</t>
  </si>
  <si>
    <t>Highest</t>
  </si>
  <si>
    <t>Boiling Time</t>
  </si>
  <si>
    <t>Highest Tempe</t>
  </si>
  <si>
    <t>Cycle Duration</t>
  </si>
  <si>
    <t>Mash-In Time</t>
  </si>
  <si>
    <t xml:space="preserve">Mash-In End Temp </t>
  </si>
  <si>
    <t>Protein Rest Temp</t>
  </si>
  <si>
    <t>Protein Rest Time</t>
  </si>
  <si>
    <t>Pumpback Temp</t>
  </si>
  <si>
    <t>Conversion Temp</t>
  </si>
  <si>
    <t>Conversion Time</t>
  </si>
  <si>
    <t>72*C Conversion Time</t>
  </si>
  <si>
    <t>Mash off Temp</t>
  </si>
  <si>
    <t>Mash Tun Cycle Time</t>
  </si>
  <si>
    <t>Vorlauf Duration</t>
  </si>
  <si>
    <t>Turbidity @Start Running</t>
  </si>
  <si>
    <t>First Wort Extract</t>
  </si>
  <si>
    <t>Last Hansel</t>
  </si>
  <si>
    <t>Weak Wort  Volume</t>
  </si>
  <si>
    <t xml:space="preserve">Deep Cut </t>
  </si>
  <si>
    <t>First Wort Volume</t>
  </si>
  <si>
    <t>Total Run off Volume</t>
  </si>
  <si>
    <t>Total Run off OG</t>
  </si>
  <si>
    <t>First Wort/ Total Water Volume</t>
  </si>
  <si>
    <t>First Wort/ Total Wort Volume</t>
  </si>
  <si>
    <t>OG GAP</t>
  </si>
  <si>
    <t>Run off Time</t>
  </si>
  <si>
    <t>Sparge Water Temp</t>
  </si>
  <si>
    <t>Boiling Before or After KF?</t>
  </si>
  <si>
    <t>Boiling Type</t>
  </si>
  <si>
    <t>SOB Volume</t>
  </si>
  <si>
    <t>Filling Temp@</t>
  </si>
  <si>
    <t>Kettle Full Volume</t>
  </si>
  <si>
    <t>Kettle Full Temp</t>
  </si>
  <si>
    <t>Tap to Start of Boil Time</t>
  </si>
  <si>
    <t>Boiling Time Before KF</t>
  </si>
  <si>
    <t>Boiling Time After KF</t>
  </si>
  <si>
    <t>Total Boiling Time</t>
  </si>
  <si>
    <t xml:space="preserve">Over Boiling Time </t>
  </si>
  <si>
    <t>Syrup Dose</t>
  </si>
  <si>
    <t>External Calandria</t>
  </si>
  <si>
    <t>Highest Temp</t>
  </si>
  <si>
    <t>Highest Pressure</t>
  </si>
  <si>
    <t>Steam Used - SOB-KO</t>
  </si>
  <si>
    <t>KO Extract</t>
  </si>
  <si>
    <t>KO Time</t>
  </si>
  <si>
    <t>Settling Time</t>
  </si>
  <si>
    <t>Settling Overtime</t>
  </si>
  <si>
    <t>Wort Zinc</t>
  </si>
  <si>
    <t>Cooling Time</t>
  </si>
  <si>
    <t>Cold Wort Temp</t>
  </si>
  <si>
    <t>Air Injection</t>
  </si>
  <si>
    <t>BH Hot time dev</t>
  </si>
  <si>
    <t>Total  BH cyle time</t>
  </si>
  <si>
    <t xml:space="preserve">Hot Severity Index </t>
  </si>
  <si>
    <t>Cold Wort OG</t>
  </si>
  <si>
    <t>Cold Wort pH</t>
  </si>
  <si>
    <t>Cal.</t>
  </si>
  <si>
    <t>Start</t>
  </si>
  <si>
    <t>End</t>
  </si>
  <si>
    <t xml:space="preserve">Cal. </t>
  </si>
  <si>
    <t>Temp conversion calculation</t>
    <phoneticPr fontId="23" type="noConversion"/>
  </si>
  <si>
    <t>DISCHARGE/MILLING</t>
  </si>
  <si>
    <t>Vol mass</t>
    <phoneticPr fontId="23" type="noConversion"/>
  </si>
  <si>
    <t>T, ᵒC</t>
  </si>
  <si>
    <t>Changed parameters</t>
  </si>
  <si>
    <t>Old</t>
  </si>
  <si>
    <t>New</t>
  </si>
  <si>
    <t>Malt, kg</t>
    <phoneticPr fontId="23" type="noConversion"/>
  </si>
  <si>
    <t>Silo:</t>
  </si>
  <si>
    <t>Total Water to MT, HL</t>
  </si>
  <si>
    <t>m1</t>
  </si>
  <si>
    <t>Mash Tun</t>
    <phoneticPr fontId="23" type="noConversion"/>
  </si>
  <si>
    <t>Total water in LT after 1st wort</t>
  </si>
  <si>
    <t>Total water in LT after 2nd wort</t>
  </si>
  <si>
    <t>Total water in LT after weak wort</t>
  </si>
  <si>
    <t>Malt to RC (kg)</t>
  </si>
  <si>
    <t>Before</t>
  </si>
  <si>
    <t>MSB</t>
  </si>
  <si>
    <t>No</t>
  </si>
  <si>
    <t>NA</t>
  </si>
  <si>
    <t>Rice, Kg</t>
  </si>
  <si>
    <t>Total Water to RC, HL</t>
  </si>
  <si>
    <t>m2</t>
  </si>
  <si>
    <t>Ceral cooker</t>
    <phoneticPr fontId="23" type="noConversion"/>
  </si>
  <si>
    <t>Số nước mong muốn còn lại trong LT</t>
  </si>
  <si>
    <t>Water mixing to MT (hl)</t>
  </si>
  <si>
    <t>Check tỉ lệ hạt nghiền (Brew đầu trong tuần)</t>
  </si>
  <si>
    <t>Số nước thực tế còn lại trong LT</t>
  </si>
  <si>
    <t>Start of mash in time in rice cooker</t>
  </si>
  <si>
    <t>start of wort draw-off</t>
  </si>
  <si>
    <t xml:space="preserve">Start of Boiling time(SOB)                      </t>
  </si>
  <si>
    <t xml:space="preserve">Wort OG at Kettle full                    </t>
  </si>
  <si>
    <t>Kettle volume at Kettle full</t>
  </si>
  <si>
    <t xml:space="preserve">End of boiling time        </t>
  </si>
  <si>
    <t>wort OG at the end of boiling</t>
  </si>
  <si>
    <t>Kettle volume at the end of boiling</t>
  </si>
  <si>
    <t>End of wort cooling</t>
  </si>
  <si>
    <t>CEREAL COOKER</t>
    <phoneticPr fontId="23" type="noConversion"/>
  </si>
  <si>
    <t>Full boiling time (mins)</t>
  </si>
  <si>
    <r>
      <t>Water flush pipe (drain) (</t>
    </r>
    <r>
      <rPr>
        <b/>
        <sz val="9"/>
        <color theme="1"/>
        <rFont val="Arial"/>
        <family val="2"/>
      </rPr>
      <t>Only 1st brew</t>
    </r>
    <r>
      <rPr>
        <sz val="9"/>
        <color theme="1"/>
        <rFont val="Arial"/>
        <family val="2"/>
      </rPr>
      <t>)</t>
    </r>
  </si>
  <si>
    <t>Water flow rate, Hl/h</t>
    <phoneticPr fontId="23" type="noConversion"/>
  </si>
  <si>
    <t>Rice feeding speed, kg/min</t>
  </si>
  <si>
    <t>Mass of RC, kg</t>
  </si>
  <si>
    <t>Cold wort flow rate (hl/h)</t>
  </si>
  <si>
    <t>Rice mashing-in to Cereal cooker</t>
  </si>
  <si>
    <t>Water temp, ᵒC</t>
  </si>
  <si>
    <t>HL Water : 100kg grist</t>
  </si>
  <si>
    <t>WTGR (RC)</t>
  </si>
  <si>
    <t>Water push wort (from mixing to RC)</t>
  </si>
  <si>
    <t>Mashing-in temp., ᵒC</t>
  </si>
  <si>
    <t>WTGR (MT)</t>
  </si>
  <si>
    <t>Malt mashing-in to RC</t>
    <phoneticPr fontId="23" type="noConversion"/>
  </si>
  <si>
    <t>Malt Qty. mashing to RC, kg</t>
  </si>
  <si>
    <t>Air (scfb)</t>
  </si>
  <si>
    <r>
      <t>Adding CaSO</t>
    </r>
    <r>
      <rPr>
        <sz val="12"/>
        <color theme="1"/>
        <rFont val="Calibri"/>
        <family val="2"/>
      </rPr>
      <t>₄</t>
    </r>
    <r>
      <rPr>
        <sz val="9"/>
        <color theme="1"/>
        <rFont val="Arial"/>
        <family val="2"/>
      </rPr>
      <t>, kg</t>
    </r>
  </si>
  <si>
    <t>Hardness correction</t>
  </si>
  <si>
    <t>pH correction</t>
  </si>
  <si>
    <t>Heating up to Gel</t>
    <phoneticPr fontId="23" type="noConversion"/>
  </si>
  <si>
    <t>Steam flow, kg/h</t>
  </si>
  <si>
    <t>Tính toán nhiệt</t>
  </si>
  <si>
    <t>Silo</t>
  </si>
  <si>
    <t>Brew</t>
  </si>
  <si>
    <t>Malt, kg</t>
  </si>
  <si>
    <t>Ex Malt, %</t>
  </si>
  <si>
    <t>Moisture, %</t>
  </si>
  <si>
    <t>Malt dust, kg</t>
  </si>
  <si>
    <t>Ex dust, %</t>
  </si>
  <si>
    <t>Rice, kg</t>
  </si>
  <si>
    <t>Ex Rice, %</t>
  </si>
  <si>
    <t>Malt ratio, %</t>
  </si>
  <si>
    <t>Rice ratio, %</t>
  </si>
  <si>
    <t>kgE</t>
  </si>
  <si>
    <t>Ca RC, kg</t>
  </si>
  <si>
    <t>Ca MT, kg</t>
  </si>
  <si>
    <t>Ca WK, kg</t>
  </si>
  <si>
    <t>MgO, g</t>
  </si>
  <si>
    <t>Hekules, kg</t>
  </si>
  <si>
    <t>Willamette, kg</t>
  </si>
  <si>
    <t>Rainer, kg</t>
  </si>
  <si>
    <t>Opal, kg</t>
  </si>
  <si>
    <t>ZnSO4, g</t>
  </si>
  <si>
    <t>Vol, Hl</t>
  </si>
  <si>
    <t>Vol Push thêm nước WK</t>
  </si>
  <si>
    <t xml:space="preserve">Ogfirst wort, oP                    </t>
  </si>
  <si>
    <t xml:space="preserve">OG cold wort, oP                    </t>
  </si>
  <si>
    <t>OG online</t>
  </si>
  <si>
    <t>Operator</t>
  </si>
  <si>
    <t>pH</t>
  </si>
  <si>
    <t>OG, %w/v</t>
  </si>
  <si>
    <t>Volume LT to WK</t>
  </si>
  <si>
    <t>OG last second wort</t>
  </si>
  <si>
    <t>OG Last Weak wort</t>
  </si>
  <si>
    <t>Vol to LA system</t>
  </si>
  <si>
    <t>OG, oP</t>
  </si>
  <si>
    <t>KgE</t>
  </si>
  <si>
    <t>Steam RC, kg</t>
  </si>
  <si>
    <t>Steam MT, kg</t>
  </si>
  <si>
    <t>Stem WK, kg</t>
  </si>
  <si>
    <t>kgE loss</t>
  </si>
  <si>
    <t>% loss</t>
  </si>
  <si>
    <t>Gel rest at T= 80 ± 0.5 ᵒC</t>
  </si>
  <si>
    <r>
      <t xml:space="preserve">Heated rate, </t>
    </r>
    <r>
      <rPr>
        <sz val="9"/>
        <color theme="1"/>
        <rFont val="Calibri"/>
        <family val="2"/>
      </rPr>
      <t>ΔT/min</t>
    </r>
  </si>
  <si>
    <t>0.8 - 1.2</t>
  </si>
  <si>
    <t>ᵒC/min</t>
  </si>
  <si>
    <t>Heating up to boil @ 93.5</t>
  </si>
  <si>
    <t>Rest at boiling T = 95.5 ± 0.5 ᵒC</t>
  </si>
  <si>
    <t>Heating up to 82ᵒC</t>
  </si>
  <si>
    <t>Heating speed,
ᵒC/min</t>
  </si>
  <si>
    <t>Rest at Temp = 82ᵒC</t>
  </si>
  <si>
    <t>Adding cold water to descrease to 74ᵒC</t>
  </si>
  <si>
    <t>Malt mashing-in to RC</t>
  </si>
  <si>
    <t>Temp. correction to 72ᵒC</t>
  </si>
  <si>
    <t>Rest at Temp = 72ᵒC</t>
  </si>
  <si>
    <t>Heating up to 86ᵒC</t>
  </si>
  <si>
    <t>Pumping mash to MT</t>
  </si>
  <si>
    <t>Total steam, kg</t>
  </si>
  <si>
    <t>RC</t>
  </si>
  <si>
    <t>Hot</t>
  </si>
  <si>
    <t>RC, temp</t>
  </si>
  <si>
    <t>RC, flow</t>
  </si>
  <si>
    <t>Brew flow</t>
  </si>
  <si>
    <t>Push water</t>
    <phoneticPr fontId="23" type="noConversion"/>
  </si>
  <si>
    <t>Rinsing</t>
    <phoneticPr fontId="23" type="noConversion"/>
  </si>
  <si>
    <t>Residence time in RC</t>
  </si>
  <si>
    <t>MASH TUN</t>
  </si>
  <si>
    <t>Water flush pipe (Only 1st brew)</t>
  </si>
  <si>
    <t>Malt feeding speed, kg/min</t>
  </si>
  <si>
    <t>MT</t>
  </si>
  <si>
    <t>MT, temp</t>
  </si>
  <si>
    <t>MT, flow</t>
  </si>
  <si>
    <t xml:space="preserve">Mashing-in to MT </t>
  </si>
  <si>
    <t>Water Temp., ᵒC</t>
  </si>
  <si>
    <t>Water push wort (from mixing to MT)</t>
  </si>
  <si>
    <t>Correction temp to T = 44ᵒC</t>
  </si>
  <si>
    <t>Holding at T = 44 ± 1 ᵒC</t>
  </si>
  <si>
    <t>LT, CCT thường</t>
  </si>
  <si>
    <t>Sparging, temp</t>
  </si>
  <si>
    <t>Receiving mash from Cereal cooker</t>
    <phoneticPr fontId="23" type="noConversion"/>
  </si>
  <si>
    <t>Mash received temp., ᵒC</t>
  </si>
  <si>
    <t>Temp. correction to T = 65.5 ᵒC</t>
  </si>
  <si>
    <t>Mass of MT, kg</t>
  </si>
  <si>
    <t>Rest at Temp = 65.5 ± 0.5 ᵒC</t>
  </si>
  <si>
    <t>pH mash, 65.5ᵒC (weekly)</t>
  </si>
  <si>
    <t>5.5 - 5.6</t>
  </si>
  <si>
    <t>Check Saccharification</t>
  </si>
  <si>
    <t>Iodine test</t>
  </si>
  <si>
    <t>OK</t>
  </si>
  <si>
    <t>LT, MCS</t>
  </si>
  <si>
    <t>Heating up to 75ᵒC</t>
  </si>
  <si>
    <t>Rest at Temp = 76ᵒC</t>
  </si>
  <si>
    <t>Pumping mash to LT</t>
  </si>
  <si>
    <t>pH tota</t>
  </si>
  <si>
    <t>Push water to LT</t>
    <phoneticPr fontId="23" type="noConversion"/>
  </si>
  <si>
    <t>pH Brew from utility</t>
  </si>
  <si>
    <t>pH hot brewing</t>
  </si>
  <si>
    <t>Residence time in MT</t>
  </si>
  <si>
    <t>LAUTER TUN</t>
  </si>
  <si>
    <t>Rinsing underlet volume</t>
  </si>
  <si>
    <t>Main wort - flow-rate, hl/h</t>
  </si>
  <si>
    <t>Intake mash from MT</t>
  </si>
  <si>
    <t>OG main wort, ᵒP</t>
  </si>
  <si>
    <t>&gt;20</t>
  </si>
  <si>
    <t>pH Brew</t>
  </si>
  <si>
    <t>Filling and circulation</t>
    <phoneticPr fontId="23" type="noConversion"/>
  </si>
  <si>
    <t>Sparging water temp., ᵒC</t>
  </si>
  <si>
    <t>Circulation until wort turbidity</t>
  </si>
  <si>
    <t>&lt;20EBC</t>
  </si>
  <si>
    <t>2nd wort flowrate, hl/h</t>
  </si>
  <si>
    <t xml:space="preserve">Lautering - first wort </t>
  </si>
  <si>
    <t>Visual check: filter bed</t>
  </si>
  <si>
    <t>Normal</t>
  </si>
  <si>
    <t>Dry</t>
  </si>
  <si>
    <t>Lautering 2nd wort + sparging</t>
  </si>
  <si>
    <t>Deep cut time</t>
  </si>
  <si>
    <t>&lt;3</t>
  </si>
  <si>
    <t>Average OG,  ᵒP</t>
  </si>
  <si>
    <t>Weak wort recovery</t>
    <phoneticPr fontId="23" type="noConversion"/>
  </si>
  <si>
    <t>Vol. sparging water 1, hl</t>
  </si>
  <si>
    <t>Spent grains discharge</t>
  </si>
  <si>
    <t>Vol. sparging water 2, hl</t>
  </si>
  <si>
    <t>Rinsing LT</t>
  </si>
  <si>
    <t>OG - after 2nd wort, ᵒP</t>
  </si>
  <si>
    <t>&lt;2.5</t>
  </si>
  <si>
    <t>Residence time in LT</t>
  </si>
  <si>
    <t>OG - weak wort, ᵒP</t>
  </si>
  <si>
    <t>&gt;1.0</t>
  </si>
  <si>
    <t>HOLDING VESSEL &amp; WORT PRE HEAT</t>
    <phoneticPr fontId="23" type="noConversion"/>
  </si>
  <si>
    <t>Filling from Lauter tun</t>
    <phoneticPr fontId="23" type="noConversion"/>
  </si>
  <si>
    <t>PHE temp in, ᵒC</t>
  </si>
  <si>
    <t>Starting to transfer to PHE at Vol 170HL</t>
  </si>
  <si>
    <t>PHE temp out &lt;170, ᵒC</t>
  </si>
  <si>
    <t>Push out Hot water to WK</t>
    <phoneticPr fontId="23" type="noConversion"/>
  </si>
  <si>
    <t>PHE temp out &gt;170, ᵒC</t>
  </si>
  <si>
    <t>WORT KETTLE</t>
  </si>
  <si>
    <t>Intake wort form Pre-run tank</t>
  </si>
  <si>
    <t>Steam flow rate, kg/h</t>
  </si>
  <si>
    <t>to 95ᵒC</t>
  </si>
  <si>
    <t>Heating to boiling temp.</t>
  </si>
  <si>
    <t>to 98.1ᵒC</t>
  </si>
  <si>
    <t>Start To Boil, T =  100 - 101 ᵒC</t>
  </si>
  <si>
    <t>Vol-SOB</t>
  </si>
  <si>
    <t>Steam up-valve, kg/h</t>
  </si>
  <si>
    <t>Steam low-valve, kg/h</t>
  </si>
  <si>
    <r>
      <t>Adding CaSO</t>
    </r>
    <r>
      <rPr>
        <sz val="12"/>
        <color theme="1"/>
        <rFont val="Cambria"/>
        <family val="1"/>
      </rPr>
      <t>₄</t>
    </r>
    <r>
      <rPr>
        <sz val="9"/>
        <color theme="1"/>
        <rFont val="Arial"/>
        <family val="2"/>
      </rPr>
      <t xml:space="preserve"> at start boliling, kg</t>
    </r>
  </si>
  <si>
    <t>Hop 1 dosing before SOB, min</t>
  </si>
  <si>
    <t>Steam Raise to Boil, kg</t>
  </si>
  <si>
    <t>Hop pellet Herkules</t>
  </si>
  <si>
    <t>Hop 2 dosing before EOB, min</t>
  </si>
  <si>
    <t>Steam SOB, kg</t>
  </si>
  <si>
    <t xml:space="preserve"> </t>
  </si>
  <si>
    <t>Hop Rainer</t>
  </si>
  <si>
    <t>Over Foam time</t>
  </si>
  <si>
    <t>OG Start boiling, ᵒP</t>
  </si>
  <si>
    <t>17.0 - 17.4</t>
  </si>
  <si>
    <t>Hop pellet Opal</t>
  </si>
  <si>
    <t>Temp. at Kettle full, ᵒC</t>
  </si>
  <si>
    <t>100-101</t>
  </si>
  <si>
    <t>Highest temp. of boiling, ᵒC</t>
  </si>
  <si>
    <t>&lt;101</t>
  </si>
  <si>
    <t>Kettle Full Boil 1, T = 100 - 101 ᵒC</t>
  </si>
  <si>
    <t>Vol-KF</t>
  </si>
  <si>
    <t>Kettle Full Boil 2, T = 100 - 101 ᵒC</t>
  </si>
  <si>
    <r>
      <t>Zinc addition (ZnSO</t>
    </r>
    <r>
      <rPr>
        <sz val="14"/>
        <color theme="1"/>
        <rFont val="Calibri"/>
        <family val="2"/>
      </rPr>
      <t>₄</t>
    </r>
    <r>
      <rPr>
        <sz val="9"/>
        <color theme="1"/>
        <rFont val="Arial"/>
        <family val="2"/>
      </rPr>
      <t>.7H</t>
    </r>
    <r>
      <rPr>
        <sz val="14"/>
        <color theme="1"/>
        <rFont val="Calibri"/>
        <family val="2"/>
      </rPr>
      <t>₂</t>
    </r>
    <r>
      <rPr>
        <sz val="9"/>
        <color theme="1"/>
        <rFont val="Arial"/>
        <family val="2"/>
      </rPr>
      <t>O)</t>
    </r>
  </si>
  <si>
    <t>Đời 0:
Đời 1-2:</t>
  </si>
  <si>
    <t>145.2
137.8</t>
  </si>
  <si>
    <t>Đời 3-4: 
 Đời 5-8:</t>
  </si>
  <si>
    <t>110.3
 104.7</t>
  </si>
  <si>
    <t>Steam KF, kg</t>
  </si>
  <si>
    <t>Casting</t>
  </si>
  <si>
    <t>Vol-EOB</t>
  </si>
  <si>
    <t>OG End boil, ᵒP</t>
  </si>
  <si>
    <t>Rinsing to whirlpool</t>
  </si>
  <si>
    <t>pH wort - End boiling</t>
  </si>
  <si>
    <t>5.45 ± 0.2</t>
  </si>
  <si>
    <t>Residence time in WK</t>
  </si>
  <si>
    <t>WHIRLPOOL</t>
  </si>
  <si>
    <t>Whirlpool rest</t>
  </si>
  <si>
    <t>Wort cooling time</t>
  </si>
  <si>
    <t>Cold wort flowrate, hl/h</t>
  </si>
  <si>
    <t>Trub removal</t>
  </si>
  <si>
    <t>Rinsing</t>
  </si>
  <si>
    <t>OG CW online, ᵒP</t>
  </si>
  <si>
    <t>Residence time in WP</t>
  </si>
  <si>
    <t>FLASH EVAPORATION</t>
  </si>
  <si>
    <t>Extra evaporation volume</t>
  </si>
  <si>
    <t>WORT COOLER</t>
  </si>
  <si>
    <t>Ice water temperature, ᵒC</t>
  </si>
  <si>
    <t>Spec: 2 - 6ᵒC</t>
  </si>
  <si>
    <t>OG (Lab) cold wort, ᵒP</t>
  </si>
  <si>
    <t>17.75 - 18.25</t>
  </si>
  <si>
    <t>Pre-run</t>
  </si>
  <si>
    <t>pH cold wort</t>
  </si>
  <si>
    <t>5.25 - 5.65</t>
  </si>
  <si>
    <t>For only first brew</t>
    <phoneticPr fontId="23" type="noConversion"/>
  </si>
  <si>
    <t>Cooling at T = 11.5 ᵒC (nhiệt độ CCT)</t>
  </si>
  <si>
    <t>Temp cold wort, ᵒC</t>
  </si>
  <si>
    <t>Air dosing setting - 2.3 - 2.5 kg/h</t>
  </si>
  <si>
    <t>0.55 scfb</t>
  </si>
  <si>
    <t>Wort to CCT</t>
  </si>
  <si>
    <t>Temp CW,
Propagation brew</t>
  </si>
  <si>
    <t>-</t>
  </si>
  <si>
    <t>cos tank</t>
  </si>
  <si>
    <t>caustic</t>
  </si>
  <si>
    <t>Air dosing consumption, kg</t>
  </si>
  <si>
    <t>Ca-content, ppm</t>
  </si>
  <si>
    <t>Post run</t>
  </si>
  <si>
    <r>
      <t>O</t>
    </r>
    <r>
      <rPr>
        <sz val="12"/>
        <color theme="1"/>
        <rFont val="Calibri"/>
        <family val="2"/>
      </rPr>
      <t>₂</t>
    </r>
    <r>
      <rPr>
        <sz val="9"/>
        <color theme="1"/>
        <rFont val="Arial"/>
        <family val="2"/>
      </rPr>
      <t xml:space="preserve"> - content, ppm</t>
    </r>
  </si>
  <si>
    <t>10.0 - 12.0</t>
  </si>
  <si>
    <t>Base on actual</t>
    <phoneticPr fontId="23" type="noConversion"/>
  </si>
  <si>
    <t>Total run length time, hrs</t>
  </si>
  <si>
    <t xml:space="preserve"> ± 0.2</t>
  </si>
  <si>
    <t xml:space="preserve">Supervisor checked: </t>
  </si>
  <si>
    <t>Note:</t>
  </si>
  <si>
    <r>
      <t>Yeast pitching rate (10</t>
    </r>
    <r>
      <rPr>
        <b/>
        <i/>
        <sz val="12"/>
        <color theme="1"/>
        <rFont val="Arial"/>
        <family val="2"/>
      </rPr>
      <t>⁶</t>
    </r>
    <r>
      <rPr>
        <b/>
        <i/>
        <sz val="11"/>
        <color theme="1"/>
        <rFont val="Arial"/>
        <family val="2"/>
      </rPr>
      <t>cell/ml):</t>
    </r>
  </si>
  <si>
    <t>19 - 21</t>
  </si>
  <si>
    <t>Brewhouse Cycle Time</t>
  </si>
  <si>
    <t>REMARKS:</t>
  </si>
  <si>
    <t>Evaporated rate</t>
  </si>
  <si>
    <t>Brewhouse Hot Time</t>
  </si>
  <si>
    <t>Hot Severity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</si>
</sst>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"/>
    <numFmt numFmtId="165" formatCode="[$-409]d/mmm/yy;@"/>
    <numFmt numFmtId="166" formatCode="h:mm;@"/>
    <numFmt numFmtId="167" formatCode="m/d/yy\ h:mm;@"/>
    <numFmt numFmtId="168" formatCode="0.000"/>
    <numFmt numFmtId="169" formatCode="0.0%"/>
    <numFmt numFmtId="170" formatCode="_(* #,##0.000_);_(* \(#,##0.000\);_(* &quot;-&quot;??_);_(@_)"/>
    <numFmt numFmtId="171" formatCode="0.0000"/>
    <numFmt numFmtId="172" formatCode="0.00000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Arial"/>
      <family val="2"/>
    </font>
    <font>
      <sz val="11"/>
      <color theme="1"/>
      <name val="Arial Unicode MS"/>
      <family val="2"/>
      <charset val="134"/>
    </font>
    <font>
      <sz val="9"/>
      <color theme="0" tint="-0.499984740745262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8"/>
      <color theme="1"/>
      <name val="Bahnschrift SemiLight"/>
      <family val="2"/>
    </font>
    <font>
      <b/>
      <sz val="9"/>
      <color theme="1"/>
      <name val="Bahnschrift SemiLight"/>
      <family val="2"/>
    </font>
    <font>
      <sz val="9"/>
      <color theme="1"/>
      <name val="Bahnschrift SemiLight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  <charset val="163"/>
    </font>
    <font>
      <sz val="9"/>
      <color theme="1"/>
      <name val="Webdings"/>
      <family val="1"/>
      <charset val="2"/>
    </font>
    <font>
      <b/>
      <sz val="10"/>
      <color rgb="FF000000"/>
      <name val="Arial"/>
      <family val="2"/>
    </font>
    <font>
      <sz val="12"/>
      <color theme="1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b/>
      <sz val="9"/>
      <color theme="1"/>
      <name val="Arial"/>
      <family val="2"/>
      <charset val="163"/>
    </font>
    <font>
      <b/>
      <sz val="10"/>
      <color theme="1"/>
      <name val="Arial"/>
      <family val="2"/>
      <charset val="163"/>
    </font>
    <font>
      <b/>
      <sz val="8"/>
      <color theme="1"/>
      <name val="Arial"/>
      <family val="2"/>
    </font>
    <font>
      <sz val="12"/>
      <color theme="1"/>
      <name val="Cambria"/>
      <family val="1"/>
    </font>
    <font>
      <sz val="14"/>
      <color theme="1"/>
      <name val="Calibri"/>
      <family val="2"/>
    </font>
    <font>
      <sz val="9"/>
      <color theme="1"/>
      <name val="Arial"/>
      <family val="2"/>
      <charset val="163"/>
    </font>
    <font>
      <b/>
      <sz val="8.5"/>
      <color theme="1"/>
      <name val="Arial"/>
      <family val="2"/>
    </font>
    <font>
      <b/>
      <i/>
      <sz val="9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2"/>
      <color theme="1"/>
      <name val="Arial"/>
      <family val="2"/>
    </font>
    <font>
      <b/>
      <u/>
      <sz val="9"/>
      <color theme="1"/>
      <name val="Arial"/>
      <family val="2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rgb="FFF8CBAD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0" tint="-4.9989318521683403E-2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theme="1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808080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808080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theme="0" tint="-0.499984740745262"/>
      </top>
      <bottom style="dotted">
        <color theme="0" tint="-0.499984740745262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92">
    <xf numFmtId="0" fontId="0" fillId="0" borderId="0" xfId="0"/>
    <xf numFmtId="0" fontId="3" fillId="0" borderId="0" xfId="2" applyFont="1" applyAlignment="1">
      <alignment horizontal="center" vertical="center"/>
    </xf>
    <xf numFmtId="0" fontId="4" fillId="0" borderId="0" xfId="2" applyFont="1"/>
    <xf numFmtId="0" fontId="4" fillId="2" borderId="0" xfId="2" applyFont="1" applyFill="1"/>
    <xf numFmtId="0" fontId="5" fillId="2" borderId="0" xfId="2" applyFont="1" applyFill="1"/>
    <xf numFmtId="0" fontId="5" fillId="2" borderId="0" xfId="2" applyFont="1" applyFill="1" applyAlignment="1">
      <alignment wrapText="1"/>
    </xf>
    <xf numFmtId="0" fontId="6" fillId="2" borderId="0" xfId="2" applyFont="1" applyFill="1" applyAlignment="1">
      <alignment wrapText="1"/>
    </xf>
    <xf numFmtId="0" fontId="4" fillId="2" borderId="0" xfId="2" applyFont="1" applyFill="1" applyAlignment="1">
      <alignment wrapText="1"/>
    </xf>
    <xf numFmtId="0" fontId="7" fillId="0" borderId="0" xfId="2" applyFont="1"/>
    <xf numFmtId="0" fontId="8" fillId="0" borderId="0" xfId="2" applyFont="1"/>
    <xf numFmtId="0" fontId="9" fillId="0" borderId="1" xfId="2" applyFont="1" applyBorder="1" applyAlignment="1">
      <alignment horizontal="right"/>
    </xf>
    <xf numFmtId="0" fontId="9" fillId="0" borderId="0" xfId="2" applyFont="1" applyAlignment="1">
      <alignment horizontal="right"/>
    </xf>
    <xf numFmtId="0" fontId="9" fillId="0" borderId="0" xfId="2" applyFont="1"/>
    <xf numFmtId="0" fontId="7" fillId="0" borderId="0" xfId="2" applyFont="1" applyAlignment="1">
      <alignment horizontal="center"/>
    </xf>
    <xf numFmtId="0" fontId="7" fillId="0" borderId="0" xfId="2" applyFont="1" applyAlignment="1">
      <alignment horizontal="right"/>
    </xf>
    <xf numFmtId="0" fontId="6" fillId="3" borderId="2" xfId="2" applyFont="1" applyFill="1" applyBorder="1" applyAlignment="1">
      <alignment vertical="center"/>
    </xf>
    <xf numFmtId="0" fontId="6" fillId="3" borderId="3" xfId="2" applyFont="1" applyFill="1" applyBorder="1" applyAlignment="1">
      <alignment vertical="center"/>
    </xf>
    <xf numFmtId="164" fontId="6" fillId="2" borderId="0" xfId="2" applyNumberFormat="1" applyFont="1" applyFill="1" applyAlignment="1">
      <alignment wrapText="1"/>
    </xf>
    <xf numFmtId="1" fontId="6" fillId="2" borderId="0" xfId="2" applyNumberFormat="1" applyFont="1" applyFill="1" applyAlignment="1">
      <alignment wrapText="1"/>
    </xf>
    <xf numFmtId="0" fontId="9" fillId="0" borderId="1" xfId="2" applyFont="1" applyBorder="1"/>
    <xf numFmtId="165" fontId="9" fillId="0" borderId="1" xfId="2" applyNumberFormat="1" applyFont="1" applyBorder="1" applyAlignment="1">
      <alignment horizontal="left"/>
    </xf>
    <xf numFmtId="0" fontId="9" fillId="0" borderId="1" xfId="2" applyFont="1" applyBorder="1" applyAlignment="1">
      <alignment horizontal="center"/>
    </xf>
    <xf numFmtId="0" fontId="6" fillId="0" borderId="4" xfId="2" applyFont="1" applyBorder="1" applyAlignment="1">
      <alignment vertical="center"/>
    </xf>
    <xf numFmtId="0" fontId="6" fillId="0" borderId="5" xfId="2" applyFont="1" applyBorder="1" applyAlignment="1">
      <alignment vertical="center"/>
    </xf>
    <xf numFmtId="0" fontId="10" fillId="0" borderId="0" xfId="2" applyFont="1"/>
    <xf numFmtId="0" fontId="11" fillId="0" borderId="0" xfId="2" applyFont="1" applyAlignment="1">
      <alignment wrapText="1" shrinkToFit="1"/>
    </xf>
    <xf numFmtId="1" fontId="11" fillId="0" borderId="0" xfId="2" applyNumberFormat="1" applyFont="1"/>
    <xf numFmtId="0" fontId="10" fillId="0" borderId="0" xfId="2" applyFont="1" applyAlignment="1">
      <alignment vertical="center" wrapText="1" shrinkToFit="1"/>
    </xf>
    <xf numFmtId="0" fontId="6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0" fontId="12" fillId="0" borderId="0" xfId="2" applyFont="1" applyAlignment="1">
      <alignment horizontal="right"/>
    </xf>
    <xf numFmtId="0" fontId="11" fillId="0" borderId="0" xfId="2" applyFont="1"/>
    <xf numFmtId="0" fontId="13" fillId="0" borderId="0" xfId="2" applyFont="1"/>
    <xf numFmtId="0" fontId="11" fillId="2" borderId="0" xfId="2" applyFont="1" applyFill="1"/>
    <xf numFmtId="0" fontId="14" fillId="4" borderId="0" xfId="2" applyFont="1" applyFill="1" applyAlignment="1">
      <alignment horizontal="center" wrapText="1"/>
    </xf>
    <xf numFmtId="0" fontId="14" fillId="4" borderId="6" xfId="2" applyFont="1" applyFill="1" applyBorder="1" applyAlignment="1">
      <alignment horizontal="center" wrapText="1"/>
    </xf>
    <xf numFmtId="0" fontId="14" fillId="4" borderId="7" xfId="2" applyFont="1" applyFill="1" applyBorder="1" applyAlignment="1">
      <alignment horizontal="center" wrapText="1"/>
    </xf>
    <xf numFmtId="0" fontId="15" fillId="0" borderId="2" xfId="2" applyFont="1" applyBorder="1" applyAlignment="1">
      <alignment horizontal="center" vertical="center" wrapText="1" shrinkToFit="1"/>
    </xf>
    <xf numFmtId="0" fontId="15" fillId="0" borderId="8" xfId="2" applyFont="1" applyBorder="1" applyAlignment="1">
      <alignment horizontal="center" vertical="center" wrapText="1" shrinkToFit="1"/>
    </xf>
    <xf numFmtId="1" fontId="15" fillId="0" borderId="8" xfId="2" applyNumberFormat="1" applyFont="1" applyBorder="1" applyAlignment="1">
      <alignment horizontal="center" vertical="center"/>
    </xf>
    <xf numFmtId="0" fontId="15" fillId="0" borderId="8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5" fillId="0" borderId="9" xfId="2" applyFont="1" applyBorder="1" applyAlignment="1">
      <alignment horizontal="center" vertical="center"/>
    </xf>
    <xf numFmtId="0" fontId="16" fillId="0" borderId="0" xfId="2" applyFont="1" applyAlignment="1">
      <alignment vertical="center"/>
    </xf>
    <xf numFmtId="0" fontId="16" fillId="0" borderId="10" xfId="2" applyFont="1" applyBorder="1" applyAlignment="1">
      <alignment vertical="center"/>
    </xf>
    <xf numFmtId="0" fontId="16" fillId="2" borderId="0" xfId="2" applyFont="1" applyFill="1" applyAlignment="1">
      <alignment vertical="center"/>
    </xf>
    <xf numFmtId="0" fontId="14" fillId="4" borderId="11" xfId="2" applyFont="1" applyFill="1" applyBorder="1" applyAlignment="1">
      <alignment horizontal="center" wrapText="1"/>
    </xf>
    <xf numFmtId="0" fontId="14" fillId="4" borderId="11" xfId="2" applyFont="1" applyFill="1" applyBorder="1" applyAlignment="1">
      <alignment horizontal="center" wrapText="1"/>
    </xf>
    <xf numFmtId="0" fontId="14" fillId="4" borderId="12" xfId="2" applyFont="1" applyFill="1" applyBorder="1" applyAlignment="1">
      <alignment horizontal="center" wrapText="1"/>
    </xf>
    <xf numFmtId="0" fontId="14" fillId="4" borderId="13" xfId="2" applyFont="1" applyFill="1" applyBorder="1" applyAlignment="1">
      <alignment horizontal="center" wrapText="1"/>
    </xf>
    <xf numFmtId="0" fontId="15" fillId="0" borderId="14" xfId="2" applyFont="1" applyBorder="1" applyAlignment="1">
      <alignment horizontal="center" vertical="center" wrapText="1" shrinkToFit="1"/>
    </xf>
    <xf numFmtId="0" fontId="15" fillId="0" borderId="1" xfId="2" applyFont="1" applyBorder="1" applyAlignment="1">
      <alignment horizontal="center" vertical="center" wrapText="1" shrinkToFit="1"/>
    </xf>
    <xf numFmtId="1" fontId="15" fillId="0" borderId="1" xfId="2" applyNumberFormat="1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15" fillId="0" borderId="15" xfId="2" applyFont="1" applyBorder="1" applyAlignment="1">
      <alignment horizontal="center" vertical="center"/>
    </xf>
    <xf numFmtId="0" fontId="15" fillId="0" borderId="16" xfId="2" applyFont="1" applyBorder="1" applyAlignment="1">
      <alignment horizontal="center" vertical="center"/>
    </xf>
    <xf numFmtId="0" fontId="15" fillId="0" borderId="0" xfId="2" applyFont="1" applyAlignment="1">
      <alignment vertical="center"/>
    </xf>
    <xf numFmtId="0" fontId="15" fillId="0" borderId="10" xfId="2" applyFont="1" applyBorder="1" applyAlignment="1">
      <alignment vertical="center"/>
    </xf>
    <xf numFmtId="0" fontId="15" fillId="2" borderId="0" xfId="2" applyFont="1" applyFill="1" applyAlignment="1">
      <alignment vertical="center"/>
    </xf>
    <xf numFmtId="0" fontId="14" fillId="4" borderId="17" xfId="2" applyFont="1" applyFill="1" applyBorder="1" applyAlignment="1">
      <alignment horizontal="center" wrapText="1"/>
    </xf>
    <xf numFmtId="0" fontId="14" fillId="4" borderId="17" xfId="2" applyFont="1" applyFill="1" applyBorder="1" applyAlignment="1">
      <alignment horizontal="center" wrapText="1"/>
    </xf>
    <xf numFmtId="0" fontId="14" fillId="4" borderId="18" xfId="2" applyFont="1" applyFill="1" applyBorder="1" applyAlignment="1">
      <alignment horizontal="center" wrapText="1"/>
    </xf>
    <xf numFmtId="0" fontId="14" fillId="4" borderId="19" xfId="2" applyFont="1" applyFill="1" applyBorder="1" applyAlignment="1">
      <alignment horizontal="center" wrapText="1"/>
    </xf>
    <xf numFmtId="0" fontId="15" fillId="5" borderId="14" xfId="2" applyFont="1" applyFill="1" applyBorder="1" applyAlignment="1">
      <alignment vertical="center" wrapText="1" shrinkToFit="1"/>
    </xf>
    <xf numFmtId="0" fontId="15" fillId="5" borderId="1" xfId="2" applyFont="1" applyFill="1" applyBorder="1" applyAlignment="1">
      <alignment vertical="center" wrapText="1" shrinkToFit="1"/>
    </xf>
    <xf numFmtId="1" fontId="16" fillId="5" borderId="1" xfId="2" applyNumberFormat="1" applyFont="1" applyFill="1" applyBorder="1" applyAlignment="1">
      <alignment horizontal="center" vertical="center"/>
    </xf>
    <xf numFmtId="0" fontId="16" fillId="5" borderId="1" xfId="2" applyFont="1" applyFill="1" applyBorder="1" applyAlignment="1">
      <alignment vertical="center" wrapText="1" shrinkToFit="1"/>
    </xf>
    <xf numFmtId="164" fontId="16" fillId="5" borderId="1" xfId="2" applyNumberFormat="1" applyFont="1" applyFill="1" applyBorder="1" applyAlignment="1">
      <alignment horizontal="center" vertical="center"/>
    </xf>
    <xf numFmtId="0" fontId="16" fillId="5" borderId="15" xfId="2" applyFont="1" applyFill="1" applyBorder="1" applyAlignment="1">
      <alignment horizontal="center" vertical="center"/>
    </xf>
    <xf numFmtId="0" fontId="16" fillId="5" borderId="16" xfId="2" applyFont="1" applyFill="1" applyBorder="1" applyAlignment="1">
      <alignment vertical="center"/>
    </xf>
    <xf numFmtId="0" fontId="16" fillId="0" borderId="0" xfId="2" applyFont="1" applyAlignment="1">
      <alignment horizontal="center" vertical="center"/>
    </xf>
    <xf numFmtId="0" fontId="16" fillId="3" borderId="1" xfId="2" applyFont="1" applyFill="1" applyBorder="1" applyAlignment="1">
      <alignment vertical="center"/>
    </xf>
    <xf numFmtId="0" fontId="14" fillId="4" borderId="20" xfId="2" applyFont="1" applyFill="1" applyBorder="1" applyAlignment="1">
      <alignment horizontal="center" wrapText="1"/>
    </xf>
    <xf numFmtId="0" fontId="14" fillId="4" borderId="21" xfId="2" applyFont="1" applyFill="1" applyBorder="1" applyAlignment="1">
      <alignment horizontal="center" wrapText="1"/>
    </xf>
    <xf numFmtId="0" fontId="14" fillId="4" borderId="20" xfId="2" applyFont="1" applyFill="1" applyBorder="1" applyAlignment="1">
      <alignment horizontal="center" wrapText="1"/>
    </xf>
    <xf numFmtId="0" fontId="14" fillId="4" borderId="22" xfId="2" applyFont="1" applyFill="1" applyBorder="1" applyAlignment="1">
      <alignment horizontal="center" wrapText="1"/>
    </xf>
    <xf numFmtId="0" fontId="14" fillId="4" borderId="23" xfId="2" applyFont="1" applyFill="1" applyBorder="1" applyAlignment="1">
      <alignment horizontal="center" wrapText="1"/>
    </xf>
    <xf numFmtId="0" fontId="6" fillId="0" borderId="24" xfId="2" applyFont="1" applyBorder="1" applyAlignment="1">
      <alignment vertical="center" wrapText="1" shrinkToFit="1"/>
    </xf>
    <xf numFmtId="0" fontId="6" fillId="0" borderId="25" xfId="2" applyFont="1" applyBorder="1" applyAlignment="1">
      <alignment vertical="center" wrapText="1" shrinkToFit="1"/>
    </xf>
    <xf numFmtId="1" fontId="17" fillId="3" borderId="25" xfId="2" applyNumberFormat="1" applyFont="1" applyFill="1" applyBorder="1" applyAlignment="1">
      <alignment horizontal="center" vertical="center"/>
    </xf>
    <xf numFmtId="1" fontId="12" fillId="0" borderId="25" xfId="2" applyNumberFormat="1" applyFont="1" applyBorder="1" applyAlignment="1">
      <alignment horizontal="center" vertical="center"/>
    </xf>
    <xf numFmtId="166" fontId="12" fillId="3" borderId="25" xfId="2" applyNumberFormat="1" applyFont="1" applyFill="1" applyBorder="1" applyAlignment="1">
      <alignment horizontal="center" vertical="center"/>
    </xf>
    <xf numFmtId="1" fontId="18" fillId="0" borderId="25" xfId="2" applyNumberFormat="1" applyFont="1" applyBorder="1" applyAlignment="1">
      <alignment horizontal="center" vertical="center"/>
    </xf>
    <xf numFmtId="0" fontId="6" fillId="3" borderId="25" xfId="2" applyFont="1" applyFill="1" applyBorder="1" applyAlignment="1">
      <alignment vertical="center" wrapText="1" shrinkToFit="1"/>
    </xf>
    <xf numFmtId="1" fontId="6" fillId="3" borderId="25" xfId="2" applyNumberFormat="1" applyFont="1" applyFill="1" applyBorder="1" applyAlignment="1">
      <alignment horizontal="center" vertical="center"/>
    </xf>
    <xf numFmtId="1" fontId="6" fillId="6" borderId="25" xfId="2" applyNumberFormat="1" applyFont="1" applyFill="1" applyBorder="1" applyAlignment="1">
      <alignment horizontal="center" vertical="center"/>
    </xf>
    <xf numFmtId="1" fontId="6" fillId="5" borderId="26" xfId="2" applyNumberFormat="1" applyFont="1" applyFill="1" applyBorder="1" applyAlignment="1">
      <alignment horizontal="center" vertical="center"/>
    </xf>
    <xf numFmtId="0" fontId="6" fillId="0" borderId="0" xfId="2" applyFont="1" applyAlignment="1">
      <alignment vertical="center"/>
    </xf>
    <xf numFmtId="1" fontId="6" fillId="0" borderId="0" xfId="2" applyNumberFormat="1" applyFont="1" applyAlignment="1">
      <alignment vertical="center"/>
    </xf>
    <xf numFmtId="0" fontId="6" fillId="0" borderId="10" xfId="2" applyFont="1" applyBorder="1" applyAlignment="1">
      <alignment vertical="center"/>
    </xf>
    <xf numFmtId="0" fontId="6" fillId="0" borderId="27" xfId="2" applyFont="1" applyBorder="1" applyAlignment="1">
      <alignment vertical="center" wrapText="1"/>
    </xf>
    <xf numFmtId="0" fontId="6" fillId="0" borderId="28" xfId="2" applyFont="1" applyBorder="1" applyAlignment="1">
      <alignment vertical="center" wrapText="1"/>
    </xf>
    <xf numFmtId="0" fontId="6" fillId="0" borderId="1" xfId="2" applyFont="1" applyBorder="1" applyAlignment="1">
      <alignment vertical="center"/>
    </xf>
    <xf numFmtId="0" fontId="6" fillId="0" borderId="29" xfId="2" applyFont="1" applyBorder="1" applyAlignment="1">
      <alignment vertical="center"/>
    </xf>
    <xf numFmtId="0" fontId="6" fillId="2" borderId="30" xfId="2" applyFont="1" applyFill="1" applyBorder="1" applyAlignment="1">
      <alignment vertical="center"/>
    </xf>
    <xf numFmtId="2" fontId="10" fillId="4" borderId="6" xfId="2" applyNumberFormat="1" applyFont="1" applyFill="1" applyBorder="1" applyAlignment="1">
      <alignment vertical="center"/>
    </xf>
    <xf numFmtId="167" fontId="10" fillId="4" borderId="6" xfId="2" applyNumberFormat="1" applyFont="1" applyFill="1" applyBorder="1" applyAlignment="1">
      <alignment vertical="center"/>
    </xf>
    <xf numFmtId="0" fontId="10" fillId="4" borderId="6" xfId="2" applyFont="1" applyFill="1" applyBorder="1" applyAlignment="1">
      <alignment vertical="center"/>
    </xf>
    <xf numFmtId="1" fontId="10" fillId="4" borderId="6" xfId="2" applyNumberFormat="1" applyFont="1" applyFill="1" applyBorder="1" applyAlignment="1">
      <alignment vertical="center"/>
    </xf>
    <xf numFmtId="164" fontId="10" fillId="4" borderId="6" xfId="2" applyNumberFormat="1" applyFont="1" applyFill="1" applyBorder="1" applyAlignment="1">
      <alignment vertical="center"/>
    </xf>
    <xf numFmtId="1" fontId="6" fillId="4" borderId="6" xfId="2" applyNumberFormat="1" applyFont="1" applyFill="1" applyBorder="1" applyAlignment="1">
      <alignment vertical="center"/>
    </xf>
    <xf numFmtId="0" fontId="6" fillId="4" borderId="6" xfId="2" applyFont="1" applyFill="1" applyBorder="1" applyAlignment="1">
      <alignment vertical="center"/>
    </xf>
    <xf numFmtId="2" fontId="6" fillId="4" borderId="6" xfId="2" applyNumberFormat="1" applyFont="1" applyFill="1" applyBorder="1" applyAlignment="1">
      <alignment vertical="center"/>
    </xf>
    <xf numFmtId="10" fontId="6" fillId="4" borderId="6" xfId="2" applyNumberFormat="1" applyFont="1" applyFill="1" applyBorder="1" applyAlignment="1">
      <alignment vertical="center"/>
    </xf>
    <xf numFmtId="164" fontId="6" fillId="4" borderId="6" xfId="2" applyNumberFormat="1" applyFont="1" applyFill="1" applyBorder="1" applyAlignment="1">
      <alignment vertical="center"/>
    </xf>
    <xf numFmtId="168" fontId="6" fillId="4" borderId="6" xfId="2" applyNumberFormat="1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6" fillId="0" borderId="31" xfId="2" applyFont="1" applyBorder="1" applyAlignment="1">
      <alignment vertical="center" wrapText="1" shrinkToFit="1"/>
    </xf>
    <xf numFmtId="0" fontId="6" fillId="0" borderId="32" xfId="2" applyFont="1" applyBorder="1" applyAlignment="1">
      <alignment vertical="center" wrapText="1" shrinkToFit="1"/>
    </xf>
    <xf numFmtId="1" fontId="17" fillId="3" borderId="32" xfId="2" applyNumberFormat="1" applyFont="1" applyFill="1" applyBorder="1" applyAlignment="1">
      <alignment horizontal="center" vertical="center"/>
    </xf>
    <xf numFmtId="1" fontId="12" fillId="0" borderId="32" xfId="2" applyNumberFormat="1" applyFont="1" applyBorder="1" applyAlignment="1">
      <alignment horizontal="center" vertical="center"/>
    </xf>
    <xf numFmtId="166" fontId="12" fillId="3" borderId="33" xfId="2" applyNumberFormat="1" applyFont="1" applyFill="1" applyBorder="1" applyAlignment="1">
      <alignment horizontal="center" vertical="center"/>
    </xf>
    <xf numFmtId="1" fontId="6" fillId="3" borderId="33" xfId="2" applyNumberFormat="1" applyFont="1" applyFill="1" applyBorder="1" applyAlignment="1">
      <alignment horizontal="center" vertical="center"/>
    </xf>
    <xf numFmtId="0" fontId="6" fillId="3" borderId="32" xfId="2" applyFont="1" applyFill="1" applyBorder="1" applyAlignment="1">
      <alignment vertical="center" wrapText="1" shrinkToFit="1"/>
    </xf>
    <xf numFmtId="1" fontId="6" fillId="3" borderId="32" xfId="2" applyNumberFormat="1" applyFont="1" applyFill="1" applyBorder="1" applyAlignment="1">
      <alignment horizontal="center" vertical="center"/>
    </xf>
    <xf numFmtId="1" fontId="6" fillId="6" borderId="34" xfId="2" applyNumberFormat="1" applyFont="1" applyFill="1" applyBorder="1" applyAlignment="1">
      <alignment horizontal="center" vertical="center"/>
    </xf>
    <xf numFmtId="0" fontId="6" fillId="0" borderId="10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35" xfId="2" applyFont="1" applyBorder="1" applyAlignment="1">
      <alignment horizontal="center" vertical="center" wrapText="1"/>
    </xf>
    <xf numFmtId="1" fontId="6" fillId="0" borderId="10" xfId="2" applyNumberFormat="1" applyFont="1" applyBorder="1" applyAlignment="1">
      <alignment vertical="center"/>
    </xf>
    <xf numFmtId="1" fontId="6" fillId="0" borderId="35" xfId="2" applyNumberFormat="1" applyFont="1" applyBorder="1" applyAlignment="1">
      <alignment vertical="center"/>
    </xf>
    <xf numFmtId="0" fontId="6" fillId="0" borderId="36" xfId="2" applyFont="1" applyBorder="1" applyAlignment="1">
      <alignment vertical="center" wrapText="1" shrinkToFit="1"/>
    </xf>
    <xf numFmtId="0" fontId="6" fillId="3" borderId="37" xfId="2" applyFont="1" applyFill="1" applyBorder="1" applyAlignment="1">
      <alignment vertical="center" wrapText="1" shrinkToFit="1"/>
    </xf>
    <xf numFmtId="1" fontId="17" fillId="3" borderId="37" xfId="2" applyNumberFormat="1" applyFont="1" applyFill="1" applyBorder="1" applyAlignment="1">
      <alignment horizontal="center" vertical="center"/>
    </xf>
    <xf numFmtId="1" fontId="12" fillId="3" borderId="37" xfId="2" applyNumberFormat="1" applyFont="1" applyFill="1" applyBorder="1" applyAlignment="1">
      <alignment horizontal="center" vertical="center"/>
    </xf>
    <xf numFmtId="1" fontId="12" fillId="3" borderId="33" xfId="2" applyNumberFormat="1" applyFont="1" applyFill="1" applyBorder="1" applyAlignment="1">
      <alignment horizontal="center" vertical="center"/>
    </xf>
    <xf numFmtId="1" fontId="19" fillId="0" borderId="38" xfId="2" applyNumberFormat="1" applyFont="1" applyBorder="1" applyAlignment="1">
      <alignment vertical="center"/>
    </xf>
    <xf numFmtId="0" fontId="6" fillId="3" borderId="39" xfId="2" applyFont="1" applyFill="1" applyBorder="1" applyAlignment="1">
      <alignment horizontal="center" vertical="center"/>
    </xf>
    <xf numFmtId="1" fontId="6" fillId="5" borderId="35" xfId="2" applyNumberFormat="1" applyFont="1" applyFill="1" applyBorder="1" applyAlignment="1">
      <alignment horizontal="center" vertical="center"/>
    </xf>
    <xf numFmtId="1" fontId="6" fillId="0" borderId="1" xfId="2" applyNumberFormat="1" applyFont="1" applyBorder="1" applyAlignment="1">
      <alignment vertical="center"/>
    </xf>
    <xf numFmtId="0" fontId="6" fillId="2" borderId="6" xfId="2" applyFont="1" applyFill="1" applyBorder="1" applyAlignment="1">
      <alignment horizontal="center" vertical="center" wrapText="1"/>
    </xf>
    <xf numFmtId="0" fontId="17" fillId="5" borderId="14" xfId="2" applyFont="1" applyFill="1" applyBorder="1" applyAlignment="1">
      <alignment vertical="center" wrapText="1" shrinkToFit="1"/>
    </xf>
    <xf numFmtId="0" fontId="17" fillId="5" borderId="1" xfId="2" applyFont="1" applyFill="1" applyBorder="1" applyAlignment="1">
      <alignment vertical="center" wrapText="1" shrinkToFit="1"/>
    </xf>
    <xf numFmtId="1" fontId="6" fillId="5" borderId="1" xfId="2" applyNumberFormat="1" applyFont="1" applyFill="1" applyBorder="1" applyAlignment="1">
      <alignment horizontal="center" vertical="center"/>
    </xf>
    <xf numFmtId="0" fontId="6" fillId="5" borderId="1" xfId="2" applyFont="1" applyFill="1" applyBorder="1" applyAlignment="1">
      <alignment vertical="center"/>
    </xf>
    <xf numFmtId="0" fontId="6" fillId="5" borderId="15" xfId="2" applyFont="1" applyFill="1" applyBorder="1" applyAlignment="1">
      <alignment horizontal="center" vertical="center"/>
    </xf>
    <xf numFmtId="0" fontId="6" fillId="5" borderId="16" xfId="2" applyFont="1" applyFill="1" applyBorder="1" applyAlignment="1">
      <alignment vertical="center"/>
    </xf>
    <xf numFmtId="2" fontId="6" fillId="0" borderId="0" xfId="2" applyNumberFormat="1" applyFont="1" applyAlignment="1">
      <alignment vertical="center"/>
    </xf>
    <xf numFmtId="0" fontId="17" fillId="0" borderId="24" xfId="2" applyFont="1" applyBorder="1" applyAlignment="1">
      <alignment vertical="center" wrapText="1" shrinkToFit="1"/>
    </xf>
    <xf numFmtId="0" fontId="6" fillId="0" borderId="25" xfId="2" applyFont="1" applyBorder="1" applyAlignment="1">
      <alignment horizontal="left" vertical="center" wrapText="1" shrinkToFit="1"/>
    </xf>
    <xf numFmtId="0" fontId="6" fillId="3" borderId="25" xfId="2" applyFont="1" applyFill="1" applyBorder="1" applyAlignment="1">
      <alignment vertical="center" wrapText="1"/>
    </xf>
    <xf numFmtId="0" fontId="6" fillId="7" borderId="39" xfId="2" applyFont="1" applyFill="1" applyBorder="1" applyAlignment="1">
      <alignment horizontal="center" vertical="center"/>
    </xf>
    <xf numFmtId="0" fontId="6" fillId="0" borderId="35" xfId="2" applyFont="1" applyBorder="1" applyAlignment="1">
      <alignment vertical="center"/>
    </xf>
    <xf numFmtId="1" fontId="17" fillId="0" borderId="0" xfId="2" applyNumberFormat="1" applyFont="1" applyAlignment="1">
      <alignment horizontal="left" vertical="center" wrapText="1"/>
    </xf>
    <xf numFmtId="0" fontId="17" fillId="8" borderId="0" xfId="2" applyFont="1" applyFill="1" applyAlignment="1">
      <alignment vertical="center" wrapText="1"/>
    </xf>
    <xf numFmtId="1" fontId="17" fillId="8" borderId="0" xfId="2" applyNumberFormat="1" applyFont="1" applyFill="1" applyAlignment="1">
      <alignment vertical="center"/>
    </xf>
    <xf numFmtId="0" fontId="6" fillId="2" borderId="6" xfId="2" applyFont="1" applyFill="1" applyBorder="1" applyAlignment="1">
      <alignment vertical="center"/>
    </xf>
    <xf numFmtId="1" fontId="6" fillId="2" borderId="6" xfId="2" applyNumberFormat="1" applyFont="1" applyFill="1" applyBorder="1" applyAlignment="1">
      <alignment vertical="center"/>
    </xf>
    <xf numFmtId="0" fontId="17" fillId="0" borderId="31" xfId="2" applyFont="1" applyBorder="1" applyAlignment="1">
      <alignment vertical="center" wrapText="1" shrinkToFit="1"/>
    </xf>
    <xf numFmtId="0" fontId="6" fillId="0" borderId="32" xfId="2" applyFont="1" applyBorder="1" applyAlignment="1">
      <alignment horizontal="left" vertical="center" wrapText="1" shrinkToFit="1"/>
    </xf>
    <xf numFmtId="166" fontId="20" fillId="9" borderId="40" xfId="0" applyNumberFormat="1" applyFont="1" applyFill="1" applyBorder="1" applyAlignment="1">
      <alignment horizontal="center" vertical="center"/>
    </xf>
    <xf numFmtId="166" fontId="12" fillId="3" borderId="32" xfId="2" applyNumberFormat="1" applyFont="1" applyFill="1" applyBorder="1" applyAlignment="1">
      <alignment horizontal="center" vertical="center"/>
    </xf>
    <xf numFmtId="1" fontId="6" fillId="6" borderId="32" xfId="2" applyNumberFormat="1" applyFont="1" applyFill="1" applyBorder="1" applyAlignment="1">
      <alignment horizontal="center" vertical="center"/>
    </xf>
    <xf numFmtId="0" fontId="6" fillId="3" borderId="32" xfId="2" applyFont="1" applyFill="1" applyBorder="1" applyAlignment="1">
      <alignment vertical="center"/>
    </xf>
    <xf numFmtId="0" fontId="6" fillId="3" borderId="32" xfId="2" applyFont="1" applyFill="1" applyBorder="1" applyAlignment="1">
      <alignment horizontal="center" vertical="center"/>
    </xf>
    <xf numFmtId="0" fontId="6" fillId="0" borderId="26" xfId="2" applyFont="1" applyBorder="1" applyAlignment="1">
      <alignment vertical="center"/>
    </xf>
    <xf numFmtId="1" fontId="17" fillId="0" borderId="0" xfId="2" applyNumberFormat="1" applyFont="1" applyAlignment="1">
      <alignment vertical="center"/>
    </xf>
    <xf numFmtId="2" fontId="17" fillId="3" borderId="0" xfId="2" applyNumberFormat="1" applyFont="1" applyFill="1" applyAlignment="1">
      <alignment vertical="center"/>
    </xf>
    <xf numFmtId="0" fontId="6" fillId="0" borderId="41" xfId="2" applyFont="1" applyBorder="1" applyAlignment="1">
      <alignment horizontal="center" vertical="center"/>
    </xf>
    <xf numFmtId="0" fontId="17" fillId="0" borderId="0" xfId="2" applyFont="1" applyAlignment="1">
      <alignment vertical="center"/>
    </xf>
    <xf numFmtId="0" fontId="17" fillId="0" borderId="10" xfId="2" applyFont="1" applyBorder="1" applyAlignment="1">
      <alignment vertical="center"/>
    </xf>
    <xf numFmtId="0" fontId="17" fillId="2" borderId="0" xfId="2" applyFont="1" applyFill="1" applyAlignment="1">
      <alignment vertical="center"/>
    </xf>
    <xf numFmtId="164" fontId="17" fillId="3" borderId="32" xfId="2" applyNumberFormat="1" applyFont="1" applyFill="1" applyBorder="1" applyAlignment="1">
      <alignment horizontal="center" vertical="center"/>
    </xf>
    <xf numFmtId="1" fontId="6" fillId="3" borderId="39" xfId="2" applyNumberFormat="1" applyFont="1" applyFill="1" applyBorder="1" applyAlignment="1">
      <alignment horizontal="center" vertical="center"/>
    </xf>
    <xf numFmtId="0" fontId="6" fillId="0" borderId="31" xfId="2" applyFont="1" applyBorder="1" applyAlignment="1">
      <alignment horizontal="right" vertical="center" wrapText="1" shrinkToFit="1"/>
    </xf>
    <xf numFmtId="1" fontId="12" fillId="5" borderId="32" xfId="2" applyNumberFormat="1" applyFont="1" applyFill="1" applyBorder="1" applyAlignment="1">
      <alignment horizontal="center" vertical="center"/>
    </xf>
    <xf numFmtId="166" fontId="12" fillId="5" borderId="32" xfId="2" applyNumberFormat="1" applyFont="1" applyFill="1" applyBorder="1" applyAlignment="1">
      <alignment horizontal="center" vertical="center"/>
    </xf>
    <xf numFmtId="1" fontId="6" fillId="5" borderId="32" xfId="2" applyNumberFormat="1" applyFont="1" applyFill="1" applyBorder="1" applyAlignment="1">
      <alignment horizontal="center" vertical="center"/>
    </xf>
    <xf numFmtId="0" fontId="6" fillId="0" borderId="32" xfId="2" applyFont="1" applyBorder="1" applyAlignment="1">
      <alignment vertical="center"/>
    </xf>
    <xf numFmtId="0" fontId="6" fillId="0" borderId="39" xfId="2" applyFont="1" applyBorder="1" applyAlignment="1">
      <alignment horizontal="center" vertical="center"/>
    </xf>
    <xf numFmtId="164" fontId="6" fillId="3" borderId="32" xfId="2" applyNumberFormat="1" applyFont="1" applyFill="1" applyBorder="1" applyAlignment="1">
      <alignment horizontal="center" vertical="center"/>
    </xf>
    <xf numFmtId="1" fontId="12" fillId="3" borderId="32" xfId="2" applyNumberFormat="1" applyFont="1" applyFill="1" applyBorder="1" applyAlignment="1">
      <alignment horizontal="center" vertical="center"/>
    </xf>
    <xf numFmtId="0" fontId="6" fillId="3" borderId="32" xfId="2" applyFont="1" applyFill="1" applyBorder="1" applyAlignment="1">
      <alignment horizontal="left" vertical="center" wrapText="1" shrinkToFit="1"/>
    </xf>
    <xf numFmtId="0" fontId="6" fillId="3" borderId="39" xfId="2" applyFont="1" applyFill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1" fontId="22" fillId="10" borderId="42" xfId="0" applyNumberFormat="1" applyFont="1" applyFill="1" applyBorder="1" applyAlignment="1">
      <alignment horizontal="center" vertical="center" wrapText="1"/>
    </xf>
    <xf numFmtId="0" fontId="22" fillId="10" borderId="42" xfId="0" applyFont="1" applyFill="1" applyBorder="1" applyAlignment="1">
      <alignment horizontal="center" vertical="center" wrapText="1"/>
    </xf>
    <xf numFmtId="0" fontId="22" fillId="3" borderId="42" xfId="0" applyFont="1" applyFill="1" applyBorder="1" applyAlignment="1">
      <alignment horizontal="center" vertical="center" wrapText="1"/>
    </xf>
    <xf numFmtId="169" fontId="22" fillId="3" borderId="42" xfId="0" applyNumberFormat="1" applyFont="1" applyFill="1" applyBorder="1" applyAlignment="1">
      <alignment horizontal="center" vertical="center" wrapText="1"/>
    </xf>
    <xf numFmtId="2" fontId="22" fillId="10" borderId="42" xfId="0" applyNumberFormat="1" applyFont="1" applyFill="1" applyBorder="1" applyAlignment="1">
      <alignment horizontal="center" vertical="center" wrapText="1"/>
    </xf>
    <xf numFmtId="2" fontId="22" fillId="3" borderId="42" xfId="0" applyNumberFormat="1" applyFont="1" applyFill="1" applyBorder="1" applyAlignment="1">
      <alignment horizontal="center" vertical="center" wrapText="1"/>
    </xf>
    <xf numFmtId="0" fontId="22" fillId="11" borderId="42" xfId="0" applyFont="1" applyFill="1" applyBorder="1" applyAlignment="1">
      <alignment horizontal="center" vertical="center" wrapText="1"/>
    </xf>
    <xf numFmtId="1" fontId="22" fillId="10" borderId="42" xfId="0" applyNumberFormat="1" applyFont="1" applyFill="1" applyBorder="1" applyAlignment="1">
      <alignment horizontal="right" vertical="center" wrapText="1"/>
    </xf>
    <xf numFmtId="0" fontId="6" fillId="4" borderId="31" xfId="2" applyFont="1" applyFill="1" applyBorder="1" applyAlignment="1">
      <alignment vertical="center" wrapText="1" shrinkToFit="1"/>
    </xf>
    <xf numFmtId="0" fontId="17" fillId="4" borderId="32" xfId="2" applyFont="1" applyFill="1" applyBorder="1" applyAlignment="1">
      <alignment vertical="center" wrapText="1" shrinkToFit="1"/>
    </xf>
    <xf numFmtId="164" fontId="12" fillId="0" borderId="32" xfId="2" applyNumberFormat="1" applyFont="1" applyBorder="1" applyAlignment="1">
      <alignment horizontal="center" vertical="center"/>
    </xf>
    <xf numFmtId="1" fontId="6" fillId="3" borderId="26" xfId="2" applyNumberFormat="1" applyFont="1" applyFill="1" applyBorder="1" applyAlignment="1">
      <alignment horizontal="center" vertical="center"/>
    </xf>
    <xf numFmtId="1" fontId="6" fillId="2" borderId="43" xfId="2" applyNumberFormat="1" applyFont="1" applyFill="1" applyBorder="1" applyAlignment="1">
      <alignment vertical="center"/>
    </xf>
    <xf numFmtId="0" fontId="6" fillId="2" borderId="43" xfId="2" applyFont="1" applyFill="1" applyBorder="1" applyAlignment="1">
      <alignment vertical="center"/>
    </xf>
    <xf numFmtId="10" fontId="6" fillId="2" borderId="43" xfId="2" applyNumberFormat="1" applyFont="1" applyFill="1" applyBorder="1" applyAlignment="1">
      <alignment vertical="center"/>
    </xf>
    <xf numFmtId="164" fontId="6" fillId="2" borderId="43" xfId="2" applyNumberFormat="1" applyFont="1" applyFill="1" applyBorder="1" applyAlignment="1">
      <alignment vertical="center"/>
    </xf>
    <xf numFmtId="2" fontId="6" fillId="2" borderId="43" xfId="2" applyNumberFormat="1" applyFont="1" applyFill="1" applyBorder="1" applyAlignment="1">
      <alignment vertical="center"/>
    </xf>
    <xf numFmtId="166" fontId="20" fillId="12" borderId="40" xfId="0" applyNumberFormat="1" applyFont="1" applyFill="1" applyBorder="1" applyAlignment="1">
      <alignment horizontal="center" vertical="center"/>
    </xf>
    <xf numFmtId="0" fontId="6" fillId="0" borderId="26" xfId="2" applyFont="1" applyBorder="1" applyAlignment="1">
      <alignment horizontal="center" vertical="center"/>
    </xf>
    <xf numFmtId="0" fontId="6" fillId="3" borderId="26" xfId="2" applyFont="1" applyFill="1" applyBorder="1" applyAlignment="1">
      <alignment horizontal="center" vertical="center"/>
    </xf>
    <xf numFmtId="166" fontId="12" fillId="13" borderId="32" xfId="2" applyNumberFormat="1" applyFont="1" applyFill="1" applyBorder="1" applyAlignment="1">
      <alignment horizontal="center" vertical="center"/>
    </xf>
    <xf numFmtId="1" fontId="17" fillId="0" borderId="32" xfId="2" applyNumberFormat="1" applyFont="1" applyBorder="1" applyAlignment="1">
      <alignment horizontal="center" vertical="center"/>
    </xf>
    <xf numFmtId="0" fontId="17" fillId="0" borderId="32" xfId="2" applyFont="1" applyBorder="1" applyAlignment="1">
      <alignment horizontal="left" vertical="center" wrapText="1" shrinkToFit="1"/>
    </xf>
    <xf numFmtId="0" fontId="17" fillId="0" borderId="32" xfId="2" applyFont="1" applyBorder="1" applyAlignment="1">
      <alignment horizontal="center" vertical="center"/>
    </xf>
    <xf numFmtId="0" fontId="17" fillId="0" borderId="32" xfId="2" applyFont="1" applyBorder="1" applyAlignment="1">
      <alignment vertical="center" wrapText="1" shrinkToFit="1"/>
    </xf>
    <xf numFmtId="9" fontId="6" fillId="0" borderId="31" xfId="2" applyNumberFormat="1" applyFont="1" applyBorder="1" applyAlignment="1">
      <alignment vertical="center" wrapText="1" shrinkToFit="1"/>
    </xf>
    <xf numFmtId="1" fontId="6" fillId="0" borderId="32" xfId="2" applyNumberFormat="1" applyFont="1" applyBorder="1" applyAlignment="1">
      <alignment horizontal="center" vertical="center"/>
    </xf>
    <xf numFmtId="1" fontId="6" fillId="3" borderId="32" xfId="2" applyNumberFormat="1" applyFont="1" applyFill="1" applyBorder="1" applyAlignment="1">
      <alignment horizontal="left" vertical="center"/>
    </xf>
    <xf numFmtId="0" fontId="17" fillId="3" borderId="39" xfId="2" applyFont="1" applyFill="1" applyBorder="1" applyAlignment="1">
      <alignment horizontal="center" vertical="center"/>
    </xf>
    <xf numFmtId="0" fontId="6" fillId="14" borderId="1" xfId="2" applyFont="1" applyFill="1" applyBorder="1" applyAlignment="1">
      <alignment vertical="center"/>
    </xf>
    <xf numFmtId="0" fontId="6" fillId="3" borderId="39" xfId="2" applyFont="1" applyFill="1" applyBorder="1" applyAlignment="1">
      <alignment horizontal="center" vertical="center" wrapText="1" shrinkToFit="1"/>
    </xf>
    <xf numFmtId="164" fontId="6" fillId="0" borderId="1" xfId="2" applyNumberFormat="1" applyFont="1" applyBorder="1" applyAlignment="1">
      <alignment vertical="center"/>
    </xf>
    <xf numFmtId="0" fontId="6" fillId="3" borderId="44" xfId="2" applyFont="1" applyFill="1" applyBorder="1" applyAlignment="1">
      <alignment vertical="center" wrapText="1" shrinkToFit="1"/>
    </xf>
    <xf numFmtId="0" fontId="6" fillId="3" borderId="45" xfId="2" applyFont="1" applyFill="1" applyBorder="1" applyAlignment="1">
      <alignment horizontal="left" vertical="center" wrapText="1" shrinkToFit="1"/>
    </xf>
    <xf numFmtId="1" fontId="6" fillId="3" borderId="45" xfId="2" applyNumberFormat="1" applyFont="1" applyFill="1" applyBorder="1" applyAlignment="1">
      <alignment horizontal="center" vertical="center"/>
    </xf>
    <xf numFmtId="0" fontId="6" fillId="3" borderId="45" xfId="2" applyFont="1" applyFill="1" applyBorder="1" applyAlignment="1">
      <alignment vertical="center" wrapText="1" shrinkToFit="1"/>
    </xf>
    <xf numFmtId="0" fontId="6" fillId="3" borderId="46" xfId="2" applyFont="1" applyFill="1" applyBorder="1" applyAlignment="1">
      <alignment horizontal="center" vertical="center" wrapText="1" shrinkToFit="1"/>
    </xf>
    <xf numFmtId="0" fontId="6" fillId="0" borderId="47" xfId="2" applyFont="1" applyBorder="1" applyAlignment="1">
      <alignment vertical="center"/>
    </xf>
    <xf numFmtId="0" fontId="6" fillId="5" borderId="1" xfId="2" applyFont="1" applyFill="1" applyBorder="1" applyAlignment="1">
      <alignment horizontal="center" vertical="center"/>
    </xf>
    <xf numFmtId="0" fontId="6" fillId="5" borderId="16" xfId="2" applyFont="1" applyFill="1" applyBorder="1" applyAlignment="1">
      <alignment horizontal="center" vertical="center"/>
    </xf>
    <xf numFmtId="1" fontId="12" fillId="3" borderId="25" xfId="2" applyNumberFormat="1" applyFont="1" applyFill="1" applyBorder="1" applyAlignment="1">
      <alignment horizontal="center" vertical="center"/>
    </xf>
    <xf numFmtId="0" fontId="6" fillId="0" borderId="48" xfId="2" applyFont="1" applyBorder="1" applyAlignment="1">
      <alignment horizontal="center" vertical="center"/>
    </xf>
    <xf numFmtId="0" fontId="6" fillId="0" borderId="35" xfId="2" applyFont="1" applyBorder="1" applyAlignment="1">
      <alignment horizontal="center" vertical="center"/>
    </xf>
    <xf numFmtId="1" fontId="6" fillId="0" borderId="26" xfId="2" applyNumberFormat="1" applyFont="1" applyBorder="1" applyAlignment="1">
      <alignment horizontal="center" vertical="center"/>
    </xf>
    <xf numFmtId="164" fontId="17" fillId="3" borderId="0" xfId="2" applyNumberFormat="1" applyFont="1" applyFill="1" applyAlignment="1">
      <alignment vertical="center"/>
    </xf>
    <xf numFmtId="0" fontId="17" fillId="0" borderId="1" xfId="2" applyFont="1" applyBorder="1" applyAlignment="1">
      <alignment vertical="center"/>
    </xf>
    <xf numFmtId="0" fontId="17" fillId="3" borderId="39" xfId="2" applyFont="1" applyFill="1" applyBorder="1" applyAlignment="1">
      <alignment horizontal="center" vertical="center" wrapText="1"/>
    </xf>
    <xf numFmtId="0" fontId="24" fillId="0" borderId="26" xfId="2" applyFont="1" applyBorder="1" applyAlignment="1">
      <alignment horizontal="center" vertical="center"/>
    </xf>
    <xf numFmtId="0" fontId="17" fillId="3" borderId="32" xfId="2" applyFont="1" applyFill="1" applyBorder="1" applyAlignment="1">
      <alignment horizontal="left" vertical="center" wrapText="1" shrinkToFit="1"/>
    </xf>
    <xf numFmtId="0" fontId="6" fillId="4" borderId="31" xfId="2" applyFont="1" applyFill="1" applyBorder="1" applyAlignment="1">
      <alignment horizontal="right" vertical="center" wrapText="1" shrinkToFit="1"/>
    </xf>
    <xf numFmtId="0" fontId="17" fillId="4" borderId="32" xfId="2" applyFont="1" applyFill="1" applyBorder="1" applyAlignment="1">
      <alignment horizontal="left" vertical="center" wrapText="1" shrinkToFit="1"/>
    </xf>
    <xf numFmtId="0" fontId="17" fillId="3" borderId="32" xfId="2" applyFont="1" applyFill="1" applyBorder="1" applyAlignment="1">
      <alignment vertical="center" wrapText="1" shrinkToFit="1"/>
    </xf>
    <xf numFmtId="1" fontId="25" fillId="3" borderId="32" xfId="2" applyNumberFormat="1" applyFont="1" applyFill="1" applyBorder="1" applyAlignment="1">
      <alignment vertical="center"/>
    </xf>
    <xf numFmtId="164" fontId="6" fillId="0" borderId="32" xfId="2" applyNumberFormat="1" applyFont="1" applyBorder="1" applyAlignment="1">
      <alignment horizontal="center" vertical="center"/>
    </xf>
    <xf numFmtId="0" fontId="6" fillId="0" borderId="32" xfId="2" applyFont="1" applyBorder="1" applyAlignment="1">
      <alignment horizontal="center" vertical="center"/>
    </xf>
    <xf numFmtId="0" fontId="17" fillId="3" borderId="32" xfId="2" applyFont="1" applyFill="1" applyBorder="1" applyAlignment="1">
      <alignment horizontal="center" vertical="center"/>
    </xf>
    <xf numFmtId="0" fontId="26" fillId="3" borderId="39" xfId="2" applyFont="1" applyFill="1" applyBorder="1" applyAlignment="1">
      <alignment horizontal="center" vertical="center" wrapText="1"/>
    </xf>
    <xf numFmtId="9" fontId="6" fillId="0" borderId="26" xfId="2" applyNumberFormat="1" applyFont="1" applyBorder="1" applyAlignment="1">
      <alignment horizontal="center" vertical="center"/>
    </xf>
    <xf numFmtId="1" fontId="17" fillId="3" borderId="39" xfId="2" applyNumberFormat="1" applyFont="1" applyFill="1" applyBorder="1" applyAlignment="1">
      <alignment horizontal="center" vertical="center"/>
    </xf>
    <xf numFmtId="1" fontId="17" fillId="0" borderId="26" xfId="2" applyNumberFormat="1" applyFont="1" applyBorder="1" applyAlignment="1">
      <alignment horizontal="center" vertical="center"/>
    </xf>
    <xf numFmtId="0" fontId="6" fillId="0" borderId="37" xfId="2" applyFont="1" applyBorder="1" applyAlignment="1">
      <alignment vertical="center" wrapText="1" shrinkToFit="1"/>
    </xf>
    <xf numFmtId="1" fontId="6" fillId="3" borderId="37" xfId="2" applyNumberFormat="1" applyFont="1" applyFill="1" applyBorder="1" applyAlignment="1">
      <alignment horizontal="center" vertical="center"/>
    </xf>
    <xf numFmtId="0" fontId="6" fillId="3" borderId="49" xfId="2" applyFont="1" applyFill="1" applyBorder="1" applyAlignment="1">
      <alignment horizontal="center" vertical="center" wrapText="1" shrinkToFit="1"/>
    </xf>
    <xf numFmtId="0" fontId="6" fillId="0" borderId="50" xfId="2" applyFont="1" applyBorder="1" applyAlignment="1">
      <alignment vertical="center" wrapText="1" shrinkToFit="1"/>
    </xf>
    <xf numFmtId="0" fontId="6" fillId="0" borderId="51" xfId="2" applyFont="1" applyBorder="1" applyAlignment="1">
      <alignment horizontal="left" vertical="center" wrapText="1" shrinkToFit="1"/>
    </xf>
    <xf numFmtId="1" fontId="6" fillId="3" borderId="51" xfId="2" applyNumberFormat="1" applyFont="1" applyFill="1" applyBorder="1" applyAlignment="1">
      <alignment horizontal="center" vertical="center"/>
    </xf>
    <xf numFmtId="1" fontId="12" fillId="3" borderId="51" xfId="2" applyNumberFormat="1" applyFont="1" applyFill="1" applyBorder="1" applyAlignment="1">
      <alignment horizontal="center" vertical="center"/>
    </xf>
    <xf numFmtId="0" fontId="6" fillId="3" borderId="51" xfId="2" applyFont="1" applyFill="1" applyBorder="1" applyAlignment="1">
      <alignment vertical="center" wrapText="1" shrinkToFit="1"/>
    </xf>
    <xf numFmtId="0" fontId="6" fillId="3" borderId="52" xfId="2" applyFont="1" applyFill="1" applyBorder="1" applyAlignment="1">
      <alignment horizontal="center" vertical="center" wrapText="1" shrinkToFit="1"/>
    </xf>
    <xf numFmtId="0" fontId="6" fillId="0" borderId="53" xfId="2" applyFont="1" applyBorder="1" applyAlignment="1">
      <alignment vertical="center"/>
    </xf>
    <xf numFmtId="0" fontId="6" fillId="0" borderId="54" xfId="2" applyFont="1" applyBorder="1" applyAlignment="1">
      <alignment vertical="center" wrapText="1" shrinkToFit="1"/>
    </xf>
    <xf numFmtId="0" fontId="6" fillId="0" borderId="0" xfId="2" applyFont="1" applyAlignment="1">
      <alignment horizontal="right" vertical="center" wrapText="1" shrinkToFit="1"/>
    </xf>
    <xf numFmtId="1" fontId="6" fillId="0" borderId="0" xfId="2" applyNumberFormat="1" applyFont="1" applyAlignment="1">
      <alignment horizontal="center" vertical="center"/>
    </xf>
    <xf numFmtId="0" fontId="6" fillId="0" borderId="0" xfId="2" applyFont="1" applyAlignment="1">
      <alignment vertical="center" wrapText="1" shrinkToFit="1"/>
    </xf>
    <xf numFmtId="0" fontId="6" fillId="0" borderId="0" xfId="2" applyFont="1" applyAlignment="1">
      <alignment horizontal="center" vertical="center"/>
    </xf>
    <xf numFmtId="0" fontId="17" fillId="5" borderId="2" xfId="2" applyFont="1" applyFill="1" applyBorder="1" applyAlignment="1">
      <alignment vertical="center" wrapText="1" shrinkToFit="1"/>
    </xf>
    <xf numFmtId="0" fontId="17" fillId="5" borderId="8" xfId="2" applyFont="1" applyFill="1" applyBorder="1" applyAlignment="1">
      <alignment vertical="center" wrapText="1" shrinkToFit="1"/>
    </xf>
    <xf numFmtId="1" fontId="6" fillId="5" borderId="8" xfId="2" applyNumberFormat="1" applyFont="1" applyFill="1" applyBorder="1" applyAlignment="1">
      <alignment horizontal="center" vertical="center"/>
    </xf>
    <xf numFmtId="0" fontId="6" fillId="5" borderId="8" xfId="2" applyFont="1" applyFill="1" applyBorder="1" applyAlignment="1">
      <alignment vertical="center"/>
    </xf>
    <xf numFmtId="0" fontId="6" fillId="5" borderId="8" xfId="2" applyFont="1" applyFill="1" applyBorder="1" applyAlignment="1">
      <alignment horizontal="center" vertical="center"/>
    </xf>
    <xf numFmtId="0" fontId="6" fillId="5" borderId="3" xfId="2" applyFont="1" applyFill="1" applyBorder="1" applyAlignment="1">
      <alignment horizontal="center" vertical="center"/>
    </xf>
    <xf numFmtId="0" fontId="6" fillId="5" borderId="9" xfId="2" applyFont="1" applyFill="1" applyBorder="1" applyAlignment="1">
      <alignment horizontal="center" vertical="center"/>
    </xf>
    <xf numFmtId="0" fontId="6" fillId="3" borderId="25" xfId="2" applyFont="1" applyFill="1" applyBorder="1" applyAlignment="1">
      <alignment horizontal="center" vertical="center"/>
    </xf>
    <xf numFmtId="0" fontId="6" fillId="7" borderId="48" xfId="2" applyFont="1" applyFill="1" applyBorder="1" applyAlignment="1">
      <alignment horizontal="center" vertical="center" wrapText="1"/>
    </xf>
    <xf numFmtId="0" fontId="6" fillId="0" borderId="55" xfId="2" applyFont="1" applyBorder="1" applyAlignment="1">
      <alignment horizontal="center" vertical="center"/>
    </xf>
    <xf numFmtId="2" fontId="6" fillId="0" borderId="39" xfId="2" applyNumberFormat="1" applyFont="1" applyBorder="1" applyAlignment="1">
      <alignment horizontal="center" vertical="center"/>
    </xf>
    <xf numFmtId="0" fontId="6" fillId="0" borderId="26" xfId="2" applyFont="1" applyBorder="1" applyAlignment="1">
      <alignment horizontal="left" vertical="center"/>
    </xf>
    <xf numFmtId="164" fontId="10" fillId="0" borderId="39" xfId="2" applyNumberFormat="1" applyFont="1" applyBorder="1" applyAlignment="1">
      <alignment horizontal="center" vertical="center" wrapText="1"/>
    </xf>
    <xf numFmtId="0" fontId="10" fillId="0" borderId="26" xfId="2" applyFont="1" applyBorder="1" applyAlignment="1">
      <alignment vertical="center" wrapText="1"/>
    </xf>
    <xf numFmtId="1" fontId="6" fillId="0" borderId="56" xfId="2" applyNumberFormat="1" applyFont="1" applyBorder="1" applyAlignment="1">
      <alignment vertical="center"/>
    </xf>
    <xf numFmtId="1" fontId="6" fillId="0" borderId="26" xfId="2" applyNumberFormat="1" applyFont="1" applyBorder="1" applyAlignment="1">
      <alignment horizontal="left" vertical="center"/>
    </xf>
    <xf numFmtId="1" fontId="6" fillId="0" borderId="26" xfId="2" applyNumberFormat="1" applyFont="1" applyBorder="1" applyAlignment="1">
      <alignment vertical="center"/>
    </xf>
    <xf numFmtId="1" fontId="6" fillId="0" borderId="57" xfId="2" applyNumberFormat="1" applyFont="1" applyBorder="1" applyAlignment="1">
      <alignment vertical="center"/>
    </xf>
    <xf numFmtId="2" fontId="6" fillId="0" borderId="26" xfId="2" applyNumberFormat="1" applyFont="1" applyBorder="1" applyAlignment="1">
      <alignment horizontal="center" vertical="center"/>
    </xf>
    <xf numFmtId="0" fontId="6" fillId="2" borderId="58" xfId="2" applyFont="1" applyFill="1" applyBorder="1" applyAlignment="1">
      <alignment vertical="center"/>
    </xf>
    <xf numFmtId="0" fontId="6" fillId="7" borderId="39" xfId="2" applyFont="1" applyFill="1" applyBorder="1" applyAlignment="1">
      <alignment horizontal="center" vertical="center" wrapText="1"/>
    </xf>
    <xf numFmtId="0" fontId="17" fillId="0" borderId="26" xfId="2" applyFont="1" applyBorder="1" applyAlignment="1">
      <alignment horizontal="left" vertical="center" wrapText="1"/>
    </xf>
    <xf numFmtId="0" fontId="6" fillId="0" borderId="44" xfId="2" applyFont="1" applyBorder="1" applyAlignment="1">
      <alignment horizontal="right" vertical="center" wrapText="1" shrinkToFit="1"/>
    </xf>
    <xf numFmtId="1" fontId="12" fillId="3" borderId="45" xfId="2" applyNumberFormat="1" applyFont="1" applyFill="1" applyBorder="1" applyAlignment="1">
      <alignment horizontal="center" vertical="center"/>
    </xf>
    <xf numFmtId="0" fontId="6" fillId="0" borderId="46" xfId="2" applyFont="1" applyBorder="1" applyAlignment="1">
      <alignment horizontal="center" vertical="center"/>
    </xf>
    <xf numFmtId="0" fontId="6" fillId="5" borderId="1" xfId="2" applyFont="1" applyFill="1" applyBorder="1" applyAlignment="1">
      <alignment vertical="center" wrapText="1" shrinkToFit="1"/>
    </xf>
    <xf numFmtId="0" fontId="6" fillId="0" borderId="39" xfId="2" applyFont="1" applyBorder="1" applyAlignment="1">
      <alignment horizontal="center" vertical="center" wrapText="1"/>
    </xf>
    <xf numFmtId="0" fontId="17" fillId="0" borderId="26" xfId="2" applyFont="1" applyBorder="1" applyAlignment="1">
      <alignment vertical="center" wrapText="1"/>
    </xf>
    <xf numFmtId="0" fontId="17" fillId="3" borderId="26" xfId="2" applyFont="1" applyFill="1" applyBorder="1" applyAlignment="1">
      <alignment vertical="center" wrapText="1"/>
    </xf>
    <xf numFmtId="0" fontId="10" fillId="3" borderId="41" xfId="2" applyFont="1" applyFill="1" applyBorder="1" applyAlignment="1">
      <alignment horizontal="center" vertical="center" wrapText="1"/>
    </xf>
    <xf numFmtId="1" fontId="6" fillId="3" borderId="56" xfId="2" applyNumberFormat="1" applyFont="1" applyFill="1" applyBorder="1" applyAlignment="1">
      <alignment horizontal="center" vertical="center"/>
    </xf>
    <xf numFmtId="0" fontId="17" fillId="0" borderId="59" xfId="2" applyFont="1" applyBorder="1" applyAlignment="1">
      <alignment horizontal="center" vertical="center" wrapText="1" shrinkToFit="1"/>
    </xf>
    <xf numFmtId="0" fontId="12" fillId="0" borderId="33" xfId="2" applyFont="1" applyBorder="1" applyAlignment="1">
      <alignment horizontal="center" vertical="center" wrapText="1" shrinkToFit="1"/>
    </xf>
    <xf numFmtId="1" fontId="17" fillId="3" borderId="33" xfId="2" applyNumberFormat="1" applyFont="1" applyFill="1" applyBorder="1" applyAlignment="1">
      <alignment horizontal="center" vertical="center"/>
    </xf>
    <xf numFmtId="1" fontId="12" fillId="0" borderId="33" xfId="2" applyNumberFormat="1" applyFont="1" applyBorder="1" applyAlignment="1">
      <alignment horizontal="center" vertical="center"/>
    </xf>
    <xf numFmtId="166" fontId="20" fillId="9" borderId="60" xfId="0" applyNumberFormat="1" applyFont="1" applyFill="1" applyBorder="1" applyAlignment="1">
      <alignment horizontal="center" vertical="center"/>
    </xf>
    <xf numFmtId="166" fontId="12" fillId="3" borderId="33" xfId="2" applyNumberFormat="1" applyFont="1" applyFill="1" applyBorder="1" applyAlignment="1">
      <alignment horizontal="center" vertical="center"/>
    </xf>
    <xf numFmtId="1" fontId="17" fillId="6" borderId="33" xfId="2" applyNumberFormat="1" applyFont="1" applyFill="1" applyBorder="1" applyAlignment="1">
      <alignment horizontal="center" vertical="center"/>
    </xf>
    <xf numFmtId="0" fontId="17" fillId="3" borderId="41" xfId="2" applyFont="1" applyFill="1" applyBorder="1" applyAlignment="1">
      <alignment horizontal="center" vertical="center" wrapText="1"/>
    </xf>
    <xf numFmtId="0" fontId="17" fillId="0" borderId="61" xfId="2" applyFont="1" applyBorder="1" applyAlignment="1">
      <alignment horizontal="center" vertical="center" wrapText="1" shrinkToFit="1"/>
    </xf>
    <xf numFmtId="0" fontId="12" fillId="0" borderId="62" xfId="2" applyFont="1" applyBorder="1" applyAlignment="1">
      <alignment horizontal="center" vertical="center" wrapText="1" shrinkToFit="1"/>
    </xf>
    <xf numFmtId="1" fontId="17" fillId="3" borderId="62" xfId="2" applyNumberFormat="1" applyFont="1" applyFill="1" applyBorder="1" applyAlignment="1">
      <alignment horizontal="center" vertical="center"/>
    </xf>
    <xf numFmtId="1" fontId="12" fillId="0" borderId="62" xfId="2" applyNumberFormat="1" applyFont="1" applyBorder="1" applyAlignment="1">
      <alignment horizontal="center" vertical="center"/>
    </xf>
    <xf numFmtId="166" fontId="20" fillId="9" borderId="63" xfId="0" applyNumberFormat="1" applyFont="1" applyFill="1" applyBorder="1" applyAlignment="1">
      <alignment horizontal="center" vertical="center"/>
    </xf>
    <xf numFmtId="166" fontId="12" fillId="3" borderId="62" xfId="2" applyNumberFormat="1" applyFont="1" applyFill="1" applyBorder="1" applyAlignment="1">
      <alignment horizontal="center" vertical="center"/>
    </xf>
    <xf numFmtId="1" fontId="17" fillId="6" borderId="62" xfId="2" applyNumberFormat="1" applyFont="1" applyFill="1" applyBorder="1" applyAlignment="1">
      <alignment horizontal="center" vertical="center"/>
    </xf>
    <xf numFmtId="1" fontId="17" fillId="3" borderId="33" xfId="2" applyNumberFormat="1" applyFont="1" applyFill="1" applyBorder="1" applyAlignment="1">
      <alignment horizontal="center" vertical="center"/>
    </xf>
    <xf numFmtId="1" fontId="17" fillId="0" borderId="64" xfId="2" applyNumberFormat="1" applyFont="1" applyBorder="1" applyAlignment="1">
      <alignment horizontal="center" vertical="center"/>
    </xf>
    <xf numFmtId="0" fontId="6" fillId="0" borderId="59" xfId="2" applyFont="1" applyBorder="1" applyAlignment="1">
      <alignment vertical="center" wrapText="1" shrinkToFit="1"/>
    </xf>
    <xf numFmtId="0" fontId="6" fillId="0" borderId="33" xfId="2" applyFont="1" applyBorder="1" applyAlignment="1">
      <alignment vertical="center" wrapText="1" shrinkToFit="1"/>
    </xf>
    <xf numFmtId="164" fontId="17" fillId="3" borderId="33" xfId="2" applyNumberFormat="1" applyFont="1" applyFill="1" applyBorder="1" applyAlignment="1">
      <alignment horizontal="center" vertical="center" wrapText="1" shrinkToFit="1"/>
    </xf>
    <xf numFmtId="0" fontId="12" fillId="0" borderId="33" xfId="2" applyFont="1" applyBorder="1" applyAlignment="1">
      <alignment vertical="center" wrapText="1" shrinkToFit="1"/>
    </xf>
    <xf numFmtId="166" fontId="6" fillId="3" borderId="65" xfId="2" applyNumberFormat="1" applyFont="1" applyFill="1" applyBorder="1" applyAlignment="1">
      <alignment horizontal="left" vertical="center"/>
    </xf>
    <xf numFmtId="166" fontId="6" fillId="3" borderId="66" xfId="2" applyNumberFormat="1" applyFont="1" applyFill="1" applyBorder="1" applyAlignment="1">
      <alignment horizontal="left" vertical="center"/>
    </xf>
    <xf numFmtId="166" fontId="6" fillId="3" borderId="67" xfId="2" applyNumberFormat="1" applyFont="1" applyFill="1" applyBorder="1" applyAlignment="1">
      <alignment horizontal="left" vertical="center"/>
    </xf>
    <xf numFmtId="1" fontId="6" fillId="0" borderId="33" xfId="2" applyNumberFormat="1" applyFont="1" applyBorder="1" applyAlignment="1">
      <alignment horizontal="center" vertical="center"/>
    </xf>
    <xf numFmtId="0" fontId="6" fillId="3" borderId="0" xfId="2" applyFont="1" applyFill="1" applyAlignment="1">
      <alignment horizontal="left" vertical="center"/>
    </xf>
    <xf numFmtId="1" fontId="17" fillId="0" borderId="33" xfId="2" applyNumberFormat="1" applyFont="1" applyBorder="1" applyAlignment="1">
      <alignment horizontal="center" vertical="center"/>
    </xf>
    <xf numFmtId="0" fontId="6" fillId="3" borderId="41" xfId="2" applyFont="1" applyFill="1" applyBorder="1" applyAlignment="1">
      <alignment horizontal="center" vertical="center"/>
    </xf>
    <xf numFmtId="1" fontId="6" fillId="5" borderId="64" xfId="2" applyNumberFormat="1" applyFont="1" applyFill="1" applyBorder="1" applyAlignment="1">
      <alignment horizontal="center" vertical="center"/>
    </xf>
    <xf numFmtId="2" fontId="17" fillId="12" borderId="32" xfId="0" applyNumberFormat="1" applyFont="1" applyFill="1" applyBorder="1" applyAlignment="1">
      <alignment horizontal="center" vertical="center" wrapText="1"/>
    </xf>
    <xf numFmtId="0" fontId="12" fillId="0" borderId="32" xfId="2" applyFont="1" applyBorder="1" applyAlignment="1">
      <alignment vertical="center" wrapText="1" shrinkToFit="1"/>
    </xf>
    <xf numFmtId="166" fontId="6" fillId="3" borderId="56" xfId="2" applyNumberFormat="1" applyFont="1" applyFill="1" applyBorder="1" applyAlignment="1">
      <alignment horizontal="left" vertical="center"/>
    </xf>
    <xf numFmtId="166" fontId="6" fillId="3" borderId="68" xfId="2" applyNumberFormat="1" applyFont="1" applyFill="1" applyBorder="1" applyAlignment="1">
      <alignment horizontal="left" vertical="center"/>
    </xf>
    <xf numFmtId="166" fontId="6" fillId="3" borderId="69" xfId="2" applyNumberFormat="1" applyFont="1" applyFill="1" applyBorder="1" applyAlignment="1">
      <alignment horizontal="left" vertical="center"/>
    </xf>
    <xf numFmtId="0" fontId="17" fillId="3" borderId="32" xfId="2" applyFont="1" applyFill="1" applyBorder="1" applyAlignment="1">
      <alignment horizontal="left" vertical="center" wrapText="1"/>
    </xf>
    <xf numFmtId="2" fontId="6" fillId="7" borderId="39" xfId="2" applyNumberFormat="1" applyFont="1" applyFill="1" applyBorder="1" applyAlignment="1">
      <alignment horizontal="center" vertical="center"/>
    </xf>
    <xf numFmtId="0" fontId="12" fillId="0" borderId="32" xfId="2" applyFont="1" applyBorder="1" applyAlignment="1">
      <alignment horizontal="left" vertical="center" wrapText="1" shrinkToFit="1"/>
    </xf>
    <xf numFmtId="164" fontId="6" fillId="0" borderId="33" xfId="2" applyNumberFormat="1" applyFont="1" applyBorder="1" applyAlignment="1">
      <alignment horizontal="center" vertical="center"/>
    </xf>
    <xf numFmtId="164" fontId="6" fillId="0" borderId="39" xfId="2" applyNumberFormat="1" applyFont="1" applyBorder="1" applyAlignment="1">
      <alignment horizontal="center" vertical="center"/>
    </xf>
    <xf numFmtId="164" fontId="6" fillId="0" borderId="0" xfId="2" applyNumberFormat="1" applyFont="1" applyAlignment="1">
      <alignment vertical="center"/>
    </xf>
    <xf numFmtId="0" fontId="17" fillId="0" borderId="0" xfId="2" applyFont="1" applyAlignment="1">
      <alignment horizontal="center" vertical="center" wrapText="1"/>
    </xf>
    <xf numFmtId="0" fontId="12" fillId="0" borderId="0" xfId="2" applyFont="1" applyAlignment="1">
      <alignment vertical="center"/>
    </xf>
    <xf numFmtId="49" fontId="6" fillId="0" borderId="0" xfId="2" applyNumberFormat="1" applyFont="1" applyAlignment="1">
      <alignment horizontal="center" vertical="center"/>
    </xf>
    <xf numFmtId="1" fontId="12" fillId="3" borderId="33" xfId="2" applyNumberFormat="1" applyFont="1" applyFill="1" applyBorder="1" applyAlignment="1">
      <alignment horizontal="center" vertical="center"/>
    </xf>
    <xf numFmtId="1" fontId="12" fillId="3" borderId="62" xfId="2" applyNumberFormat="1" applyFont="1" applyFill="1" applyBorder="1" applyAlignment="1">
      <alignment horizontal="center" vertical="center"/>
    </xf>
    <xf numFmtId="164" fontId="17" fillId="0" borderId="32" xfId="2" applyNumberFormat="1" applyFont="1" applyBorder="1" applyAlignment="1">
      <alignment horizontal="center" vertical="center" wrapText="1" shrinkToFit="1"/>
    </xf>
    <xf numFmtId="1" fontId="6" fillId="3" borderId="56" xfId="2" applyNumberFormat="1" applyFont="1" applyFill="1" applyBorder="1" applyAlignment="1">
      <alignment vertical="center" wrapText="1"/>
    </xf>
    <xf numFmtId="1" fontId="6" fillId="3" borderId="69" xfId="2" applyNumberFormat="1" applyFont="1" applyFill="1" applyBorder="1" applyAlignment="1">
      <alignment vertical="center" wrapText="1"/>
    </xf>
    <xf numFmtId="170" fontId="6" fillId="3" borderId="68" xfId="1" applyNumberFormat="1" applyFont="1" applyFill="1" applyBorder="1" applyAlignment="1">
      <alignment horizontal="left" vertical="center" wrapText="1"/>
    </xf>
    <xf numFmtId="43" fontId="6" fillId="3" borderId="69" xfId="1" applyFont="1" applyFill="1" applyBorder="1" applyAlignment="1">
      <alignment vertical="center" wrapText="1"/>
    </xf>
    <xf numFmtId="171" fontId="6" fillId="0" borderId="0" xfId="2" applyNumberFormat="1" applyFont="1" applyAlignment="1">
      <alignment vertical="center"/>
    </xf>
    <xf numFmtId="1" fontId="17" fillId="3" borderId="32" xfId="2" applyNumberFormat="1" applyFont="1" applyFill="1" applyBorder="1" applyAlignment="1">
      <alignment horizontal="center" vertical="center" wrapText="1"/>
    </xf>
    <xf numFmtId="0" fontId="6" fillId="0" borderId="70" xfId="2" applyFont="1" applyBorder="1" applyAlignment="1">
      <alignment horizontal="center" vertical="center"/>
    </xf>
    <xf numFmtId="0" fontId="17" fillId="3" borderId="32" xfId="2" applyFont="1" applyFill="1" applyBorder="1" applyAlignment="1">
      <alignment horizontal="center" vertical="center" wrapText="1" shrinkToFit="1"/>
    </xf>
    <xf numFmtId="0" fontId="6" fillId="0" borderId="49" xfId="2" applyFont="1" applyBorder="1" applyAlignment="1">
      <alignment horizontal="center" vertical="center"/>
    </xf>
    <xf numFmtId="0" fontId="6" fillId="0" borderId="45" xfId="2" applyFont="1" applyBorder="1" applyAlignment="1">
      <alignment horizontal="left" vertical="center" wrapText="1" shrinkToFit="1"/>
    </xf>
    <xf numFmtId="1" fontId="17" fillId="3" borderId="32" xfId="2" applyNumberFormat="1" applyFont="1" applyFill="1" applyBorder="1" applyAlignment="1">
      <alignment horizontal="left" vertical="center"/>
    </xf>
    <xf numFmtId="0" fontId="6" fillId="15" borderId="0" xfId="2" applyFont="1" applyFill="1" applyAlignment="1">
      <alignment horizontal="center" vertical="center"/>
    </xf>
    <xf numFmtId="164" fontId="6" fillId="3" borderId="25" xfId="2" applyNumberFormat="1" applyFont="1" applyFill="1" applyBorder="1" applyAlignment="1">
      <alignment horizontal="center" vertical="center"/>
    </xf>
    <xf numFmtId="0" fontId="6" fillId="3" borderId="48" xfId="2" applyFont="1" applyFill="1" applyBorder="1" applyAlignment="1">
      <alignment horizontal="center" vertical="center"/>
    </xf>
    <xf numFmtId="0" fontId="6" fillId="3" borderId="56" xfId="2" applyFont="1" applyFill="1" applyBorder="1" applyAlignment="1">
      <alignment vertical="center" wrapText="1" shrinkToFit="1"/>
    </xf>
    <xf numFmtId="2" fontId="6" fillId="7" borderId="32" xfId="2" applyNumberFormat="1" applyFont="1" applyFill="1" applyBorder="1" applyAlignment="1">
      <alignment horizontal="center" vertical="center"/>
    </xf>
    <xf numFmtId="0" fontId="6" fillId="3" borderId="45" xfId="2" applyFont="1" applyFill="1" applyBorder="1" applyAlignment="1">
      <alignment vertical="center"/>
    </xf>
    <xf numFmtId="0" fontId="12" fillId="3" borderId="45" xfId="2" applyFont="1" applyFill="1" applyBorder="1" applyAlignment="1">
      <alignment vertical="center"/>
    </xf>
    <xf numFmtId="0" fontId="6" fillId="5" borderId="14" xfId="2" applyFont="1" applyFill="1" applyBorder="1" applyAlignment="1">
      <alignment vertical="center" wrapText="1" shrinkToFit="1"/>
    </xf>
    <xf numFmtId="0" fontId="29" fillId="0" borderId="25" xfId="2" applyFont="1" applyBorder="1" applyAlignment="1">
      <alignment vertical="center" wrapText="1" shrinkToFit="1"/>
    </xf>
    <xf numFmtId="1" fontId="6" fillId="3" borderId="25" xfId="2" applyNumberFormat="1" applyFont="1" applyFill="1" applyBorder="1" applyAlignment="1">
      <alignment horizontal="center" vertical="center"/>
    </xf>
    <xf numFmtId="0" fontId="30" fillId="0" borderId="32" xfId="2" applyFont="1" applyBorder="1" applyAlignment="1">
      <alignment vertical="center" wrapText="1" shrinkToFit="1"/>
    </xf>
    <xf numFmtId="0" fontId="6" fillId="3" borderId="32" xfId="2" quotePrefix="1" applyFont="1" applyFill="1" applyBorder="1" applyAlignment="1">
      <alignment horizontal="center" vertical="center"/>
    </xf>
    <xf numFmtId="1" fontId="17" fillId="3" borderId="56" xfId="2" applyNumberFormat="1" applyFont="1" applyFill="1" applyBorder="1" applyAlignment="1">
      <alignment horizontal="center" vertical="center"/>
    </xf>
    <xf numFmtId="1" fontId="17" fillId="3" borderId="69" xfId="2" applyNumberFormat="1" applyFont="1" applyFill="1" applyBorder="1" applyAlignment="1">
      <alignment horizontal="center" vertical="center"/>
    </xf>
    <xf numFmtId="2" fontId="17" fillId="0" borderId="32" xfId="2" applyNumberFormat="1" applyFont="1" applyBorder="1" applyAlignment="1">
      <alignment horizontal="center" vertical="center"/>
    </xf>
    <xf numFmtId="0" fontId="6" fillId="0" borderId="51" xfId="2" applyFont="1" applyBorder="1" applyAlignment="1">
      <alignment vertical="center" wrapText="1" shrinkToFit="1"/>
    </xf>
    <xf numFmtId="49" fontId="6" fillId="3" borderId="51" xfId="2" quotePrefix="1" applyNumberFormat="1" applyFont="1" applyFill="1" applyBorder="1" applyAlignment="1">
      <alignment horizontal="center" vertical="center"/>
    </xf>
    <xf numFmtId="0" fontId="6" fillId="3" borderId="52" xfId="2" applyFont="1" applyFill="1" applyBorder="1" applyAlignment="1">
      <alignment horizontal="center" vertical="center"/>
    </xf>
    <xf numFmtId="1" fontId="6" fillId="5" borderId="71" xfId="2" applyNumberFormat="1" applyFont="1" applyFill="1" applyBorder="1" applyAlignment="1">
      <alignment horizontal="center" vertical="center"/>
    </xf>
    <xf numFmtId="0" fontId="31" fillId="0" borderId="72" xfId="2" applyFont="1" applyBorder="1"/>
    <xf numFmtId="0" fontId="6" fillId="0" borderId="73" xfId="2" applyFont="1" applyBorder="1" applyAlignment="1">
      <alignment vertical="center" wrapText="1" shrinkToFit="1"/>
    </xf>
    <xf numFmtId="2" fontId="17" fillId="3" borderId="74" xfId="2" applyNumberFormat="1" applyFont="1" applyFill="1" applyBorder="1" applyAlignment="1">
      <alignment vertical="center"/>
    </xf>
    <xf numFmtId="2" fontId="17" fillId="3" borderId="75" xfId="2" applyNumberFormat="1" applyFont="1" applyFill="1" applyBorder="1" applyAlignment="1">
      <alignment vertical="center"/>
    </xf>
    <xf numFmtId="1" fontId="6" fillId="0" borderId="66" xfId="2" applyNumberFormat="1" applyFont="1" applyBorder="1" applyAlignment="1">
      <alignment horizontal="center" vertical="center"/>
    </xf>
    <xf numFmtId="2" fontId="17" fillId="3" borderId="1" xfId="2" applyNumberFormat="1" applyFont="1" applyFill="1" applyBorder="1" applyAlignment="1">
      <alignment horizontal="center" vertical="center"/>
    </xf>
    <xf numFmtId="2" fontId="17" fillId="6" borderId="3" xfId="2" applyNumberFormat="1" applyFont="1" applyFill="1" applyBorder="1" applyAlignment="1">
      <alignment horizontal="center" vertical="center"/>
    </xf>
    <xf numFmtId="0" fontId="6" fillId="0" borderId="75" xfId="2" applyFont="1" applyBorder="1" applyAlignment="1">
      <alignment vertical="center" wrapText="1" shrinkToFit="1"/>
    </xf>
    <xf numFmtId="0" fontId="6" fillId="0" borderId="75" xfId="2" applyFont="1" applyBorder="1" applyAlignment="1">
      <alignment horizontal="center" vertical="center"/>
    </xf>
    <xf numFmtId="0" fontId="32" fillId="0" borderId="0" xfId="2" quotePrefix="1" applyFont="1"/>
    <xf numFmtId="0" fontId="33" fillId="0" borderId="0" xfId="2" applyFont="1" applyAlignment="1">
      <alignment shrinkToFit="1"/>
    </xf>
    <xf numFmtId="0" fontId="33" fillId="0" borderId="76" xfId="2" applyFont="1" applyBorder="1"/>
    <xf numFmtId="1" fontId="6" fillId="0" borderId="0" xfId="2" applyNumberFormat="1" applyFont="1" applyAlignment="1">
      <alignment horizontal="center"/>
    </xf>
    <xf numFmtId="0" fontId="11" fillId="3" borderId="77" xfId="2" applyFont="1" applyFill="1" applyBorder="1" applyAlignment="1">
      <alignment vertical="center" wrapText="1" shrinkToFit="1"/>
    </xf>
    <xf numFmtId="0" fontId="11" fillId="3" borderId="77" xfId="2" applyFont="1" applyFill="1" applyBorder="1" applyAlignment="1">
      <alignment horizontal="center" vertical="center"/>
    </xf>
    <xf numFmtId="2" fontId="11" fillId="0" borderId="77" xfId="2" applyNumberFormat="1" applyFont="1" applyBorder="1" applyAlignment="1">
      <alignment horizontal="center" vertical="center"/>
    </xf>
    <xf numFmtId="0" fontId="6" fillId="0" borderId="0" xfId="2" applyFont="1"/>
    <xf numFmtId="0" fontId="6" fillId="2" borderId="0" xfId="2" applyFont="1" applyFill="1"/>
    <xf numFmtId="0" fontId="35" fillId="0" borderId="0" xfId="2" applyFont="1"/>
    <xf numFmtId="0" fontId="6" fillId="0" borderId="0" xfId="2" applyFont="1" applyAlignment="1">
      <alignment wrapText="1" shrinkToFit="1"/>
    </xf>
    <xf numFmtId="1" fontId="6" fillId="0" borderId="0" xfId="2" applyNumberFormat="1" applyFont="1"/>
    <xf numFmtId="0" fontId="6" fillId="0" borderId="68" xfId="2" applyFont="1" applyBorder="1"/>
    <xf numFmtId="0" fontId="1" fillId="0" borderId="66" xfId="0" applyFont="1" applyBorder="1" applyAlignment="1">
      <alignment vertical="center"/>
    </xf>
    <xf numFmtId="0" fontId="6" fillId="0" borderId="66" xfId="2" applyFont="1" applyBorder="1"/>
    <xf numFmtId="1" fontId="6" fillId="0" borderId="66" xfId="2" applyNumberFormat="1" applyFont="1" applyBorder="1" applyAlignment="1">
      <alignment horizontal="center"/>
    </xf>
    <xf numFmtId="172" fontId="6" fillId="0" borderId="0" xfId="2" applyNumberFormat="1" applyFont="1" applyAlignment="1">
      <alignment horizontal="center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66" xfId="2" applyFont="1" applyBorder="1"/>
    <xf numFmtId="0" fontId="10" fillId="2" borderId="0" xfId="2" applyFont="1" applyFill="1"/>
    <xf numFmtId="0" fontId="11" fillId="2" borderId="0" xfId="2" applyFont="1" applyFill="1" applyAlignment="1">
      <alignment wrapText="1" shrinkToFit="1"/>
    </xf>
    <xf numFmtId="1" fontId="6" fillId="2" borderId="0" xfId="2" applyNumberFormat="1" applyFont="1" applyFill="1" applyAlignment="1">
      <alignment horizontal="center"/>
    </xf>
    <xf numFmtId="0" fontId="10" fillId="2" borderId="0" xfId="2" applyFont="1" applyFill="1" applyAlignment="1">
      <alignment vertical="center" wrapText="1" shrinkToFit="1"/>
    </xf>
    <xf numFmtId="0" fontId="6" fillId="2" borderId="0" xfId="2" applyFont="1" applyFill="1" applyAlignment="1">
      <alignment horizontal="center"/>
    </xf>
    <xf numFmtId="0" fontId="11" fillId="2" borderId="0" xfId="2" applyFont="1" applyFill="1" applyAlignment="1">
      <alignment horizontal="center"/>
    </xf>
  </cellXfs>
  <cellStyles count="3">
    <cellStyle name="Comma" xfId="1" builtinId="3"/>
    <cellStyle name="Normal" xfId="0" builtinId="0"/>
    <cellStyle name="Normal 2" xfId="2" xr:uid="{706F57F2-E539-4701-9CD2-D22CD2A52979}"/>
  </cellStyles>
  <dxfs count="25"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b/>
        <i val="0"/>
        <color rgb="FFFF5757"/>
      </font>
      <fill>
        <patternFill patternType="none">
          <bgColor auto="1"/>
        </patternFill>
      </fill>
    </dxf>
    <dxf>
      <font>
        <b/>
        <i val="0"/>
        <color rgb="FF00A249"/>
      </font>
    </dxf>
    <dxf>
      <font>
        <b/>
        <i val="0"/>
        <color rgb="FFFF5757"/>
      </font>
      <fill>
        <patternFill patternType="none">
          <bgColor auto="1"/>
        </patternFill>
      </fill>
    </dxf>
    <dxf>
      <font>
        <b/>
        <i val="0"/>
        <color rgb="FF00A249"/>
      </font>
    </dxf>
    <dxf>
      <font>
        <b/>
        <i val="0"/>
        <color rgb="FF00A249"/>
      </font>
    </dxf>
    <dxf>
      <font>
        <b/>
        <i val="0"/>
        <color rgb="FFFF5757"/>
      </font>
    </dxf>
    <dxf>
      <font>
        <b/>
        <i val="0"/>
        <color rgb="FFFF5757"/>
      </font>
      <fill>
        <patternFill patternType="none">
          <bgColor auto="1"/>
        </patternFill>
      </fill>
    </dxf>
    <dxf>
      <font>
        <b/>
        <i val="0"/>
        <color rgb="FF00A249"/>
      </font>
      <fill>
        <patternFill patternType="none">
          <bgColor auto="1"/>
        </patternFill>
      </fill>
    </dxf>
    <dxf>
      <fill>
        <patternFill>
          <bgColor theme="0"/>
        </patternFill>
      </fill>
    </dxf>
    <dxf>
      <font>
        <b/>
        <i val="0"/>
        <color rgb="FF00A249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A249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theme="0"/>
        </patternFill>
      </fill>
    </dxf>
    <dxf>
      <font>
        <b/>
        <i val="0"/>
        <color rgb="FF00A249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5757"/>
      </font>
    </dxf>
    <dxf>
      <font>
        <b/>
        <i val="0"/>
        <color rgb="FF00A249"/>
      </font>
    </dxf>
    <dxf>
      <font>
        <color theme="0" tint="-0.24994659260841701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62387</xdr:colOff>
      <xdr:row>0</xdr:row>
      <xdr:rowOff>95249</xdr:rowOff>
    </xdr:from>
    <xdr:to>
      <xdr:col>2</xdr:col>
      <xdr:colOff>1090933</xdr:colOff>
      <xdr:row>0</xdr:row>
      <xdr:rowOff>409574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E9A8FAB-F85D-46D3-A2F9-033430C0DE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182"/>
        <a:stretch/>
      </xdr:blipFill>
      <xdr:spPr bwMode="auto">
        <a:xfrm>
          <a:off x="214787" y="95249"/>
          <a:ext cx="1447646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1009650</xdr:colOff>
      <xdr:row>0</xdr:row>
      <xdr:rowOff>0</xdr:rowOff>
    </xdr:from>
    <xdr:to>
      <xdr:col>11</xdr:col>
      <xdr:colOff>511177</xdr:colOff>
      <xdr:row>2</xdr:row>
      <xdr:rowOff>3548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EFBF1D2A-2D2B-48C4-A373-CA8809E73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0"/>
          <a:ext cx="1530352" cy="622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37</xdr:row>
          <xdr:rowOff>76200</xdr:rowOff>
        </xdr:from>
        <xdr:to>
          <xdr:col>4</xdr:col>
          <xdr:colOff>333375</xdr:colOff>
          <xdr:row>37</xdr:row>
          <xdr:rowOff>285750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41038E8-E481-40A7-993A-20668BBE45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15</xdr:row>
          <xdr:rowOff>57150</xdr:rowOff>
        </xdr:from>
        <xdr:to>
          <xdr:col>4</xdr:col>
          <xdr:colOff>333375</xdr:colOff>
          <xdr:row>15</xdr:row>
          <xdr:rowOff>238125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26096E24-223A-419E-8DDA-E6F866AC1C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72</xdr:row>
          <xdr:rowOff>76200</xdr:rowOff>
        </xdr:from>
        <xdr:to>
          <xdr:col>4</xdr:col>
          <xdr:colOff>333375</xdr:colOff>
          <xdr:row>72</xdr:row>
          <xdr:rowOff>257175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6D53173D-FFDB-4CBA-BC70-7522F95322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73</xdr:row>
          <xdr:rowOff>76200</xdr:rowOff>
        </xdr:from>
        <xdr:to>
          <xdr:col>4</xdr:col>
          <xdr:colOff>333375</xdr:colOff>
          <xdr:row>73</xdr:row>
          <xdr:rowOff>257175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F5C4738C-6206-44E0-B6CF-CB9FC4E90E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74</xdr:row>
          <xdr:rowOff>76200</xdr:rowOff>
        </xdr:from>
        <xdr:to>
          <xdr:col>4</xdr:col>
          <xdr:colOff>333375</xdr:colOff>
          <xdr:row>74</xdr:row>
          <xdr:rowOff>257175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4D9F91B0-84FA-474B-9089-933EABF247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75</xdr:row>
          <xdr:rowOff>76200</xdr:rowOff>
        </xdr:from>
        <xdr:to>
          <xdr:col>4</xdr:col>
          <xdr:colOff>333375</xdr:colOff>
          <xdr:row>75</xdr:row>
          <xdr:rowOff>257175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FF42A290-1133-48BF-B63A-B334436041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80</xdr:row>
          <xdr:rowOff>152400</xdr:rowOff>
        </xdr:from>
        <xdr:to>
          <xdr:col>4</xdr:col>
          <xdr:colOff>333375</xdr:colOff>
          <xdr:row>80</xdr:row>
          <xdr:rowOff>333375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F3C80609-CF77-4416-A1BF-448D651368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238125</xdr:colOff>
          <xdr:row>9</xdr:row>
          <xdr:rowOff>66675</xdr:rowOff>
        </xdr:from>
        <xdr:to>
          <xdr:col>10</xdr:col>
          <xdr:colOff>457200</xdr:colOff>
          <xdr:row>9</xdr:row>
          <xdr:rowOff>247650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8E8E6534-B03F-4D95-AC4D-8A25A299C2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447675</xdr:colOff>
          <xdr:row>56</xdr:row>
          <xdr:rowOff>57150</xdr:rowOff>
        </xdr:from>
        <xdr:to>
          <xdr:col>10</xdr:col>
          <xdr:colOff>666750</xdr:colOff>
          <xdr:row>56</xdr:row>
          <xdr:rowOff>238125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6F4C967-AD19-455D-B332-5795E8E101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247650</xdr:colOff>
          <xdr:row>56</xdr:row>
          <xdr:rowOff>57150</xdr:rowOff>
        </xdr:from>
        <xdr:to>
          <xdr:col>11</xdr:col>
          <xdr:colOff>466725</xdr:colOff>
          <xdr:row>56</xdr:row>
          <xdr:rowOff>238125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4182F25F-906C-4D9F-BCD0-87B4CB793F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447675</xdr:colOff>
          <xdr:row>57</xdr:row>
          <xdr:rowOff>57150</xdr:rowOff>
        </xdr:from>
        <xdr:to>
          <xdr:col>10</xdr:col>
          <xdr:colOff>666750</xdr:colOff>
          <xdr:row>57</xdr:row>
          <xdr:rowOff>238125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C04E845-DFE9-4DFF-95B3-C576C18295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247650</xdr:colOff>
          <xdr:row>57</xdr:row>
          <xdr:rowOff>57150</xdr:rowOff>
        </xdr:from>
        <xdr:to>
          <xdr:col>11</xdr:col>
          <xdr:colOff>466725</xdr:colOff>
          <xdr:row>57</xdr:row>
          <xdr:rowOff>238125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D64D4D9D-3500-414A-BF22-11048B5883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ASUS%20Zenbook%20Old\My%20Son\Merge%20Sheet\W12-BUD-CCT30.xlsx" TargetMode="External"/><Relationship Id="rId1" Type="http://schemas.openxmlformats.org/officeDocument/2006/relationships/externalLinkPath" Target="file:///E:\ASUS%20Zenbook%20Old\My%20Son\Merge%20Sheet\W12-BUD-CCT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sion"/>
      <sheetName val="10293"/>
      <sheetName val="10294"/>
      <sheetName val="10295"/>
      <sheetName val="10296"/>
      <sheetName val="10297"/>
      <sheetName val="10298"/>
      <sheetName val="Brew (7)"/>
      <sheetName val="Budweiser brewcard"/>
      <sheetName val="Diagram"/>
      <sheetName val="Sheet2"/>
      <sheetName val="Sheet1"/>
      <sheetName val="Extract inputs"/>
      <sheetName val="Ca addition"/>
      <sheetName val="CaCl2 addition"/>
      <sheetName val="CaSO4 addition"/>
      <sheetName val="Zn addition"/>
      <sheetName val="Hop calculation"/>
      <sheetName val="Hop trial"/>
      <sheetName val="Heat calculation"/>
      <sheetName val="Heat calculation (no PHE)"/>
      <sheetName val="Steam Enthalpy"/>
      <sheetName val="Piping length"/>
      <sheetName val="Platotable - wv - 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1">
          <cell r="D11">
            <v>4400.607137757288</v>
          </cell>
        </row>
        <row r="15">
          <cell r="E15">
            <v>0.77100000000000002</v>
          </cell>
        </row>
        <row r="23">
          <cell r="E23">
            <v>0.8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">
          <cell r="J6">
            <v>11</v>
          </cell>
        </row>
      </sheetData>
      <sheetData sheetId="23">
        <row r="1">
          <cell r="A1" t="str">
            <v>OGop</v>
          </cell>
          <cell r="B1" t="str">
            <v>OG%</v>
          </cell>
        </row>
        <row r="2">
          <cell r="A2">
            <v>7.5</v>
          </cell>
          <cell r="B2">
            <v>7.701338087248323</v>
          </cell>
        </row>
        <row r="3">
          <cell r="A3">
            <v>7.51</v>
          </cell>
          <cell r="B3">
            <v>7.7119482214765096</v>
          </cell>
        </row>
        <row r="4">
          <cell r="A4">
            <v>7.52</v>
          </cell>
          <cell r="B4">
            <v>7.7225591946308727</v>
          </cell>
        </row>
        <row r="5">
          <cell r="A5">
            <v>7.5299999999999994</v>
          </cell>
          <cell r="B5">
            <v>7.7331710067114097</v>
          </cell>
        </row>
        <row r="6">
          <cell r="A6">
            <v>7.5399999999999991</v>
          </cell>
          <cell r="B6">
            <v>7.7437836577181196</v>
          </cell>
        </row>
        <row r="7">
          <cell r="A7">
            <v>7.5499999999999989</v>
          </cell>
          <cell r="B7">
            <v>7.7543971476510061</v>
          </cell>
        </row>
        <row r="8">
          <cell r="A8">
            <v>7.5599999999999987</v>
          </cell>
          <cell r="B8">
            <v>7.7650114765100664</v>
          </cell>
        </row>
        <row r="9">
          <cell r="A9">
            <v>7.5699999999999985</v>
          </cell>
          <cell r="B9">
            <v>7.7756266442953015</v>
          </cell>
        </row>
        <row r="10">
          <cell r="A10">
            <v>7.5799999999999983</v>
          </cell>
          <cell r="B10">
            <v>7.7862426510067095</v>
          </cell>
        </row>
        <row r="11">
          <cell r="A11">
            <v>7.5899999999999981</v>
          </cell>
          <cell r="B11">
            <v>7.7968594966442932</v>
          </cell>
        </row>
        <row r="12">
          <cell r="A12">
            <v>7.5999999999999979</v>
          </cell>
          <cell r="B12">
            <v>7.8074771812080526</v>
          </cell>
        </row>
        <row r="13">
          <cell r="A13">
            <v>7.6099999999999977</v>
          </cell>
          <cell r="B13">
            <v>7.818095704697984</v>
          </cell>
        </row>
        <row r="14">
          <cell r="A14">
            <v>7.6199999999999974</v>
          </cell>
          <cell r="B14">
            <v>7.828715067114091</v>
          </cell>
        </row>
        <row r="15">
          <cell r="A15">
            <v>7.6299999999999972</v>
          </cell>
          <cell r="B15">
            <v>7.8393352684563737</v>
          </cell>
        </row>
        <row r="16">
          <cell r="A16">
            <v>7.639999999999997</v>
          </cell>
          <cell r="B16">
            <v>7.8499563087248303</v>
          </cell>
        </row>
        <row r="17">
          <cell r="A17">
            <v>7.6499999999999968</v>
          </cell>
          <cell r="B17">
            <v>7.8605781879194598</v>
          </cell>
        </row>
        <row r="18">
          <cell r="A18">
            <v>7.6599999999999966</v>
          </cell>
          <cell r="B18">
            <v>7.871200906040265</v>
          </cell>
        </row>
        <row r="19">
          <cell r="A19">
            <v>7.6699999999999964</v>
          </cell>
          <cell r="B19">
            <v>7.8818244630872449</v>
          </cell>
        </row>
        <row r="20">
          <cell r="A20">
            <v>7.6799999999999962</v>
          </cell>
          <cell r="B20">
            <v>7.8924488590603996</v>
          </cell>
        </row>
        <row r="21">
          <cell r="A21">
            <v>7.6899999999999959</v>
          </cell>
          <cell r="B21">
            <v>7.9030740939597273</v>
          </cell>
        </row>
        <row r="22">
          <cell r="A22">
            <v>7.6999999999999957</v>
          </cell>
          <cell r="B22">
            <v>7.9137001677852306</v>
          </cell>
        </row>
        <row r="23">
          <cell r="A23">
            <v>7.7099999999999955</v>
          </cell>
          <cell r="B23">
            <v>7.9243270805369086</v>
          </cell>
        </row>
        <row r="24">
          <cell r="A24">
            <v>7.7199999999999953</v>
          </cell>
          <cell r="B24">
            <v>7.9349548322147596</v>
          </cell>
        </row>
        <row r="25">
          <cell r="A25">
            <v>7.7299999999999951</v>
          </cell>
          <cell r="B25">
            <v>7.9455834228187872</v>
          </cell>
        </row>
        <row r="26">
          <cell r="A26">
            <v>7.7399999999999949</v>
          </cell>
          <cell r="B26">
            <v>7.9562128523489886</v>
          </cell>
        </row>
        <row r="27">
          <cell r="A27">
            <v>7.7499999999999947</v>
          </cell>
          <cell r="B27">
            <v>7.9668431208053647</v>
          </cell>
        </row>
        <row r="28">
          <cell r="A28">
            <v>7.7599999999999945</v>
          </cell>
          <cell r="B28">
            <v>7.9774742281879139</v>
          </cell>
        </row>
        <row r="29">
          <cell r="A29">
            <v>7.7699999999999942</v>
          </cell>
          <cell r="B29">
            <v>7.9881061744966395</v>
          </cell>
        </row>
        <row r="30">
          <cell r="A30">
            <v>7.779999999999994</v>
          </cell>
          <cell r="B30">
            <v>7.9987389597315381</v>
          </cell>
        </row>
        <row r="31">
          <cell r="A31">
            <v>7.7899999999999938</v>
          </cell>
          <cell r="B31">
            <v>8.0093725838926098</v>
          </cell>
        </row>
        <row r="32">
          <cell r="A32">
            <v>7.7999999999999936</v>
          </cell>
          <cell r="B32">
            <v>8.0200070469798597</v>
          </cell>
        </row>
        <row r="33">
          <cell r="A33">
            <v>7.8099999999999934</v>
          </cell>
          <cell r="B33">
            <v>8.0306423489932826</v>
          </cell>
        </row>
        <row r="34">
          <cell r="A34">
            <v>7.8199999999999932</v>
          </cell>
          <cell r="B34">
            <v>8.0412784899328802</v>
          </cell>
        </row>
        <row r="35">
          <cell r="A35">
            <v>7.829999999999993</v>
          </cell>
          <cell r="B35">
            <v>8.0519154697986508</v>
          </cell>
        </row>
        <row r="36">
          <cell r="A36">
            <v>7.8399999999999928</v>
          </cell>
          <cell r="B36">
            <v>8.0625532885905962</v>
          </cell>
        </row>
        <row r="37">
          <cell r="A37">
            <v>7.8499999999999925</v>
          </cell>
          <cell r="B37">
            <v>8.0731919463087181</v>
          </cell>
        </row>
        <row r="38">
          <cell r="A38">
            <v>7.8599999999999923</v>
          </cell>
          <cell r="B38">
            <v>8.0838314429530111</v>
          </cell>
        </row>
        <row r="39">
          <cell r="A39">
            <v>7.8699999999999921</v>
          </cell>
          <cell r="B39">
            <v>8.0944717785234825</v>
          </cell>
        </row>
        <row r="40">
          <cell r="A40">
            <v>7.8799999999999919</v>
          </cell>
          <cell r="B40">
            <v>8.1051129530201269</v>
          </cell>
        </row>
        <row r="41">
          <cell r="A41">
            <v>7.8899999999999917</v>
          </cell>
          <cell r="B41">
            <v>8.115754966442946</v>
          </cell>
        </row>
        <row r="42">
          <cell r="A42">
            <v>7.8999999999999915</v>
          </cell>
          <cell r="B42">
            <v>8.1263978187919363</v>
          </cell>
        </row>
        <row r="43">
          <cell r="A43">
            <v>7.9099999999999913</v>
          </cell>
          <cell r="B43">
            <v>8.137041510067105</v>
          </cell>
        </row>
        <row r="44">
          <cell r="A44">
            <v>7.919999999999991</v>
          </cell>
          <cell r="B44">
            <v>8.1476860402684483</v>
          </cell>
        </row>
        <row r="45">
          <cell r="A45">
            <v>7.9299999999999908</v>
          </cell>
          <cell r="B45">
            <v>8.1583314093959629</v>
          </cell>
        </row>
        <row r="46">
          <cell r="A46">
            <v>7.9399999999999906</v>
          </cell>
          <cell r="B46">
            <v>8.168977617449654</v>
          </cell>
        </row>
        <row r="47">
          <cell r="A47">
            <v>7.9499999999999904</v>
          </cell>
          <cell r="B47">
            <v>8.1796246644295199</v>
          </cell>
        </row>
        <row r="48">
          <cell r="A48">
            <v>7.9599999999999902</v>
          </cell>
          <cell r="B48">
            <v>8.1902725503355605</v>
          </cell>
        </row>
        <row r="49">
          <cell r="A49">
            <v>7.96999999999999</v>
          </cell>
          <cell r="B49">
            <v>8.200921275167774</v>
          </cell>
        </row>
        <row r="50">
          <cell r="A50">
            <v>7.9799999999999898</v>
          </cell>
          <cell r="B50">
            <v>8.2115708389261641</v>
          </cell>
        </row>
        <row r="51">
          <cell r="A51">
            <v>7.9899999999999896</v>
          </cell>
          <cell r="B51">
            <v>8.2222212416107272</v>
          </cell>
        </row>
        <row r="52">
          <cell r="A52">
            <v>8</v>
          </cell>
          <cell r="B52">
            <v>8.2328724832214775</v>
          </cell>
        </row>
        <row r="53">
          <cell r="A53">
            <v>8.01</v>
          </cell>
          <cell r="B53">
            <v>8.2435245637583883</v>
          </cell>
        </row>
        <row r="54">
          <cell r="A54">
            <v>8.02</v>
          </cell>
          <cell r="B54">
            <v>8.2541774832214756</v>
          </cell>
        </row>
        <row r="55">
          <cell r="A55">
            <v>8.0299999999999994</v>
          </cell>
          <cell r="B55">
            <v>8.2648312416107377</v>
          </cell>
        </row>
        <row r="56">
          <cell r="A56">
            <v>8.0399999999999991</v>
          </cell>
          <cell r="B56">
            <v>8.2754858389261745</v>
          </cell>
        </row>
        <row r="57">
          <cell r="A57">
            <v>8.0499999999999989</v>
          </cell>
          <cell r="B57">
            <v>8.2861412751677843</v>
          </cell>
        </row>
        <row r="58">
          <cell r="A58">
            <v>8.0599999999999987</v>
          </cell>
          <cell r="B58">
            <v>8.2967975503355689</v>
          </cell>
        </row>
        <row r="59">
          <cell r="A59">
            <v>8.0699999999999985</v>
          </cell>
          <cell r="B59">
            <v>8.30745466442953</v>
          </cell>
        </row>
        <row r="60">
          <cell r="A60">
            <v>8.0799999999999983</v>
          </cell>
          <cell r="B60">
            <v>8.3181126174496622</v>
          </cell>
        </row>
        <row r="61">
          <cell r="A61">
            <v>8.0899999999999981</v>
          </cell>
          <cell r="B61">
            <v>8.328771409395971</v>
          </cell>
        </row>
        <row r="62">
          <cell r="A62">
            <v>8.0999999999999979</v>
          </cell>
          <cell r="B62">
            <v>8.3394310402684546</v>
          </cell>
        </row>
        <row r="63">
          <cell r="A63">
            <v>8.1099999999999977</v>
          </cell>
          <cell r="B63">
            <v>8.3500915100671129</v>
          </cell>
        </row>
        <row r="64">
          <cell r="A64">
            <v>8.1199999999999974</v>
          </cell>
          <cell r="B64">
            <v>8.3607528187919442</v>
          </cell>
        </row>
        <row r="65">
          <cell r="A65">
            <v>8.1299999999999972</v>
          </cell>
          <cell r="B65">
            <v>8.3714149664429502</v>
          </cell>
        </row>
        <row r="66">
          <cell r="A66">
            <v>8.139999999999997</v>
          </cell>
          <cell r="B66">
            <v>8.382077953020131</v>
          </cell>
        </row>
        <row r="67">
          <cell r="A67">
            <v>8.1499999999999968</v>
          </cell>
          <cell r="B67">
            <v>8.3927417785234866</v>
          </cell>
        </row>
        <row r="68">
          <cell r="A68">
            <v>8.1599999999999966</v>
          </cell>
          <cell r="B68">
            <v>8.4034064429530169</v>
          </cell>
        </row>
        <row r="69">
          <cell r="A69">
            <v>8.1699999999999964</v>
          </cell>
          <cell r="B69">
            <v>8.4140719463087219</v>
          </cell>
        </row>
        <row r="70">
          <cell r="A70">
            <v>8.1799999999999962</v>
          </cell>
          <cell r="B70">
            <v>8.4247382885906017</v>
          </cell>
        </row>
        <row r="71">
          <cell r="A71">
            <v>8.1899999999999959</v>
          </cell>
          <cell r="B71">
            <v>8.4354054697986527</v>
          </cell>
        </row>
        <row r="72">
          <cell r="A72">
            <v>8.1999999999999957</v>
          </cell>
          <cell r="B72">
            <v>8.446073489932882</v>
          </cell>
        </row>
        <row r="73">
          <cell r="A73">
            <v>8.2099999999999955</v>
          </cell>
          <cell r="B73">
            <v>8.4567423489932843</v>
          </cell>
        </row>
        <row r="74">
          <cell r="A74">
            <v>8.2199999999999953</v>
          </cell>
          <cell r="B74">
            <v>8.4674120469798613</v>
          </cell>
        </row>
        <row r="75">
          <cell r="A75">
            <v>8.2299999999999951</v>
          </cell>
          <cell r="B75">
            <v>8.478082583892613</v>
          </cell>
        </row>
        <row r="76">
          <cell r="A76">
            <v>8.2399999999999949</v>
          </cell>
          <cell r="B76">
            <v>8.4887539597315396</v>
          </cell>
        </row>
        <row r="77">
          <cell r="A77">
            <v>8.2499999999999947</v>
          </cell>
          <cell r="B77">
            <v>8.4994261744966391</v>
          </cell>
        </row>
        <row r="78">
          <cell r="A78">
            <v>8.2599999999999945</v>
          </cell>
          <cell r="B78">
            <v>8.5100992281879133</v>
          </cell>
        </row>
        <row r="79">
          <cell r="A79">
            <v>8.2699999999999942</v>
          </cell>
          <cell r="B79">
            <v>8.5207731208053641</v>
          </cell>
        </row>
        <row r="80">
          <cell r="A80">
            <v>8.279999999999994</v>
          </cell>
          <cell r="B80">
            <v>8.5314478523489878</v>
          </cell>
        </row>
        <row r="81">
          <cell r="A81">
            <v>8.2899999999999938</v>
          </cell>
          <cell r="B81">
            <v>8.5421234228187863</v>
          </cell>
        </row>
        <row r="82">
          <cell r="A82">
            <v>8.2999999999999936</v>
          </cell>
          <cell r="B82">
            <v>8.5527998322147578</v>
          </cell>
        </row>
        <row r="83">
          <cell r="A83">
            <v>8.3099999999999934</v>
          </cell>
          <cell r="B83">
            <v>8.5634770805369058</v>
          </cell>
        </row>
        <row r="84">
          <cell r="A84">
            <v>8.3199999999999932</v>
          </cell>
          <cell r="B84">
            <v>8.5741551677852286</v>
          </cell>
        </row>
        <row r="85">
          <cell r="A85">
            <v>8.329999999999993</v>
          </cell>
          <cell r="B85">
            <v>8.5848340939597243</v>
          </cell>
        </row>
        <row r="86">
          <cell r="A86">
            <v>8.3399999999999928</v>
          </cell>
          <cell r="B86">
            <v>8.5955138590603948</v>
          </cell>
        </row>
        <row r="87">
          <cell r="A87">
            <v>8.3499999999999925</v>
          </cell>
          <cell r="B87">
            <v>8.6061944630872418</v>
          </cell>
        </row>
        <row r="88">
          <cell r="A88">
            <v>8.3599999999999923</v>
          </cell>
          <cell r="B88">
            <v>8.6168759060402618</v>
          </cell>
        </row>
        <row r="89">
          <cell r="A89">
            <v>8.3699999999999921</v>
          </cell>
          <cell r="B89">
            <v>8.6275581879194547</v>
          </cell>
        </row>
        <row r="90">
          <cell r="A90">
            <v>8.3799999999999919</v>
          </cell>
          <cell r="B90">
            <v>8.6382413087248242</v>
          </cell>
        </row>
        <row r="91">
          <cell r="A91">
            <v>8.3899999999999917</v>
          </cell>
          <cell r="B91">
            <v>8.6489252684563684</v>
          </cell>
        </row>
        <row r="92">
          <cell r="A92">
            <v>8.3999999999999915</v>
          </cell>
          <cell r="B92">
            <v>8.6596100671140839</v>
          </cell>
        </row>
        <row r="93">
          <cell r="A93">
            <v>8.4099999999999913</v>
          </cell>
          <cell r="B93">
            <v>8.6702957046979776</v>
          </cell>
        </row>
        <row r="94">
          <cell r="A94">
            <v>8.419999999999991</v>
          </cell>
          <cell r="B94">
            <v>8.6809821812080443</v>
          </cell>
        </row>
        <row r="95">
          <cell r="A95">
            <v>8.4299999999999908</v>
          </cell>
          <cell r="B95">
            <v>8.6916694966442876</v>
          </cell>
        </row>
        <row r="96">
          <cell r="A96">
            <v>8.4399999999999906</v>
          </cell>
          <cell r="B96">
            <v>8.702357651006702</v>
          </cell>
        </row>
        <row r="97">
          <cell r="A97">
            <v>8.4499999999999904</v>
          </cell>
          <cell r="B97">
            <v>8.713046644295293</v>
          </cell>
        </row>
        <row r="98">
          <cell r="A98">
            <v>8.4599999999999902</v>
          </cell>
          <cell r="B98">
            <v>8.7237364765100569</v>
          </cell>
        </row>
        <row r="99">
          <cell r="A99">
            <v>8.46999999999999</v>
          </cell>
          <cell r="B99">
            <v>8.7344271476509956</v>
          </cell>
        </row>
        <row r="100">
          <cell r="A100">
            <v>8.4799999999999898</v>
          </cell>
          <cell r="B100">
            <v>8.7451186577181108</v>
          </cell>
        </row>
        <row r="101">
          <cell r="A101">
            <v>8.4899999999999896</v>
          </cell>
          <cell r="B101">
            <v>8.755811006711399</v>
          </cell>
        </row>
        <row r="102">
          <cell r="A102">
            <v>8.5</v>
          </cell>
          <cell r="B102">
            <v>8.7665041946308726</v>
          </cell>
        </row>
        <row r="103">
          <cell r="A103">
            <v>8.51</v>
          </cell>
          <cell r="B103">
            <v>8.7771982214765103</v>
          </cell>
        </row>
        <row r="104">
          <cell r="A104">
            <v>8.52</v>
          </cell>
          <cell r="B104">
            <v>8.787893087248321</v>
          </cell>
        </row>
        <row r="105">
          <cell r="A105">
            <v>8.5299999999999994</v>
          </cell>
          <cell r="B105">
            <v>8.7985887919463082</v>
          </cell>
        </row>
        <row r="106">
          <cell r="A106">
            <v>8.5399999999999991</v>
          </cell>
          <cell r="B106">
            <v>8.8092853355704701</v>
          </cell>
        </row>
        <row r="107">
          <cell r="A107">
            <v>8.5499999999999989</v>
          </cell>
          <cell r="B107">
            <v>8.8199827181208033</v>
          </cell>
        </row>
        <row r="108">
          <cell r="A108">
            <v>8.5599999999999987</v>
          </cell>
          <cell r="B108">
            <v>8.8306809395973147</v>
          </cell>
        </row>
        <row r="109">
          <cell r="A109">
            <v>8.5699999999999985</v>
          </cell>
          <cell r="B109">
            <v>8.8413799999999991</v>
          </cell>
        </row>
        <row r="110">
          <cell r="A110">
            <v>8.5799999999999983</v>
          </cell>
          <cell r="B110">
            <v>8.8520798993288583</v>
          </cell>
        </row>
        <row r="111">
          <cell r="A111">
            <v>8.5899999999999981</v>
          </cell>
          <cell r="B111">
            <v>8.8627806375838905</v>
          </cell>
        </row>
        <row r="112">
          <cell r="A112">
            <v>8.5999999999999979</v>
          </cell>
          <cell r="B112">
            <v>8.8734822147650991</v>
          </cell>
        </row>
        <row r="113">
          <cell r="A113">
            <v>8.6099999999999977</v>
          </cell>
          <cell r="B113">
            <v>8.8841846308724826</v>
          </cell>
        </row>
        <row r="114">
          <cell r="A114">
            <v>8.6199999999999974</v>
          </cell>
          <cell r="B114">
            <v>8.8948878859060372</v>
          </cell>
        </row>
        <row r="115">
          <cell r="A115">
            <v>8.6299999999999972</v>
          </cell>
          <cell r="B115">
            <v>8.9055919798657683</v>
          </cell>
        </row>
        <row r="116">
          <cell r="A116">
            <v>8.639999999999997</v>
          </cell>
          <cell r="B116">
            <v>8.916296912751676</v>
          </cell>
        </row>
        <row r="117">
          <cell r="A117">
            <v>8.6499999999999968</v>
          </cell>
          <cell r="B117">
            <v>8.9270026845637567</v>
          </cell>
        </row>
        <row r="118">
          <cell r="A118">
            <v>8.6599999999999966</v>
          </cell>
          <cell r="B118">
            <v>8.9377092953020103</v>
          </cell>
        </row>
        <row r="119">
          <cell r="A119">
            <v>8.6699999999999964</v>
          </cell>
          <cell r="B119">
            <v>8.9484167449664387</v>
          </cell>
        </row>
        <row r="120">
          <cell r="A120">
            <v>8.6799999999999962</v>
          </cell>
          <cell r="B120">
            <v>8.9591250335570436</v>
          </cell>
        </row>
        <row r="121">
          <cell r="A121">
            <v>8.6899999999999959</v>
          </cell>
          <cell r="B121">
            <v>8.9698341610738215</v>
          </cell>
        </row>
        <row r="122">
          <cell r="A122">
            <v>8.6999999999999957</v>
          </cell>
          <cell r="B122">
            <v>8.9805441275167741</v>
          </cell>
        </row>
        <row r="123">
          <cell r="A123">
            <v>8.7099999999999955</v>
          </cell>
          <cell r="B123">
            <v>8.9912549328859015</v>
          </cell>
        </row>
        <row r="124">
          <cell r="A124">
            <v>8.7199999999999953</v>
          </cell>
          <cell r="B124">
            <v>9.0019665771812036</v>
          </cell>
        </row>
        <row r="125">
          <cell r="A125">
            <v>8.7299999999999951</v>
          </cell>
          <cell r="B125">
            <v>9.0126790604026787</v>
          </cell>
        </row>
        <row r="126">
          <cell r="A126">
            <v>8.7399999999999949</v>
          </cell>
          <cell r="B126">
            <v>9.0233923825503304</v>
          </cell>
        </row>
        <row r="127">
          <cell r="A127">
            <v>8.7499999999999947</v>
          </cell>
          <cell r="B127">
            <v>9.0341065436241568</v>
          </cell>
        </row>
        <row r="128">
          <cell r="A128">
            <v>8.7599999999999945</v>
          </cell>
          <cell r="B128">
            <v>9.0448215436241544</v>
          </cell>
        </row>
        <row r="129">
          <cell r="A129">
            <v>8.7699999999999942</v>
          </cell>
          <cell r="B129">
            <v>9.0555373825503302</v>
          </cell>
        </row>
        <row r="130">
          <cell r="A130">
            <v>8.779999999999994</v>
          </cell>
          <cell r="B130">
            <v>9.0662540604026791</v>
          </cell>
        </row>
        <row r="131">
          <cell r="A131">
            <v>8.7899999999999938</v>
          </cell>
          <cell r="B131">
            <v>9.0769715771812027</v>
          </cell>
        </row>
        <row r="132">
          <cell r="A132">
            <v>8.7999999999999936</v>
          </cell>
          <cell r="B132">
            <v>9.0876899328858993</v>
          </cell>
        </row>
        <row r="133">
          <cell r="A133">
            <v>8.8099999999999934</v>
          </cell>
          <cell r="B133">
            <v>9.0984091275167724</v>
          </cell>
        </row>
        <row r="134">
          <cell r="A134">
            <v>8.8199999999999932</v>
          </cell>
          <cell r="B134">
            <v>9.1091291610738185</v>
          </cell>
        </row>
        <row r="135">
          <cell r="A135">
            <v>8.829999999999993</v>
          </cell>
          <cell r="B135">
            <v>9.1198500335570412</v>
          </cell>
        </row>
        <row r="136">
          <cell r="A136">
            <v>8.8399999999999928</v>
          </cell>
          <cell r="B136">
            <v>9.130571744966435</v>
          </cell>
        </row>
        <row r="137">
          <cell r="A137">
            <v>8.8499999999999925</v>
          </cell>
          <cell r="B137">
            <v>9.1412942953020053</v>
          </cell>
        </row>
        <row r="138">
          <cell r="A138">
            <v>8.8599999999999923</v>
          </cell>
          <cell r="B138">
            <v>9.1520176845637504</v>
          </cell>
        </row>
        <row r="139">
          <cell r="A139">
            <v>8.8699999999999921</v>
          </cell>
          <cell r="B139">
            <v>9.1627419127516685</v>
          </cell>
        </row>
        <row r="140">
          <cell r="A140">
            <v>8.8799999999999919</v>
          </cell>
          <cell r="B140">
            <v>9.1734669798657631</v>
          </cell>
        </row>
        <row r="141">
          <cell r="A141">
            <v>8.8899999999999917</v>
          </cell>
          <cell r="B141">
            <v>9.1841928859060324</v>
          </cell>
        </row>
        <row r="142">
          <cell r="A142">
            <v>8.8999999999999915</v>
          </cell>
          <cell r="B142">
            <v>9.1949196308724748</v>
          </cell>
        </row>
        <row r="143">
          <cell r="A143">
            <v>8.9099999999999913</v>
          </cell>
          <cell r="B143">
            <v>9.2056472147650918</v>
          </cell>
        </row>
        <row r="144">
          <cell r="A144">
            <v>8.919999999999991</v>
          </cell>
          <cell r="B144">
            <v>9.2163756375838837</v>
          </cell>
        </row>
        <row r="145">
          <cell r="A145">
            <v>8.9299999999999908</v>
          </cell>
          <cell r="B145">
            <v>9.2271048993288503</v>
          </cell>
        </row>
        <row r="146">
          <cell r="A146">
            <v>8.9399999999999906</v>
          </cell>
          <cell r="B146">
            <v>9.2378349999999898</v>
          </cell>
        </row>
        <row r="147">
          <cell r="A147">
            <v>8.9499999999999904</v>
          </cell>
          <cell r="B147">
            <v>9.2485659395973059</v>
          </cell>
        </row>
        <row r="148">
          <cell r="A148">
            <v>8.9599999999999902</v>
          </cell>
          <cell r="B148">
            <v>9.2592977181207949</v>
          </cell>
        </row>
        <row r="149">
          <cell r="A149">
            <v>8.96999999999999</v>
          </cell>
          <cell r="B149">
            <v>9.2700303355704605</v>
          </cell>
        </row>
        <row r="150">
          <cell r="A150">
            <v>8.9799999999999898</v>
          </cell>
          <cell r="B150">
            <v>9.2807637919462973</v>
          </cell>
        </row>
        <row r="151">
          <cell r="A151">
            <v>8.9899999999999896</v>
          </cell>
          <cell r="B151">
            <v>9.2914980872483106</v>
          </cell>
        </row>
        <row r="152">
          <cell r="A152">
            <v>9</v>
          </cell>
          <cell r="B152">
            <v>9.3022332214765111</v>
          </cell>
        </row>
        <row r="153">
          <cell r="A153">
            <v>9.01</v>
          </cell>
          <cell r="B153">
            <v>9.3129691946308739</v>
          </cell>
        </row>
        <row r="154">
          <cell r="A154">
            <v>9.02</v>
          </cell>
          <cell r="B154">
            <v>9.3237060067114079</v>
          </cell>
        </row>
        <row r="155">
          <cell r="A155">
            <v>9.0299999999999994</v>
          </cell>
          <cell r="B155">
            <v>9.3344436577181202</v>
          </cell>
        </row>
        <row r="156">
          <cell r="A156">
            <v>9.0399999999999991</v>
          </cell>
          <cell r="B156">
            <v>9.3451821476510073</v>
          </cell>
        </row>
        <row r="157">
          <cell r="A157">
            <v>9.0499999999999989</v>
          </cell>
          <cell r="B157">
            <v>9.3559214765100673</v>
          </cell>
        </row>
        <row r="158">
          <cell r="A158">
            <v>9.0599999999999987</v>
          </cell>
          <cell r="B158">
            <v>9.3666616442953003</v>
          </cell>
        </row>
        <row r="159">
          <cell r="A159">
            <v>9.0699999999999985</v>
          </cell>
          <cell r="B159">
            <v>9.3774026510067099</v>
          </cell>
        </row>
        <row r="160">
          <cell r="A160">
            <v>9.0799999999999983</v>
          </cell>
          <cell r="B160">
            <v>9.3881444966442942</v>
          </cell>
        </row>
        <row r="161">
          <cell r="A161">
            <v>9.0899999999999981</v>
          </cell>
          <cell r="B161">
            <v>9.3988871812080514</v>
          </cell>
        </row>
        <row r="162">
          <cell r="A162">
            <v>9.0999999999999979</v>
          </cell>
          <cell r="B162">
            <v>9.4096307046979852</v>
          </cell>
        </row>
        <row r="163">
          <cell r="A163">
            <v>9.1099999999999977</v>
          </cell>
          <cell r="B163">
            <v>9.420375067114092</v>
          </cell>
        </row>
        <row r="164">
          <cell r="A164">
            <v>9.1199999999999974</v>
          </cell>
          <cell r="B164">
            <v>9.4311202684563753</v>
          </cell>
        </row>
        <row r="165">
          <cell r="A165">
            <v>9.1299999999999972</v>
          </cell>
          <cell r="B165">
            <v>9.4418663087248298</v>
          </cell>
        </row>
        <row r="166">
          <cell r="A166">
            <v>9.139999999999997</v>
          </cell>
          <cell r="B166">
            <v>9.4526131879194608</v>
          </cell>
        </row>
        <row r="167">
          <cell r="A167">
            <v>9.1499999999999968</v>
          </cell>
          <cell r="B167">
            <v>9.4633609060402666</v>
          </cell>
        </row>
        <row r="168">
          <cell r="A168">
            <v>9.1599999999999966</v>
          </cell>
          <cell r="B168">
            <v>9.4741094630872436</v>
          </cell>
        </row>
        <row r="169">
          <cell r="A169">
            <v>9.1699999999999964</v>
          </cell>
          <cell r="B169">
            <v>9.4848588590603988</v>
          </cell>
        </row>
        <row r="170">
          <cell r="A170">
            <v>9.1799999999999962</v>
          </cell>
          <cell r="B170">
            <v>9.4956090939597289</v>
          </cell>
        </row>
        <row r="171">
          <cell r="A171">
            <v>9.1899999999999959</v>
          </cell>
          <cell r="B171">
            <v>9.5063601677852319</v>
          </cell>
        </row>
        <row r="172">
          <cell r="A172">
            <v>9.1999999999999957</v>
          </cell>
          <cell r="B172">
            <v>9.5171120805369078</v>
          </cell>
        </row>
        <row r="173">
          <cell r="A173">
            <v>9.2099999999999955</v>
          </cell>
          <cell r="B173">
            <v>9.5278648322147603</v>
          </cell>
        </row>
        <row r="174">
          <cell r="A174">
            <v>9.2199999999999953</v>
          </cell>
          <cell r="B174">
            <v>9.5386184228187876</v>
          </cell>
        </row>
        <row r="175">
          <cell r="A175">
            <v>9.2299999999999951</v>
          </cell>
          <cell r="B175">
            <v>9.5493728523489878</v>
          </cell>
        </row>
        <row r="176">
          <cell r="A176">
            <v>9.2399999999999949</v>
          </cell>
          <cell r="B176">
            <v>9.5601281208053646</v>
          </cell>
        </row>
        <row r="177">
          <cell r="A177">
            <v>9.2499999999999947</v>
          </cell>
          <cell r="B177">
            <v>9.5708842281879143</v>
          </cell>
        </row>
        <row r="178">
          <cell r="A178">
            <v>9.2599999999999945</v>
          </cell>
          <cell r="B178">
            <v>9.5816411744966388</v>
          </cell>
        </row>
        <row r="179">
          <cell r="A179">
            <v>9.2699999999999942</v>
          </cell>
          <cell r="B179">
            <v>9.592398959731538</v>
          </cell>
        </row>
        <row r="180">
          <cell r="A180">
            <v>9.279999999999994</v>
          </cell>
          <cell r="B180">
            <v>9.603157583892612</v>
          </cell>
        </row>
        <row r="181">
          <cell r="A181">
            <v>9.2899999999999938</v>
          </cell>
          <cell r="B181">
            <v>9.6139170469798607</v>
          </cell>
        </row>
        <row r="182">
          <cell r="A182">
            <v>9.2999999999999936</v>
          </cell>
          <cell r="B182">
            <v>9.6246773489932806</v>
          </cell>
        </row>
        <row r="183">
          <cell r="A183">
            <v>9.3099999999999934</v>
          </cell>
          <cell r="B183">
            <v>9.6354384899328789</v>
          </cell>
        </row>
        <row r="184">
          <cell r="A184">
            <v>9.3199999999999932</v>
          </cell>
          <cell r="B184">
            <v>9.6462004697986519</v>
          </cell>
        </row>
        <row r="185">
          <cell r="A185">
            <v>9.329999999999993</v>
          </cell>
          <cell r="B185">
            <v>9.6569632885905978</v>
          </cell>
        </row>
        <row r="186">
          <cell r="A186">
            <v>9.3399999999999928</v>
          </cell>
          <cell r="B186">
            <v>9.6677269463087168</v>
          </cell>
        </row>
        <row r="187">
          <cell r="A187">
            <v>9.3499999999999925</v>
          </cell>
          <cell r="B187">
            <v>9.6784914429530122</v>
          </cell>
        </row>
        <row r="188">
          <cell r="A188">
            <v>9.3599999999999923</v>
          </cell>
          <cell r="B188">
            <v>9.6892567785234824</v>
          </cell>
        </row>
        <row r="189">
          <cell r="A189">
            <v>9.3699999999999921</v>
          </cell>
          <cell r="B189">
            <v>9.7000229530201256</v>
          </cell>
        </row>
        <row r="190">
          <cell r="A190">
            <v>9.3799999999999919</v>
          </cell>
          <cell r="B190">
            <v>9.7107899664429436</v>
          </cell>
        </row>
        <row r="191">
          <cell r="A191">
            <v>9.3899999999999917</v>
          </cell>
          <cell r="B191">
            <v>9.721557818791938</v>
          </cell>
        </row>
        <row r="192">
          <cell r="A192">
            <v>9.3999999999999915</v>
          </cell>
          <cell r="B192">
            <v>9.7323265100671055</v>
          </cell>
        </row>
        <row r="193">
          <cell r="A193">
            <v>9.4099999999999913</v>
          </cell>
          <cell r="B193">
            <v>9.7430960402684459</v>
          </cell>
        </row>
        <row r="194">
          <cell r="A194">
            <v>9.419999999999991</v>
          </cell>
          <cell r="B194">
            <v>9.7538664093959646</v>
          </cell>
        </row>
        <row r="195">
          <cell r="A195">
            <v>9.4299999999999908</v>
          </cell>
          <cell r="B195">
            <v>9.7646376174496545</v>
          </cell>
        </row>
        <row r="196">
          <cell r="A196">
            <v>9.4399999999999906</v>
          </cell>
          <cell r="B196">
            <v>9.775409664429521</v>
          </cell>
        </row>
        <row r="197">
          <cell r="A197">
            <v>9.4499999999999904</v>
          </cell>
          <cell r="B197">
            <v>9.7861825503355604</v>
          </cell>
        </row>
        <row r="198">
          <cell r="A198">
            <v>9.4599999999999902</v>
          </cell>
          <cell r="B198">
            <v>9.7969562751677746</v>
          </cell>
        </row>
        <row r="199">
          <cell r="A199">
            <v>9.46999999999999</v>
          </cell>
          <cell r="B199">
            <v>9.8077308389261653</v>
          </cell>
        </row>
        <row r="200">
          <cell r="A200">
            <v>9.4799999999999898</v>
          </cell>
          <cell r="B200">
            <v>9.8185062416107272</v>
          </cell>
        </row>
        <row r="201">
          <cell r="A201">
            <v>9.4899999999999896</v>
          </cell>
          <cell r="B201">
            <v>9.8292824832214656</v>
          </cell>
        </row>
        <row r="202">
          <cell r="A202">
            <v>9.5</v>
          </cell>
          <cell r="B202">
            <v>9.84</v>
          </cell>
        </row>
        <row r="203">
          <cell r="A203">
            <v>9.51</v>
          </cell>
          <cell r="B203">
            <v>9.85</v>
          </cell>
        </row>
        <row r="204">
          <cell r="A204">
            <v>9.52</v>
          </cell>
          <cell r="B204">
            <v>9.86</v>
          </cell>
        </row>
        <row r="205">
          <cell r="A205">
            <v>9.5299999999999994</v>
          </cell>
          <cell r="B205">
            <v>9.8800000000000008</v>
          </cell>
        </row>
        <row r="206">
          <cell r="A206">
            <v>9.5399999999999991</v>
          </cell>
          <cell r="B206">
            <v>9.89</v>
          </cell>
        </row>
        <row r="207">
          <cell r="A207">
            <v>9.5500000000000007</v>
          </cell>
          <cell r="B207">
            <v>9.9</v>
          </cell>
        </row>
        <row r="208">
          <cell r="A208">
            <v>9.56</v>
          </cell>
          <cell r="B208">
            <v>9.91</v>
          </cell>
        </row>
        <row r="209">
          <cell r="A209">
            <v>9.57</v>
          </cell>
          <cell r="B209">
            <v>9.92</v>
          </cell>
        </row>
        <row r="210">
          <cell r="A210">
            <v>9.58</v>
          </cell>
          <cell r="B210">
            <v>9.93</v>
          </cell>
        </row>
        <row r="211">
          <cell r="A211">
            <v>9.59</v>
          </cell>
          <cell r="B211">
            <v>9.94</v>
          </cell>
        </row>
        <row r="212">
          <cell r="A212">
            <v>9.6</v>
          </cell>
          <cell r="B212">
            <v>9.9499999999999993</v>
          </cell>
        </row>
        <row r="213">
          <cell r="A213">
            <v>9.61</v>
          </cell>
          <cell r="B213">
            <v>9.9600000000000009</v>
          </cell>
        </row>
        <row r="214">
          <cell r="A214">
            <v>9.6199999999999992</v>
          </cell>
          <cell r="B214">
            <v>9.9700000000000006</v>
          </cell>
        </row>
        <row r="215">
          <cell r="A215">
            <v>9.6300000000000008</v>
          </cell>
          <cell r="B215">
            <v>9.98</v>
          </cell>
        </row>
        <row r="216">
          <cell r="A216">
            <v>9.64</v>
          </cell>
          <cell r="B216">
            <v>9.99</v>
          </cell>
        </row>
        <row r="217">
          <cell r="A217">
            <v>9.65</v>
          </cell>
          <cell r="B217">
            <v>10</v>
          </cell>
        </row>
        <row r="218">
          <cell r="A218">
            <v>9.66</v>
          </cell>
          <cell r="B218">
            <v>10.01</v>
          </cell>
        </row>
        <row r="219">
          <cell r="A219">
            <v>9.67</v>
          </cell>
          <cell r="B219">
            <v>10.029999999999999</v>
          </cell>
        </row>
        <row r="220">
          <cell r="A220">
            <v>9.68</v>
          </cell>
          <cell r="B220">
            <v>10.039999999999999</v>
          </cell>
        </row>
        <row r="221">
          <cell r="A221">
            <v>9.69</v>
          </cell>
          <cell r="B221">
            <v>10.050000000000001</v>
          </cell>
        </row>
        <row r="222">
          <cell r="A222">
            <v>9.6999999999999993</v>
          </cell>
          <cell r="B222">
            <v>10.06</v>
          </cell>
        </row>
        <row r="223">
          <cell r="A223">
            <v>9.7100000000000009</v>
          </cell>
          <cell r="B223">
            <v>10.07</v>
          </cell>
        </row>
        <row r="224">
          <cell r="A224">
            <v>9.7200000000000006</v>
          </cell>
          <cell r="B224">
            <v>10.08</v>
          </cell>
        </row>
        <row r="225">
          <cell r="A225">
            <v>9.73</v>
          </cell>
          <cell r="B225">
            <v>10.09</v>
          </cell>
        </row>
        <row r="226">
          <cell r="A226">
            <v>9.74</v>
          </cell>
          <cell r="B226">
            <v>10.1</v>
          </cell>
        </row>
        <row r="227">
          <cell r="A227">
            <v>9.75</v>
          </cell>
          <cell r="B227">
            <v>10.11</v>
          </cell>
        </row>
        <row r="228">
          <cell r="A228">
            <v>9.76</v>
          </cell>
          <cell r="B228">
            <v>10.119999999999999</v>
          </cell>
        </row>
        <row r="229">
          <cell r="A229">
            <v>9.77</v>
          </cell>
          <cell r="B229">
            <v>10.130000000000001</v>
          </cell>
        </row>
        <row r="230">
          <cell r="A230">
            <v>9.7799999999999994</v>
          </cell>
          <cell r="B230">
            <v>10.14</v>
          </cell>
        </row>
        <row r="231">
          <cell r="A231">
            <v>9.7899999999999991</v>
          </cell>
          <cell r="B231">
            <v>10.15</v>
          </cell>
        </row>
        <row r="232">
          <cell r="A232">
            <v>9.8000000000000007</v>
          </cell>
          <cell r="B232">
            <v>10.17</v>
          </cell>
        </row>
        <row r="233">
          <cell r="A233">
            <v>9.81</v>
          </cell>
          <cell r="B233">
            <v>10.18</v>
          </cell>
        </row>
        <row r="234">
          <cell r="A234">
            <v>9.82</v>
          </cell>
          <cell r="B234">
            <v>10.19</v>
          </cell>
        </row>
        <row r="235">
          <cell r="A235">
            <v>9.83</v>
          </cell>
          <cell r="B235">
            <v>10.199999999999999</v>
          </cell>
        </row>
        <row r="236">
          <cell r="A236">
            <v>9.84</v>
          </cell>
          <cell r="B236">
            <v>10.210000000000001</v>
          </cell>
        </row>
        <row r="237">
          <cell r="A237">
            <v>9.85</v>
          </cell>
          <cell r="B237">
            <v>10.220000000000001</v>
          </cell>
        </row>
        <row r="238">
          <cell r="A238">
            <v>9.86</v>
          </cell>
          <cell r="B238">
            <v>10.23</v>
          </cell>
        </row>
        <row r="239">
          <cell r="A239">
            <v>9.8699999999999992</v>
          </cell>
          <cell r="B239">
            <v>10.24</v>
          </cell>
        </row>
        <row r="240">
          <cell r="A240">
            <v>9.8800000000000008</v>
          </cell>
          <cell r="B240">
            <v>10.25</v>
          </cell>
        </row>
        <row r="241">
          <cell r="A241">
            <v>9.89</v>
          </cell>
          <cell r="B241">
            <v>10.26</v>
          </cell>
        </row>
        <row r="242">
          <cell r="A242">
            <v>9.9</v>
          </cell>
          <cell r="B242">
            <v>10.27</v>
          </cell>
        </row>
        <row r="243">
          <cell r="A243">
            <v>9.91</v>
          </cell>
          <cell r="B243">
            <v>10.28</v>
          </cell>
        </row>
        <row r="244">
          <cell r="A244">
            <v>9.92</v>
          </cell>
          <cell r="B244">
            <v>10.3</v>
          </cell>
        </row>
        <row r="245">
          <cell r="A245">
            <v>9.93</v>
          </cell>
          <cell r="B245">
            <v>10.31</v>
          </cell>
        </row>
        <row r="246">
          <cell r="A246">
            <v>9.94</v>
          </cell>
          <cell r="B246">
            <v>10.32</v>
          </cell>
        </row>
        <row r="247">
          <cell r="A247">
            <v>9.9499999999999993</v>
          </cell>
          <cell r="B247">
            <v>10.33</v>
          </cell>
        </row>
        <row r="248">
          <cell r="A248">
            <v>9.9600000000000009</v>
          </cell>
          <cell r="B248">
            <v>10.34</v>
          </cell>
        </row>
        <row r="249">
          <cell r="A249">
            <v>9.9700000000000006</v>
          </cell>
          <cell r="B249">
            <v>10.35</v>
          </cell>
        </row>
        <row r="250">
          <cell r="A250">
            <v>9.98</v>
          </cell>
          <cell r="B250">
            <v>10.36</v>
          </cell>
        </row>
        <row r="251">
          <cell r="A251">
            <v>9.99</v>
          </cell>
          <cell r="B251">
            <v>10.37</v>
          </cell>
        </row>
        <row r="252">
          <cell r="A252">
            <v>10</v>
          </cell>
          <cell r="B252">
            <v>10.38</v>
          </cell>
        </row>
        <row r="253">
          <cell r="A253">
            <v>10.01</v>
          </cell>
          <cell r="B253">
            <v>10.39</v>
          </cell>
        </row>
        <row r="254">
          <cell r="A254">
            <v>10.02</v>
          </cell>
          <cell r="B254">
            <v>10.4</v>
          </cell>
        </row>
        <row r="255">
          <cell r="A255">
            <v>10.029999999999999</v>
          </cell>
          <cell r="B255">
            <v>10.41</v>
          </cell>
        </row>
        <row r="256">
          <cell r="A256">
            <v>10.039999999999999</v>
          </cell>
          <cell r="B256">
            <v>10.42</v>
          </cell>
        </row>
        <row r="257">
          <cell r="A257">
            <v>10.050000000000001</v>
          </cell>
          <cell r="B257">
            <v>10.44</v>
          </cell>
        </row>
        <row r="258">
          <cell r="A258">
            <v>10.06</v>
          </cell>
          <cell r="B258">
            <v>10.45</v>
          </cell>
        </row>
        <row r="259">
          <cell r="A259">
            <v>10.07</v>
          </cell>
          <cell r="B259">
            <v>10.46</v>
          </cell>
        </row>
        <row r="260">
          <cell r="A260">
            <v>10.08</v>
          </cell>
          <cell r="B260">
            <v>10.47</v>
          </cell>
        </row>
        <row r="261">
          <cell r="A261">
            <v>10.09</v>
          </cell>
          <cell r="B261">
            <v>10.48</v>
          </cell>
        </row>
        <row r="262">
          <cell r="A262">
            <v>10.1</v>
          </cell>
          <cell r="B262">
            <v>10.49</v>
          </cell>
        </row>
        <row r="263">
          <cell r="A263">
            <v>10.11</v>
          </cell>
          <cell r="B263">
            <v>10.5</v>
          </cell>
        </row>
        <row r="264">
          <cell r="A264">
            <v>10.119999999999999</v>
          </cell>
          <cell r="B264">
            <v>10.51</v>
          </cell>
        </row>
        <row r="265">
          <cell r="A265">
            <v>10.130000000000001</v>
          </cell>
          <cell r="B265">
            <v>10.52</v>
          </cell>
        </row>
        <row r="266">
          <cell r="A266">
            <v>10.14</v>
          </cell>
          <cell r="B266">
            <v>10.53</v>
          </cell>
        </row>
        <row r="267">
          <cell r="A267">
            <v>10.15</v>
          </cell>
          <cell r="B267">
            <v>10.54</v>
          </cell>
        </row>
        <row r="268">
          <cell r="A268">
            <v>10.16</v>
          </cell>
          <cell r="B268">
            <v>10.55</v>
          </cell>
        </row>
        <row r="269">
          <cell r="A269">
            <v>10.17</v>
          </cell>
          <cell r="B269">
            <v>10.57</v>
          </cell>
        </row>
        <row r="270">
          <cell r="A270">
            <v>10.18</v>
          </cell>
          <cell r="B270">
            <v>10.58</v>
          </cell>
        </row>
        <row r="271">
          <cell r="A271">
            <v>10.19</v>
          </cell>
          <cell r="B271">
            <v>10.59</v>
          </cell>
        </row>
        <row r="272">
          <cell r="A272">
            <v>10.199999999999999</v>
          </cell>
          <cell r="B272">
            <v>10.6</v>
          </cell>
        </row>
        <row r="273">
          <cell r="A273">
            <v>10.210000000000001</v>
          </cell>
          <cell r="B273">
            <v>10.61</v>
          </cell>
        </row>
        <row r="274">
          <cell r="A274">
            <v>10.220000000000001</v>
          </cell>
          <cell r="B274">
            <v>10.62</v>
          </cell>
        </row>
        <row r="275">
          <cell r="A275">
            <v>10.23</v>
          </cell>
          <cell r="B275">
            <v>10.63</v>
          </cell>
        </row>
        <row r="276">
          <cell r="A276">
            <v>10.24</v>
          </cell>
          <cell r="B276">
            <v>10.64</v>
          </cell>
        </row>
        <row r="277">
          <cell r="A277">
            <v>10.25</v>
          </cell>
          <cell r="B277">
            <v>10.65</v>
          </cell>
        </row>
        <row r="278">
          <cell r="A278">
            <v>10.26</v>
          </cell>
          <cell r="B278">
            <v>10.66</v>
          </cell>
        </row>
        <row r="279">
          <cell r="A279">
            <v>10.27</v>
          </cell>
          <cell r="B279">
            <v>10.67</v>
          </cell>
        </row>
        <row r="280">
          <cell r="A280">
            <v>10.28</v>
          </cell>
          <cell r="B280">
            <v>10.68</v>
          </cell>
        </row>
        <row r="281">
          <cell r="A281">
            <v>10.29</v>
          </cell>
          <cell r="B281">
            <v>10.69</v>
          </cell>
        </row>
        <row r="282">
          <cell r="A282">
            <v>10.3</v>
          </cell>
          <cell r="B282">
            <v>10.71</v>
          </cell>
        </row>
        <row r="283">
          <cell r="A283">
            <v>10.31</v>
          </cell>
          <cell r="B283">
            <v>10.72</v>
          </cell>
        </row>
        <row r="284">
          <cell r="A284">
            <v>10.32</v>
          </cell>
          <cell r="B284">
            <v>10.73</v>
          </cell>
        </row>
        <row r="285">
          <cell r="A285">
            <v>10.33</v>
          </cell>
          <cell r="B285">
            <v>10.74</v>
          </cell>
        </row>
        <row r="286">
          <cell r="A286">
            <v>10.34</v>
          </cell>
          <cell r="B286">
            <v>10.75</v>
          </cell>
        </row>
        <row r="287">
          <cell r="A287">
            <v>10.35</v>
          </cell>
          <cell r="B287">
            <v>10.76</v>
          </cell>
        </row>
        <row r="288">
          <cell r="A288">
            <v>10.36</v>
          </cell>
          <cell r="B288">
            <v>10.77</v>
          </cell>
        </row>
        <row r="289">
          <cell r="A289">
            <v>10.37</v>
          </cell>
          <cell r="B289">
            <v>10.78</v>
          </cell>
        </row>
        <row r="290">
          <cell r="A290">
            <v>10.38</v>
          </cell>
          <cell r="B290">
            <v>10.79</v>
          </cell>
        </row>
        <row r="291">
          <cell r="A291">
            <v>10.39</v>
          </cell>
          <cell r="B291">
            <v>10.8</v>
          </cell>
        </row>
        <row r="292">
          <cell r="A292">
            <v>10.4</v>
          </cell>
          <cell r="B292">
            <v>10.81</v>
          </cell>
        </row>
        <row r="293">
          <cell r="A293">
            <v>10.41</v>
          </cell>
          <cell r="B293">
            <v>10.82</v>
          </cell>
        </row>
        <row r="294">
          <cell r="A294">
            <v>10.42</v>
          </cell>
          <cell r="B294">
            <v>10.84</v>
          </cell>
        </row>
        <row r="295">
          <cell r="A295">
            <v>10.43</v>
          </cell>
          <cell r="B295">
            <v>10.85</v>
          </cell>
        </row>
        <row r="296">
          <cell r="A296">
            <v>10.44</v>
          </cell>
          <cell r="B296">
            <v>10.86</v>
          </cell>
        </row>
        <row r="297">
          <cell r="A297">
            <v>10.45</v>
          </cell>
          <cell r="B297">
            <v>10.87</v>
          </cell>
        </row>
        <row r="298">
          <cell r="A298">
            <v>10.46</v>
          </cell>
          <cell r="B298">
            <v>10.88</v>
          </cell>
        </row>
        <row r="299">
          <cell r="A299">
            <v>10.47</v>
          </cell>
          <cell r="B299">
            <v>10.89</v>
          </cell>
        </row>
        <row r="300">
          <cell r="A300">
            <v>10.48</v>
          </cell>
          <cell r="B300">
            <v>10.9</v>
          </cell>
        </row>
        <row r="301">
          <cell r="A301">
            <v>10.49</v>
          </cell>
          <cell r="B301">
            <v>10.91</v>
          </cell>
        </row>
        <row r="302">
          <cell r="A302">
            <v>10.5</v>
          </cell>
          <cell r="B302">
            <v>10.92</v>
          </cell>
        </row>
        <row r="303">
          <cell r="A303">
            <v>10.51</v>
          </cell>
          <cell r="B303">
            <v>10.93</v>
          </cell>
        </row>
        <row r="304">
          <cell r="A304">
            <v>10.52</v>
          </cell>
          <cell r="B304">
            <v>10.94</v>
          </cell>
        </row>
        <row r="305">
          <cell r="A305">
            <v>10.53</v>
          </cell>
          <cell r="B305">
            <v>10.95</v>
          </cell>
        </row>
        <row r="306">
          <cell r="A306">
            <v>10.54</v>
          </cell>
          <cell r="B306">
            <v>10.97</v>
          </cell>
        </row>
        <row r="307">
          <cell r="A307">
            <v>10.55</v>
          </cell>
          <cell r="B307">
            <v>10.98</v>
          </cell>
        </row>
        <row r="308">
          <cell r="A308">
            <v>10.56</v>
          </cell>
          <cell r="B308">
            <v>10.99</v>
          </cell>
        </row>
        <row r="309">
          <cell r="A309">
            <v>10.57</v>
          </cell>
          <cell r="B309">
            <v>11</v>
          </cell>
        </row>
        <row r="310">
          <cell r="A310">
            <v>10.58</v>
          </cell>
          <cell r="B310">
            <v>11.01</v>
          </cell>
        </row>
        <row r="311">
          <cell r="A311">
            <v>10.59</v>
          </cell>
          <cell r="B311">
            <v>11.02</v>
          </cell>
        </row>
        <row r="312">
          <cell r="A312">
            <v>10.6</v>
          </cell>
          <cell r="B312">
            <v>11.03</v>
          </cell>
        </row>
        <row r="313">
          <cell r="A313">
            <v>10.61</v>
          </cell>
          <cell r="B313">
            <v>11.04</v>
          </cell>
        </row>
        <row r="314">
          <cell r="A314">
            <v>10.62</v>
          </cell>
          <cell r="B314">
            <v>11.05</v>
          </cell>
        </row>
        <row r="315">
          <cell r="A315">
            <v>10.63</v>
          </cell>
          <cell r="B315">
            <v>11.06</v>
          </cell>
        </row>
        <row r="316">
          <cell r="A316">
            <v>10.64</v>
          </cell>
          <cell r="B316">
            <v>11.07</v>
          </cell>
        </row>
        <row r="317">
          <cell r="A317">
            <v>10.65</v>
          </cell>
          <cell r="B317">
            <v>11.08</v>
          </cell>
        </row>
        <row r="318">
          <cell r="A318">
            <v>10.66</v>
          </cell>
          <cell r="B318">
            <v>11.1</v>
          </cell>
        </row>
        <row r="319">
          <cell r="A319">
            <v>10.67</v>
          </cell>
          <cell r="B319">
            <v>11.11</v>
          </cell>
        </row>
        <row r="320">
          <cell r="A320">
            <v>10.68</v>
          </cell>
          <cell r="B320">
            <v>11.12</v>
          </cell>
        </row>
        <row r="321">
          <cell r="A321">
            <v>10.69</v>
          </cell>
          <cell r="B321">
            <v>11.13</v>
          </cell>
        </row>
        <row r="322">
          <cell r="A322">
            <v>10.7</v>
          </cell>
          <cell r="B322">
            <v>11.14</v>
          </cell>
        </row>
        <row r="323">
          <cell r="A323">
            <v>10.71</v>
          </cell>
          <cell r="B323">
            <v>11.15</v>
          </cell>
        </row>
        <row r="324">
          <cell r="A324">
            <v>10.72</v>
          </cell>
          <cell r="B324">
            <v>11.16</v>
          </cell>
        </row>
        <row r="325">
          <cell r="A325">
            <v>10.73</v>
          </cell>
          <cell r="B325">
            <v>11.17</v>
          </cell>
        </row>
        <row r="326">
          <cell r="A326">
            <v>10.74</v>
          </cell>
          <cell r="B326">
            <v>11.18</v>
          </cell>
        </row>
        <row r="327">
          <cell r="A327">
            <v>10.75</v>
          </cell>
          <cell r="B327">
            <v>11.19</v>
          </cell>
        </row>
        <row r="328">
          <cell r="A328">
            <v>10.76</v>
          </cell>
          <cell r="B328">
            <v>11.2</v>
          </cell>
        </row>
        <row r="329">
          <cell r="A329">
            <v>10.77</v>
          </cell>
          <cell r="B329">
            <v>11.22</v>
          </cell>
        </row>
        <row r="330">
          <cell r="A330">
            <v>10.78</v>
          </cell>
          <cell r="B330">
            <v>11.23</v>
          </cell>
        </row>
        <row r="331">
          <cell r="A331">
            <v>10.79</v>
          </cell>
          <cell r="B331">
            <v>11.24</v>
          </cell>
        </row>
        <row r="332">
          <cell r="A332">
            <v>10.8</v>
          </cell>
          <cell r="B332">
            <v>11.25</v>
          </cell>
        </row>
        <row r="333">
          <cell r="A333">
            <v>10.81</v>
          </cell>
          <cell r="B333">
            <v>11.26</v>
          </cell>
        </row>
        <row r="334">
          <cell r="A334">
            <v>10.82</v>
          </cell>
          <cell r="B334">
            <v>11.27</v>
          </cell>
        </row>
        <row r="335">
          <cell r="A335">
            <v>10.83</v>
          </cell>
          <cell r="B335">
            <v>11.28</v>
          </cell>
        </row>
        <row r="336">
          <cell r="A336">
            <v>10.84</v>
          </cell>
          <cell r="B336">
            <v>11.29</v>
          </cell>
        </row>
        <row r="337">
          <cell r="A337">
            <v>10.85</v>
          </cell>
          <cell r="B337">
            <v>11.3</v>
          </cell>
        </row>
        <row r="338">
          <cell r="A338">
            <v>10.86</v>
          </cell>
          <cell r="B338">
            <v>11.31</v>
          </cell>
        </row>
        <row r="339">
          <cell r="A339">
            <v>10.87</v>
          </cell>
          <cell r="B339">
            <v>11.32</v>
          </cell>
        </row>
        <row r="340">
          <cell r="A340">
            <v>10.88</v>
          </cell>
          <cell r="B340">
            <v>11.33</v>
          </cell>
        </row>
        <row r="341">
          <cell r="A341">
            <v>10.89</v>
          </cell>
          <cell r="B341">
            <v>11.35</v>
          </cell>
        </row>
        <row r="342">
          <cell r="A342">
            <v>10.9</v>
          </cell>
          <cell r="B342">
            <v>11.36</v>
          </cell>
        </row>
        <row r="343">
          <cell r="A343">
            <v>10.91</v>
          </cell>
          <cell r="B343">
            <v>11.37</v>
          </cell>
        </row>
        <row r="344">
          <cell r="A344">
            <v>10.92</v>
          </cell>
          <cell r="B344">
            <v>11.38</v>
          </cell>
        </row>
        <row r="345">
          <cell r="A345">
            <v>10.93</v>
          </cell>
          <cell r="B345">
            <v>11.39</v>
          </cell>
        </row>
        <row r="346">
          <cell r="A346">
            <v>10.94</v>
          </cell>
          <cell r="B346">
            <v>11.4</v>
          </cell>
        </row>
        <row r="347">
          <cell r="A347">
            <v>10.95</v>
          </cell>
          <cell r="B347">
            <v>11.41</v>
          </cell>
        </row>
        <row r="348">
          <cell r="A348">
            <v>10.96</v>
          </cell>
          <cell r="B348">
            <v>11.42</v>
          </cell>
        </row>
        <row r="349">
          <cell r="A349">
            <v>10.97</v>
          </cell>
          <cell r="B349">
            <v>11.43</v>
          </cell>
        </row>
        <row r="350">
          <cell r="A350">
            <v>10.98</v>
          </cell>
          <cell r="B350">
            <v>11.44</v>
          </cell>
        </row>
        <row r="351">
          <cell r="A351">
            <v>10.99</v>
          </cell>
          <cell r="B351">
            <v>11.45</v>
          </cell>
        </row>
        <row r="352">
          <cell r="A352">
            <v>11</v>
          </cell>
          <cell r="B352">
            <v>11.47</v>
          </cell>
        </row>
        <row r="353">
          <cell r="A353">
            <v>11.01</v>
          </cell>
          <cell r="B353">
            <v>11.48</v>
          </cell>
        </row>
        <row r="354">
          <cell r="A354">
            <v>11.02</v>
          </cell>
          <cell r="B354">
            <v>11.49</v>
          </cell>
        </row>
        <row r="355">
          <cell r="A355">
            <v>11.03</v>
          </cell>
          <cell r="B355">
            <v>11.5</v>
          </cell>
        </row>
        <row r="356">
          <cell r="A356">
            <v>11.04</v>
          </cell>
          <cell r="B356">
            <v>11.51</v>
          </cell>
        </row>
        <row r="357">
          <cell r="A357">
            <v>11.05</v>
          </cell>
          <cell r="B357">
            <v>11.52</v>
          </cell>
        </row>
        <row r="358">
          <cell r="A358">
            <v>11.06</v>
          </cell>
          <cell r="B358">
            <v>11.53</v>
          </cell>
        </row>
        <row r="359">
          <cell r="A359">
            <v>11.07</v>
          </cell>
          <cell r="B359">
            <v>11.54</v>
          </cell>
        </row>
        <row r="360">
          <cell r="A360">
            <v>11.08</v>
          </cell>
          <cell r="B360">
            <v>11.55</v>
          </cell>
        </row>
        <row r="361">
          <cell r="A361">
            <v>11.09</v>
          </cell>
          <cell r="B361">
            <v>11.56</v>
          </cell>
        </row>
        <row r="362">
          <cell r="A362">
            <v>11.1</v>
          </cell>
          <cell r="B362">
            <v>11.57</v>
          </cell>
        </row>
        <row r="363">
          <cell r="A363">
            <v>11.11</v>
          </cell>
          <cell r="B363">
            <v>11.58</v>
          </cell>
        </row>
        <row r="364">
          <cell r="A364">
            <v>11.12</v>
          </cell>
          <cell r="B364">
            <v>11.6</v>
          </cell>
        </row>
        <row r="365">
          <cell r="A365">
            <v>11.13</v>
          </cell>
          <cell r="B365">
            <v>11.61</v>
          </cell>
        </row>
        <row r="366">
          <cell r="A366">
            <v>11.14</v>
          </cell>
          <cell r="B366">
            <v>11.62</v>
          </cell>
        </row>
        <row r="367">
          <cell r="A367">
            <v>11.15</v>
          </cell>
          <cell r="B367">
            <v>11.63</v>
          </cell>
        </row>
        <row r="368">
          <cell r="A368">
            <v>11.16</v>
          </cell>
          <cell r="B368">
            <v>11.64</v>
          </cell>
        </row>
        <row r="369">
          <cell r="A369">
            <v>11.17</v>
          </cell>
          <cell r="B369">
            <v>11.65</v>
          </cell>
        </row>
        <row r="370">
          <cell r="A370">
            <v>11.18</v>
          </cell>
          <cell r="B370">
            <v>11.66</v>
          </cell>
        </row>
        <row r="371">
          <cell r="A371">
            <v>11.19</v>
          </cell>
          <cell r="B371">
            <v>11.67</v>
          </cell>
        </row>
        <row r="372">
          <cell r="A372">
            <v>11.2</v>
          </cell>
          <cell r="B372">
            <v>11.68</v>
          </cell>
        </row>
        <row r="373">
          <cell r="A373">
            <v>11.21</v>
          </cell>
          <cell r="B373">
            <v>11.69</v>
          </cell>
        </row>
        <row r="374">
          <cell r="A374">
            <v>11.22</v>
          </cell>
          <cell r="B374">
            <v>11.7</v>
          </cell>
        </row>
        <row r="375">
          <cell r="A375">
            <v>11.23</v>
          </cell>
          <cell r="B375">
            <v>11.72</v>
          </cell>
        </row>
        <row r="376">
          <cell r="A376">
            <v>11.24</v>
          </cell>
          <cell r="B376">
            <v>11.73</v>
          </cell>
        </row>
        <row r="377">
          <cell r="A377">
            <v>11.25</v>
          </cell>
          <cell r="B377">
            <v>11.74</v>
          </cell>
        </row>
        <row r="378">
          <cell r="A378">
            <v>11.26</v>
          </cell>
          <cell r="B378">
            <v>11.75</v>
          </cell>
        </row>
        <row r="379">
          <cell r="A379">
            <v>11.27</v>
          </cell>
          <cell r="B379">
            <v>11.76</v>
          </cell>
        </row>
        <row r="380">
          <cell r="A380">
            <v>11.28</v>
          </cell>
          <cell r="B380">
            <v>11.77</v>
          </cell>
        </row>
        <row r="381">
          <cell r="A381">
            <v>11.29</v>
          </cell>
          <cell r="B381">
            <v>11.78</v>
          </cell>
        </row>
        <row r="382">
          <cell r="A382">
            <v>11.3</v>
          </cell>
          <cell r="B382">
            <v>11.79</v>
          </cell>
        </row>
        <row r="383">
          <cell r="A383">
            <v>11.31</v>
          </cell>
          <cell r="B383">
            <v>11.8</v>
          </cell>
        </row>
        <row r="384">
          <cell r="A384">
            <v>11.32</v>
          </cell>
          <cell r="B384">
            <v>11.81</v>
          </cell>
        </row>
        <row r="385">
          <cell r="A385">
            <v>11.33</v>
          </cell>
          <cell r="B385">
            <v>11.82</v>
          </cell>
        </row>
        <row r="386">
          <cell r="A386">
            <v>11.34</v>
          </cell>
          <cell r="B386">
            <v>11.84</v>
          </cell>
        </row>
        <row r="387">
          <cell r="A387">
            <v>11.35</v>
          </cell>
          <cell r="B387">
            <v>11.85</v>
          </cell>
        </row>
        <row r="388">
          <cell r="A388">
            <v>11.36</v>
          </cell>
          <cell r="B388">
            <v>11.86</v>
          </cell>
        </row>
        <row r="389">
          <cell r="A389">
            <v>11.37</v>
          </cell>
          <cell r="B389">
            <v>11.87</v>
          </cell>
        </row>
        <row r="390">
          <cell r="A390">
            <v>11.38</v>
          </cell>
          <cell r="B390">
            <v>11.88</v>
          </cell>
        </row>
        <row r="391">
          <cell r="A391">
            <v>11.39</v>
          </cell>
          <cell r="B391">
            <v>11.89</v>
          </cell>
        </row>
        <row r="392">
          <cell r="A392">
            <v>11.4</v>
          </cell>
          <cell r="B392">
            <v>11.9</v>
          </cell>
        </row>
        <row r="393">
          <cell r="A393">
            <v>11.41</v>
          </cell>
          <cell r="B393">
            <v>11.91</v>
          </cell>
        </row>
        <row r="394">
          <cell r="A394">
            <v>11.42</v>
          </cell>
          <cell r="B394">
            <v>11.92</v>
          </cell>
        </row>
        <row r="395">
          <cell r="A395">
            <v>11.43</v>
          </cell>
          <cell r="B395">
            <v>11.93</v>
          </cell>
        </row>
        <row r="396">
          <cell r="A396">
            <v>11.44</v>
          </cell>
          <cell r="B396">
            <v>11.94</v>
          </cell>
        </row>
        <row r="397">
          <cell r="A397">
            <v>11.45</v>
          </cell>
          <cell r="B397">
            <v>11.96</v>
          </cell>
        </row>
        <row r="398">
          <cell r="A398">
            <v>11.46</v>
          </cell>
          <cell r="B398">
            <v>11.97</v>
          </cell>
        </row>
        <row r="399">
          <cell r="A399">
            <v>11.47</v>
          </cell>
          <cell r="B399">
            <v>11.98</v>
          </cell>
        </row>
        <row r="400">
          <cell r="A400">
            <v>11.48</v>
          </cell>
          <cell r="B400">
            <v>11.99</v>
          </cell>
        </row>
        <row r="401">
          <cell r="A401">
            <v>11.49</v>
          </cell>
          <cell r="B401">
            <v>12</v>
          </cell>
        </row>
        <row r="402">
          <cell r="A402">
            <v>11.5</v>
          </cell>
          <cell r="B402">
            <v>12.01</v>
          </cell>
        </row>
        <row r="403">
          <cell r="A403">
            <v>11.51</v>
          </cell>
          <cell r="B403">
            <v>12.02</v>
          </cell>
        </row>
        <row r="404">
          <cell r="A404">
            <v>11.52</v>
          </cell>
          <cell r="B404">
            <v>12.03</v>
          </cell>
        </row>
        <row r="405">
          <cell r="A405">
            <v>11.53</v>
          </cell>
          <cell r="B405">
            <v>12.04</v>
          </cell>
        </row>
        <row r="406">
          <cell r="A406">
            <v>11.54</v>
          </cell>
          <cell r="B406">
            <v>12.05</v>
          </cell>
        </row>
        <row r="407">
          <cell r="A407">
            <v>11.55</v>
          </cell>
          <cell r="B407">
            <v>12.06</v>
          </cell>
        </row>
        <row r="408">
          <cell r="A408">
            <v>11.56</v>
          </cell>
          <cell r="B408">
            <v>12.08</v>
          </cell>
        </row>
        <row r="409">
          <cell r="A409">
            <v>11.57</v>
          </cell>
          <cell r="B409">
            <v>12.09</v>
          </cell>
        </row>
        <row r="410">
          <cell r="A410">
            <v>11.58</v>
          </cell>
          <cell r="B410">
            <v>12.1</v>
          </cell>
        </row>
        <row r="411">
          <cell r="A411">
            <v>11.59</v>
          </cell>
          <cell r="B411">
            <v>12.11</v>
          </cell>
        </row>
        <row r="412">
          <cell r="A412">
            <v>11.6</v>
          </cell>
          <cell r="B412">
            <v>12.12</v>
          </cell>
        </row>
        <row r="413">
          <cell r="A413">
            <v>11.61</v>
          </cell>
          <cell r="B413">
            <v>12.13</v>
          </cell>
        </row>
        <row r="414">
          <cell r="A414">
            <v>11.62</v>
          </cell>
          <cell r="B414">
            <v>12.14</v>
          </cell>
        </row>
        <row r="415">
          <cell r="A415">
            <v>11.63</v>
          </cell>
          <cell r="B415">
            <v>12.15</v>
          </cell>
        </row>
        <row r="416">
          <cell r="A416">
            <v>11.64</v>
          </cell>
          <cell r="B416">
            <v>12.16</v>
          </cell>
        </row>
        <row r="417">
          <cell r="A417">
            <v>11.65</v>
          </cell>
          <cell r="B417">
            <v>12.17</v>
          </cell>
        </row>
        <row r="418">
          <cell r="A418">
            <v>11.66</v>
          </cell>
          <cell r="B418">
            <v>12.19</v>
          </cell>
        </row>
        <row r="419">
          <cell r="A419">
            <v>11.67</v>
          </cell>
          <cell r="B419">
            <v>12.2</v>
          </cell>
        </row>
        <row r="420">
          <cell r="A420">
            <v>11.68</v>
          </cell>
          <cell r="B420">
            <v>12.21</v>
          </cell>
        </row>
        <row r="421">
          <cell r="A421">
            <v>11.69</v>
          </cell>
          <cell r="B421">
            <v>12.22</v>
          </cell>
        </row>
        <row r="422">
          <cell r="A422">
            <v>11.7</v>
          </cell>
          <cell r="B422">
            <v>12.23</v>
          </cell>
        </row>
        <row r="423">
          <cell r="A423">
            <v>11.71</v>
          </cell>
          <cell r="B423">
            <v>12.24</v>
          </cell>
        </row>
        <row r="424">
          <cell r="A424">
            <v>11.72</v>
          </cell>
          <cell r="B424">
            <v>12.25</v>
          </cell>
        </row>
        <row r="425">
          <cell r="A425">
            <v>11.73</v>
          </cell>
          <cell r="B425">
            <v>12.26</v>
          </cell>
        </row>
        <row r="426">
          <cell r="A426">
            <v>11.74</v>
          </cell>
          <cell r="B426">
            <v>12.27</v>
          </cell>
        </row>
        <row r="427">
          <cell r="A427">
            <v>11.75</v>
          </cell>
          <cell r="B427">
            <v>12.28</v>
          </cell>
        </row>
        <row r="428">
          <cell r="A428">
            <v>11.76</v>
          </cell>
          <cell r="B428">
            <v>12.29</v>
          </cell>
        </row>
        <row r="429">
          <cell r="A429">
            <v>11.77</v>
          </cell>
          <cell r="B429">
            <v>12.31</v>
          </cell>
        </row>
        <row r="430">
          <cell r="A430">
            <v>11.78</v>
          </cell>
          <cell r="B430">
            <v>12.32</v>
          </cell>
        </row>
        <row r="431">
          <cell r="A431">
            <v>11.79</v>
          </cell>
          <cell r="B431">
            <v>12.33</v>
          </cell>
        </row>
        <row r="432">
          <cell r="A432">
            <v>11.8</v>
          </cell>
          <cell r="B432">
            <v>12.34</v>
          </cell>
        </row>
        <row r="433">
          <cell r="A433">
            <v>11.81</v>
          </cell>
          <cell r="B433">
            <v>12.35</v>
          </cell>
        </row>
        <row r="434">
          <cell r="A434">
            <v>11.82</v>
          </cell>
          <cell r="B434">
            <v>12.36</v>
          </cell>
        </row>
        <row r="435">
          <cell r="A435">
            <v>11.83</v>
          </cell>
          <cell r="B435">
            <v>12.37</v>
          </cell>
        </row>
        <row r="436">
          <cell r="A436">
            <v>11.84</v>
          </cell>
          <cell r="B436">
            <v>12.38</v>
          </cell>
        </row>
        <row r="437">
          <cell r="A437">
            <v>11.85</v>
          </cell>
          <cell r="B437">
            <v>12.39</v>
          </cell>
        </row>
        <row r="438">
          <cell r="A438">
            <v>11.86</v>
          </cell>
          <cell r="B438">
            <v>12.4</v>
          </cell>
        </row>
        <row r="439">
          <cell r="A439">
            <v>11.87</v>
          </cell>
          <cell r="B439">
            <v>12.42</v>
          </cell>
        </row>
        <row r="440">
          <cell r="A440">
            <v>11.88</v>
          </cell>
          <cell r="B440">
            <v>12.43</v>
          </cell>
        </row>
        <row r="441">
          <cell r="A441">
            <v>11.89</v>
          </cell>
          <cell r="B441">
            <v>12.44</v>
          </cell>
        </row>
        <row r="442">
          <cell r="A442">
            <v>11.9</v>
          </cell>
          <cell r="B442">
            <v>12.45</v>
          </cell>
        </row>
        <row r="443">
          <cell r="A443">
            <v>11.91</v>
          </cell>
          <cell r="B443">
            <v>12.46</v>
          </cell>
        </row>
        <row r="444">
          <cell r="A444">
            <v>11.92</v>
          </cell>
          <cell r="B444">
            <v>12.47</v>
          </cell>
        </row>
        <row r="445">
          <cell r="A445">
            <v>11.93</v>
          </cell>
          <cell r="B445">
            <v>12.48</v>
          </cell>
        </row>
        <row r="446">
          <cell r="A446">
            <v>11.94</v>
          </cell>
          <cell r="B446">
            <v>12.49</v>
          </cell>
        </row>
        <row r="447">
          <cell r="A447">
            <v>11.95</v>
          </cell>
          <cell r="B447">
            <v>12.5</v>
          </cell>
        </row>
        <row r="448">
          <cell r="A448">
            <v>11.96</v>
          </cell>
          <cell r="B448">
            <v>12.51</v>
          </cell>
        </row>
        <row r="449">
          <cell r="A449">
            <v>11.97</v>
          </cell>
          <cell r="B449">
            <v>12.52</v>
          </cell>
        </row>
        <row r="450">
          <cell r="A450">
            <v>11.98</v>
          </cell>
          <cell r="B450">
            <v>12.54</v>
          </cell>
        </row>
        <row r="451">
          <cell r="A451">
            <v>11.99</v>
          </cell>
          <cell r="B451">
            <v>12.55</v>
          </cell>
        </row>
        <row r="452">
          <cell r="A452">
            <v>12</v>
          </cell>
          <cell r="B452">
            <v>12.56</v>
          </cell>
        </row>
        <row r="453">
          <cell r="A453">
            <v>12.01</v>
          </cell>
          <cell r="B453">
            <v>12.57</v>
          </cell>
        </row>
        <row r="454">
          <cell r="A454">
            <v>12.02</v>
          </cell>
          <cell r="B454">
            <v>12.58</v>
          </cell>
        </row>
        <row r="455">
          <cell r="A455">
            <v>12.03</v>
          </cell>
          <cell r="B455">
            <v>12.59</v>
          </cell>
        </row>
        <row r="456">
          <cell r="A456">
            <v>12.04</v>
          </cell>
          <cell r="B456">
            <v>12.6</v>
          </cell>
        </row>
        <row r="457">
          <cell r="A457">
            <v>12.05</v>
          </cell>
          <cell r="B457">
            <v>12.61</v>
          </cell>
        </row>
        <row r="458">
          <cell r="A458">
            <v>12.06</v>
          </cell>
          <cell r="B458">
            <v>12.62</v>
          </cell>
        </row>
        <row r="459">
          <cell r="A459">
            <v>12.07</v>
          </cell>
          <cell r="B459">
            <v>12.63</v>
          </cell>
        </row>
        <row r="460">
          <cell r="A460">
            <v>12.08</v>
          </cell>
          <cell r="B460">
            <v>12.65</v>
          </cell>
        </row>
        <row r="461">
          <cell r="A461">
            <v>12.09</v>
          </cell>
          <cell r="B461">
            <v>12.66</v>
          </cell>
        </row>
        <row r="462">
          <cell r="A462">
            <v>12.1</v>
          </cell>
          <cell r="B462">
            <v>12.67</v>
          </cell>
        </row>
        <row r="463">
          <cell r="A463">
            <v>12.11</v>
          </cell>
          <cell r="B463">
            <v>12.68</v>
          </cell>
        </row>
        <row r="464">
          <cell r="A464">
            <v>12.12</v>
          </cell>
          <cell r="B464">
            <v>12.69</v>
          </cell>
        </row>
        <row r="465">
          <cell r="A465">
            <v>12.13</v>
          </cell>
          <cell r="B465">
            <v>12.7</v>
          </cell>
        </row>
        <row r="466">
          <cell r="A466">
            <v>12.14</v>
          </cell>
          <cell r="B466">
            <v>12.71</v>
          </cell>
        </row>
        <row r="467">
          <cell r="A467">
            <v>12.15</v>
          </cell>
          <cell r="B467">
            <v>12.72</v>
          </cell>
        </row>
        <row r="468">
          <cell r="A468">
            <v>12.16</v>
          </cell>
          <cell r="B468">
            <v>12.73</v>
          </cell>
        </row>
        <row r="469">
          <cell r="A469">
            <v>12.17</v>
          </cell>
          <cell r="B469">
            <v>12.74</v>
          </cell>
        </row>
        <row r="470">
          <cell r="A470">
            <v>12.18</v>
          </cell>
          <cell r="B470">
            <v>12.76</v>
          </cell>
        </row>
        <row r="471">
          <cell r="A471">
            <v>12.19</v>
          </cell>
          <cell r="B471">
            <v>12.77</v>
          </cell>
        </row>
        <row r="472">
          <cell r="A472">
            <v>12.2</v>
          </cell>
          <cell r="B472">
            <v>12.78</v>
          </cell>
        </row>
        <row r="473">
          <cell r="A473">
            <v>12.21</v>
          </cell>
          <cell r="B473">
            <v>12.79</v>
          </cell>
        </row>
        <row r="474">
          <cell r="A474">
            <v>12.22</v>
          </cell>
          <cell r="B474">
            <v>12.8</v>
          </cell>
        </row>
        <row r="475">
          <cell r="A475">
            <v>12.23</v>
          </cell>
          <cell r="B475">
            <v>12.81</v>
          </cell>
        </row>
        <row r="476">
          <cell r="A476">
            <v>12.24</v>
          </cell>
          <cell r="B476">
            <v>12.82</v>
          </cell>
        </row>
        <row r="477">
          <cell r="A477">
            <v>12.25</v>
          </cell>
          <cell r="B477">
            <v>12.83</v>
          </cell>
        </row>
        <row r="478">
          <cell r="A478">
            <v>12.26</v>
          </cell>
          <cell r="B478">
            <v>12.84</v>
          </cell>
        </row>
        <row r="479">
          <cell r="A479">
            <v>12.27</v>
          </cell>
          <cell r="B479">
            <v>12.85</v>
          </cell>
        </row>
        <row r="480">
          <cell r="A480">
            <v>12.28</v>
          </cell>
          <cell r="B480">
            <v>12.86</v>
          </cell>
        </row>
        <row r="481">
          <cell r="A481">
            <v>12.29</v>
          </cell>
          <cell r="B481">
            <v>12.88</v>
          </cell>
        </row>
        <row r="482">
          <cell r="A482">
            <v>12.3</v>
          </cell>
          <cell r="B482">
            <v>12.89</v>
          </cell>
        </row>
        <row r="483">
          <cell r="A483">
            <v>12.31</v>
          </cell>
          <cell r="B483">
            <v>12.9</v>
          </cell>
        </row>
        <row r="484">
          <cell r="A484">
            <v>12.32</v>
          </cell>
          <cell r="B484">
            <v>12.91</v>
          </cell>
        </row>
        <row r="485">
          <cell r="A485">
            <v>12.33</v>
          </cell>
          <cell r="B485">
            <v>12.92</v>
          </cell>
        </row>
        <row r="486">
          <cell r="A486">
            <v>12.34</v>
          </cell>
          <cell r="B486">
            <v>12.93</v>
          </cell>
        </row>
        <row r="487">
          <cell r="A487">
            <v>12.35</v>
          </cell>
          <cell r="B487">
            <v>12.94</v>
          </cell>
        </row>
        <row r="488">
          <cell r="A488">
            <v>12.36</v>
          </cell>
          <cell r="B488">
            <v>12.95</v>
          </cell>
        </row>
        <row r="489">
          <cell r="A489">
            <v>12.37</v>
          </cell>
          <cell r="B489">
            <v>12.96</v>
          </cell>
        </row>
        <row r="490">
          <cell r="A490">
            <v>12.38</v>
          </cell>
          <cell r="B490">
            <v>12.97</v>
          </cell>
        </row>
        <row r="491">
          <cell r="A491">
            <v>12.39</v>
          </cell>
          <cell r="B491">
            <v>12.99</v>
          </cell>
        </row>
        <row r="492">
          <cell r="A492">
            <v>12.4</v>
          </cell>
          <cell r="B492">
            <v>13</v>
          </cell>
        </row>
        <row r="493">
          <cell r="A493">
            <v>12.41</v>
          </cell>
          <cell r="B493">
            <v>13.01</v>
          </cell>
        </row>
        <row r="494">
          <cell r="A494">
            <v>12.42</v>
          </cell>
          <cell r="B494">
            <v>13.02</v>
          </cell>
        </row>
        <row r="495">
          <cell r="A495">
            <v>12.43</v>
          </cell>
          <cell r="B495">
            <v>13.03</v>
          </cell>
        </row>
        <row r="496">
          <cell r="A496">
            <v>12.44</v>
          </cell>
          <cell r="B496">
            <v>13.04</v>
          </cell>
        </row>
        <row r="497">
          <cell r="A497">
            <v>12.45</v>
          </cell>
          <cell r="B497">
            <v>13.05</v>
          </cell>
        </row>
        <row r="498">
          <cell r="A498">
            <v>12.46</v>
          </cell>
          <cell r="B498">
            <v>13.06</v>
          </cell>
        </row>
        <row r="499">
          <cell r="A499">
            <v>12.47</v>
          </cell>
          <cell r="B499">
            <v>13.07</v>
          </cell>
        </row>
        <row r="500">
          <cell r="A500">
            <v>12.48</v>
          </cell>
          <cell r="B500">
            <v>13.08</v>
          </cell>
        </row>
        <row r="501">
          <cell r="A501">
            <v>12.49</v>
          </cell>
          <cell r="B501">
            <v>13.1</v>
          </cell>
        </row>
        <row r="502">
          <cell r="A502">
            <v>12.5</v>
          </cell>
          <cell r="B502">
            <v>13.11</v>
          </cell>
        </row>
        <row r="503">
          <cell r="A503">
            <v>12.51</v>
          </cell>
          <cell r="B503">
            <v>13.12</v>
          </cell>
        </row>
        <row r="504">
          <cell r="A504">
            <v>12.52</v>
          </cell>
          <cell r="B504">
            <v>13.13</v>
          </cell>
        </row>
        <row r="505">
          <cell r="A505">
            <v>12.53</v>
          </cell>
          <cell r="B505">
            <v>13.14</v>
          </cell>
        </row>
        <row r="506">
          <cell r="A506">
            <v>12.54</v>
          </cell>
          <cell r="B506">
            <v>13.15</v>
          </cell>
        </row>
        <row r="507">
          <cell r="A507">
            <v>12.55</v>
          </cell>
          <cell r="B507">
            <v>13.16</v>
          </cell>
        </row>
        <row r="508">
          <cell r="A508">
            <v>12.56</v>
          </cell>
          <cell r="B508">
            <v>13.17</v>
          </cell>
        </row>
        <row r="509">
          <cell r="A509">
            <v>12.57</v>
          </cell>
          <cell r="B509">
            <v>13.18</v>
          </cell>
        </row>
        <row r="510">
          <cell r="A510">
            <v>12.58</v>
          </cell>
          <cell r="B510">
            <v>13.2</v>
          </cell>
        </row>
        <row r="511">
          <cell r="A511">
            <v>12.59</v>
          </cell>
          <cell r="B511">
            <v>13.21</v>
          </cell>
        </row>
        <row r="512">
          <cell r="A512">
            <v>12.6</v>
          </cell>
          <cell r="B512">
            <v>13.22</v>
          </cell>
        </row>
        <row r="513">
          <cell r="A513">
            <v>12.61</v>
          </cell>
          <cell r="B513">
            <v>13.23</v>
          </cell>
        </row>
        <row r="514">
          <cell r="A514">
            <v>12.62</v>
          </cell>
          <cell r="B514">
            <v>13.24</v>
          </cell>
        </row>
        <row r="515">
          <cell r="A515">
            <v>12.63</v>
          </cell>
          <cell r="B515">
            <v>13.25</v>
          </cell>
        </row>
        <row r="516">
          <cell r="A516">
            <v>12.64</v>
          </cell>
          <cell r="B516">
            <v>13.26</v>
          </cell>
        </row>
        <row r="517">
          <cell r="A517">
            <v>12.65</v>
          </cell>
          <cell r="B517">
            <v>13.27</v>
          </cell>
        </row>
        <row r="518">
          <cell r="A518">
            <v>12.66</v>
          </cell>
          <cell r="B518">
            <v>13.28</v>
          </cell>
        </row>
        <row r="519">
          <cell r="A519">
            <v>12.67</v>
          </cell>
          <cell r="B519">
            <v>13.29</v>
          </cell>
        </row>
        <row r="520">
          <cell r="A520">
            <v>12.68</v>
          </cell>
          <cell r="B520">
            <v>13.31</v>
          </cell>
        </row>
        <row r="521">
          <cell r="A521">
            <v>12.69</v>
          </cell>
          <cell r="B521">
            <v>13.32</v>
          </cell>
        </row>
        <row r="522">
          <cell r="A522">
            <v>12.7</v>
          </cell>
          <cell r="B522">
            <v>13.33</v>
          </cell>
        </row>
        <row r="523">
          <cell r="A523">
            <v>12.71</v>
          </cell>
          <cell r="B523">
            <v>13.34</v>
          </cell>
        </row>
        <row r="524">
          <cell r="A524">
            <v>12.72</v>
          </cell>
          <cell r="B524">
            <v>13.35</v>
          </cell>
        </row>
        <row r="525">
          <cell r="A525">
            <v>12.73</v>
          </cell>
          <cell r="B525">
            <v>13.36</v>
          </cell>
        </row>
        <row r="526">
          <cell r="A526">
            <v>12.74</v>
          </cell>
          <cell r="B526">
            <v>13.37</v>
          </cell>
        </row>
        <row r="527">
          <cell r="A527">
            <v>12.75</v>
          </cell>
          <cell r="B527">
            <v>13.38</v>
          </cell>
        </row>
        <row r="528">
          <cell r="A528">
            <v>12.76</v>
          </cell>
          <cell r="B528">
            <v>13.39</v>
          </cell>
        </row>
        <row r="529">
          <cell r="A529">
            <v>12.77</v>
          </cell>
          <cell r="B529">
            <v>13.4</v>
          </cell>
        </row>
        <row r="530">
          <cell r="A530">
            <v>12.78</v>
          </cell>
          <cell r="B530">
            <v>13.41</v>
          </cell>
        </row>
        <row r="531">
          <cell r="A531">
            <v>12.79</v>
          </cell>
          <cell r="B531">
            <v>13.43</v>
          </cell>
        </row>
        <row r="532">
          <cell r="A532">
            <v>12.8</v>
          </cell>
          <cell r="B532">
            <v>13.44</v>
          </cell>
        </row>
        <row r="533">
          <cell r="A533">
            <v>12.81</v>
          </cell>
          <cell r="B533">
            <v>13.45</v>
          </cell>
        </row>
        <row r="534">
          <cell r="A534">
            <v>12.82</v>
          </cell>
          <cell r="B534">
            <v>13.46</v>
          </cell>
        </row>
        <row r="535">
          <cell r="A535">
            <v>12.83</v>
          </cell>
          <cell r="B535">
            <v>13.47</v>
          </cell>
        </row>
        <row r="536">
          <cell r="A536">
            <v>12.84</v>
          </cell>
          <cell r="B536">
            <v>13.48</v>
          </cell>
        </row>
        <row r="537">
          <cell r="A537">
            <v>12.85</v>
          </cell>
          <cell r="B537">
            <v>13.49</v>
          </cell>
        </row>
        <row r="538">
          <cell r="A538">
            <v>12.86</v>
          </cell>
          <cell r="B538">
            <v>13.5</v>
          </cell>
        </row>
        <row r="539">
          <cell r="A539">
            <v>12.87</v>
          </cell>
          <cell r="B539">
            <v>13.52</v>
          </cell>
        </row>
        <row r="540">
          <cell r="A540">
            <v>12.88</v>
          </cell>
          <cell r="B540">
            <v>13.53</v>
          </cell>
        </row>
        <row r="541">
          <cell r="A541">
            <v>12.89</v>
          </cell>
          <cell r="B541">
            <v>13.54</v>
          </cell>
        </row>
        <row r="542">
          <cell r="A542">
            <v>12.9</v>
          </cell>
          <cell r="B542">
            <v>13.55</v>
          </cell>
        </row>
        <row r="543">
          <cell r="A543">
            <v>12.91</v>
          </cell>
          <cell r="B543">
            <v>13.56</v>
          </cell>
        </row>
        <row r="544">
          <cell r="A544">
            <v>12.92</v>
          </cell>
          <cell r="B544">
            <v>13.57</v>
          </cell>
        </row>
        <row r="545">
          <cell r="A545">
            <v>12.93</v>
          </cell>
          <cell r="B545">
            <v>13.58</v>
          </cell>
        </row>
        <row r="546">
          <cell r="A546">
            <v>12.94</v>
          </cell>
          <cell r="B546">
            <v>13.59</v>
          </cell>
        </row>
        <row r="547">
          <cell r="A547">
            <v>12.95</v>
          </cell>
          <cell r="B547">
            <v>13.6</v>
          </cell>
        </row>
        <row r="548">
          <cell r="A548">
            <v>12.96</v>
          </cell>
          <cell r="B548">
            <v>13.61</v>
          </cell>
        </row>
        <row r="549">
          <cell r="A549">
            <v>12.97</v>
          </cell>
          <cell r="B549">
            <v>13.63</v>
          </cell>
        </row>
        <row r="550">
          <cell r="A550">
            <v>12.98</v>
          </cell>
          <cell r="B550">
            <v>13.64</v>
          </cell>
        </row>
        <row r="551">
          <cell r="A551">
            <v>12.99</v>
          </cell>
          <cell r="B551">
            <v>13.65</v>
          </cell>
        </row>
        <row r="552">
          <cell r="A552">
            <v>13</v>
          </cell>
          <cell r="B552">
            <v>13.66</v>
          </cell>
        </row>
        <row r="553">
          <cell r="A553">
            <v>13.01</v>
          </cell>
          <cell r="B553">
            <v>13.67</v>
          </cell>
        </row>
        <row r="554">
          <cell r="A554">
            <v>13.02</v>
          </cell>
          <cell r="B554">
            <v>13.68</v>
          </cell>
        </row>
        <row r="555">
          <cell r="A555">
            <v>13.03</v>
          </cell>
          <cell r="B555">
            <v>13.69</v>
          </cell>
        </row>
        <row r="556">
          <cell r="A556">
            <v>13.04</v>
          </cell>
          <cell r="B556">
            <v>13.7</v>
          </cell>
        </row>
        <row r="557">
          <cell r="A557">
            <v>13.05</v>
          </cell>
          <cell r="B557">
            <v>13.71</v>
          </cell>
        </row>
        <row r="558">
          <cell r="A558">
            <v>13.06</v>
          </cell>
          <cell r="B558">
            <v>13.73</v>
          </cell>
        </row>
        <row r="559">
          <cell r="A559">
            <v>13.07</v>
          </cell>
          <cell r="B559">
            <v>13.74</v>
          </cell>
        </row>
        <row r="560">
          <cell r="A560">
            <v>13.08</v>
          </cell>
          <cell r="B560">
            <v>13.75</v>
          </cell>
        </row>
        <row r="561">
          <cell r="A561">
            <v>13.09</v>
          </cell>
          <cell r="B561">
            <v>13.76</v>
          </cell>
        </row>
        <row r="562">
          <cell r="A562">
            <v>13.1</v>
          </cell>
          <cell r="B562">
            <v>13.77</v>
          </cell>
        </row>
        <row r="563">
          <cell r="A563">
            <v>13.11</v>
          </cell>
          <cell r="B563">
            <v>13.78</v>
          </cell>
        </row>
        <row r="564">
          <cell r="A564">
            <v>13.12</v>
          </cell>
          <cell r="B564">
            <v>13.79</v>
          </cell>
        </row>
        <row r="565">
          <cell r="A565">
            <v>13.13</v>
          </cell>
          <cell r="B565">
            <v>13.8</v>
          </cell>
        </row>
        <row r="566">
          <cell r="A566">
            <v>13.14</v>
          </cell>
          <cell r="B566">
            <v>13.81</v>
          </cell>
        </row>
        <row r="567">
          <cell r="A567">
            <v>13.15</v>
          </cell>
          <cell r="B567">
            <v>13.82</v>
          </cell>
        </row>
        <row r="568">
          <cell r="A568">
            <v>13.16</v>
          </cell>
          <cell r="B568">
            <v>13.84</v>
          </cell>
        </row>
        <row r="569">
          <cell r="A569">
            <v>13.17</v>
          </cell>
          <cell r="B569">
            <v>13.85</v>
          </cell>
        </row>
        <row r="570">
          <cell r="A570">
            <v>13.18</v>
          </cell>
          <cell r="B570">
            <v>13.86</v>
          </cell>
        </row>
        <row r="571">
          <cell r="A571">
            <v>13.19</v>
          </cell>
          <cell r="B571">
            <v>13.87</v>
          </cell>
        </row>
        <row r="572">
          <cell r="A572">
            <v>13.2</v>
          </cell>
          <cell r="B572">
            <v>13.88</v>
          </cell>
        </row>
        <row r="573">
          <cell r="A573">
            <v>13.21</v>
          </cell>
          <cell r="B573">
            <v>13.89</v>
          </cell>
        </row>
        <row r="574">
          <cell r="A574">
            <v>13.22</v>
          </cell>
          <cell r="B574">
            <v>13.9</v>
          </cell>
        </row>
        <row r="575">
          <cell r="A575">
            <v>13.23</v>
          </cell>
          <cell r="B575">
            <v>13.91</v>
          </cell>
        </row>
        <row r="576">
          <cell r="A576">
            <v>13.24</v>
          </cell>
          <cell r="B576">
            <v>13.92</v>
          </cell>
        </row>
        <row r="577">
          <cell r="A577">
            <v>13.25</v>
          </cell>
          <cell r="B577">
            <v>13.94</v>
          </cell>
        </row>
        <row r="578">
          <cell r="A578">
            <v>13.26</v>
          </cell>
          <cell r="B578">
            <v>13.95</v>
          </cell>
        </row>
        <row r="579">
          <cell r="A579">
            <v>13.27</v>
          </cell>
          <cell r="B579">
            <v>13.96</v>
          </cell>
        </row>
        <row r="580">
          <cell r="A580">
            <v>13.28</v>
          </cell>
          <cell r="B580">
            <v>13.97</v>
          </cell>
        </row>
        <row r="581">
          <cell r="A581">
            <v>13.29</v>
          </cell>
          <cell r="B581">
            <v>13.98</v>
          </cell>
        </row>
        <row r="582">
          <cell r="A582">
            <v>13.3</v>
          </cell>
          <cell r="B582">
            <v>13.99</v>
          </cell>
        </row>
        <row r="583">
          <cell r="A583">
            <v>13.31</v>
          </cell>
          <cell r="B583">
            <v>14</v>
          </cell>
        </row>
        <row r="584">
          <cell r="A584">
            <v>13.32</v>
          </cell>
          <cell r="B584">
            <v>14.01</v>
          </cell>
        </row>
        <row r="585">
          <cell r="A585">
            <v>13.33</v>
          </cell>
          <cell r="B585">
            <v>14.02</v>
          </cell>
        </row>
        <row r="586">
          <cell r="A586">
            <v>13.34</v>
          </cell>
          <cell r="B586">
            <v>14.04</v>
          </cell>
        </row>
        <row r="587">
          <cell r="A587">
            <v>13.35</v>
          </cell>
          <cell r="B587">
            <v>14.05</v>
          </cell>
        </row>
        <row r="588">
          <cell r="A588">
            <v>13.36</v>
          </cell>
          <cell r="B588">
            <v>14.06</v>
          </cell>
        </row>
        <row r="589">
          <cell r="A589">
            <v>13.37</v>
          </cell>
          <cell r="B589">
            <v>14.07</v>
          </cell>
        </row>
        <row r="590">
          <cell r="A590">
            <v>13.38</v>
          </cell>
          <cell r="B590">
            <v>14.08</v>
          </cell>
        </row>
        <row r="591">
          <cell r="A591">
            <v>13.39</v>
          </cell>
          <cell r="B591">
            <v>14.09</v>
          </cell>
        </row>
        <row r="592">
          <cell r="A592">
            <v>13.4</v>
          </cell>
          <cell r="B592">
            <v>14.1</v>
          </cell>
        </row>
        <row r="593">
          <cell r="A593">
            <v>13.41</v>
          </cell>
          <cell r="B593">
            <v>14.11</v>
          </cell>
        </row>
        <row r="594">
          <cell r="A594">
            <v>13.42</v>
          </cell>
          <cell r="B594">
            <v>14.12</v>
          </cell>
        </row>
        <row r="595">
          <cell r="A595">
            <v>13.43</v>
          </cell>
          <cell r="B595">
            <v>14.13</v>
          </cell>
        </row>
        <row r="596">
          <cell r="A596">
            <v>13.44</v>
          </cell>
          <cell r="B596">
            <v>14.15</v>
          </cell>
        </row>
        <row r="597">
          <cell r="A597">
            <v>13.45</v>
          </cell>
          <cell r="B597">
            <v>14.16</v>
          </cell>
        </row>
        <row r="598">
          <cell r="A598">
            <v>13.46</v>
          </cell>
          <cell r="B598">
            <v>14.17</v>
          </cell>
        </row>
        <row r="599">
          <cell r="A599">
            <v>13.47</v>
          </cell>
          <cell r="B599">
            <v>14.18</v>
          </cell>
        </row>
        <row r="600">
          <cell r="A600">
            <v>13.48</v>
          </cell>
          <cell r="B600">
            <v>14.19</v>
          </cell>
        </row>
        <row r="601">
          <cell r="A601">
            <v>13.49</v>
          </cell>
          <cell r="B601">
            <v>14.2</v>
          </cell>
        </row>
        <row r="602">
          <cell r="A602">
            <v>13.5</v>
          </cell>
          <cell r="B602">
            <v>14.21</v>
          </cell>
        </row>
        <row r="603">
          <cell r="A603">
            <v>13.51</v>
          </cell>
          <cell r="B603">
            <v>14.22</v>
          </cell>
        </row>
        <row r="604">
          <cell r="A604">
            <v>13.52</v>
          </cell>
          <cell r="B604">
            <v>14.23</v>
          </cell>
        </row>
        <row r="605">
          <cell r="A605">
            <v>13.53</v>
          </cell>
          <cell r="B605">
            <v>14.25</v>
          </cell>
        </row>
        <row r="606">
          <cell r="A606">
            <v>13.54</v>
          </cell>
          <cell r="B606">
            <v>14.26</v>
          </cell>
        </row>
        <row r="607">
          <cell r="A607">
            <v>13.55</v>
          </cell>
          <cell r="B607">
            <v>14.27</v>
          </cell>
        </row>
        <row r="608">
          <cell r="A608">
            <v>13.56</v>
          </cell>
          <cell r="B608">
            <v>14.28</v>
          </cell>
        </row>
        <row r="609">
          <cell r="A609">
            <v>13.57</v>
          </cell>
          <cell r="B609">
            <v>14.29</v>
          </cell>
        </row>
        <row r="610">
          <cell r="A610">
            <v>13.58</v>
          </cell>
          <cell r="B610">
            <v>14.3</v>
          </cell>
        </row>
        <row r="611">
          <cell r="A611">
            <v>13.59</v>
          </cell>
          <cell r="B611">
            <v>14.31</v>
          </cell>
        </row>
        <row r="612">
          <cell r="A612">
            <v>13.6</v>
          </cell>
          <cell r="B612">
            <v>14.32</v>
          </cell>
        </row>
        <row r="613">
          <cell r="A613">
            <v>13.61</v>
          </cell>
          <cell r="B613">
            <v>14.33</v>
          </cell>
        </row>
        <row r="614">
          <cell r="A614">
            <v>13.62</v>
          </cell>
          <cell r="B614">
            <v>14.35</v>
          </cell>
        </row>
        <row r="615">
          <cell r="A615">
            <v>13.63</v>
          </cell>
          <cell r="B615">
            <v>14.36</v>
          </cell>
        </row>
        <row r="616">
          <cell r="A616">
            <v>13.64</v>
          </cell>
          <cell r="B616">
            <v>14.37</v>
          </cell>
        </row>
        <row r="617">
          <cell r="A617">
            <v>13.65</v>
          </cell>
          <cell r="B617">
            <v>14.38</v>
          </cell>
        </row>
        <row r="618">
          <cell r="A618">
            <v>13.66</v>
          </cell>
          <cell r="B618">
            <v>14.39</v>
          </cell>
        </row>
        <row r="619">
          <cell r="A619">
            <v>13.67</v>
          </cell>
          <cell r="B619">
            <v>14.4</v>
          </cell>
        </row>
        <row r="620">
          <cell r="A620">
            <v>13.68</v>
          </cell>
          <cell r="B620">
            <v>14.41</v>
          </cell>
        </row>
        <row r="621">
          <cell r="A621">
            <v>13.69</v>
          </cell>
          <cell r="B621">
            <v>14.42</v>
          </cell>
        </row>
        <row r="622">
          <cell r="A622">
            <v>13.7</v>
          </cell>
          <cell r="B622">
            <v>14.43</v>
          </cell>
        </row>
        <row r="623">
          <cell r="A623">
            <v>13.71</v>
          </cell>
          <cell r="B623">
            <v>14.45</v>
          </cell>
        </row>
        <row r="624">
          <cell r="A624">
            <v>13.72</v>
          </cell>
          <cell r="B624">
            <v>14.46</v>
          </cell>
        </row>
        <row r="625">
          <cell r="A625">
            <v>13.73</v>
          </cell>
          <cell r="B625">
            <v>14.47</v>
          </cell>
        </row>
        <row r="626">
          <cell r="A626">
            <v>13.74</v>
          </cell>
          <cell r="B626">
            <v>14.48</v>
          </cell>
        </row>
        <row r="627">
          <cell r="A627">
            <v>13.75</v>
          </cell>
          <cell r="B627">
            <v>14.49</v>
          </cell>
        </row>
        <row r="628">
          <cell r="A628">
            <v>13.76</v>
          </cell>
          <cell r="B628">
            <v>14.5</v>
          </cell>
        </row>
        <row r="629">
          <cell r="A629">
            <v>13.77</v>
          </cell>
          <cell r="B629">
            <v>14.51</v>
          </cell>
        </row>
        <row r="630">
          <cell r="A630">
            <v>13.78</v>
          </cell>
          <cell r="B630">
            <v>14.52</v>
          </cell>
        </row>
        <row r="631">
          <cell r="A631">
            <v>13.79</v>
          </cell>
          <cell r="B631">
            <v>14.53</v>
          </cell>
        </row>
        <row r="632">
          <cell r="A632">
            <v>13.8</v>
          </cell>
          <cell r="B632">
            <v>14.55</v>
          </cell>
        </row>
        <row r="633">
          <cell r="A633">
            <v>13.81</v>
          </cell>
          <cell r="B633">
            <v>14.56</v>
          </cell>
        </row>
        <row r="634">
          <cell r="A634">
            <v>13.82</v>
          </cell>
          <cell r="B634">
            <v>14.57</v>
          </cell>
        </row>
        <row r="635">
          <cell r="A635">
            <v>13.83</v>
          </cell>
          <cell r="B635">
            <v>14.58</v>
          </cell>
        </row>
        <row r="636">
          <cell r="A636">
            <v>13.84</v>
          </cell>
          <cell r="B636">
            <v>14.59</v>
          </cell>
        </row>
        <row r="637">
          <cell r="A637">
            <v>13.85</v>
          </cell>
          <cell r="B637">
            <v>14.6</v>
          </cell>
        </row>
        <row r="638">
          <cell r="A638">
            <v>13.86</v>
          </cell>
          <cell r="B638">
            <v>14.61</v>
          </cell>
        </row>
        <row r="639">
          <cell r="A639">
            <v>13.87</v>
          </cell>
          <cell r="B639">
            <v>14.62</v>
          </cell>
        </row>
        <row r="640">
          <cell r="A640">
            <v>13.88</v>
          </cell>
          <cell r="B640">
            <v>14.63</v>
          </cell>
        </row>
        <row r="641">
          <cell r="A641">
            <v>13.89</v>
          </cell>
          <cell r="B641">
            <v>14.65</v>
          </cell>
        </row>
        <row r="642">
          <cell r="A642">
            <v>13.9</v>
          </cell>
          <cell r="B642">
            <v>14.66</v>
          </cell>
        </row>
        <row r="643">
          <cell r="A643">
            <v>13.91</v>
          </cell>
          <cell r="B643">
            <v>14.67</v>
          </cell>
        </row>
        <row r="644">
          <cell r="A644">
            <v>13.92</v>
          </cell>
          <cell r="B644">
            <v>14.68</v>
          </cell>
        </row>
        <row r="645">
          <cell r="A645">
            <v>13.93</v>
          </cell>
          <cell r="B645">
            <v>14.69</v>
          </cell>
        </row>
        <row r="646">
          <cell r="A646">
            <v>13.94</v>
          </cell>
          <cell r="B646">
            <v>14.7</v>
          </cell>
        </row>
        <row r="647">
          <cell r="A647">
            <v>13.95</v>
          </cell>
          <cell r="B647">
            <v>14.71</v>
          </cell>
        </row>
        <row r="648">
          <cell r="A648">
            <v>13.96</v>
          </cell>
          <cell r="B648">
            <v>14.72</v>
          </cell>
        </row>
        <row r="649">
          <cell r="A649">
            <v>13.97</v>
          </cell>
          <cell r="B649">
            <v>14.74</v>
          </cell>
        </row>
        <row r="650">
          <cell r="A650">
            <v>13.98</v>
          </cell>
          <cell r="B650">
            <v>14.75</v>
          </cell>
        </row>
        <row r="651">
          <cell r="A651">
            <v>13.99</v>
          </cell>
          <cell r="B651">
            <v>14.76</v>
          </cell>
        </row>
        <row r="652">
          <cell r="A652">
            <v>14</v>
          </cell>
          <cell r="B652">
            <v>14.77</v>
          </cell>
        </row>
        <row r="653">
          <cell r="A653">
            <v>14.01</v>
          </cell>
          <cell r="B653">
            <v>14.78</v>
          </cell>
        </row>
        <row r="654">
          <cell r="A654">
            <v>14.02</v>
          </cell>
          <cell r="B654">
            <v>14.79</v>
          </cell>
        </row>
        <row r="655">
          <cell r="A655">
            <v>14.03</v>
          </cell>
          <cell r="B655">
            <v>14.8</v>
          </cell>
        </row>
        <row r="656">
          <cell r="A656">
            <v>14.04</v>
          </cell>
          <cell r="B656">
            <v>14.81</v>
          </cell>
        </row>
        <row r="657">
          <cell r="A657">
            <v>14.05</v>
          </cell>
          <cell r="B657">
            <v>14.82</v>
          </cell>
        </row>
        <row r="658">
          <cell r="A658">
            <v>14.06</v>
          </cell>
          <cell r="B658">
            <v>14.84</v>
          </cell>
        </row>
        <row r="659">
          <cell r="A659">
            <v>14.07</v>
          </cell>
          <cell r="B659">
            <v>14.85</v>
          </cell>
        </row>
        <row r="660">
          <cell r="A660">
            <v>14.08</v>
          </cell>
          <cell r="B660">
            <v>14.86</v>
          </cell>
        </row>
        <row r="661">
          <cell r="A661">
            <v>14.09</v>
          </cell>
          <cell r="B661">
            <v>14.87</v>
          </cell>
        </row>
        <row r="662">
          <cell r="A662">
            <v>14.1</v>
          </cell>
          <cell r="B662">
            <v>14.88</v>
          </cell>
        </row>
        <row r="663">
          <cell r="A663">
            <v>14.11</v>
          </cell>
          <cell r="B663">
            <v>14.89</v>
          </cell>
        </row>
        <row r="664">
          <cell r="A664">
            <v>14.12</v>
          </cell>
          <cell r="B664">
            <v>14.9</v>
          </cell>
        </row>
        <row r="665">
          <cell r="A665">
            <v>14.13</v>
          </cell>
          <cell r="B665">
            <v>14.91</v>
          </cell>
        </row>
        <row r="666">
          <cell r="A666">
            <v>14.14</v>
          </cell>
          <cell r="B666">
            <v>14.92</v>
          </cell>
        </row>
        <row r="667">
          <cell r="A667">
            <v>14.15</v>
          </cell>
          <cell r="B667">
            <v>14.94</v>
          </cell>
        </row>
        <row r="668">
          <cell r="A668">
            <v>14.16</v>
          </cell>
          <cell r="B668">
            <v>14.95</v>
          </cell>
        </row>
        <row r="669">
          <cell r="A669">
            <v>14.17</v>
          </cell>
          <cell r="B669">
            <v>14.96</v>
          </cell>
        </row>
        <row r="670">
          <cell r="A670">
            <v>14.18</v>
          </cell>
          <cell r="B670">
            <v>14.97</v>
          </cell>
        </row>
        <row r="671">
          <cell r="A671">
            <v>14.19</v>
          </cell>
          <cell r="B671">
            <v>14.98</v>
          </cell>
        </row>
        <row r="672">
          <cell r="A672">
            <v>14.2</v>
          </cell>
          <cell r="B672">
            <v>14.99</v>
          </cell>
        </row>
        <row r="673">
          <cell r="A673">
            <v>14.21</v>
          </cell>
          <cell r="B673">
            <v>15</v>
          </cell>
        </row>
        <row r="674">
          <cell r="A674">
            <v>14.22</v>
          </cell>
          <cell r="B674">
            <v>15.01</v>
          </cell>
        </row>
        <row r="675">
          <cell r="A675">
            <v>14.23</v>
          </cell>
          <cell r="B675">
            <v>15.03</v>
          </cell>
        </row>
        <row r="676">
          <cell r="A676">
            <v>14.24</v>
          </cell>
          <cell r="B676">
            <v>15.04</v>
          </cell>
        </row>
        <row r="677">
          <cell r="A677">
            <v>14.25</v>
          </cell>
          <cell r="B677">
            <v>15.05</v>
          </cell>
        </row>
        <row r="678">
          <cell r="A678">
            <v>14.26</v>
          </cell>
          <cell r="B678">
            <v>15.06</v>
          </cell>
        </row>
        <row r="679">
          <cell r="A679">
            <v>14.27</v>
          </cell>
          <cell r="B679">
            <v>15.07</v>
          </cell>
        </row>
        <row r="680">
          <cell r="A680">
            <v>14.28</v>
          </cell>
          <cell r="B680">
            <v>15.08</v>
          </cell>
        </row>
        <row r="681">
          <cell r="A681">
            <v>14.29</v>
          </cell>
          <cell r="B681">
            <v>15.09</v>
          </cell>
        </row>
        <row r="682">
          <cell r="A682">
            <v>14.3</v>
          </cell>
          <cell r="B682">
            <v>15.1</v>
          </cell>
        </row>
        <row r="683">
          <cell r="A683">
            <v>14.31</v>
          </cell>
          <cell r="B683">
            <v>15.11</v>
          </cell>
        </row>
        <row r="684">
          <cell r="A684">
            <v>14.32</v>
          </cell>
          <cell r="B684">
            <v>15.13</v>
          </cell>
        </row>
        <row r="685">
          <cell r="A685">
            <v>14.33</v>
          </cell>
          <cell r="B685">
            <v>15.14</v>
          </cell>
        </row>
        <row r="686">
          <cell r="A686">
            <v>14.34</v>
          </cell>
          <cell r="B686">
            <v>15.15</v>
          </cell>
        </row>
        <row r="687">
          <cell r="A687">
            <v>14.35</v>
          </cell>
          <cell r="B687">
            <v>15.16</v>
          </cell>
        </row>
        <row r="688">
          <cell r="A688">
            <v>14.36</v>
          </cell>
          <cell r="B688">
            <v>15.17</v>
          </cell>
        </row>
        <row r="689">
          <cell r="A689">
            <v>14.37</v>
          </cell>
          <cell r="B689">
            <v>15.18</v>
          </cell>
        </row>
        <row r="690">
          <cell r="A690">
            <v>14.38</v>
          </cell>
          <cell r="B690">
            <v>15.19</v>
          </cell>
        </row>
        <row r="691">
          <cell r="A691">
            <v>14.39</v>
          </cell>
          <cell r="B691">
            <v>15.2</v>
          </cell>
        </row>
        <row r="692">
          <cell r="A692">
            <v>14.4</v>
          </cell>
          <cell r="B692">
            <v>15.22</v>
          </cell>
        </row>
        <row r="693">
          <cell r="A693">
            <v>14.41</v>
          </cell>
          <cell r="B693">
            <v>15.23</v>
          </cell>
        </row>
        <row r="694">
          <cell r="A694">
            <v>14.42</v>
          </cell>
          <cell r="B694">
            <v>15.24</v>
          </cell>
        </row>
        <row r="695">
          <cell r="A695">
            <v>14.43</v>
          </cell>
          <cell r="B695">
            <v>15.25</v>
          </cell>
        </row>
        <row r="696">
          <cell r="A696">
            <v>14.44</v>
          </cell>
          <cell r="B696">
            <v>15.26</v>
          </cell>
        </row>
        <row r="697">
          <cell r="A697">
            <v>14.45</v>
          </cell>
          <cell r="B697">
            <v>15.27</v>
          </cell>
        </row>
        <row r="698">
          <cell r="A698">
            <v>14.46</v>
          </cell>
          <cell r="B698">
            <v>15.28</v>
          </cell>
        </row>
        <row r="699">
          <cell r="A699">
            <v>14.47</v>
          </cell>
          <cell r="B699">
            <v>15.29</v>
          </cell>
        </row>
        <row r="700">
          <cell r="A700">
            <v>14.48</v>
          </cell>
          <cell r="B700">
            <v>15.3</v>
          </cell>
        </row>
        <row r="701">
          <cell r="A701">
            <v>14.49</v>
          </cell>
          <cell r="B701">
            <v>15.32</v>
          </cell>
        </row>
        <row r="702">
          <cell r="A702">
            <v>14.5</v>
          </cell>
          <cell r="B702">
            <v>15.33</v>
          </cell>
        </row>
        <row r="703">
          <cell r="A703">
            <v>14.51</v>
          </cell>
          <cell r="B703">
            <v>15.34</v>
          </cell>
        </row>
        <row r="704">
          <cell r="A704">
            <v>14.52</v>
          </cell>
          <cell r="B704">
            <v>15.35</v>
          </cell>
        </row>
        <row r="705">
          <cell r="A705">
            <v>14.53</v>
          </cell>
          <cell r="B705">
            <v>15.36</v>
          </cell>
        </row>
        <row r="706">
          <cell r="A706">
            <v>14.54</v>
          </cell>
          <cell r="B706">
            <v>15.37</v>
          </cell>
        </row>
        <row r="707">
          <cell r="A707">
            <v>14.55</v>
          </cell>
          <cell r="B707">
            <v>15.38</v>
          </cell>
        </row>
        <row r="708">
          <cell r="A708">
            <v>14.56</v>
          </cell>
          <cell r="B708">
            <v>15.39</v>
          </cell>
        </row>
        <row r="709">
          <cell r="A709">
            <v>14.57</v>
          </cell>
          <cell r="B709">
            <v>15.41</v>
          </cell>
        </row>
        <row r="710">
          <cell r="A710">
            <v>14.58</v>
          </cell>
          <cell r="B710">
            <v>15.42</v>
          </cell>
        </row>
        <row r="711">
          <cell r="A711">
            <v>14.59</v>
          </cell>
          <cell r="B711">
            <v>15.43</v>
          </cell>
        </row>
        <row r="712">
          <cell r="A712">
            <v>14.6</v>
          </cell>
          <cell r="B712">
            <v>15.44</v>
          </cell>
        </row>
        <row r="713">
          <cell r="A713">
            <v>14.61</v>
          </cell>
          <cell r="B713">
            <v>15.45</v>
          </cell>
        </row>
        <row r="714">
          <cell r="A714">
            <v>14.62</v>
          </cell>
          <cell r="B714">
            <v>15.46</v>
          </cell>
        </row>
        <row r="715">
          <cell r="A715">
            <v>14.63</v>
          </cell>
          <cell r="B715">
            <v>15.47</v>
          </cell>
        </row>
        <row r="716">
          <cell r="A716">
            <v>14.64</v>
          </cell>
          <cell r="B716">
            <v>15.48</v>
          </cell>
        </row>
        <row r="717">
          <cell r="A717">
            <v>14.65</v>
          </cell>
          <cell r="B717">
            <v>15.49</v>
          </cell>
        </row>
        <row r="718">
          <cell r="A718">
            <v>14.66</v>
          </cell>
          <cell r="B718">
            <v>15.51</v>
          </cell>
        </row>
        <row r="719">
          <cell r="A719">
            <v>14.67</v>
          </cell>
          <cell r="B719">
            <v>15.52</v>
          </cell>
        </row>
        <row r="720">
          <cell r="A720">
            <v>14.68</v>
          </cell>
          <cell r="B720">
            <v>15.53</v>
          </cell>
        </row>
        <row r="721">
          <cell r="A721">
            <v>14.69</v>
          </cell>
          <cell r="B721">
            <v>15.54</v>
          </cell>
        </row>
        <row r="722">
          <cell r="A722">
            <v>14.7</v>
          </cell>
          <cell r="B722">
            <v>15.55</v>
          </cell>
        </row>
        <row r="723">
          <cell r="A723">
            <v>14.71</v>
          </cell>
          <cell r="B723">
            <v>15.56</v>
          </cell>
        </row>
        <row r="724">
          <cell r="A724">
            <v>14.72</v>
          </cell>
          <cell r="B724">
            <v>15.57</v>
          </cell>
        </row>
        <row r="725">
          <cell r="A725">
            <v>14.73</v>
          </cell>
          <cell r="B725">
            <v>15.58</v>
          </cell>
        </row>
        <row r="726">
          <cell r="A726">
            <v>14.74</v>
          </cell>
          <cell r="B726">
            <v>15.6</v>
          </cell>
        </row>
        <row r="727">
          <cell r="A727">
            <v>14.75</v>
          </cell>
          <cell r="B727">
            <v>15.61</v>
          </cell>
        </row>
        <row r="728">
          <cell r="A728">
            <v>14.76</v>
          </cell>
          <cell r="B728">
            <v>15.62</v>
          </cell>
        </row>
        <row r="729">
          <cell r="A729">
            <v>14.77</v>
          </cell>
          <cell r="B729">
            <v>15.63</v>
          </cell>
        </row>
        <row r="730">
          <cell r="A730">
            <v>14.78</v>
          </cell>
          <cell r="B730">
            <v>15.64</v>
          </cell>
        </row>
        <row r="731">
          <cell r="A731">
            <v>14.79</v>
          </cell>
          <cell r="B731">
            <v>15.65</v>
          </cell>
        </row>
        <row r="732">
          <cell r="A732">
            <v>14.8</v>
          </cell>
          <cell r="B732">
            <v>15.66</v>
          </cell>
        </row>
        <row r="733">
          <cell r="A733">
            <v>14.81</v>
          </cell>
          <cell r="B733">
            <v>15.67</v>
          </cell>
        </row>
        <row r="734">
          <cell r="A734">
            <v>14.82</v>
          </cell>
          <cell r="B734">
            <v>15.69</v>
          </cell>
        </row>
        <row r="735">
          <cell r="A735">
            <v>14.83</v>
          </cell>
          <cell r="B735">
            <v>15.7</v>
          </cell>
        </row>
        <row r="736">
          <cell r="A736">
            <v>14.84</v>
          </cell>
          <cell r="B736">
            <v>15.71</v>
          </cell>
        </row>
        <row r="737">
          <cell r="A737">
            <v>14.85</v>
          </cell>
          <cell r="B737">
            <v>15.72</v>
          </cell>
        </row>
        <row r="738">
          <cell r="A738">
            <v>14.86</v>
          </cell>
          <cell r="B738">
            <v>15.73</v>
          </cell>
        </row>
        <row r="739">
          <cell r="A739">
            <v>14.87</v>
          </cell>
          <cell r="B739">
            <v>15.74</v>
          </cell>
        </row>
        <row r="740">
          <cell r="A740">
            <v>14.88</v>
          </cell>
          <cell r="B740">
            <v>15.75</v>
          </cell>
        </row>
        <row r="741">
          <cell r="A741">
            <v>14.89</v>
          </cell>
          <cell r="B741">
            <v>15.76</v>
          </cell>
        </row>
        <row r="742">
          <cell r="A742">
            <v>14.9</v>
          </cell>
          <cell r="B742">
            <v>15.78</v>
          </cell>
        </row>
        <row r="743">
          <cell r="A743">
            <v>14.91</v>
          </cell>
          <cell r="B743">
            <v>15.79</v>
          </cell>
        </row>
        <row r="744">
          <cell r="A744">
            <v>14.92</v>
          </cell>
          <cell r="B744">
            <v>15.8</v>
          </cell>
        </row>
        <row r="745">
          <cell r="A745">
            <v>14.93</v>
          </cell>
          <cell r="B745">
            <v>15.81</v>
          </cell>
        </row>
        <row r="746">
          <cell r="A746">
            <v>14.94</v>
          </cell>
          <cell r="B746">
            <v>15.82</v>
          </cell>
        </row>
        <row r="747">
          <cell r="A747">
            <v>14.95</v>
          </cell>
          <cell r="B747">
            <v>15.83</v>
          </cell>
        </row>
        <row r="748">
          <cell r="A748">
            <v>14.96</v>
          </cell>
          <cell r="B748">
            <v>15.84</v>
          </cell>
        </row>
        <row r="749">
          <cell r="A749">
            <v>14.97</v>
          </cell>
          <cell r="B749">
            <v>15.85</v>
          </cell>
        </row>
        <row r="750">
          <cell r="A750">
            <v>14.98</v>
          </cell>
          <cell r="B750">
            <v>15.87</v>
          </cell>
        </row>
        <row r="751">
          <cell r="A751">
            <v>14.99</v>
          </cell>
          <cell r="B751">
            <v>15.88</v>
          </cell>
        </row>
        <row r="752">
          <cell r="A752">
            <v>15</v>
          </cell>
          <cell r="B752">
            <v>15.89</v>
          </cell>
        </row>
        <row r="753">
          <cell r="A753">
            <v>15.01</v>
          </cell>
          <cell r="B753">
            <v>15.9</v>
          </cell>
        </row>
        <row r="754">
          <cell r="A754">
            <v>15.02</v>
          </cell>
          <cell r="B754">
            <v>15.91</v>
          </cell>
        </row>
        <row r="755">
          <cell r="A755">
            <v>15.03</v>
          </cell>
          <cell r="B755">
            <v>15.92</v>
          </cell>
        </row>
        <row r="756">
          <cell r="A756">
            <v>15.04</v>
          </cell>
          <cell r="B756">
            <v>15.93</v>
          </cell>
        </row>
        <row r="757">
          <cell r="A757">
            <v>15.05</v>
          </cell>
          <cell r="B757">
            <v>15.94</v>
          </cell>
        </row>
        <row r="758">
          <cell r="A758">
            <v>15.06</v>
          </cell>
          <cell r="B758">
            <v>15.95</v>
          </cell>
        </row>
        <row r="759">
          <cell r="A759">
            <v>15.07</v>
          </cell>
          <cell r="B759">
            <v>15.97</v>
          </cell>
        </row>
        <row r="760">
          <cell r="A760">
            <v>15.08</v>
          </cell>
          <cell r="B760">
            <v>15.98</v>
          </cell>
        </row>
        <row r="761">
          <cell r="A761">
            <v>15.09</v>
          </cell>
          <cell r="B761">
            <v>15.99</v>
          </cell>
        </row>
        <row r="762">
          <cell r="A762">
            <v>15.1</v>
          </cell>
          <cell r="B762">
            <v>16</v>
          </cell>
        </row>
        <row r="763">
          <cell r="A763">
            <v>15.11</v>
          </cell>
          <cell r="B763">
            <v>16.010000000000002</v>
          </cell>
        </row>
        <row r="764">
          <cell r="A764">
            <v>15.12</v>
          </cell>
          <cell r="B764">
            <v>16.02</v>
          </cell>
        </row>
        <row r="765">
          <cell r="A765">
            <v>15.13</v>
          </cell>
          <cell r="B765">
            <v>16.03</v>
          </cell>
        </row>
        <row r="766">
          <cell r="A766">
            <v>15.14</v>
          </cell>
          <cell r="B766">
            <v>16.04</v>
          </cell>
        </row>
        <row r="767">
          <cell r="A767">
            <v>15.15</v>
          </cell>
          <cell r="B767">
            <v>16.059999999999999</v>
          </cell>
        </row>
        <row r="768">
          <cell r="A768">
            <v>15.16</v>
          </cell>
          <cell r="B768">
            <v>16.07</v>
          </cell>
        </row>
        <row r="769">
          <cell r="A769">
            <v>15.17</v>
          </cell>
          <cell r="B769">
            <v>16.079999999999998</v>
          </cell>
        </row>
        <row r="770">
          <cell r="A770">
            <v>15.18</v>
          </cell>
          <cell r="B770">
            <v>16.09</v>
          </cell>
        </row>
        <row r="771">
          <cell r="A771">
            <v>15.19</v>
          </cell>
          <cell r="B771">
            <v>16.100000000000001</v>
          </cell>
        </row>
        <row r="772">
          <cell r="A772">
            <v>15.2</v>
          </cell>
          <cell r="B772">
            <v>16.11</v>
          </cell>
        </row>
        <row r="773">
          <cell r="A773">
            <v>15.21</v>
          </cell>
          <cell r="B773">
            <v>16.12</v>
          </cell>
        </row>
        <row r="774">
          <cell r="A774">
            <v>15.22</v>
          </cell>
          <cell r="B774">
            <v>16.13</v>
          </cell>
        </row>
        <row r="775">
          <cell r="A775">
            <v>15.23</v>
          </cell>
          <cell r="B775">
            <v>16.149999999999999</v>
          </cell>
        </row>
        <row r="776">
          <cell r="A776">
            <v>15.24</v>
          </cell>
          <cell r="B776">
            <v>16.16</v>
          </cell>
        </row>
        <row r="777">
          <cell r="A777">
            <v>15.25</v>
          </cell>
          <cell r="B777">
            <v>16.170000000000002</v>
          </cell>
        </row>
        <row r="778">
          <cell r="A778">
            <v>15.26</v>
          </cell>
          <cell r="B778">
            <v>16.18</v>
          </cell>
        </row>
        <row r="779">
          <cell r="A779">
            <v>15.27</v>
          </cell>
          <cell r="B779">
            <v>16.190000000000001</v>
          </cell>
        </row>
        <row r="780">
          <cell r="A780">
            <v>15.28</v>
          </cell>
          <cell r="B780">
            <v>16.2</v>
          </cell>
        </row>
        <row r="781">
          <cell r="A781">
            <v>15.29</v>
          </cell>
          <cell r="B781">
            <v>16.21</v>
          </cell>
        </row>
        <row r="782">
          <cell r="A782">
            <v>15.3</v>
          </cell>
          <cell r="B782">
            <v>16.22</v>
          </cell>
        </row>
        <row r="783">
          <cell r="A783">
            <v>15.31</v>
          </cell>
          <cell r="B783">
            <v>16.239999999999998</v>
          </cell>
        </row>
        <row r="784">
          <cell r="A784">
            <v>15.32</v>
          </cell>
          <cell r="B784">
            <v>16.25</v>
          </cell>
        </row>
        <row r="785">
          <cell r="A785">
            <v>15.33</v>
          </cell>
          <cell r="B785">
            <v>16.260000000000002</v>
          </cell>
        </row>
        <row r="786">
          <cell r="A786">
            <v>15.34</v>
          </cell>
          <cell r="B786">
            <v>16.27</v>
          </cell>
        </row>
        <row r="787">
          <cell r="A787">
            <v>15.35</v>
          </cell>
          <cell r="B787">
            <v>16.28</v>
          </cell>
        </row>
        <row r="788">
          <cell r="A788">
            <v>15.36</v>
          </cell>
          <cell r="B788">
            <v>16.29</v>
          </cell>
        </row>
        <row r="789">
          <cell r="A789">
            <v>15.37</v>
          </cell>
          <cell r="B789">
            <v>16.3</v>
          </cell>
        </row>
        <row r="790">
          <cell r="A790">
            <v>15.38</v>
          </cell>
          <cell r="B790">
            <v>16.32</v>
          </cell>
        </row>
        <row r="791">
          <cell r="A791">
            <v>15.39</v>
          </cell>
          <cell r="B791">
            <v>16.329999999999998</v>
          </cell>
        </row>
        <row r="792">
          <cell r="A792">
            <v>15.4</v>
          </cell>
          <cell r="B792">
            <v>16.34</v>
          </cell>
        </row>
        <row r="793">
          <cell r="A793">
            <v>15.41</v>
          </cell>
          <cell r="B793">
            <v>16.350000000000001</v>
          </cell>
        </row>
        <row r="794">
          <cell r="A794">
            <v>15.42</v>
          </cell>
          <cell r="B794">
            <v>16.36</v>
          </cell>
        </row>
        <row r="795">
          <cell r="A795">
            <v>15.43</v>
          </cell>
          <cell r="B795">
            <v>16.37</v>
          </cell>
        </row>
        <row r="796">
          <cell r="A796">
            <v>15.44</v>
          </cell>
          <cell r="B796">
            <v>16.38</v>
          </cell>
        </row>
        <row r="797">
          <cell r="A797">
            <v>15.45</v>
          </cell>
          <cell r="B797">
            <v>16.39</v>
          </cell>
        </row>
        <row r="798">
          <cell r="A798">
            <v>15.46</v>
          </cell>
          <cell r="B798">
            <v>16.41</v>
          </cell>
        </row>
        <row r="799">
          <cell r="A799">
            <v>15.47</v>
          </cell>
          <cell r="B799">
            <v>16.420000000000002</v>
          </cell>
        </row>
        <row r="800">
          <cell r="A800">
            <v>15.48</v>
          </cell>
          <cell r="B800">
            <v>16.43</v>
          </cell>
        </row>
        <row r="801">
          <cell r="A801">
            <v>15.49</v>
          </cell>
          <cell r="B801">
            <v>16.440000000000001</v>
          </cell>
        </row>
        <row r="802">
          <cell r="A802">
            <v>15.5</v>
          </cell>
          <cell r="B802">
            <v>16.45</v>
          </cell>
        </row>
        <row r="803">
          <cell r="A803">
            <v>15.51</v>
          </cell>
          <cell r="B803">
            <v>16.46</v>
          </cell>
        </row>
        <row r="804">
          <cell r="A804">
            <v>15.52</v>
          </cell>
          <cell r="B804">
            <v>16.47</v>
          </cell>
        </row>
        <row r="805">
          <cell r="A805">
            <v>15.53</v>
          </cell>
          <cell r="B805">
            <v>16.48</v>
          </cell>
        </row>
        <row r="806">
          <cell r="A806">
            <v>15.54</v>
          </cell>
          <cell r="B806">
            <v>16.5</v>
          </cell>
        </row>
        <row r="807">
          <cell r="A807">
            <v>15.55</v>
          </cell>
          <cell r="B807">
            <v>16.510000000000002</v>
          </cell>
        </row>
        <row r="808">
          <cell r="A808">
            <v>15.56</v>
          </cell>
          <cell r="B808">
            <v>16.52</v>
          </cell>
        </row>
        <row r="809">
          <cell r="A809">
            <v>15.57</v>
          </cell>
          <cell r="B809">
            <v>16.53</v>
          </cell>
        </row>
        <row r="810">
          <cell r="A810">
            <v>15.58</v>
          </cell>
          <cell r="B810">
            <v>16.54</v>
          </cell>
        </row>
        <row r="811">
          <cell r="A811">
            <v>15.59</v>
          </cell>
          <cell r="B811">
            <v>16.55</v>
          </cell>
        </row>
        <row r="812">
          <cell r="A812">
            <v>15.6</v>
          </cell>
          <cell r="B812">
            <v>16.559999999999999</v>
          </cell>
        </row>
        <row r="813">
          <cell r="A813">
            <v>15.61</v>
          </cell>
          <cell r="B813">
            <v>16.57</v>
          </cell>
        </row>
        <row r="814">
          <cell r="A814">
            <v>15.62</v>
          </cell>
          <cell r="B814">
            <v>16.59</v>
          </cell>
        </row>
        <row r="815">
          <cell r="A815">
            <v>15.63</v>
          </cell>
          <cell r="B815">
            <v>16.600000000000001</v>
          </cell>
        </row>
        <row r="816">
          <cell r="A816">
            <v>15.64</v>
          </cell>
          <cell r="B816">
            <v>16.61</v>
          </cell>
        </row>
        <row r="817">
          <cell r="A817">
            <v>15.65</v>
          </cell>
          <cell r="B817">
            <v>16.62</v>
          </cell>
        </row>
        <row r="818">
          <cell r="A818">
            <v>15.66</v>
          </cell>
          <cell r="B818">
            <v>16.63</v>
          </cell>
        </row>
        <row r="819">
          <cell r="A819">
            <v>15.67</v>
          </cell>
          <cell r="B819">
            <v>16.64</v>
          </cell>
        </row>
        <row r="820">
          <cell r="A820">
            <v>15.68</v>
          </cell>
          <cell r="B820">
            <v>16.649999999999999</v>
          </cell>
        </row>
        <row r="821">
          <cell r="A821">
            <v>15.69</v>
          </cell>
          <cell r="B821">
            <v>16.670000000000002</v>
          </cell>
        </row>
        <row r="822">
          <cell r="A822">
            <v>15.7</v>
          </cell>
          <cell r="B822">
            <v>16.68</v>
          </cell>
        </row>
        <row r="823">
          <cell r="A823">
            <v>15.71</v>
          </cell>
          <cell r="B823">
            <v>16.690000000000001</v>
          </cell>
        </row>
        <row r="824">
          <cell r="A824">
            <v>15.72</v>
          </cell>
          <cell r="B824">
            <v>16.7</v>
          </cell>
        </row>
        <row r="825">
          <cell r="A825">
            <v>15.73</v>
          </cell>
          <cell r="B825">
            <v>16.71</v>
          </cell>
        </row>
        <row r="826">
          <cell r="A826">
            <v>15.74</v>
          </cell>
          <cell r="B826">
            <v>16.72</v>
          </cell>
        </row>
        <row r="827">
          <cell r="A827">
            <v>15.75</v>
          </cell>
          <cell r="B827">
            <v>16.73</v>
          </cell>
        </row>
        <row r="828">
          <cell r="A828">
            <v>15.76</v>
          </cell>
          <cell r="B828">
            <v>16.739999999999998</v>
          </cell>
        </row>
        <row r="829">
          <cell r="A829">
            <v>15.77</v>
          </cell>
          <cell r="B829">
            <v>16.760000000000002</v>
          </cell>
        </row>
        <row r="830">
          <cell r="A830">
            <v>15.78</v>
          </cell>
          <cell r="B830">
            <v>16.77</v>
          </cell>
        </row>
        <row r="831">
          <cell r="A831">
            <v>15.79</v>
          </cell>
          <cell r="B831">
            <v>16.78</v>
          </cell>
        </row>
        <row r="832">
          <cell r="A832">
            <v>15.8</v>
          </cell>
          <cell r="B832">
            <v>16.79</v>
          </cell>
        </row>
        <row r="833">
          <cell r="A833">
            <v>15.81</v>
          </cell>
          <cell r="B833">
            <v>16.8</v>
          </cell>
        </row>
        <row r="834">
          <cell r="A834">
            <v>15.82</v>
          </cell>
          <cell r="B834">
            <v>16.809999999999999</v>
          </cell>
        </row>
        <row r="835">
          <cell r="A835">
            <v>15.83</v>
          </cell>
          <cell r="B835">
            <v>16.82</v>
          </cell>
        </row>
        <row r="836">
          <cell r="A836">
            <v>15.84</v>
          </cell>
          <cell r="B836">
            <v>16.829999999999998</v>
          </cell>
        </row>
        <row r="837">
          <cell r="A837">
            <v>15.85</v>
          </cell>
          <cell r="B837">
            <v>16.850000000000001</v>
          </cell>
        </row>
        <row r="838">
          <cell r="A838">
            <v>15.86</v>
          </cell>
          <cell r="B838">
            <v>16.86</v>
          </cell>
        </row>
        <row r="839">
          <cell r="A839">
            <v>15.87</v>
          </cell>
          <cell r="B839">
            <v>16.87</v>
          </cell>
        </row>
        <row r="840">
          <cell r="A840">
            <v>15.88</v>
          </cell>
          <cell r="B840">
            <v>16.88</v>
          </cell>
        </row>
        <row r="841">
          <cell r="A841">
            <v>15.89</v>
          </cell>
          <cell r="B841">
            <v>16.89</v>
          </cell>
        </row>
        <row r="842">
          <cell r="A842">
            <v>15.9</v>
          </cell>
          <cell r="B842">
            <v>16.899999999999999</v>
          </cell>
        </row>
        <row r="843">
          <cell r="A843">
            <v>15.91</v>
          </cell>
          <cell r="B843">
            <v>16.91</v>
          </cell>
        </row>
        <row r="844">
          <cell r="A844">
            <v>15.92</v>
          </cell>
          <cell r="B844">
            <v>16.920000000000002</v>
          </cell>
        </row>
        <row r="845">
          <cell r="A845">
            <v>15.93</v>
          </cell>
          <cell r="B845">
            <v>16.940000000000001</v>
          </cell>
        </row>
        <row r="846">
          <cell r="A846">
            <v>15.94</v>
          </cell>
          <cell r="B846">
            <v>16.95</v>
          </cell>
        </row>
        <row r="847">
          <cell r="A847">
            <v>15.95</v>
          </cell>
          <cell r="B847">
            <v>16.96</v>
          </cell>
        </row>
        <row r="848">
          <cell r="A848">
            <v>15.96</v>
          </cell>
          <cell r="B848">
            <v>16.97</v>
          </cell>
        </row>
        <row r="849">
          <cell r="A849">
            <v>15.97</v>
          </cell>
          <cell r="B849">
            <v>16.98</v>
          </cell>
        </row>
        <row r="850">
          <cell r="A850">
            <v>15.98</v>
          </cell>
          <cell r="B850">
            <v>16.989999999999998</v>
          </cell>
        </row>
        <row r="851">
          <cell r="A851">
            <v>15.99</v>
          </cell>
          <cell r="B851">
            <v>17</v>
          </cell>
        </row>
        <row r="852">
          <cell r="A852">
            <v>16</v>
          </cell>
          <cell r="B852">
            <v>17.02</v>
          </cell>
        </row>
        <row r="853">
          <cell r="A853">
            <v>16.010000000000002</v>
          </cell>
          <cell r="B853">
            <v>17.03</v>
          </cell>
        </row>
        <row r="854">
          <cell r="A854">
            <v>16.02</v>
          </cell>
          <cell r="B854">
            <v>17.04</v>
          </cell>
        </row>
        <row r="855">
          <cell r="A855">
            <v>16.03</v>
          </cell>
          <cell r="B855">
            <v>17.05</v>
          </cell>
        </row>
        <row r="856">
          <cell r="A856">
            <v>16.04</v>
          </cell>
          <cell r="B856">
            <v>17.059999999999999</v>
          </cell>
        </row>
        <row r="857">
          <cell r="A857">
            <v>16.05</v>
          </cell>
          <cell r="B857">
            <v>17.07</v>
          </cell>
        </row>
        <row r="858">
          <cell r="A858">
            <v>16.059999999999999</v>
          </cell>
          <cell r="B858">
            <v>17.079999999999998</v>
          </cell>
        </row>
        <row r="859">
          <cell r="A859">
            <v>16.07</v>
          </cell>
          <cell r="B859">
            <v>17.09</v>
          </cell>
        </row>
        <row r="860">
          <cell r="A860">
            <v>16.079999999999998</v>
          </cell>
          <cell r="B860">
            <v>17.11</v>
          </cell>
        </row>
        <row r="861">
          <cell r="A861">
            <v>16.09</v>
          </cell>
          <cell r="B861">
            <v>17.12</v>
          </cell>
        </row>
        <row r="862">
          <cell r="A862">
            <v>16.100000000000001</v>
          </cell>
          <cell r="B862">
            <v>17.13</v>
          </cell>
        </row>
        <row r="863">
          <cell r="A863">
            <v>16.11</v>
          </cell>
          <cell r="B863">
            <v>17.14</v>
          </cell>
        </row>
        <row r="864">
          <cell r="A864">
            <v>16.12</v>
          </cell>
          <cell r="B864">
            <v>17.149999999999999</v>
          </cell>
        </row>
        <row r="865">
          <cell r="A865">
            <v>16.13</v>
          </cell>
          <cell r="B865">
            <v>17.16</v>
          </cell>
        </row>
        <row r="866">
          <cell r="A866">
            <v>16.14</v>
          </cell>
          <cell r="B866">
            <v>17.170000000000002</v>
          </cell>
        </row>
        <row r="867">
          <cell r="A867">
            <v>16.149999999999999</v>
          </cell>
          <cell r="B867">
            <v>17.190000000000001</v>
          </cell>
        </row>
        <row r="868">
          <cell r="A868">
            <v>16.16</v>
          </cell>
          <cell r="B868">
            <v>17.2</v>
          </cell>
        </row>
        <row r="869">
          <cell r="A869">
            <v>16.170000000000002</v>
          </cell>
          <cell r="B869">
            <v>17.21</v>
          </cell>
        </row>
        <row r="870">
          <cell r="A870">
            <v>16.18</v>
          </cell>
          <cell r="B870">
            <v>17.22</v>
          </cell>
        </row>
        <row r="871">
          <cell r="A871">
            <v>16.190000000000001</v>
          </cell>
          <cell r="B871">
            <v>17.23</v>
          </cell>
        </row>
        <row r="872">
          <cell r="A872">
            <v>16.2</v>
          </cell>
          <cell r="B872">
            <v>17.239999999999998</v>
          </cell>
        </row>
        <row r="873">
          <cell r="A873">
            <v>16.21</v>
          </cell>
          <cell r="B873">
            <v>17.25</v>
          </cell>
        </row>
        <row r="874">
          <cell r="A874">
            <v>16.22</v>
          </cell>
          <cell r="B874">
            <v>17.260000000000002</v>
          </cell>
        </row>
        <row r="875">
          <cell r="A875">
            <v>16.23</v>
          </cell>
          <cell r="B875">
            <v>17.28</v>
          </cell>
        </row>
        <row r="876">
          <cell r="A876">
            <v>16.239999999999998</v>
          </cell>
          <cell r="B876">
            <v>17.29</v>
          </cell>
        </row>
        <row r="877">
          <cell r="A877">
            <v>16.25</v>
          </cell>
          <cell r="B877">
            <v>17.3</v>
          </cell>
        </row>
        <row r="878">
          <cell r="A878">
            <v>16.260000000000002</v>
          </cell>
          <cell r="B878">
            <v>17.309999999999999</v>
          </cell>
        </row>
        <row r="879">
          <cell r="A879">
            <v>16.27</v>
          </cell>
          <cell r="B879">
            <v>17.32</v>
          </cell>
        </row>
        <row r="880">
          <cell r="A880">
            <v>16.28</v>
          </cell>
          <cell r="B880">
            <v>17.329999999999998</v>
          </cell>
        </row>
        <row r="881">
          <cell r="A881">
            <v>16.29</v>
          </cell>
          <cell r="B881">
            <v>17.34</v>
          </cell>
        </row>
        <row r="882">
          <cell r="A882">
            <v>16.3</v>
          </cell>
          <cell r="B882">
            <v>17.36</v>
          </cell>
        </row>
        <row r="883">
          <cell r="A883">
            <v>16.309999999999999</v>
          </cell>
          <cell r="B883">
            <v>17.37</v>
          </cell>
        </row>
        <row r="884">
          <cell r="A884">
            <v>16.32</v>
          </cell>
          <cell r="B884">
            <v>17.38</v>
          </cell>
        </row>
        <row r="885">
          <cell r="A885">
            <v>16.329999999999998</v>
          </cell>
          <cell r="B885">
            <v>17.39</v>
          </cell>
        </row>
        <row r="886">
          <cell r="A886">
            <v>16.34</v>
          </cell>
          <cell r="B886">
            <v>17.399999999999999</v>
          </cell>
        </row>
        <row r="887">
          <cell r="A887">
            <v>16.350000000000001</v>
          </cell>
          <cell r="B887">
            <v>17.41</v>
          </cell>
        </row>
        <row r="888">
          <cell r="A888">
            <v>16.36</v>
          </cell>
          <cell r="B888">
            <v>17.420000000000002</v>
          </cell>
        </row>
        <row r="889">
          <cell r="A889">
            <v>16.37</v>
          </cell>
          <cell r="B889">
            <v>17.440000000000001</v>
          </cell>
        </row>
        <row r="890">
          <cell r="A890">
            <v>16.38</v>
          </cell>
          <cell r="B890">
            <v>17.45</v>
          </cell>
        </row>
        <row r="891">
          <cell r="A891">
            <v>16.39</v>
          </cell>
          <cell r="B891">
            <v>17.46</v>
          </cell>
        </row>
        <row r="892">
          <cell r="A892">
            <v>16.399999999999999</v>
          </cell>
          <cell r="B892">
            <v>17.47</v>
          </cell>
        </row>
        <row r="893">
          <cell r="A893">
            <v>16.41</v>
          </cell>
          <cell r="B893">
            <v>17.48</v>
          </cell>
        </row>
        <row r="894">
          <cell r="A894">
            <v>16.420000000000002</v>
          </cell>
          <cell r="B894">
            <v>17.489999999999998</v>
          </cell>
        </row>
        <row r="895">
          <cell r="A895">
            <v>16.43</v>
          </cell>
          <cell r="B895">
            <v>17.5</v>
          </cell>
        </row>
        <row r="896">
          <cell r="A896">
            <v>16.440000000000001</v>
          </cell>
          <cell r="B896">
            <v>17.510000000000002</v>
          </cell>
        </row>
        <row r="897">
          <cell r="A897">
            <v>16.45</v>
          </cell>
          <cell r="B897">
            <v>17.53</v>
          </cell>
        </row>
        <row r="898">
          <cell r="A898">
            <v>16.46</v>
          </cell>
          <cell r="B898">
            <v>17.54</v>
          </cell>
        </row>
        <row r="899">
          <cell r="A899">
            <v>16.47</v>
          </cell>
          <cell r="B899">
            <v>17.55</v>
          </cell>
        </row>
        <row r="900">
          <cell r="A900">
            <v>16.48</v>
          </cell>
          <cell r="B900">
            <v>17.559999999999999</v>
          </cell>
        </row>
        <row r="901">
          <cell r="A901">
            <v>16.489999999999998</v>
          </cell>
          <cell r="B901">
            <v>17.57</v>
          </cell>
        </row>
        <row r="902">
          <cell r="A902">
            <v>16.5</v>
          </cell>
          <cell r="B902">
            <v>17.579999999999998</v>
          </cell>
        </row>
        <row r="903">
          <cell r="A903">
            <v>16.510000000000002</v>
          </cell>
          <cell r="B903">
            <v>17.59</v>
          </cell>
        </row>
        <row r="904">
          <cell r="A904">
            <v>16.52</v>
          </cell>
          <cell r="B904">
            <v>17.61</v>
          </cell>
        </row>
        <row r="905">
          <cell r="A905">
            <v>16.53</v>
          </cell>
          <cell r="B905">
            <v>17.62</v>
          </cell>
        </row>
        <row r="906">
          <cell r="A906">
            <v>16.54</v>
          </cell>
          <cell r="B906">
            <v>17.63</v>
          </cell>
        </row>
        <row r="907">
          <cell r="A907">
            <v>16.55</v>
          </cell>
          <cell r="B907">
            <v>17.64</v>
          </cell>
        </row>
        <row r="908">
          <cell r="A908">
            <v>16.559999999999999</v>
          </cell>
          <cell r="B908">
            <v>17.649999999999999</v>
          </cell>
        </row>
        <row r="909">
          <cell r="A909">
            <v>16.57</v>
          </cell>
          <cell r="B909">
            <v>17.66</v>
          </cell>
        </row>
        <row r="910">
          <cell r="A910">
            <v>16.579999999999998</v>
          </cell>
          <cell r="B910">
            <v>17.670000000000002</v>
          </cell>
        </row>
        <row r="911">
          <cell r="A911">
            <v>16.59</v>
          </cell>
          <cell r="B911">
            <v>17.690000000000001</v>
          </cell>
        </row>
        <row r="912">
          <cell r="A912">
            <v>16.600000000000001</v>
          </cell>
          <cell r="B912">
            <v>17.7</v>
          </cell>
        </row>
        <row r="913">
          <cell r="A913">
            <v>16.61</v>
          </cell>
          <cell r="B913">
            <v>17.71</v>
          </cell>
        </row>
        <row r="914">
          <cell r="A914">
            <v>16.62</v>
          </cell>
          <cell r="B914">
            <v>17.72</v>
          </cell>
        </row>
        <row r="915">
          <cell r="A915">
            <v>16.63</v>
          </cell>
          <cell r="B915">
            <v>17.73</v>
          </cell>
        </row>
        <row r="916">
          <cell r="A916">
            <v>16.64</v>
          </cell>
          <cell r="B916">
            <v>17.739999999999998</v>
          </cell>
        </row>
        <row r="917">
          <cell r="A917">
            <v>16.649999999999999</v>
          </cell>
          <cell r="B917">
            <v>17.75</v>
          </cell>
        </row>
        <row r="918">
          <cell r="A918">
            <v>16.66</v>
          </cell>
          <cell r="B918">
            <v>17.760000000000002</v>
          </cell>
        </row>
        <row r="919">
          <cell r="A919">
            <v>16.670000000000002</v>
          </cell>
          <cell r="B919">
            <v>17.78</v>
          </cell>
        </row>
        <row r="920">
          <cell r="A920">
            <v>16.68</v>
          </cell>
          <cell r="B920">
            <v>17.79</v>
          </cell>
        </row>
        <row r="921">
          <cell r="A921">
            <v>16.690000000000001</v>
          </cell>
          <cell r="B921">
            <v>17.8</v>
          </cell>
        </row>
        <row r="922">
          <cell r="A922">
            <v>16.7</v>
          </cell>
          <cell r="B922">
            <v>17.809999999999999</v>
          </cell>
        </row>
        <row r="923">
          <cell r="A923">
            <v>16.71</v>
          </cell>
          <cell r="B923">
            <v>17.82</v>
          </cell>
        </row>
        <row r="924">
          <cell r="A924">
            <v>16.72</v>
          </cell>
          <cell r="B924">
            <v>17.829999999999998</v>
          </cell>
        </row>
        <row r="925">
          <cell r="A925">
            <v>16.73</v>
          </cell>
          <cell r="B925">
            <v>17.84</v>
          </cell>
        </row>
        <row r="926">
          <cell r="A926">
            <v>16.739999999999998</v>
          </cell>
          <cell r="B926">
            <v>17.86</v>
          </cell>
        </row>
        <row r="927">
          <cell r="A927">
            <v>16.75</v>
          </cell>
          <cell r="B927">
            <v>17.87</v>
          </cell>
        </row>
        <row r="928">
          <cell r="A928">
            <v>16.760000000000002</v>
          </cell>
          <cell r="B928">
            <v>17.88</v>
          </cell>
        </row>
        <row r="929">
          <cell r="A929">
            <v>16.77</v>
          </cell>
          <cell r="B929">
            <v>17.89</v>
          </cell>
        </row>
        <row r="930">
          <cell r="A930">
            <v>16.78</v>
          </cell>
          <cell r="B930">
            <v>17.899999999999999</v>
          </cell>
        </row>
        <row r="931">
          <cell r="A931">
            <v>16.79</v>
          </cell>
          <cell r="B931">
            <v>17.91</v>
          </cell>
        </row>
        <row r="932">
          <cell r="A932">
            <v>16.8</v>
          </cell>
          <cell r="B932">
            <v>17.920000000000002</v>
          </cell>
        </row>
        <row r="933">
          <cell r="A933">
            <v>16.809999999999999</v>
          </cell>
          <cell r="B933">
            <v>17.940000000000001</v>
          </cell>
        </row>
        <row r="934">
          <cell r="A934">
            <v>16.82</v>
          </cell>
          <cell r="B934">
            <v>17.95</v>
          </cell>
        </row>
        <row r="935">
          <cell r="A935">
            <v>16.829999999999998</v>
          </cell>
          <cell r="B935">
            <v>17.96</v>
          </cell>
        </row>
        <row r="936">
          <cell r="A936">
            <v>16.84</v>
          </cell>
          <cell r="B936">
            <v>17.97</v>
          </cell>
        </row>
        <row r="937">
          <cell r="A937">
            <v>16.850000000000001</v>
          </cell>
          <cell r="B937">
            <v>17.98</v>
          </cell>
        </row>
        <row r="938">
          <cell r="A938">
            <v>16.86</v>
          </cell>
          <cell r="B938">
            <v>17.989999999999998</v>
          </cell>
        </row>
        <row r="939">
          <cell r="A939">
            <v>16.87</v>
          </cell>
          <cell r="B939">
            <v>18</v>
          </cell>
        </row>
        <row r="940">
          <cell r="A940">
            <v>16.88</v>
          </cell>
          <cell r="B940">
            <v>18.02</v>
          </cell>
        </row>
        <row r="941">
          <cell r="A941">
            <v>16.89</v>
          </cell>
          <cell r="B941">
            <v>18.03</v>
          </cell>
        </row>
        <row r="942">
          <cell r="A942">
            <v>16.899999999999999</v>
          </cell>
          <cell r="B942">
            <v>18.04</v>
          </cell>
        </row>
        <row r="943">
          <cell r="A943">
            <v>16.91</v>
          </cell>
          <cell r="B943">
            <v>18.05</v>
          </cell>
        </row>
        <row r="944">
          <cell r="A944">
            <v>16.920000000000002</v>
          </cell>
          <cell r="B944">
            <v>18.059999999999999</v>
          </cell>
        </row>
        <row r="945">
          <cell r="A945">
            <v>16.93</v>
          </cell>
          <cell r="B945">
            <v>18.07</v>
          </cell>
        </row>
        <row r="946">
          <cell r="A946">
            <v>16.940000000000001</v>
          </cell>
          <cell r="B946">
            <v>18.079999999999998</v>
          </cell>
        </row>
        <row r="947">
          <cell r="A947">
            <v>16.95</v>
          </cell>
          <cell r="B947">
            <v>18.100000000000001</v>
          </cell>
        </row>
        <row r="948">
          <cell r="A948">
            <v>16.96</v>
          </cell>
          <cell r="B948">
            <v>18.11</v>
          </cell>
        </row>
        <row r="949">
          <cell r="A949">
            <v>16.97</v>
          </cell>
          <cell r="B949">
            <v>18.12</v>
          </cell>
        </row>
        <row r="950">
          <cell r="A950">
            <v>16.98</v>
          </cell>
          <cell r="B950">
            <v>18.13</v>
          </cell>
        </row>
        <row r="951">
          <cell r="A951">
            <v>16.989999999999998</v>
          </cell>
          <cell r="B951">
            <v>18.14</v>
          </cell>
        </row>
        <row r="952">
          <cell r="A952">
            <v>17</v>
          </cell>
          <cell r="B952">
            <v>18.149999999999999</v>
          </cell>
        </row>
        <row r="953">
          <cell r="A953">
            <v>17.010000000000002</v>
          </cell>
          <cell r="B953">
            <v>18.16</v>
          </cell>
        </row>
        <row r="954">
          <cell r="A954">
            <v>17.02</v>
          </cell>
          <cell r="B954">
            <v>18.18</v>
          </cell>
        </row>
        <row r="955">
          <cell r="A955">
            <v>17.03</v>
          </cell>
          <cell r="B955">
            <v>18.190000000000001</v>
          </cell>
        </row>
        <row r="956">
          <cell r="A956">
            <v>17.04</v>
          </cell>
          <cell r="B956">
            <v>18.2</v>
          </cell>
        </row>
        <row r="957">
          <cell r="A957">
            <v>17.05</v>
          </cell>
          <cell r="B957">
            <v>18.21</v>
          </cell>
        </row>
        <row r="958">
          <cell r="A958">
            <v>17.059999999999999</v>
          </cell>
          <cell r="B958">
            <v>18.22</v>
          </cell>
        </row>
        <row r="959">
          <cell r="A959">
            <v>17.07</v>
          </cell>
          <cell r="B959">
            <v>18.23</v>
          </cell>
        </row>
        <row r="960">
          <cell r="A960">
            <v>17.079999999999998</v>
          </cell>
          <cell r="B960">
            <v>18.239999999999998</v>
          </cell>
        </row>
        <row r="961">
          <cell r="A961">
            <v>17.09</v>
          </cell>
          <cell r="B961">
            <v>18.260000000000002</v>
          </cell>
        </row>
        <row r="962">
          <cell r="A962">
            <v>17.100000000000001</v>
          </cell>
          <cell r="B962">
            <v>18.27</v>
          </cell>
        </row>
        <row r="963">
          <cell r="A963">
            <v>17.11</v>
          </cell>
          <cell r="B963">
            <v>18.28</v>
          </cell>
        </row>
        <row r="964">
          <cell r="A964">
            <v>17.12</v>
          </cell>
          <cell r="B964">
            <v>18.29</v>
          </cell>
        </row>
        <row r="965">
          <cell r="A965">
            <v>17.13</v>
          </cell>
          <cell r="B965">
            <v>18.3</v>
          </cell>
        </row>
        <row r="966">
          <cell r="A966">
            <v>17.14</v>
          </cell>
          <cell r="B966">
            <v>18.309999999999999</v>
          </cell>
        </row>
        <row r="967">
          <cell r="A967">
            <v>17.149999999999999</v>
          </cell>
          <cell r="B967">
            <v>18.32</v>
          </cell>
        </row>
        <row r="968">
          <cell r="A968">
            <v>17.16</v>
          </cell>
          <cell r="B968">
            <v>18.34</v>
          </cell>
        </row>
        <row r="969">
          <cell r="A969">
            <v>17.170000000000002</v>
          </cell>
          <cell r="B969">
            <v>18.350000000000001</v>
          </cell>
        </row>
        <row r="970">
          <cell r="A970">
            <v>17.18</v>
          </cell>
          <cell r="B970">
            <v>18.36</v>
          </cell>
        </row>
        <row r="971">
          <cell r="A971">
            <v>17.190000000000001</v>
          </cell>
          <cell r="B971">
            <v>18.37</v>
          </cell>
        </row>
        <row r="972">
          <cell r="A972">
            <v>17.2</v>
          </cell>
          <cell r="B972">
            <v>18.38</v>
          </cell>
        </row>
        <row r="973">
          <cell r="A973">
            <v>17.21</v>
          </cell>
          <cell r="B973">
            <v>18.39</v>
          </cell>
        </row>
        <row r="974">
          <cell r="A974">
            <v>17.22</v>
          </cell>
          <cell r="B974">
            <v>18.399999999999999</v>
          </cell>
        </row>
        <row r="975">
          <cell r="A975">
            <v>17.23</v>
          </cell>
          <cell r="B975">
            <v>18.420000000000002</v>
          </cell>
        </row>
        <row r="976">
          <cell r="A976">
            <v>17.239999999999998</v>
          </cell>
          <cell r="B976">
            <v>18.43</v>
          </cell>
        </row>
        <row r="977">
          <cell r="A977">
            <v>17.25</v>
          </cell>
          <cell r="B977">
            <v>18.440000000000001</v>
          </cell>
        </row>
        <row r="978">
          <cell r="A978">
            <v>17.260000000000002</v>
          </cell>
          <cell r="B978">
            <v>18.45</v>
          </cell>
        </row>
        <row r="979">
          <cell r="A979">
            <v>17.27</v>
          </cell>
          <cell r="B979">
            <v>18.46</v>
          </cell>
        </row>
        <row r="980">
          <cell r="A980">
            <v>17.28</v>
          </cell>
          <cell r="B980">
            <v>18.47</v>
          </cell>
        </row>
        <row r="981">
          <cell r="A981">
            <v>17.29</v>
          </cell>
          <cell r="B981">
            <v>18.48</v>
          </cell>
        </row>
        <row r="982">
          <cell r="A982">
            <v>17.3</v>
          </cell>
          <cell r="B982">
            <v>18.5</v>
          </cell>
        </row>
        <row r="983">
          <cell r="A983">
            <v>17.309999999999999</v>
          </cell>
          <cell r="B983">
            <v>18.510000000000002</v>
          </cell>
        </row>
        <row r="984">
          <cell r="A984">
            <v>17.32</v>
          </cell>
          <cell r="B984">
            <v>18.52</v>
          </cell>
        </row>
        <row r="985">
          <cell r="A985">
            <v>17.329999999999998</v>
          </cell>
          <cell r="B985">
            <v>18.53</v>
          </cell>
        </row>
        <row r="986">
          <cell r="A986">
            <v>17.34</v>
          </cell>
          <cell r="B986">
            <v>18.54</v>
          </cell>
        </row>
        <row r="987">
          <cell r="A987">
            <v>17.350000000000001</v>
          </cell>
          <cell r="B987">
            <v>18.55</v>
          </cell>
        </row>
        <row r="988">
          <cell r="A988">
            <v>17.36</v>
          </cell>
          <cell r="B988">
            <v>18.559999999999999</v>
          </cell>
        </row>
        <row r="989">
          <cell r="A989">
            <v>17.37</v>
          </cell>
          <cell r="B989">
            <v>18.579999999999998</v>
          </cell>
        </row>
        <row r="990">
          <cell r="A990">
            <v>17.38</v>
          </cell>
          <cell r="B990">
            <v>18.59</v>
          </cell>
        </row>
        <row r="991">
          <cell r="A991">
            <v>17.39</v>
          </cell>
          <cell r="B991">
            <v>18.600000000000001</v>
          </cell>
        </row>
        <row r="992">
          <cell r="A992">
            <v>17.399999999999999</v>
          </cell>
          <cell r="B992">
            <v>18.61</v>
          </cell>
        </row>
        <row r="993">
          <cell r="A993">
            <v>17.41</v>
          </cell>
          <cell r="B993">
            <v>18.62</v>
          </cell>
        </row>
        <row r="994">
          <cell r="A994">
            <v>17.420000000000002</v>
          </cell>
          <cell r="B994">
            <v>18.63</v>
          </cell>
        </row>
        <row r="995">
          <cell r="A995">
            <v>17.43</v>
          </cell>
          <cell r="B995">
            <v>18.64</v>
          </cell>
        </row>
        <row r="996">
          <cell r="A996">
            <v>17.440000000000001</v>
          </cell>
          <cell r="B996">
            <v>18.66</v>
          </cell>
        </row>
        <row r="997">
          <cell r="A997">
            <v>17.45</v>
          </cell>
          <cell r="B997">
            <v>18.670000000000002</v>
          </cell>
        </row>
        <row r="998">
          <cell r="A998">
            <v>17.46</v>
          </cell>
          <cell r="B998">
            <v>18.68</v>
          </cell>
        </row>
        <row r="999">
          <cell r="A999">
            <v>17.47</v>
          </cell>
          <cell r="B999">
            <v>18.690000000000001</v>
          </cell>
        </row>
        <row r="1000">
          <cell r="A1000">
            <v>17.48</v>
          </cell>
          <cell r="B1000">
            <v>18.7</v>
          </cell>
        </row>
        <row r="1001">
          <cell r="A1001">
            <v>17.489999999999998</v>
          </cell>
          <cell r="B1001">
            <v>18.71</v>
          </cell>
        </row>
        <row r="1002">
          <cell r="A1002">
            <v>17.5</v>
          </cell>
          <cell r="B1002">
            <v>18.72</v>
          </cell>
        </row>
        <row r="1003">
          <cell r="A1003">
            <v>17.510000000000002</v>
          </cell>
          <cell r="B1003">
            <v>18.739999999999998</v>
          </cell>
        </row>
        <row r="1004">
          <cell r="A1004">
            <v>17.52</v>
          </cell>
          <cell r="B1004">
            <v>18.75</v>
          </cell>
        </row>
        <row r="1005">
          <cell r="A1005">
            <v>17.53</v>
          </cell>
          <cell r="B1005">
            <v>18.760000000000002</v>
          </cell>
        </row>
        <row r="1006">
          <cell r="A1006">
            <v>17.54</v>
          </cell>
          <cell r="B1006">
            <v>18.77</v>
          </cell>
        </row>
        <row r="1007">
          <cell r="A1007">
            <v>17.55</v>
          </cell>
          <cell r="B1007">
            <v>18.78</v>
          </cell>
        </row>
        <row r="1008">
          <cell r="A1008">
            <v>17.559999999999999</v>
          </cell>
          <cell r="B1008">
            <v>18.79</v>
          </cell>
        </row>
        <row r="1009">
          <cell r="A1009">
            <v>17.57</v>
          </cell>
          <cell r="B1009">
            <v>18.8</v>
          </cell>
        </row>
        <row r="1010">
          <cell r="A1010">
            <v>17.579999999999998</v>
          </cell>
          <cell r="B1010">
            <v>18.82</v>
          </cell>
        </row>
        <row r="1011">
          <cell r="A1011">
            <v>17.59</v>
          </cell>
          <cell r="B1011">
            <v>18.829999999999998</v>
          </cell>
        </row>
        <row r="1012">
          <cell r="A1012">
            <v>17.600000000000001</v>
          </cell>
          <cell r="B1012">
            <v>18.84</v>
          </cell>
        </row>
        <row r="1013">
          <cell r="A1013">
            <v>17.61</v>
          </cell>
          <cell r="B1013">
            <v>18.850000000000001</v>
          </cell>
        </row>
        <row r="1014">
          <cell r="A1014">
            <v>17.62</v>
          </cell>
          <cell r="B1014">
            <v>18.86</v>
          </cell>
        </row>
        <row r="1015">
          <cell r="A1015">
            <v>17.63</v>
          </cell>
          <cell r="B1015">
            <v>18.87</v>
          </cell>
        </row>
        <row r="1016">
          <cell r="A1016">
            <v>17.64</v>
          </cell>
          <cell r="B1016">
            <v>18.88</v>
          </cell>
        </row>
        <row r="1017">
          <cell r="A1017">
            <v>17.649999999999999</v>
          </cell>
          <cell r="B1017">
            <v>18.899999999999999</v>
          </cell>
        </row>
        <row r="1018">
          <cell r="A1018">
            <v>17.66</v>
          </cell>
          <cell r="B1018">
            <v>18.91</v>
          </cell>
        </row>
        <row r="1019">
          <cell r="A1019">
            <v>17.670000000000002</v>
          </cell>
          <cell r="B1019">
            <v>18.920000000000002</v>
          </cell>
        </row>
        <row r="1020">
          <cell r="A1020">
            <v>17.68</v>
          </cell>
          <cell r="B1020">
            <v>18.93</v>
          </cell>
        </row>
        <row r="1021">
          <cell r="A1021">
            <v>17.690000000000001</v>
          </cell>
          <cell r="B1021">
            <v>18.940000000000001</v>
          </cell>
        </row>
        <row r="1022">
          <cell r="A1022">
            <v>17.7</v>
          </cell>
          <cell r="B1022">
            <v>18.95</v>
          </cell>
        </row>
        <row r="1023">
          <cell r="A1023">
            <v>17.71</v>
          </cell>
          <cell r="B1023">
            <v>18.97</v>
          </cell>
        </row>
        <row r="1024">
          <cell r="A1024">
            <v>17.72</v>
          </cell>
          <cell r="B1024">
            <v>18.98</v>
          </cell>
        </row>
        <row r="1025">
          <cell r="A1025">
            <v>17.73</v>
          </cell>
          <cell r="B1025">
            <v>18.989999999999998</v>
          </cell>
        </row>
        <row r="1026">
          <cell r="A1026">
            <v>17.739999999999998</v>
          </cell>
          <cell r="B1026">
            <v>19</v>
          </cell>
        </row>
        <row r="1027">
          <cell r="A1027">
            <v>17.75</v>
          </cell>
          <cell r="B1027">
            <v>19.010000000000002</v>
          </cell>
        </row>
        <row r="1028">
          <cell r="A1028">
            <v>17.760000000000002</v>
          </cell>
          <cell r="B1028">
            <v>19.02</v>
          </cell>
        </row>
        <row r="1029">
          <cell r="A1029">
            <v>17.77</v>
          </cell>
          <cell r="B1029">
            <v>19.03</v>
          </cell>
        </row>
        <row r="1030">
          <cell r="A1030">
            <v>17.78</v>
          </cell>
          <cell r="B1030">
            <v>19.05</v>
          </cell>
        </row>
        <row r="1031">
          <cell r="A1031">
            <v>17.79</v>
          </cell>
          <cell r="B1031">
            <v>19.059999999999999</v>
          </cell>
        </row>
        <row r="1032">
          <cell r="A1032">
            <v>17.8</v>
          </cell>
          <cell r="B1032">
            <v>19.07</v>
          </cell>
        </row>
        <row r="1033">
          <cell r="A1033">
            <v>17.809999999999999</v>
          </cell>
          <cell r="B1033">
            <v>19.079999999999998</v>
          </cell>
        </row>
        <row r="1034">
          <cell r="A1034">
            <v>17.82</v>
          </cell>
          <cell r="B1034">
            <v>19.09</v>
          </cell>
        </row>
        <row r="1035">
          <cell r="A1035">
            <v>17.829999999999998</v>
          </cell>
          <cell r="B1035">
            <v>19.100000000000001</v>
          </cell>
        </row>
        <row r="1036">
          <cell r="A1036">
            <v>17.84</v>
          </cell>
          <cell r="B1036">
            <v>19.11</v>
          </cell>
        </row>
        <row r="1037">
          <cell r="A1037">
            <v>17.850000000000001</v>
          </cell>
          <cell r="B1037">
            <v>19.13</v>
          </cell>
        </row>
        <row r="1038">
          <cell r="A1038">
            <v>17.86</v>
          </cell>
          <cell r="B1038">
            <v>19.14</v>
          </cell>
        </row>
        <row r="1039">
          <cell r="A1039">
            <v>17.87</v>
          </cell>
          <cell r="B1039">
            <v>19.149999999999999</v>
          </cell>
        </row>
        <row r="1040">
          <cell r="A1040">
            <v>17.88</v>
          </cell>
          <cell r="B1040">
            <v>19.16</v>
          </cell>
        </row>
        <row r="1041">
          <cell r="A1041">
            <v>17.89</v>
          </cell>
          <cell r="B1041">
            <v>19.170000000000002</v>
          </cell>
        </row>
        <row r="1042">
          <cell r="A1042">
            <v>17.899999999999999</v>
          </cell>
          <cell r="B1042">
            <v>19.18</v>
          </cell>
        </row>
        <row r="1043">
          <cell r="A1043">
            <v>17.91</v>
          </cell>
          <cell r="B1043">
            <v>19.2</v>
          </cell>
        </row>
        <row r="1044">
          <cell r="A1044">
            <v>17.920000000000002</v>
          </cell>
          <cell r="B1044">
            <v>19.21</v>
          </cell>
        </row>
        <row r="1045">
          <cell r="A1045">
            <v>17.93</v>
          </cell>
          <cell r="B1045">
            <v>19.22</v>
          </cell>
        </row>
        <row r="1046">
          <cell r="A1046">
            <v>17.940000000000001</v>
          </cell>
          <cell r="B1046">
            <v>19.23</v>
          </cell>
        </row>
        <row r="1047">
          <cell r="A1047">
            <v>17.95</v>
          </cell>
          <cell r="B1047">
            <v>19.239999999999998</v>
          </cell>
        </row>
        <row r="1048">
          <cell r="A1048">
            <v>17.96</v>
          </cell>
          <cell r="B1048">
            <v>19.25</v>
          </cell>
        </row>
        <row r="1049">
          <cell r="A1049">
            <v>17.97</v>
          </cell>
          <cell r="B1049">
            <v>19.260000000000002</v>
          </cell>
        </row>
        <row r="1050">
          <cell r="A1050">
            <v>17.98</v>
          </cell>
          <cell r="B1050">
            <v>19.28</v>
          </cell>
        </row>
        <row r="1051">
          <cell r="A1051">
            <v>17.989999999999998</v>
          </cell>
          <cell r="B1051">
            <v>19.29</v>
          </cell>
        </row>
        <row r="1052">
          <cell r="A1052">
            <v>18</v>
          </cell>
          <cell r="B1052">
            <v>19.3</v>
          </cell>
        </row>
        <row r="1053">
          <cell r="A1053">
            <v>18.010000000000002</v>
          </cell>
          <cell r="B1053">
            <v>19.309999999999999</v>
          </cell>
        </row>
        <row r="1054">
          <cell r="A1054">
            <v>18.02</v>
          </cell>
          <cell r="B1054">
            <v>19.32</v>
          </cell>
        </row>
        <row r="1055">
          <cell r="A1055">
            <v>18.03</v>
          </cell>
          <cell r="B1055">
            <v>19.329999999999998</v>
          </cell>
        </row>
        <row r="1056">
          <cell r="A1056">
            <v>18.04</v>
          </cell>
          <cell r="B1056">
            <v>19.34</v>
          </cell>
        </row>
        <row r="1057">
          <cell r="A1057">
            <v>18.05</v>
          </cell>
          <cell r="B1057">
            <v>19.36</v>
          </cell>
        </row>
        <row r="1058">
          <cell r="A1058">
            <v>18.059999999999999</v>
          </cell>
          <cell r="B1058">
            <v>19.37</v>
          </cell>
        </row>
        <row r="1059">
          <cell r="A1059">
            <v>18.07</v>
          </cell>
          <cell r="B1059">
            <v>19.38</v>
          </cell>
        </row>
        <row r="1060">
          <cell r="A1060">
            <v>18.079999999999998</v>
          </cell>
          <cell r="B1060">
            <v>19.39</v>
          </cell>
        </row>
        <row r="1061">
          <cell r="A1061">
            <v>18.09</v>
          </cell>
          <cell r="B1061">
            <v>19.399999999999999</v>
          </cell>
        </row>
        <row r="1062">
          <cell r="A1062">
            <v>18.100000000000001</v>
          </cell>
          <cell r="B1062">
            <v>19.41</v>
          </cell>
        </row>
        <row r="1063">
          <cell r="A1063">
            <v>18.11</v>
          </cell>
          <cell r="B1063">
            <v>19.43</v>
          </cell>
        </row>
        <row r="1064">
          <cell r="A1064">
            <v>18.12</v>
          </cell>
          <cell r="B1064">
            <v>19.440000000000001</v>
          </cell>
        </row>
        <row r="1065">
          <cell r="A1065">
            <v>18.13</v>
          </cell>
          <cell r="B1065">
            <v>19.45</v>
          </cell>
        </row>
        <row r="1066">
          <cell r="A1066">
            <v>18.14</v>
          </cell>
          <cell r="B1066">
            <v>19.46</v>
          </cell>
        </row>
        <row r="1067">
          <cell r="A1067">
            <v>18.149999999999999</v>
          </cell>
          <cell r="B1067">
            <v>19.47</v>
          </cell>
        </row>
        <row r="1068">
          <cell r="A1068">
            <v>18.16</v>
          </cell>
          <cell r="B1068">
            <v>19.48</v>
          </cell>
        </row>
        <row r="1069">
          <cell r="A1069">
            <v>18.170000000000002</v>
          </cell>
          <cell r="B1069">
            <v>19.489999999999998</v>
          </cell>
        </row>
        <row r="1070">
          <cell r="A1070">
            <v>18.18</v>
          </cell>
          <cell r="B1070">
            <v>19.510000000000002</v>
          </cell>
        </row>
        <row r="1071">
          <cell r="A1071">
            <v>18.190000000000001</v>
          </cell>
          <cell r="B1071">
            <v>19.52</v>
          </cell>
        </row>
        <row r="1072">
          <cell r="A1072">
            <v>18.2</v>
          </cell>
          <cell r="B1072">
            <v>19.53</v>
          </cell>
        </row>
        <row r="1073">
          <cell r="A1073">
            <v>18.21</v>
          </cell>
          <cell r="B1073">
            <v>19.54</v>
          </cell>
        </row>
        <row r="1074">
          <cell r="A1074">
            <v>18.22</v>
          </cell>
          <cell r="B1074">
            <v>19.55</v>
          </cell>
        </row>
        <row r="1075">
          <cell r="A1075">
            <v>18.23</v>
          </cell>
          <cell r="B1075">
            <v>19.559999999999999</v>
          </cell>
        </row>
        <row r="1076">
          <cell r="A1076">
            <v>18.239999999999998</v>
          </cell>
          <cell r="B1076">
            <v>19.579999999999998</v>
          </cell>
        </row>
        <row r="1077">
          <cell r="A1077">
            <v>18.25</v>
          </cell>
          <cell r="B1077">
            <v>19.59</v>
          </cell>
        </row>
        <row r="1078">
          <cell r="A1078">
            <v>18.260000000000002</v>
          </cell>
          <cell r="B1078">
            <v>19.600000000000001</v>
          </cell>
        </row>
        <row r="1079">
          <cell r="A1079">
            <v>18.27</v>
          </cell>
          <cell r="B1079">
            <v>19.61</v>
          </cell>
        </row>
        <row r="1080">
          <cell r="A1080">
            <v>18.28</v>
          </cell>
          <cell r="B1080">
            <v>19.62</v>
          </cell>
        </row>
        <row r="1081">
          <cell r="A1081">
            <v>18.29</v>
          </cell>
          <cell r="B1081">
            <v>19.63</v>
          </cell>
        </row>
        <row r="1082">
          <cell r="A1082">
            <v>18.3</v>
          </cell>
          <cell r="B1082">
            <v>19.64</v>
          </cell>
        </row>
        <row r="1083">
          <cell r="A1083">
            <v>18.309999999999999</v>
          </cell>
          <cell r="B1083">
            <v>19.66</v>
          </cell>
        </row>
        <row r="1084">
          <cell r="A1084">
            <v>18.32</v>
          </cell>
          <cell r="B1084">
            <v>19.670000000000002</v>
          </cell>
        </row>
        <row r="1085">
          <cell r="A1085">
            <v>18.329999999999998</v>
          </cell>
          <cell r="B1085">
            <v>19.68</v>
          </cell>
        </row>
        <row r="1086">
          <cell r="A1086">
            <v>18.34</v>
          </cell>
          <cell r="B1086">
            <v>19.690000000000001</v>
          </cell>
        </row>
        <row r="1087">
          <cell r="A1087">
            <v>18.350000000000001</v>
          </cell>
          <cell r="B1087">
            <v>19.7</v>
          </cell>
        </row>
        <row r="1088">
          <cell r="A1088">
            <v>18.36</v>
          </cell>
          <cell r="B1088">
            <v>19.71</v>
          </cell>
        </row>
        <row r="1089">
          <cell r="A1089">
            <v>18.37</v>
          </cell>
          <cell r="B1089">
            <v>19.73</v>
          </cell>
        </row>
        <row r="1090">
          <cell r="A1090">
            <v>18.38</v>
          </cell>
          <cell r="B1090">
            <v>19.739999999999998</v>
          </cell>
        </row>
        <row r="1091">
          <cell r="A1091">
            <v>18.39</v>
          </cell>
          <cell r="B1091">
            <v>19.75</v>
          </cell>
        </row>
        <row r="1092">
          <cell r="A1092">
            <v>18.399999999999999</v>
          </cell>
          <cell r="B1092">
            <v>19.760000000000002</v>
          </cell>
        </row>
        <row r="1093">
          <cell r="A1093">
            <v>18.41</v>
          </cell>
          <cell r="B1093">
            <v>19.77</v>
          </cell>
        </row>
        <row r="1094">
          <cell r="A1094">
            <v>18.420000000000002</v>
          </cell>
          <cell r="B1094">
            <v>19.78</v>
          </cell>
        </row>
        <row r="1095">
          <cell r="A1095">
            <v>18.43</v>
          </cell>
          <cell r="B1095">
            <v>19.79</v>
          </cell>
        </row>
        <row r="1096">
          <cell r="A1096">
            <v>18.440000000000001</v>
          </cell>
          <cell r="B1096">
            <v>19.809999999999999</v>
          </cell>
        </row>
        <row r="1097">
          <cell r="A1097">
            <v>18.45</v>
          </cell>
          <cell r="B1097">
            <v>19.82</v>
          </cell>
        </row>
        <row r="1098">
          <cell r="A1098">
            <v>18.46</v>
          </cell>
          <cell r="B1098">
            <v>19.829999999999998</v>
          </cell>
        </row>
        <row r="1099">
          <cell r="A1099">
            <v>18.47</v>
          </cell>
          <cell r="B1099">
            <v>19.84</v>
          </cell>
        </row>
        <row r="1100">
          <cell r="A1100">
            <v>18.48</v>
          </cell>
          <cell r="B1100">
            <v>19.850000000000001</v>
          </cell>
        </row>
        <row r="1101">
          <cell r="A1101">
            <v>18.489999999999998</v>
          </cell>
          <cell r="B1101">
            <v>19.86</v>
          </cell>
        </row>
        <row r="1102">
          <cell r="A1102">
            <v>18.5</v>
          </cell>
          <cell r="B1102">
            <v>19.88</v>
          </cell>
        </row>
        <row r="1103">
          <cell r="A1103">
            <v>18.510000000000002</v>
          </cell>
          <cell r="B1103">
            <v>19.89</v>
          </cell>
        </row>
        <row r="1104">
          <cell r="A1104">
            <v>18.52</v>
          </cell>
          <cell r="B1104">
            <v>19.899999999999999</v>
          </cell>
        </row>
        <row r="1105">
          <cell r="A1105">
            <v>18.53</v>
          </cell>
          <cell r="B1105">
            <v>19.91</v>
          </cell>
        </row>
        <row r="1106">
          <cell r="A1106">
            <v>18.54</v>
          </cell>
          <cell r="B1106">
            <v>19.920000000000002</v>
          </cell>
        </row>
        <row r="1107">
          <cell r="A1107">
            <v>18.55</v>
          </cell>
          <cell r="B1107">
            <v>19.93</v>
          </cell>
        </row>
        <row r="1108">
          <cell r="A1108">
            <v>18.559999999999999</v>
          </cell>
          <cell r="B1108">
            <v>19.940000000000001</v>
          </cell>
        </row>
        <row r="1109">
          <cell r="A1109">
            <v>18.57</v>
          </cell>
          <cell r="B1109">
            <v>19.96</v>
          </cell>
        </row>
        <row r="1110">
          <cell r="A1110">
            <v>18.579999999999998</v>
          </cell>
          <cell r="B1110">
            <v>19.97</v>
          </cell>
        </row>
        <row r="1111">
          <cell r="A1111">
            <v>18.59</v>
          </cell>
          <cell r="B1111">
            <v>19.98</v>
          </cell>
        </row>
        <row r="1112">
          <cell r="A1112">
            <v>18.600000000000001</v>
          </cell>
          <cell r="B1112">
            <v>19.989999999999998</v>
          </cell>
        </row>
        <row r="1113">
          <cell r="A1113">
            <v>18.61</v>
          </cell>
          <cell r="B1113">
            <v>20</v>
          </cell>
        </row>
        <row r="1114">
          <cell r="A1114">
            <v>18.62</v>
          </cell>
          <cell r="B1114">
            <v>20.010000000000002</v>
          </cell>
        </row>
        <row r="1115">
          <cell r="A1115">
            <v>18.63</v>
          </cell>
          <cell r="B1115">
            <v>20.03</v>
          </cell>
        </row>
        <row r="1116">
          <cell r="A1116">
            <v>18.64</v>
          </cell>
          <cell r="B1116">
            <v>20.04</v>
          </cell>
        </row>
        <row r="1117">
          <cell r="A1117">
            <v>18.649999999999999</v>
          </cell>
          <cell r="B1117">
            <v>20.05</v>
          </cell>
        </row>
        <row r="1118">
          <cell r="A1118">
            <v>18.66</v>
          </cell>
          <cell r="B1118">
            <v>20.059999999999999</v>
          </cell>
        </row>
        <row r="1119">
          <cell r="A1119">
            <v>18.670000000000002</v>
          </cell>
          <cell r="B1119">
            <v>20.07</v>
          </cell>
        </row>
        <row r="1120">
          <cell r="A1120">
            <v>18.68</v>
          </cell>
          <cell r="B1120">
            <v>20.079999999999998</v>
          </cell>
        </row>
        <row r="1121">
          <cell r="A1121">
            <v>18.690000000000001</v>
          </cell>
          <cell r="B1121">
            <v>20.100000000000001</v>
          </cell>
        </row>
        <row r="1122">
          <cell r="A1122">
            <v>18.7</v>
          </cell>
          <cell r="B1122">
            <v>20.11</v>
          </cell>
        </row>
        <row r="1123">
          <cell r="A1123">
            <v>18.71</v>
          </cell>
          <cell r="B1123">
            <v>20.12</v>
          </cell>
        </row>
        <row r="1124">
          <cell r="A1124">
            <v>18.72</v>
          </cell>
          <cell r="B1124">
            <v>20.13</v>
          </cell>
        </row>
        <row r="1125">
          <cell r="A1125">
            <v>18.73</v>
          </cell>
          <cell r="B1125">
            <v>20.14</v>
          </cell>
        </row>
        <row r="1126">
          <cell r="A1126">
            <v>18.739999999999998</v>
          </cell>
          <cell r="B1126">
            <v>20.149999999999999</v>
          </cell>
        </row>
        <row r="1127">
          <cell r="A1127">
            <v>18.75</v>
          </cell>
          <cell r="B1127">
            <v>20.16</v>
          </cell>
        </row>
        <row r="1128">
          <cell r="A1128">
            <v>18.760000000000002</v>
          </cell>
          <cell r="B1128">
            <v>20.18</v>
          </cell>
        </row>
        <row r="1129">
          <cell r="A1129">
            <v>18.77</v>
          </cell>
          <cell r="B1129">
            <v>20.190000000000001</v>
          </cell>
        </row>
        <row r="1130">
          <cell r="A1130">
            <v>18.78</v>
          </cell>
          <cell r="B1130">
            <v>20.2</v>
          </cell>
        </row>
        <row r="1131">
          <cell r="A1131">
            <v>18.79</v>
          </cell>
          <cell r="B1131">
            <v>20.21</v>
          </cell>
        </row>
        <row r="1132">
          <cell r="A1132">
            <v>18.8</v>
          </cell>
          <cell r="B1132">
            <v>20.22</v>
          </cell>
        </row>
        <row r="1133">
          <cell r="A1133">
            <v>18.809999999999999</v>
          </cell>
          <cell r="B1133">
            <v>20.23</v>
          </cell>
        </row>
        <row r="1134">
          <cell r="A1134">
            <v>18.82</v>
          </cell>
          <cell r="B1134">
            <v>20.25</v>
          </cell>
        </row>
        <row r="1135">
          <cell r="A1135">
            <v>18.829999999999998</v>
          </cell>
          <cell r="B1135">
            <v>20.260000000000002</v>
          </cell>
        </row>
        <row r="1136">
          <cell r="A1136">
            <v>18.84</v>
          </cell>
          <cell r="B1136">
            <v>20.27</v>
          </cell>
        </row>
        <row r="1137">
          <cell r="A1137">
            <v>18.850000000000001</v>
          </cell>
          <cell r="B1137">
            <v>20.28</v>
          </cell>
        </row>
        <row r="1138">
          <cell r="A1138">
            <v>18.86</v>
          </cell>
          <cell r="B1138">
            <v>20.29</v>
          </cell>
        </row>
        <row r="1139">
          <cell r="A1139">
            <v>18.87</v>
          </cell>
          <cell r="B1139">
            <v>20.3</v>
          </cell>
        </row>
        <row r="1140">
          <cell r="A1140">
            <v>18.88</v>
          </cell>
          <cell r="B1140">
            <v>20.32</v>
          </cell>
        </row>
        <row r="1141">
          <cell r="A1141">
            <v>18.89</v>
          </cell>
          <cell r="B1141">
            <v>20.329999999999998</v>
          </cell>
        </row>
        <row r="1142">
          <cell r="A1142">
            <v>18.899999999999999</v>
          </cell>
          <cell r="B1142">
            <v>20.34</v>
          </cell>
        </row>
        <row r="1143">
          <cell r="A1143">
            <v>18.91</v>
          </cell>
          <cell r="B1143">
            <v>20.350000000000001</v>
          </cell>
        </row>
        <row r="1144">
          <cell r="A1144">
            <v>18.920000000000002</v>
          </cell>
          <cell r="B1144">
            <v>20.36</v>
          </cell>
        </row>
        <row r="1145">
          <cell r="A1145">
            <v>18.93</v>
          </cell>
          <cell r="B1145">
            <v>20.37</v>
          </cell>
        </row>
        <row r="1146">
          <cell r="A1146">
            <v>18.940000000000001</v>
          </cell>
          <cell r="B1146">
            <v>20.38</v>
          </cell>
        </row>
        <row r="1147">
          <cell r="A1147">
            <v>18.95</v>
          </cell>
          <cell r="B1147">
            <v>20.399999999999999</v>
          </cell>
        </row>
        <row r="1148">
          <cell r="A1148">
            <v>18.96</v>
          </cell>
          <cell r="B1148">
            <v>20.41</v>
          </cell>
        </row>
        <row r="1149">
          <cell r="A1149">
            <v>18.97</v>
          </cell>
          <cell r="B1149">
            <v>20.420000000000002</v>
          </cell>
        </row>
        <row r="1150">
          <cell r="A1150">
            <v>18.98</v>
          </cell>
          <cell r="B1150">
            <v>20.43</v>
          </cell>
        </row>
        <row r="1151">
          <cell r="A1151">
            <v>18.989999999999998</v>
          </cell>
          <cell r="B1151">
            <v>20.440000000000001</v>
          </cell>
        </row>
        <row r="1152">
          <cell r="A1152">
            <v>19</v>
          </cell>
          <cell r="B1152">
            <v>20.45</v>
          </cell>
        </row>
        <row r="1153">
          <cell r="A1153">
            <v>19.010000000000002</v>
          </cell>
          <cell r="B1153">
            <v>20.47</v>
          </cell>
        </row>
        <row r="1154">
          <cell r="A1154">
            <v>19.02</v>
          </cell>
          <cell r="B1154">
            <v>20.48</v>
          </cell>
        </row>
        <row r="1155">
          <cell r="A1155">
            <v>19.03</v>
          </cell>
          <cell r="B1155">
            <v>20.49</v>
          </cell>
        </row>
        <row r="1156">
          <cell r="A1156">
            <v>19.04</v>
          </cell>
          <cell r="B1156">
            <v>20.5</v>
          </cell>
        </row>
        <row r="1157">
          <cell r="A1157">
            <v>19.05</v>
          </cell>
          <cell r="B1157">
            <v>20.51</v>
          </cell>
        </row>
        <row r="1158">
          <cell r="A1158">
            <v>19.059999999999999</v>
          </cell>
          <cell r="B1158">
            <v>20.52</v>
          </cell>
        </row>
        <row r="1159">
          <cell r="A1159">
            <v>19.07</v>
          </cell>
          <cell r="B1159">
            <v>20.54</v>
          </cell>
        </row>
        <row r="1160">
          <cell r="A1160">
            <v>19.079999999999998</v>
          </cell>
          <cell r="B1160">
            <v>20.55</v>
          </cell>
        </row>
        <row r="1161">
          <cell r="A1161">
            <v>19.09</v>
          </cell>
          <cell r="B1161">
            <v>20.56</v>
          </cell>
        </row>
        <row r="1162">
          <cell r="A1162">
            <v>19.100000000000001</v>
          </cell>
          <cell r="B1162">
            <v>20.57</v>
          </cell>
        </row>
        <row r="1163">
          <cell r="A1163">
            <v>19.11</v>
          </cell>
          <cell r="B1163">
            <v>20.58</v>
          </cell>
        </row>
        <row r="1164">
          <cell r="A1164">
            <v>19.12</v>
          </cell>
          <cell r="B1164">
            <v>20.59</v>
          </cell>
        </row>
        <row r="1165">
          <cell r="A1165">
            <v>19.13</v>
          </cell>
          <cell r="B1165">
            <v>20.61</v>
          </cell>
        </row>
        <row r="1166">
          <cell r="A1166">
            <v>19.14</v>
          </cell>
          <cell r="B1166">
            <v>20.62</v>
          </cell>
        </row>
        <row r="1167">
          <cell r="A1167">
            <v>19.149999999999999</v>
          </cell>
          <cell r="B1167">
            <v>20.63</v>
          </cell>
        </row>
        <row r="1168">
          <cell r="A1168">
            <v>19.16</v>
          </cell>
          <cell r="B1168">
            <v>20.64</v>
          </cell>
        </row>
        <row r="1169">
          <cell r="A1169">
            <v>19.170000000000002</v>
          </cell>
          <cell r="B1169">
            <v>20.65</v>
          </cell>
        </row>
        <row r="1170">
          <cell r="A1170">
            <v>19.18</v>
          </cell>
          <cell r="B1170">
            <v>20.66</v>
          </cell>
        </row>
        <row r="1171">
          <cell r="A1171">
            <v>19.190000000000001</v>
          </cell>
          <cell r="B1171">
            <v>20.67</v>
          </cell>
        </row>
        <row r="1172">
          <cell r="A1172">
            <v>19.2</v>
          </cell>
          <cell r="B1172">
            <v>20.69</v>
          </cell>
        </row>
        <row r="1173">
          <cell r="A1173">
            <v>19.21</v>
          </cell>
          <cell r="B1173">
            <v>20.7</v>
          </cell>
        </row>
        <row r="1174">
          <cell r="A1174">
            <v>19.22</v>
          </cell>
          <cell r="B1174">
            <v>20.71</v>
          </cell>
        </row>
        <row r="1175">
          <cell r="A1175">
            <v>19.23</v>
          </cell>
          <cell r="B1175">
            <v>20.72</v>
          </cell>
        </row>
        <row r="1176">
          <cell r="A1176">
            <v>19.239999999999998</v>
          </cell>
          <cell r="B1176">
            <v>20.73</v>
          </cell>
        </row>
        <row r="1177">
          <cell r="A1177">
            <v>19.25</v>
          </cell>
          <cell r="B1177">
            <v>20.74</v>
          </cell>
        </row>
        <row r="1178">
          <cell r="A1178">
            <v>19.260000000000002</v>
          </cell>
          <cell r="B1178">
            <v>20.76</v>
          </cell>
        </row>
        <row r="1179">
          <cell r="A1179">
            <v>19.27</v>
          </cell>
          <cell r="B1179">
            <v>20.77</v>
          </cell>
        </row>
        <row r="1180">
          <cell r="A1180">
            <v>19.28</v>
          </cell>
          <cell r="B1180">
            <v>20.78</v>
          </cell>
        </row>
        <row r="1181">
          <cell r="A1181">
            <v>19.29</v>
          </cell>
          <cell r="B1181">
            <v>20.79</v>
          </cell>
        </row>
        <row r="1182">
          <cell r="A1182">
            <v>19.3</v>
          </cell>
          <cell r="B1182">
            <v>20.8</v>
          </cell>
        </row>
        <row r="1183">
          <cell r="A1183">
            <v>19.309999999999999</v>
          </cell>
          <cell r="B1183">
            <v>20.81</v>
          </cell>
        </row>
        <row r="1184">
          <cell r="A1184">
            <v>19.32</v>
          </cell>
          <cell r="B1184">
            <v>20.83</v>
          </cell>
        </row>
        <row r="1185">
          <cell r="A1185">
            <v>19.329999999999998</v>
          </cell>
          <cell r="B1185">
            <v>20.84</v>
          </cell>
        </row>
        <row r="1186">
          <cell r="A1186">
            <v>19.34</v>
          </cell>
          <cell r="B1186">
            <v>20.85</v>
          </cell>
        </row>
        <row r="1187">
          <cell r="A1187">
            <v>19.350000000000001</v>
          </cell>
          <cell r="B1187">
            <v>20.86</v>
          </cell>
        </row>
        <row r="1188">
          <cell r="A1188">
            <v>19.36</v>
          </cell>
          <cell r="B1188">
            <v>20.87</v>
          </cell>
        </row>
        <row r="1189">
          <cell r="A1189">
            <v>19.37</v>
          </cell>
          <cell r="B1189">
            <v>20.88</v>
          </cell>
        </row>
        <row r="1190">
          <cell r="A1190">
            <v>19.38</v>
          </cell>
          <cell r="B1190">
            <v>20.9</v>
          </cell>
        </row>
        <row r="1191">
          <cell r="A1191">
            <v>19.39</v>
          </cell>
          <cell r="B1191">
            <v>20.91</v>
          </cell>
        </row>
        <row r="1192">
          <cell r="A1192">
            <v>19.399999999999999</v>
          </cell>
          <cell r="B1192">
            <v>20.92</v>
          </cell>
        </row>
        <row r="1193">
          <cell r="A1193">
            <v>19.41</v>
          </cell>
          <cell r="B1193">
            <v>20.93</v>
          </cell>
        </row>
        <row r="1194">
          <cell r="A1194">
            <v>19.420000000000002</v>
          </cell>
          <cell r="B1194">
            <v>20.94</v>
          </cell>
        </row>
        <row r="1195">
          <cell r="A1195">
            <v>19.43</v>
          </cell>
          <cell r="B1195">
            <v>20.95</v>
          </cell>
        </row>
        <row r="1196">
          <cell r="A1196">
            <v>19.440000000000001</v>
          </cell>
          <cell r="B1196">
            <v>20.97</v>
          </cell>
        </row>
        <row r="1197">
          <cell r="A1197">
            <v>19.45</v>
          </cell>
          <cell r="B1197">
            <v>20.98</v>
          </cell>
        </row>
        <row r="1198">
          <cell r="A1198">
            <v>19.46</v>
          </cell>
          <cell r="B1198">
            <v>20.99</v>
          </cell>
        </row>
        <row r="1199">
          <cell r="A1199">
            <v>19.47</v>
          </cell>
          <cell r="B1199">
            <v>21</v>
          </cell>
        </row>
        <row r="1200">
          <cell r="A1200">
            <v>19.48</v>
          </cell>
          <cell r="B1200">
            <v>21.01</v>
          </cell>
        </row>
        <row r="1201">
          <cell r="A1201">
            <v>19.489999999999998</v>
          </cell>
          <cell r="B1201">
            <v>21.02</v>
          </cell>
        </row>
        <row r="1202">
          <cell r="A1202">
            <v>19.5</v>
          </cell>
          <cell r="B1202">
            <v>21.04</v>
          </cell>
        </row>
        <row r="1203">
          <cell r="A1203">
            <v>19.510000000000002</v>
          </cell>
          <cell r="B1203">
            <v>21.05</v>
          </cell>
        </row>
        <row r="1204">
          <cell r="A1204">
            <v>19.52</v>
          </cell>
          <cell r="B1204">
            <v>21.06</v>
          </cell>
        </row>
        <row r="1205">
          <cell r="A1205">
            <v>19.53</v>
          </cell>
          <cell r="B1205">
            <v>21.07</v>
          </cell>
        </row>
        <row r="1206">
          <cell r="A1206">
            <v>19.54</v>
          </cell>
          <cell r="B1206">
            <v>21.08</v>
          </cell>
        </row>
        <row r="1207">
          <cell r="A1207">
            <v>19.55</v>
          </cell>
          <cell r="B1207">
            <v>21.09</v>
          </cell>
        </row>
        <row r="1208">
          <cell r="A1208">
            <v>19.559999999999999</v>
          </cell>
          <cell r="B1208">
            <v>21.11</v>
          </cell>
        </row>
        <row r="1209">
          <cell r="A1209">
            <v>19.57</v>
          </cell>
          <cell r="B1209">
            <v>21.12</v>
          </cell>
        </row>
        <row r="1210">
          <cell r="A1210">
            <v>19.579999999999998</v>
          </cell>
          <cell r="B1210">
            <v>21.13</v>
          </cell>
        </row>
        <row r="1211">
          <cell r="A1211">
            <v>19.59</v>
          </cell>
          <cell r="B1211">
            <v>21.14</v>
          </cell>
        </row>
        <row r="1212">
          <cell r="A1212">
            <v>19.600000000000001</v>
          </cell>
          <cell r="B1212">
            <v>21.15</v>
          </cell>
        </row>
        <row r="1213">
          <cell r="A1213">
            <v>19.61</v>
          </cell>
          <cell r="B1213">
            <v>21.16</v>
          </cell>
        </row>
        <row r="1214">
          <cell r="A1214">
            <v>19.62</v>
          </cell>
          <cell r="B1214">
            <v>21.18</v>
          </cell>
        </row>
        <row r="1215">
          <cell r="A1215">
            <v>19.63</v>
          </cell>
          <cell r="B1215">
            <v>21.19</v>
          </cell>
        </row>
        <row r="1216">
          <cell r="A1216">
            <v>19.64</v>
          </cell>
          <cell r="B1216">
            <v>21.2</v>
          </cell>
        </row>
        <row r="1217">
          <cell r="A1217">
            <v>19.649999999999999</v>
          </cell>
          <cell r="B1217">
            <v>21.21</v>
          </cell>
        </row>
        <row r="1218">
          <cell r="A1218">
            <v>19.66</v>
          </cell>
          <cell r="B1218">
            <v>21.22</v>
          </cell>
        </row>
        <row r="1219">
          <cell r="A1219">
            <v>19.670000000000002</v>
          </cell>
          <cell r="B1219">
            <v>21.23</v>
          </cell>
        </row>
        <row r="1220">
          <cell r="A1220">
            <v>19.68</v>
          </cell>
          <cell r="B1220">
            <v>21.25</v>
          </cell>
        </row>
        <row r="1221">
          <cell r="A1221">
            <v>19.690000000000001</v>
          </cell>
          <cell r="B1221">
            <v>21.26</v>
          </cell>
        </row>
        <row r="1222">
          <cell r="A1222">
            <v>19.7</v>
          </cell>
          <cell r="B1222">
            <v>21.27</v>
          </cell>
        </row>
        <row r="1223">
          <cell r="A1223">
            <v>19.71</v>
          </cell>
          <cell r="B1223">
            <v>21.28</v>
          </cell>
        </row>
        <row r="1224">
          <cell r="A1224">
            <v>19.72</v>
          </cell>
          <cell r="B1224">
            <v>21.29</v>
          </cell>
        </row>
        <row r="1225">
          <cell r="A1225">
            <v>19.73</v>
          </cell>
          <cell r="B1225">
            <v>21.3</v>
          </cell>
        </row>
        <row r="1226">
          <cell r="A1226">
            <v>19.739999999999998</v>
          </cell>
          <cell r="B1226">
            <v>21.32</v>
          </cell>
        </row>
        <row r="1227">
          <cell r="A1227">
            <v>19.75</v>
          </cell>
          <cell r="B1227">
            <v>21.33</v>
          </cell>
        </row>
        <row r="1228">
          <cell r="A1228">
            <v>19.760000000000002</v>
          </cell>
          <cell r="B1228">
            <v>21.34</v>
          </cell>
        </row>
        <row r="1229">
          <cell r="A1229">
            <v>19.77</v>
          </cell>
          <cell r="B1229">
            <v>21.35</v>
          </cell>
        </row>
        <row r="1230">
          <cell r="A1230">
            <v>19.78</v>
          </cell>
          <cell r="B1230">
            <v>21.36</v>
          </cell>
        </row>
        <row r="1231">
          <cell r="A1231">
            <v>19.79</v>
          </cell>
          <cell r="B1231">
            <v>21.37</v>
          </cell>
        </row>
        <row r="1232">
          <cell r="A1232">
            <v>19.8</v>
          </cell>
          <cell r="B1232">
            <v>21.39</v>
          </cell>
        </row>
        <row r="1233">
          <cell r="A1233">
            <v>19.809999999999999</v>
          </cell>
          <cell r="B1233">
            <v>21.4</v>
          </cell>
        </row>
        <row r="1234">
          <cell r="A1234">
            <v>19.82</v>
          </cell>
          <cell r="B1234">
            <v>21.41</v>
          </cell>
        </row>
        <row r="1235">
          <cell r="A1235">
            <v>19.829999999999998</v>
          </cell>
          <cell r="B1235">
            <v>21.42</v>
          </cell>
        </row>
        <row r="1236">
          <cell r="A1236">
            <v>19.84</v>
          </cell>
          <cell r="B1236">
            <v>21.43</v>
          </cell>
        </row>
        <row r="1237">
          <cell r="A1237">
            <v>19.850000000000001</v>
          </cell>
          <cell r="B1237">
            <v>21.44</v>
          </cell>
        </row>
        <row r="1238">
          <cell r="A1238">
            <v>19.86</v>
          </cell>
          <cell r="B1238">
            <v>21.46</v>
          </cell>
        </row>
        <row r="1239">
          <cell r="A1239">
            <v>19.87</v>
          </cell>
          <cell r="B1239">
            <v>21.47</v>
          </cell>
        </row>
        <row r="1240">
          <cell r="A1240">
            <v>19.88</v>
          </cell>
          <cell r="B1240">
            <v>21.48</v>
          </cell>
        </row>
        <row r="1241">
          <cell r="A1241">
            <v>19.89</v>
          </cell>
          <cell r="B1241">
            <v>21.49</v>
          </cell>
        </row>
        <row r="1242">
          <cell r="A1242">
            <v>19.899999999999999</v>
          </cell>
          <cell r="B1242">
            <v>21.5</v>
          </cell>
        </row>
        <row r="1243">
          <cell r="A1243">
            <v>19.91</v>
          </cell>
          <cell r="B1243">
            <v>21.51</v>
          </cell>
        </row>
        <row r="1244">
          <cell r="A1244">
            <v>19.920000000000002</v>
          </cell>
          <cell r="B1244">
            <v>21.53</v>
          </cell>
        </row>
        <row r="1245">
          <cell r="A1245">
            <v>19.93</v>
          </cell>
          <cell r="B1245">
            <v>21.54</v>
          </cell>
        </row>
        <row r="1246">
          <cell r="A1246">
            <v>19.940000000000001</v>
          </cell>
          <cell r="B1246">
            <v>21.55</v>
          </cell>
        </row>
        <row r="1247">
          <cell r="A1247">
            <v>19.95</v>
          </cell>
          <cell r="B1247">
            <v>21.56</v>
          </cell>
        </row>
        <row r="1248">
          <cell r="A1248">
            <v>19.96</v>
          </cell>
          <cell r="B1248">
            <v>21.57</v>
          </cell>
        </row>
        <row r="1249">
          <cell r="A1249">
            <v>19.97</v>
          </cell>
          <cell r="B1249">
            <v>21.58</v>
          </cell>
        </row>
        <row r="1250">
          <cell r="A1250">
            <v>19.98</v>
          </cell>
          <cell r="B1250">
            <v>21.6</v>
          </cell>
        </row>
        <row r="1251">
          <cell r="A1251">
            <v>19.989999999999998</v>
          </cell>
          <cell r="B1251">
            <v>21.61</v>
          </cell>
        </row>
        <row r="1252">
          <cell r="A1252">
            <v>20</v>
          </cell>
          <cell r="B1252">
            <v>21.62</v>
          </cell>
        </row>
        <row r="1253">
          <cell r="A1253">
            <v>20.010000000000002</v>
          </cell>
          <cell r="B1253">
            <v>21.63</v>
          </cell>
        </row>
        <row r="1254">
          <cell r="A1254">
            <v>20.02</v>
          </cell>
          <cell r="B1254">
            <v>21.64</v>
          </cell>
        </row>
        <row r="1255">
          <cell r="A1255">
            <v>20.03</v>
          </cell>
          <cell r="B1255">
            <v>21.65</v>
          </cell>
        </row>
        <row r="1256">
          <cell r="A1256">
            <v>20.04</v>
          </cell>
          <cell r="B1256">
            <v>21.67</v>
          </cell>
        </row>
        <row r="1257">
          <cell r="A1257">
            <v>20.05</v>
          </cell>
          <cell r="B1257">
            <v>21.68</v>
          </cell>
        </row>
        <row r="1258">
          <cell r="A1258">
            <v>20.059999999999999</v>
          </cell>
          <cell r="B1258">
            <v>21.69</v>
          </cell>
        </row>
        <row r="1259">
          <cell r="A1259">
            <v>20.07</v>
          </cell>
          <cell r="B1259">
            <v>21.7</v>
          </cell>
        </row>
        <row r="1260">
          <cell r="A1260">
            <v>20.079999999999998</v>
          </cell>
          <cell r="B1260">
            <v>21.71</v>
          </cell>
        </row>
        <row r="1261">
          <cell r="A1261">
            <v>20.09</v>
          </cell>
          <cell r="B1261">
            <v>21.72</v>
          </cell>
        </row>
        <row r="1262">
          <cell r="A1262">
            <v>20.100000000000001</v>
          </cell>
          <cell r="B1262">
            <v>21.74</v>
          </cell>
        </row>
        <row r="1263">
          <cell r="A1263">
            <v>20.11</v>
          </cell>
          <cell r="B1263">
            <v>21.75</v>
          </cell>
        </row>
        <row r="1264">
          <cell r="A1264">
            <v>20.12</v>
          </cell>
          <cell r="B1264">
            <v>21.76</v>
          </cell>
        </row>
        <row r="1265">
          <cell r="A1265">
            <v>20.13</v>
          </cell>
          <cell r="B1265">
            <v>21.77</v>
          </cell>
        </row>
        <row r="1266">
          <cell r="A1266">
            <v>20.14</v>
          </cell>
          <cell r="B1266">
            <v>21.78</v>
          </cell>
        </row>
        <row r="1267">
          <cell r="A1267">
            <v>20.149999999999999</v>
          </cell>
          <cell r="B1267">
            <v>21.79</v>
          </cell>
        </row>
        <row r="1268">
          <cell r="A1268">
            <v>20.16</v>
          </cell>
          <cell r="B1268">
            <v>21.81</v>
          </cell>
        </row>
        <row r="1269">
          <cell r="A1269">
            <v>20.170000000000002</v>
          </cell>
          <cell r="B1269">
            <v>21.82</v>
          </cell>
        </row>
        <row r="1270">
          <cell r="A1270">
            <v>20.18</v>
          </cell>
          <cell r="B1270">
            <v>21.83</v>
          </cell>
        </row>
        <row r="1271">
          <cell r="A1271">
            <v>20.190000000000001</v>
          </cell>
          <cell r="B1271">
            <v>21.84</v>
          </cell>
        </row>
        <row r="1272">
          <cell r="A1272">
            <v>20.2</v>
          </cell>
          <cell r="B1272">
            <v>21.85</v>
          </cell>
        </row>
        <row r="1273">
          <cell r="A1273">
            <v>20.21</v>
          </cell>
          <cell r="B1273">
            <v>21.87</v>
          </cell>
        </row>
        <row r="1274">
          <cell r="A1274">
            <v>20.22</v>
          </cell>
          <cell r="B1274">
            <v>21.88</v>
          </cell>
        </row>
        <row r="1275">
          <cell r="A1275">
            <v>20.23</v>
          </cell>
          <cell r="B1275">
            <v>21.89</v>
          </cell>
        </row>
        <row r="1276">
          <cell r="A1276">
            <v>20.239999999999998</v>
          </cell>
          <cell r="B1276">
            <v>21.9</v>
          </cell>
        </row>
        <row r="1277">
          <cell r="A1277">
            <v>20.25</v>
          </cell>
          <cell r="B1277">
            <v>21.91</v>
          </cell>
        </row>
        <row r="1278">
          <cell r="A1278">
            <v>20.260000000000002</v>
          </cell>
          <cell r="B1278">
            <v>21.92</v>
          </cell>
        </row>
        <row r="1279">
          <cell r="A1279">
            <v>20.27</v>
          </cell>
          <cell r="B1279">
            <v>21.94</v>
          </cell>
        </row>
        <row r="1280">
          <cell r="A1280">
            <v>20.28</v>
          </cell>
          <cell r="B1280">
            <v>21.95</v>
          </cell>
        </row>
        <row r="1281">
          <cell r="A1281">
            <v>20.29</v>
          </cell>
          <cell r="B1281">
            <v>21.96</v>
          </cell>
        </row>
        <row r="1282">
          <cell r="A1282">
            <v>20.3</v>
          </cell>
          <cell r="B1282">
            <v>21.97</v>
          </cell>
        </row>
        <row r="1283">
          <cell r="A1283">
            <v>20.309999999999999</v>
          </cell>
          <cell r="B1283">
            <v>21.98</v>
          </cell>
        </row>
        <row r="1284">
          <cell r="A1284">
            <v>20.32</v>
          </cell>
          <cell r="B1284">
            <v>21.99</v>
          </cell>
        </row>
        <row r="1285">
          <cell r="A1285">
            <v>20.329999999999998</v>
          </cell>
          <cell r="B1285">
            <v>22.01</v>
          </cell>
        </row>
        <row r="1286">
          <cell r="A1286">
            <v>20.34</v>
          </cell>
          <cell r="B1286">
            <v>22.02</v>
          </cell>
        </row>
        <row r="1287">
          <cell r="A1287">
            <v>20.350000000000001</v>
          </cell>
          <cell r="B1287">
            <v>22.03</v>
          </cell>
        </row>
        <row r="1288">
          <cell r="A1288">
            <v>20.36</v>
          </cell>
          <cell r="B1288">
            <v>22.04</v>
          </cell>
        </row>
        <row r="1289">
          <cell r="A1289">
            <v>20.37</v>
          </cell>
          <cell r="B1289">
            <v>22.05</v>
          </cell>
        </row>
        <row r="1290">
          <cell r="A1290">
            <v>20.38</v>
          </cell>
          <cell r="B1290">
            <v>22.06</v>
          </cell>
        </row>
        <row r="1291">
          <cell r="A1291">
            <v>20.39</v>
          </cell>
          <cell r="B1291">
            <v>22.08</v>
          </cell>
        </row>
        <row r="1292">
          <cell r="A1292">
            <v>20.399999999999999</v>
          </cell>
          <cell r="B1292">
            <v>22.09</v>
          </cell>
        </row>
        <row r="1293">
          <cell r="A1293">
            <v>20.41</v>
          </cell>
          <cell r="B1293">
            <v>22.1</v>
          </cell>
        </row>
        <row r="1294">
          <cell r="A1294">
            <v>20.420000000000002</v>
          </cell>
          <cell r="B1294">
            <v>22.11</v>
          </cell>
        </row>
        <row r="1295">
          <cell r="A1295">
            <v>20.43</v>
          </cell>
          <cell r="B1295">
            <v>22.12</v>
          </cell>
        </row>
        <row r="1296">
          <cell r="A1296">
            <v>20.440000000000001</v>
          </cell>
          <cell r="B1296">
            <v>22.13</v>
          </cell>
        </row>
        <row r="1297">
          <cell r="A1297">
            <v>20.45</v>
          </cell>
          <cell r="B1297">
            <v>22.15</v>
          </cell>
        </row>
        <row r="1298">
          <cell r="A1298">
            <v>20.46</v>
          </cell>
          <cell r="B1298">
            <v>22.16</v>
          </cell>
        </row>
        <row r="1299">
          <cell r="A1299">
            <v>20.47</v>
          </cell>
          <cell r="B1299">
            <v>22.17</v>
          </cell>
        </row>
        <row r="1300">
          <cell r="A1300">
            <v>20.48</v>
          </cell>
          <cell r="B1300">
            <v>22.18</v>
          </cell>
        </row>
        <row r="1301">
          <cell r="A1301">
            <v>20.49</v>
          </cell>
          <cell r="B1301">
            <v>22.19</v>
          </cell>
        </row>
        <row r="1302">
          <cell r="A1302">
            <v>20.5</v>
          </cell>
          <cell r="B1302">
            <v>22.21</v>
          </cell>
        </row>
        <row r="1303">
          <cell r="A1303">
            <v>20.51</v>
          </cell>
          <cell r="B1303">
            <v>22.22</v>
          </cell>
        </row>
        <row r="1304">
          <cell r="A1304">
            <v>20.52</v>
          </cell>
          <cell r="B1304">
            <v>22.23</v>
          </cell>
        </row>
        <row r="1305">
          <cell r="A1305">
            <v>20.53</v>
          </cell>
          <cell r="B1305">
            <v>22.24</v>
          </cell>
        </row>
        <row r="1306">
          <cell r="A1306">
            <v>20.54</v>
          </cell>
          <cell r="B1306">
            <v>22.25</v>
          </cell>
        </row>
        <row r="1307">
          <cell r="A1307">
            <v>20.55</v>
          </cell>
          <cell r="B1307">
            <v>22.26</v>
          </cell>
        </row>
        <row r="1308">
          <cell r="A1308">
            <v>20.56</v>
          </cell>
          <cell r="B1308">
            <v>22.28</v>
          </cell>
        </row>
        <row r="1309">
          <cell r="A1309">
            <v>20.57</v>
          </cell>
          <cell r="B1309">
            <v>22.29</v>
          </cell>
        </row>
        <row r="1310">
          <cell r="A1310">
            <v>20.58</v>
          </cell>
          <cell r="B1310">
            <v>22.3</v>
          </cell>
        </row>
        <row r="1311">
          <cell r="A1311">
            <v>20.59</v>
          </cell>
          <cell r="B1311">
            <v>22.31</v>
          </cell>
        </row>
        <row r="1312">
          <cell r="A1312">
            <v>20.6</v>
          </cell>
          <cell r="B1312">
            <v>22.32</v>
          </cell>
        </row>
        <row r="1313">
          <cell r="A1313">
            <v>20.61</v>
          </cell>
          <cell r="B1313">
            <v>22.33</v>
          </cell>
        </row>
        <row r="1314">
          <cell r="A1314">
            <v>20.62</v>
          </cell>
          <cell r="B1314">
            <v>22.35</v>
          </cell>
        </row>
        <row r="1315">
          <cell r="A1315">
            <v>20.63</v>
          </cell>
          <cell r="B1315">
            <v>22.36</v>
          </cell>
        </row>
        <row r="1316">
          <cell r="A1316">
            <v>20.64</v>
          </cell>
          <cell r="B1316">
            <v>22.37</v>
          </cell>
        </row>
        <row r="1317">
          <cell r="A1317">
            <v>20.65</v>
          </cell>
          <cell r="B1317">
            <v>22.38</v>
          </cell>
        </row>
        <row r="1318">
          <cell r="A1318">
            <v>20.66</v>
          </cell>
          <cell r="B1318">
            <v>22.39</v>
          </cell>
        </row>
        <row r="1319">
          <cell r="A1319">
            <v>20.67</v>
          </cell>
          <cell r="B1319">
            <v>22.41</v>
          </cell>
        </row>
        <row r="1320">
          <cell r="A1320">
            <v>20.68</v>
          </cell>
          <cell r="B1320">
            <v>22.42</v>
          </cell>
        </row>
        <row r="1321">
          <cell r="A1321">
            <v>20.69</v>
          </cell>
          <cell r="B1321">
            <v>22.43</v>
          </cell>
        </row>
        <row r="1322">
          <cell r="A1322">
            <v>20.7</v>
          </cell>
          <cell r="B1322">
            <v>22.44</v>
          </cell>
        </row>
        <row r="1323">
          <cell r="A1323">
            <v>20.71</v>
          </cell>
          <cell r="B1323">
            <v>22.45</v>
          </cell>
        </row>
        <row r="1324">
          <cell r="A1324">
            <v>20.72</v>
          </cell>
          <cell r="B1324">
            <v>22.46</v>
          </cell>
        </row>
        <row r="1325">
          <cell r="A1325">
            <v>20.73</v>
          </cell>
          <cell r="B1325">
            <v>22.48</v>
          </cell>
        </row>
        <row r="1326">
          <cell r="A1326">
            <v>20.74</v>
          </cell>
          <cell r="B1326">
            <v>22.49</v>
          </cell>
        </row>
        <row r="1327">
          <cell r="A1327">
            <v>20.75</v>
          </cell>
          <cell r="B1327">
            <v>22.5</v>
          </cell>
        </row>
        <row r="1328">
          <cell r="A1328">
            <v>20.76</v>
          </cell>
          <cell r="B1328">
            <v>22.51</v>
          </cell>
        </row>
        <row r="1329">
          <cell r="A1329">
            <v>20.77</v>
          </cell>
          <cell r="B1329">
            <v>22.52</v>
          </cell>
        </row>
        <row r="1330">
          <cell r="A1330">
            <v>20.78</v>
          </cell>
          <cell r="B1330">
            <v>22.53</v>
          </cell>
        </row>
        <row r="1331">
          <cell r="A1331">
            <v>20.79</v>
          </cell>
          <cell r="B1331">
            <v>22.55</v>
          </cell>
        </row>
        <row r="1332">
          <cell r="A1332">
            <v>20.8</v>
          </cell>
          <cell r="B1332">
            <v>22.56</v>
          </cell>
        </row>
        <row r="1333">
          <cell r="A1333">
            <v>20.81</v>
          </cell>
          <cell r="B1333">
            <v>22.57</v>
          </cell>
        </row>
        <row r="1334">
          <cell r="A1334">
            <v>20.82</v>
          </cell>
          <cell r="B1334">
            <v>22.58</v>
          </cell>
        </row>
        <row r="1335">
          <cell r="A1335">
            <v>20.83</v>
          </cell>
          <cell r="B1335">
            <v>22.59</v>
          </cell>
        </row>
        <row r="1336">
          <cell r="A1336">
            <v>20.84</v>
          </cell>
          <cell r="B1336">
            <v>22.61</v>
          </cell>
        </row>
        <row r="1337">
          <cell r="A1337">
            <v>20.85</v>
          </cell>
          <cell r="B1337">
            <v>22.62</v>
          </cell>
        </row>
        <row r="1338">
          <cell r="A1338">
            <v>20.86</v>
          </cell>
          <cell r="B1338">
            <v>22.63</v>
          </cell>
        </row>
        <row r="1339">
          <cell r="A1339">
            <v>20.87</v>
          </cell>
          <cell r="B1339">
            <v>22.64</v>
          </cell>
        </row>
        <row r="1340">
          <cell r="A1340">
            <v>20.88</v>
          </cell>
          <cell r="B1340">
            <v>22.65</v>
          </cell>
        </row>
        <row r="1341">
          <cell r="A1341">
            <v>20.89</v>
          </cell>
          <cell r="B1341">
            <v>22.66</v>
          </cell>
        </row>
        <row r="1342">
          <cell r="A1342">
            <v>20.9</v>
          </cell>
          <cell r="B1342">
            <v>22.68</v>
          </cell>
        </row>
        <row r="1343">
          <cell r="A1343">
            <v>20.91</v>
          </cell>
          <cell r="B1343">
            <v>22.69</v>
          </cell>
        </row>
        <row r="1344">
          <cell r="A1344">
            <v>20.92</v>
          </cell>
          <cell r="B1344">
            <v>22.7</v>
          </cell>
        </row>
        <row r="1345">
          <cell r="A1345">
            <v>20.93</v>
          </cell>
          <cell r="B1345">
            <v>22.71</v>
          </cell>
        </row>
        <row r="1346">
          <cell r="A1346">
            <v>20.94</v>
          </cell>
          <cell r="B1346">
            <v>22.72</v>
          </cell>
        </row>
        <row r="1347">
          <cell r="A1347">
            <v>20.95</v>
          </cell>
          <cell r="B1347">
            <v>22.73</v>
          </cell>
        </row>
        <row r="1348">
          <cell r="A1348">
            <v>20.96</v>
          </cell>
          <cell r="B1348">
            <v>22.75</v>
          </cell>
        </row>
        <row r="1349">
          <cell r="A1349">
            <v>20.97</v>
          </cell>
          <cell r="B1349">
            <v>22.76</v>
          </cell>
        </row>
        <row r="1350">
          <cell r="A1350">
            <v>20.98</v>
          </cell>
          <cell r="B1350">
            <v>22.77</v>
          </cell>
        </row>
        <row r="1351">
          <cell r="A1351">
            <v>20.99</v>
          </cell>
          <cell r="B1351">
            <v>22.78</v>
          </cell>
        </row>
        <row r="1352">
          <cell r="A1352">
            <v>21</v>
          </cell>
          <cell r="B1352">
            <v>22.79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6" Type="http://schemas.openxmlformats.org/officeDocument/2006/relationships/comments" Target="../comments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2D5F6-133C-49B0-9769-183AE5107BB4}">
  <sheetPr>
    <tabColor indexed="10"/>
  </sheetPr>
  <dimension ref="B1:ER107"/>
  <sheetViews>
    <sheetView tabSelected="1" zoomScale="90" zoomScaleNormal="90" workbookViewId="0">
      <pane xSplit="45" topLeftCell="AT1" activePane="topRight" state="frozen"/>
      <selection pane="topRight" activeCell="L15" sqref="L15"/>
    </sheetView>
  </sheetViews>
  <sheetFormatPr defaultColWidth="9.140625" defaultRowHeight="12.75"/>
  <cols>
    <col min="1" max="1" width="2.28515625" style="33" customWidth="1"/>
    <col min="2" max="2" width="6.28515625" style="386" customWidth="1"/>
    <col min="3" max="3" width="31.7109375" style="387" customWidth="1"/>
    <col min="4" max="4" width="7.5703125" style="388" customWidth="1"/>
    <col min="5" max="5" width="7.28515625" style="388" customWidth="1"/>
    <col min="6" max="6" width="9.5703125" style="388" customWidth="1"/>
    <col min="7" max="7" width="9.42578125" style="388" customWidth="1"/>
    <col min="8" max="8" width="7.85546875" style="388" customWidth="1"/>
    <col min="9" max="9" width="8.42578125" style="388" customWidth="1"/>
    <col min="10" max="10" width="19.85546875" style="389" customWidth="1"/>
    <col min="11" max="11" width="10.5703125" style="390" customWidth="1"/>
    <col min="12" max="12" width="7.7109375" style="391" customWidth="1"/>
    <col min="13" max="13" width="7.42578125" style="33" hidden="1" customWidth="1"/>
    <col min="14" max="19" width="8" style="33" hidden="1" customWidth="1"/>
    <col min="20" max="20" width="9.140625" style="33" hidden="1" customWidth="1"/>
    <col min="21" max="21" width="11.140625" style="33" hidden="1" customWidth="1"/>
    <col min="22" max="23" width="9.140625" style="33" hidden="1" customWidth="1"/>
    <col min="24" max="24" width="9.140625" style="33" hidden="1" customWidth="1" collapsed="1"/>
    <col min="25" max="34" width="9.140625" style="33" hidden="1" customWidth="1"/>
    <col min="35" max="35" width="6.5703125" style="33" hidden="1" customWidth="1"/>
    <col min="36" max="37" width="9.140625" style="33" hidden="1" customWidth="1"/>
    <col min="38" max="38" width="10.140625" style="33" hidden="1" customWidth="1"/>
    <col min="39" max="39" width="13" style="33" hidden="1" customWidth="1"/>
    <col min="40" max="40" width="11.85546875" style="33" hidden="1" customWidth="1"/>
    <col min="41" max="41" width="14.28515625" style="33" hidden="1" customWidth="1"/>
    <col min="42" max="42" width="16.140625" style="33" hidden="1" customWidth="1"/>
    <col min="43" max="43" width="13.85546875" style="33" hidden="1" customWidth="1"/>
    <col min="44" max="44" width="13" style="33" hidden="1" customWidth="1"/>
    <col min="45" max="45" width="9.140625" style="33" hidden="1" customWidth="1"/>
    <col min="46" max="46" width="9.140625" style="33" customWidth="1"/>
    <col min="47" max="47" width="5.5703125" style="33" customWidth="1"/>
    <col min="48" max="48" width="12" style="33" customWidth="1"/>
    <col min="49" max="49" width="11.5703125" style="33" customWidth="1"/>
    <col min="50" max="50" width="12.28515625" style="33" customWidth="1"/>
    <col min="51" max="51" width="6.28515625" style="33" customWidth="1"/>
    <col min="52" max="52" width="6.5703125" style="33" customWidth="1"/>
    <col min="53" max="53" width="10.28515625" style="33" customWidth="1"/>
    <col min="54" max="54" width="6.5703125" style="33" customWidth="1"/>
    <col min="55" max="55" width="7.85546875" style="33" customWidth="1"/>
    <col min="56" max="56" width="11.28515625" style="33" customWidth="1"/>
    <col min="57" max="57" width="11.5703125" style="33" bestFit="1" customWidth="1"/>
    <col min="58" max="58" width="5.5703125" style="33" customWidth="1"/>
    <col min="59" max="59" width="6.85546875" style="33" customWidth="1"/>
    <col min="60" max="60" width="6.7109375" style="33" customWidth="1"/>
    <col min="61" max="61" width="8.5703125" style="33" customWidth="1"/>
    <col min="62" max="62" width="8.85546875" style="33" customWidth="1"/>
    <col min="63" max="65" width="9.140625" style="33" customWidth="1"/>
    <col min="66" max="66" width="7.5703125" style="33" customWidth="1"/>
    <col min="67" max="67" width="7.140625" style="33" customWidth="1"/>
    <col min="68" max="68" width="8.7109375" style="33" customWidth="1"/>
    <col min="69" max="69" width="7.5703125" style="33" customWidth="1"/>
    <col min="70" max="70" width="8.140625" style="33" customWidth="1"/>
    <col min="71" max="71" width="7.140625" style="33" customWidth="1"/>
    <col min="72" max="72" width="6.5703125" style="33" customWidth="1"/>
    <col min="73" max="73" width="9.140625" style="33" customWidth="1"/>
    <col min="74" max="74" width="7.140625" style="33" customWidth="1"/>
    <col min="75" max="75" width="5.7109375" style="33" customWidth="1"/>
    <col min="76" max="76" width="6.28515625" style="33" customWidth="1"/>
    <col min="77" max="77" width="6.140625" style="33" customWidth="1"/>
    <col min="78" max="78" width="6.28515625" style="33" customWidth="1"/>
    <col min="79" max="79" width="9.28515625" style="33" customWidth="1"/>
    <col min="80" max="80" width="9.140625" style="33" customWidth="1"/>
    <col min="81" max="81" width="5.5703125" style="33" customWidth="1"/>
    <col min="82" max="82" width="6" style="33" customWidth="1"/>
    <col min="83" max="83" width="5.42578125" style="33" customWidth="1"/>
    <col min="84" max="97" width="6.85546875" style="33" customWidth="1"/>
    <col min="98" max="98" width="7.5703125" style="33" customWidth="1"/>
    <col min="99" max="99" width="6.28515625" style="33" customWidth="1"/>
    <col min="100" max="100" width="6" style="33" customWidth="1"/>
    <col min="101" max="101" width="6.42578125" style="33" customWidth="1"/>
    <col min="102" max="102" width="5.42578125" style="33" customWidth="1"/>
    <col min="103" max="103" width="6.7109375" style="33" customWidth="1"/>
    <col min="104" max="104" width="6.42578125" style="33" customWidth="1"/>
    <col min="105" max="105" width="11.5703125" style="33" customWidth="1"/>
    <col min="106" max="106" width="7.85546875" style="33" customWidth="1"/>
    <col min="107" max="107" width="7.42578125" style="33" customWidth="1"/>
    <col min="108" max="108" width="6.140625" style="33" customWidth="1"/>
    <col min="109" max="109" width="6.7109375" style="33" customWidth="1"/>
    <col min="110" max="110" width="5.28515625" style="33" customWidth="1"/>
    <col min="111" max="112" width="8" style="33" customWidth="1"/>
    <col min="113" max="113" width="7.42578125" style="33" customWidth="1"/>
    <col min="114" max="116" width="6.140625" style="33" customWidth="1"/>
    <col min="117" max="117" width="6.7109375" style="33" customWidth="1"/>
    <col min="118" max="118" width="10.28515625" style="33" customWidth="1"/>
    <col min="119" max="119" width="6" style="33" customWidth="1"/>
    <col min="120" max="120" width="6.85546875" style="33" customWidth="1"/>
    <col min="121" max="121" width="7" style="33" customWidth="1"/>
    <col min="122" max="122" width="7.5703125" style="33" customWidth="1"/>
    <col min="123" max="124" width="9.140625" style="33" customWidth="1"/>
    <col min="125" max="125" width="6.140625" style="33" customWidth="1"/>
    <col min="126" max="126" width="7.28515625" style="33" customWidth="1"/>
    <col min="127" max="127" width="6.5703125" style="33" customWidth="1"/>
    <col min="128" max="128" width="5.28515625" style="33" customWidth="1"/>
    <col min="129" max="129" width="6.85546875" style="33" customWidth="1"/>
    <col min="130" max="130" width="8.140625" style="33" customWidth="1"/>
    <col min="131" max="131" width="7" style="33" customWidth="1"/>
    <col min="132" max="132" width="6.28515625" style="33" customWidth="1"/>
    <col min="133" max="133" width="7.140625" style="33" customWidth="1"/>
    <col min="134" max="134" width="6.7109375" style="33" customWidth="1"/>
    <col min="135" max="135" width="7.28515625" style="33" customWidth="1"/>
    <col min="136" max="136" width="7.42578125" style="33" customWidth="1"/>
    <col min="137" max="137" width="7.5703125" style="33" customWidth="1"/>
    <col min="138" max="138" width="6.140625" style="33" customWidth="1"/>
    <col min="139" max="139" width="6.7109375" style="33" customWidth="1"/>
    <col min="140" max="140" width="6.85546875" style="33" customWidth="1"/>
    <col min="141" max="141" width="6.5703125" style="33" customWidth="1"/>
    <col min="142" max="142" width="5.140625" style="33" customWidth="1"/>
    <col min="143" max="143" width="7.85546875" style="33" customWidth="1"/>
    <col min="144" max="144" width="5.7109375" style="33" customWidth="1"/>
    <col min="145" max="145" width="5.5703125" style="33" customWidth="1"/>
    <col min="146" max="146" width="9.140625" style="33" customWidth="1"/>
    <col min="147" max="16384" width="9.140625" style="33"/>
  </cols>
  <sheetData>
    <row r="1" spans="2:148" s="3" customFormat="1" ht="33.75" customHeight="1" thickBot="1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U1" s="4">
        <v>1</v>
      </c>
      <c r="AV1" s="5" t="s">
        <v>1</v>
      </c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7"/>
      <c r="ER1" s="7"/>
    </row>
    <row r="2" spans="2:148" s="3" customFormat="1" ht="15">
      <c r="B2" s="8"/>
      <c r="C2" s="8" t="s">
        <v>2</v>
      </c>
      <c r="D2" s="9" t="s">
        <v>3</v>
      </c>
      <c r="E2" s="9" t="s">
        <v>4</v>
      </c>
      <c r="F2" s="9"/>
      <c r="G2" s="9" t="s">
        <v>5</v>
      </c>
      <c r="H2" s="10">
        <v>10295</v>
      </c>
      <c r="I2" s="8"/>
      <c r="J2" s="11"/>
      <c r="K2" s="12"/>
      <c r="L2" s="13"/>
      <c r="M2" s="1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15" t="s">
        <v>6</v>
      </c>
      <c r="AM2" s="16" t="s">
        <v>7</v>
      </c>
      <c r="AN2" s="16" t="s">
        <v>8</v>
      </c>
      <c r="AO2" s="2"/>
      <c r="AP2" s="2"/>
      <c r="AQ2" s="2"/>
      <c r="AR2" s="2"/>
      <c r="AS2" s="2"/>
      <c r="AU2" s="4">
        <v>2</v>
      </c>
      <c r="AV2" s="5" t="s">
        <v>9</v>
      </c>
      <c r="AW2" s="6"/>
      <c r="AX2" s="6"/>
      <c r="AY2" s="17"/>
      <c r="AZ2" s="18"/>
      <c r="BA2" s="6"/>
      <c r="BB2" s="18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7"/>
      <c r="ER2" s="7"/>
    </row>
    <row r="3" spans="2:148" s="3" customFormat="1" ht="15.75" thickBot="1">
      <c r="B3" s="8"/>
      <c r="C3" s="19" t="s">
        <v>1</v>
      </c>
      <c r="D3" s="12" t="s">
        <v>10</v>
      </c>
      <c r="E3" s="12">
        <v>10124</v>
      </c>
      <c r="F3" s="12"/>
      <c r="G3" s="11" t="s">
        <v>11</v>
      </c>
      <c r="H3" s="10">
        <v>10295</v>
      </c>
      <c r="I3" s="11" t="s">
        <v>12</v>
      </c>
      <c r="J3" s="20">
        <v>45371</v>
      </c>
      <c r="K3" s="11" t="s">
        <v>13</v>
      </c>
      <c r="L3" s="21">
        <v>30</v>
      </c>
      <c r="M3" s="8"/>
      <c r="N3" s="2"/>
      <c r="O3" s="2"/>
      <c r="P3" s="2">
        <f>36+5</f>
        <v>41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2">
        <f>(K9)/(D9+K15)*100</f>
        <v>2.8132992327365729</v>
      </c>
      <c r="AM3" s="23">
        <f>(K8)/(D8-K15)*100</f>
        <v>2.5100133511348464</v>
      </c>
      <c r="AN3" s="23">
        <f>(K8+K9)/(D8+D9)*100</f>
        <v>2.6140350877192979</v>
      </c>
      <c r="AO3" s="2"/>
      <c r="AP3" s="2"/>
      <c r="AQ3" s="2"/>
      <c r="AR3" s="2"/>
      <c r="AS3" s="2"/>
      <c r="AU3" s="4">
        <v>3</v>
      </c>
      <c r="AV3" s="5" t="s">
        <v>14</v>
      </c>
    </row>
    <row r="4" spans="2:148" ht="15.75" customHeight="1" thickBot="1">
      <c r="B4" s="24"/>
      <c r="C4" s="25"/>
      <c r="D4" s="26"/>
      <c r="E4" s="26"/>
      <c r="F4" s="26"/>
      <c r="G4" s="26"/>
      <c r="H4" s="26"/>
      <c r="I4" s="26"/>
      <c r="J4" s="27"/>
      <c r="K4" s="28"/>
      <c r="L4" s="29"/>
      <c r="M4" s="30"/>
      <c r="N4" s="31"/>
      <c r="O4" s="31"/>
      <c r="P4" s="31">
        <f>P3+15</f>
        <v>56</v>
      </c>
      <c r="Q4" s="31"/>
      <c r="R4" s="31"/>
      <c r="S4" s="31"/>
      <c r="T4" s="32" t="s">
        <v>15</v>
      </c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BJ4" s="34" t="s">
        <v>16</v>
      </c>
      <c r="BU4" s="34" t="s">
        <v>17</v>
      </c>
      <c r="CE4" s="34" t="s">
        <v>18</v>
      </c>
      <c r="DH4" s="35" t="s">
        <v>19</v>
      </c>
      <c r="DI4" s="35" t="s">
        <v>20</v>
      </c>
      <c r="DJ4" s="35" t="s">
        <v>21</v>
      </c>
      <c r="DK4" s="35" t="s">
        <v>22</v>
      </c>
      <c r="DL4" s="35" t="s">
        <v>22</v>
      </c>
      <c r="DM4" s="35" t="s">
        <v>23</v>
      </c>
      <c r="DN4" s="36" t="s">
        <v>24</v>
      </c>
      <c r="DO4" s="35" t="s">
        <v>25</v>
      </c>
      <c r="DP4" s="35" t="s">
        <v>26</v>
      </c>
      <c r="DS4" s="35" t="s">
        <v>27</v>
      </c>
      <c r="DT4" s="35" t="s">
        <v>28</v>
      </c>
      <c r="DU4" s="35" t="s">
        <v>29</v>
      </c>
      <c r="EA4" s="35" t="s">
        <v>30</v>
      </c>
      <c r="EF4" s="35" t="s">
        <v>31</v>
      </c>
      <c r="EG4" s="35" t="s">
        <v>32</v>
      </c>
      <c r="EH4" s="35" t="s">
        <v>33</v>
      </c>
      <c r="EI4" s="35" t="s">
        <v>34</v>
      </c>
      <c r="EL4" s="34" t="s">
        <v>35</v>
      </c>
    </row>
    <row r="5" spans="2:148" s="45" customFormat="1" ht="15" customHeight="1">
      <c r="B5" s="37" t="s">
        <v>36</v>
      </c>
      <c r="C5" s="38" t="s">
        <v>37</v>
      </c>
      <c r="D5" s="39" t="s">
        <v>38</v>
      </c>
      <c r="E5" s="39"/>
      <c r="F5" s="39" t="s">
        <v>39</v>
      </c>
      <c r="G5" s="39"/>
      <c r="H5" s="39"/>
      <c r="I5" s="39"/>
      <c r="J5" s="38" t="s">
        <v>40</v>
      </c>
      <c r="K5" s="40" t="s">
        <v>41</v>
      </c>
      <c r="L5" s="41" t="s">
        <v>42</v>
      </c>
      <c r="M5" s="42" t="s">
        <v>43</v>
      </c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4"/>
      <c r="AJ5" s="43"/>
      <c r="AK5" s="43" t="s">
        <v>44</v>
      </c>
      <c r="AL5" s="43"/>
      <c r="AM5" s="43"/>
      <c r="AN5" s="43"/>
      <c r="AO5" s="43"/>
      <c r="AP5" s="43"/>
      <c r="AQ5" s="43"/>
      <c r="AR5" s="43"/>
      <c r="AS5" s="43"/>
      <c r="AU5" s="35" t="s">
        <v>45</v>
      </c>
      <c r="AV5" s="35" t="s">
        <v>46</v>
      </c>
      <c r="AW5" s="35" t="s">
        <v>47</v>
      </c>
      <c r="AX5" s="46" t="s">
        <v>48</v>
      </c>
      <c r="AY5" s="46" t="s">
        <v>49</v>
      </c>
      <c r="AZ5" s="35" t="s">
        <v>50</v>
      </c>
      <c r="BA5" s="35" t="s">
        <v>51</v>
      </c>
      <c r="BB5" s="35" t="s">
        <v>52</v>
      </c>
      <c r="BC5" s="46" t="s">
        <v>53</v>
      </c>
      <c r="BD5" s="46" t="s">
        <v>54</v>
      </c>
      <c r="BE5" s="46" t="s">
        <v>55</v>
      </c>
      <c r="BF5" s="46" t="s">
        <v>47</v>
      </c>
      <c r="BG5" s="46" t="s">
        <v>56</v>
      </c>
      <c r="BH5" s="46" t="s">
        <v>57</v>
      </c>
      <c r="BI5" s="46" t="s">
        <v>58</v>
      </c>
      <c r="BJ5" s="34"/>
      <c r="BK5" s="46" t="s">
        <v>59</v>
      </c>
      <c r="BL5" s="46" t="s">
        <v>60</v>
      </c>
      <c r="BM5" s="46" t="s">
        <v>61</v>
      </c>
      <c r="BN5" s="46" t="s">
        <v>50</v>
      </c>
      <c r="BO5" s="46" t="s">
        <v>62</v>
      </c>
      <c r="BP5" s="46" t="s">
        <v>63</v>
      </c>
      <c r="BQ5" s="46" t="s">
        <v>64</v>
      </c>
      <c r="BR5" s="46" t="s">
        <v>65</v>
      </c>
      <c r="BS5" s="46" t="s">
        <v>66</v>
      </c>
      <c r="BT5" s="46" t="s">
        <v>67</v>
      </c>
      <c r="BU5" s="34"/>
      <c r="BV5" s="46" t="s">
        <v>68</v>
      </c>
      <c r="BW5" s="46" t="s">
        <v>69</v>
      </c>
      <c r="BX5" s="46" t="s">
        <v>70</v>
      </c>
      <c r="BY5" s="46" t="s">
        <v>71</v>
      </c>
      <c r="BZ5" s="46" t="s">
        <v>72</v>
      </c>
      <c r="CA5" s="46" t="s">
        <v>73</v>
      </c>
      <c r="CB5" s="46" t="s">
        <v>74</v>
      </c>
      <c r="CC5" s="46" t="s">
        <v>75</v>
      </c>
      <c r="CD5" s="46" t="s">
        <v>76</v>
      </c>
      <c r="CE5" s="34"/>
      <c r="CF5" s="46" t="s">
        <v>77</v>
      </c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6" t="s">
        <v>78</v>
      </c>
      <c r="CU5" s="46" t="s">
        <v>79</v>
      </c>
      <c r="CV5" s="46" t="s">
        <v>80</v>
      </c>
      <c r="CW5" s="46" t="s">
        <v>81</v>
      </c>
      <c r="CX5" s="46" t="s">
        <v>81</v>
      </c>
      <c r="CY5" s="46" t="s">
        <v>82</v>
      </c>
      <c r="CZ5" s="46" t="s">
        <v>83</v>
      </c>
      <c r="DA5" s="46" t="s">
        <v>84</v>
      </c>
      <c r="DB5" s="46" t="s">
        <v>85</v>
      </c>
      <c r="DC5" s="46" t="s">
        <v>86</v>
      </c>
      <c r="DD5" s="46" t="s">
        <v>87</v>
      </c>
      <c r="DE5" s="46" t="s">
        <v>88</v>
      </c>
      <c r="DF5" s="46" t="s">
        <v>89</v>
      </c>
      <c r="DG5" s="48" t="s">
        <v>90</v>
      </c>
      <c r="DH5" s="35"/>
      <c r="DI5" s="35"/>
      <c r="DJ5" s="35"/>
      <c r="DK5" s="35"/>
      <c r="DL5" s="35"/>
      <c r="DM5" s="35"/>
      <c r="DN5" s="36"/>
      <c r="DO5" s="35"/>
      <c r="DP5" s="35"/>
      <c r="DQ5" s="49" t="s">
        <v>91</v>
      </c>
      <c r="DR5" s="48" t="s">
        <v>92</v>
      </c>
      <c r="DS5" s="35"/>
      <c r="DT5" s="35"/>
      <c r="DU5" s="35"/>
      <c r="DV5" s="46" t="s">
        <v>93</v>
      </c>
      <c r="DW5" s="46" t="s">
        <v>94</v>
      </c>
      <c r="DX5" s="46" t="s">
        <v>95</v>
      </c>
      <c r="DY5" s="46" t="s">
        <v>96</v>
      </c>
      <c r="DZ5" s="48" t="s">
        <v>97</v>
      </c>
      <c r="EA5" s="35"/>
      <c r="EB5" s="46" t="s">
        <v>98</v>
      </c>
      <c r="EC5" s="46" t="s">
        <v>99</v>
      </c>
      <c r="ED5" s="46" t="s">
        <v>100</v>
      </c>
      <c r="EE5" s="48" t="s">
        <v>101</v>
      </c>
      <c r="EF5" s="35"/>
      <c r="EG5" s="35"/>
      <c r="EH5" s="35"/>
      <c r="EI5" s="35"/>
      <c r="EJ5" s="49" t="s">
        <v>102</v>
      </c>
      <c r="EK5" s="46" t="s">
        <v>103</v>
      </c>
      <c r="EL5" s="34"/>
      <c r="EM5" s="46" t="s">
        <v>104</v>
      </c>
      <c r="EN5" s="46" t="s">
        <v>105</v>
      </c>
      <c r="EO5" s="46" t="s">
        <v>106</v>
      </c>
    </row>
    <row r="6" spans="2:148" s="58" customFormat="1" ht="11.25">
      <c r="B6" s="50"/>
      <c r="C6" s="51"/>
      <c r="D6" s="52" t="s">
        <v>107</v>
      </c>
      <c r="E6" s="52" t="s">
        <v>42</v>
      </c>
      <c r="F6" s="52" t="s">
        <v>108</v>
      </c>
      <c r="G6" s="52" t="s">
        <v>109</v>
      </c>
      <c r="H6" s="52" t="s">
        <v>110</v>
      </c>
      <c r="I6" s="52" t="s">
        <v>42</v>
      </c>
      <c r="J6" s="51"/>
      <c r="K6" s="53"/>
      <c r="L6" s="54"/>
      <c r="M6" s="55"/>
      <c r="N6" s="56"/>
      <c r="O6" s="56"/>
      <c r="P6" s="56"/>
      <c r="Q6" s="56"/>
      <c r="R6" s="56"/>
      <c r="S6" s="56"/>
      <c r="T6" s="56" t="s">
        <v>111</v>
      </c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7"/>
      <c r="AJ6" s="56"/>
      <c r="AK6" s="56"/>
      <c r="AL6" s="56"/>
      <c r="AM6" s="56"/>
      <c r="AN6" s="56"/>
      <c r="AO6" s="56"/>
      <c r="AP6" s="56"/>
      <c r="AQ6" s="56"/>
      <c r="AR6" s="56"/>
      <c r="AS6" s="56"/>
      <c r="AU6" s="35"/>
      <c r="AV6" s="35"/>
      <c r="AW6" s="35"/>
      <c r="AX6" s="59"/>
      <c r="AY6" s="59"/>
      <c r="AZ6" s="35"/>
      <c r="BA6" s="35"/>
      <c r="BB6" s="35"/>
      <c r="BC6" s="59"/>
      <c r="BD6" s="59"/>
      <c r="BE6" s="59"/>
      <c r="BF6" s="59"/>
      <c r="BG6" s="59"/>
      <c r="BH6" s="59"/>
      <c r="BI6" s="59"/>
      <c r="BJ6" s="34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34"/>
      <c r="BV6" s="59"/>
      <c r="BW6" s="59"/>
      <c r="BX6" s="59"/>
      <c r="BY6" s="59"/>
      <c r="BZ6" s="59"/>
      <c r="CA6" s="59"/>
      <c r="CB6" s="59"/>
      <c r="CC6" s="59"/>
      <c r="CD6" s="59"/>
      <c r="CE6" s="34"/>
      <c r="CF6" s="59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61"/>
      <c r="DH6" s="35"/>
      <c r="DI6" s="35"/>
      <c r="DJ6" s="35"/>
      <c r="DK6" s="35"/>
      <c r="DL6" s="35"/>
      <c r="DM6" s="35"/>
      <c r="DN6" s="36"/>
      <c r="DO6" s="35"/>
      <c r="DP6" s="35"/>
      <c r="DQ6" s="62"/>
      <c r="DR6" s="61"/>
      <c r="DS6" s="35"/>
      <c r="DT6" s="35"/>
      <c r="DU6" s="35"/>
      <c r="DV6" s="59"/>
      <c r="DW6" s="59"/>
      <c r="DX6" s="59"/>
      <c r="DY6" s="59"/>
      <c r="DZ6" s="61"/>
      <c r="EA6" s="35"/>
      <c r="EB6" s="59"/>
      <c r="EC6" s="59"/>
      <c r="ED6" s="59"/>
      <c r="EE6" s="61"/>
      <c r="EF6" s="35"/>
      <c r="EG6" s="35"/>
      <c r="EH6" s="35"/>
      <c r="EI6" s="35"/>
      <c r="EJ6" s="62"/>
      <c r="EK6" s="59"/>
      <c r="EL6" s="34"/>
      <c r="EM6" s="59"/>
      <c r="EN6" s="59"/>
      <c r="EO6" s="59"/>
    </row>
    <row r="7" spans="2:148" s="45" customFormat="1" ht="12.75" customHeight="1" thickBot="1">
      <c r="B7" s="63"/>
      <c r="C7" s="64" t="s">
        <v>112</v>
      </c>
      <c r="D7" s="65"/>
      <c r="E7" s="65"/>
      <c r="F7" s="65"/>
      <c r="G7" s="65"/>
      <c r="H7" s="65"/>
      <c r="I7" s="65"/>
      <c r="J7" s="66"/>
      <c r="K7" s="67"/>
      <c r="L7" s="68"/>
      <c r="M7" s="69"/>
      <c r="N7" s="43"/>
      <c r="O7" s="43"/>
      <c r="P7" s="43"/>
      <c r="Q7" s="43"/>
      <c r="R7" s="43"/>
      <c r="S7" s="43"/>
      <c r="T7" s="43"/>
      <c r="U7" s="43"/>
      <c r="V7" s="70" t="s">
        <v>113</v>
      </c>
      <c r="W7" s="70" t="s">
        <v>114</v>
      </c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4"/>
      <c r="AJ7" s="43"/>
      <c r="AK7" s="43"/>
      <c r="AL7" s="43"/>
      <c r="AM7" s="43"/>
      <c r="AN7" s="43"/>
      <c r="AO7" s="43"/>
      <c r="AP7" s="43"/>
      <c r="AQ7" s="71" t="s">
        <v>115</v>
      </c>
      <c r="AR7" s="71" t="s">
        <v>116</v>
      </c>
      <c r="AS7" s="71" t="s">
        <v>117</v>
      </c>
      <c r="AU7" s="35"/>
      <c r="AV7" s="35"/>
      <c r="AW7" s="35"/>
      <c r="AX7" s="72"/>
      <c r="AY7" s="72"/>
      <c r="AZ7" s="35"/>
      <c r="BA7" s="35"/>
      <c r="BB7" s="35"/>
      <c r="BC7" s="72"/>
      <c r="BD7" s="72"/>
      <c r="BE7" s="72"/>
      <c r="BF7" s="72"/>
      <c r="BG7" s="72"/>
      <c r="BH7" s="72"/>
      <c r="BI7" s="72"/>
      <c r="BJ7" s="73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3"/>
      <c r="BV7" s="72"/>
      <c r="BW7" s="72"/>
      <c r="BX7" s="72"/>
      <c r="BY7" s="72"/>
      <c r="BZ7" s="72"/>
      <c r="CA7" s="72"/>
      <c r="CB7" s="72"/>
      <c r="CC7" s="72"/>
      <c r="CD7" s="72"/>
      <c r="CE7" s="73"/>
      <c r="CF7" s="72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72"/>
      <c r="CU7" s="72"/>
      <c r="CV7" s="72"/>
      <c r="CW7" s="72"/>
      <c r="CX7" s="72"/>
      <c r="CY7" s="72"/>
      <c r="CZ7" s="72"/>
      <c r="DA7" s="72"/>
      <c r="DB7" s="72"/>
      <c r="DC7" s="72"/>
      <c r="DD7" s="72"/>
      <c r="DE7" s="72"/>
      <c r="DF7" s="72"/>
      <c r="DG7" s="75"/>
      <c r="DH7" s="35"/>
      <c r="DI7" s="35"/>
      <c r="DJ7" s="35"/>
      <c r="DK7" s="35"/>
      <c r="DL7" s="35"/>
      <c r="DM7" s="35"/>
      <c r="DN7" s="36"/>
      <c r="DO7" s="35"/>
      <c r="DP7" s="35"/>
      <c r="DQ7" s="76"/>
      <c r="DR7" s="75"/>
      <c r="DS7" s="35"/>
      <c r="DT7" s="35"/>
      <c r="DU7" s="35"/>
      <c r="DV7" s="72"/>
      <c r="DW7" s="72"/>
      <c r="DX7" s="72"/>
      <c r="DY7" s="72"/>
      <c r="DZ7" s="75"/>
      <c r="EA7" s="35"/>
      <c r="EB7" s="72"/>
      <c r="EC7" s="72"/>
      <c r="ED7" s="72"/>
      <c r="EE7" s="75"/>
      <c r="EF7" s="35"/>
      <c r="EG7" s="35"/>
      <c r="EH7" s="35"/>
      <c r="EI7" s="35"/>
      <c r="EJ7" s="76"/>
      <c r="EK7" s="72"/>
      <c r="EL7" s="73"/>
      <c r="EM7" s="72"/>
      <c r="EN7" s="72"/>
      <c r="EO7" s="72"/>
    </row>
    <row r="8" spans="2:148" s="106" customFormat="1" ht="22.5" customHeight="1">
      <c r="B8" s="77"/>
      <c r="C8" s="78" t="s">
        <v>118</v>
      </c>
      <c r="D8" s="79">
        <v>4000</v>
      </c>
      <c r="E8" s="80">
        <v>3924</v>
      </c>
      <c r="F8" s="81"/>
      <c r="G8" s="81"/>
      <c r="H8" s="79" t="s">
        <v>119</v>
      </c>
      <c r="I8" s="82">
        <v>2</v>
      </c>
      <c r="J8" s="83" t="s">
        <v>120</v>
      </c>
      <c r="K8" s="84">
        <f>D37+D36</f>
        <v>94</v>
      </c>
      <c r="L8" s="85">
        <f>E37+E36</f>
        <v>94</v>
      </c>
      <c r="M8" s="86"/>
      <c r="N8" s="87">
        <f>D8*'[1]Extract inputs'!E15</f>
        <v>3084</v>
      </c>
      <c r="O8" s="87">
        <f>(D8-K15)/133+K8</f>
        <v>122.15789473684211</v>
      </c>
      <c r="P8" s="87" t="s">
        <v>121</v>
      </c>
      <c r="Q8" s="87"/>
      <c r="R8" s="88">
        <f>D8/0.667</f>
        <v>5997.0014992503748</v>
      </c>
      <c r="S8" s="87"/>
      <c r="T8" s="87">
        <f>K8*100</f>
        <v>9400</v>
      </c>
      <c r="U8" s="87">
        <f>(D8-K15)*0.67</f>
        <v>2509.15</v>
      </c>
      <c r="V8" s="87">
        <f>T8+U8</f>
        <v>11909.15</v>
      </c>
      <c r="W8" s="87">
        <v>44</v>
      </c>
      <c r="X8" s="87">
        <f>V8*W8</f>
        <v>524002.6</v>
      </c>
      <c r="Y8" s="87" t="s">
        <v>122</v>
      </c>
      <c r="Z8" s="87"/>
      <c r="AA8" s="87">
        <f>V8/100</f>
        <v>119.0915</v>
      </c>
      <c r="AB8" s="87">
        <f>(235*0.67+800)</f>
        <v>957.45</v>
      </c>
      <c r="AC8" s="87">
        <f>AB8/100</f>
        <v>9.5745000000000005</v>
      </c>
      <c r="AD8" s="87">
        <f>AA8+AC8</f>
        <v>128.666</v>
      </c>
      <c r="AE8" s="87"/>
      <c r="AF8" s="87"/>
      <c r="AG8" s="88"/>
      <c r="AH8" s="87">
        <f>98+47</f>
        <v>145</v>
      </c>
      <c r="AI8" s="89"/>
      <c r="AJ8" s="87"/>
      <c r="AK8" s="87"/>
      <c r="AL8" s="87"/>
      <c r="AM8" s="90" t="s">
        <v>123</v>
      </c>
      <c r="AN8" s="91" t="s">
        <v>124</v>
      </c>
      <c r="AO8" s="91" t="s">
        <v>125</v>
      </c>
      <c r="AP8" s="87"/>
      <c r="AQ8" s="92" t="s">
        <v>126</v>
      </c>
      <c r="AR8" s="92">
        <v>261</v>
      </c>
      <c r="AS8" s="93">
        <v>163</v>
      </c>
      <c r="AT8" s="94"/>
      <c r="AU8" s="95">
        <f>L15/E9%</f>
        <v>0</v>
      </c>
      <c r="AV8" s="96">
        <f>F13+$J$3</f>
        <v>45371.868055555555</v>
      </c>
      <c r="AW8" s="95">
        <f>L9/(L15+E9)%</f>
        <v>3.2777115613825982</v>
      </c>
      <c r="AX8" s="97">
        <f>E20</f>
        <v>80.099999999999994</v>
      </c>
      <c r="AY8" s="98">
        <f>I20</f>
        <v>14.999999999999947</v>
      </c>
      <c r="AZ8" s="97"/>
      <c r="BA8" s="98">
        <f>I22</f>
        <v>9.0000000000001279</v>
      </c>
      <c r="BB8" s="97"/>
      <c r="BC8" s="98">
        <f>I33</f>
        <v>65.000000000000256</v>
      </c>
      <c r="BD8" s="96">
        <f>IF(F36&gt;=F13,F36+$J$3,F36+1+$J$3)</f>
        <v>45371.880555555559</v>
      </c>
      <c r="BE8" s="96">
        <f>IF(G48&gt;=F13,G48+$J$3,G48+1+$J$3)</f>
        <v>45371.959027777775</v>
      </c>
      <c r="BF8" s="95">
        <f>L8/E8%</f>
        <v>2.3955147808358817</v>
      </c>
      <c r="BG8" s="97">
        <f>E40</f>
        <v>44.5</v>
      </c>
      <c r="BH8" s="98">
        <f>I40</f>
        <v>14.999999999999947</v>
      </c>
      <c r="BI8" s="99">
        <f>K41</f>
        <v>0</v>
      </c>
      <c r="BJ8" s="98">
        <f>K42</f>
        <v>49</v>
      </c>
      <c r="BK8" s="97">
        <f>E43</f>
        <v>65.3</v>
      </c>
      <c r="BL8" s="98">
        <f>I43</f>
        <v>45</v>
      </c>
      <c r="BM8" s="97">
        <v>0</v>
      </c>
      <c r="BN8" s="97"/>
      <c r="BO8" s="98">
        <f>E46</f>
        <v>76</v>
      </c>
      <c r="BP8" s="98">
        <f>I50</f>
        <v>112.99999999999991</v>
      </c>
      <c r="BQ8" s="98">
        <f>I56</f>
        <v>9.0000000000001279</v>
      </c>
      <c r="BR8" s="99">
        <f>E56</f>
        <v>12.8</v>
      </c>
      <c r="BS8" s="97">
        <f>L54</f>
        <v>22.15</v>
      </c>
      <c r="BT8" s="97">
        <f>L62</f>
        <v>2.66</v>
      </c>
      <c r="BU8" s="97">
        <f>L63</f>
        <v>0.38</v>
      </c>
      <c r="BV8" s="98">
        <f>E60</f>
        <v>103</v>
      </c>
      <c r="BW8" s="98">
        <f>E59</f>
        <v>2</v>
      </c>
      <c r="BX8" s="98">
        <f>E57</f>
        <v>136</v>
      </c>
      <c r="BY8" s="98">
        <f>E58</f>
        <v>257</v>
      </c>
      <c r="BZ8" s="95">
        <f>L59</f>
        <v>0</v>
      </c>
      <c r="CA8" s="95">
        <f>BX8/(L8+L9+12)%</f>
        <v>84.472049689440993</v>
      </c>
      <c r="CB8" s="95">
        <f>BX8/BY8%</f>
        <v>52.918287937743195</v>
      </c>
      <c r="CC8" s="97"/>
      <c r="CD8" s="98">
        <f>I58+I57</f>
        <v>86.000000000000142</v>
      </c>
      <c r="CE8" s="98">
        <f>I63</f>
        <v>132</v>
      </c>
      <c r="CF8" s="97">
        <f>L55</f>
        <v>80.099999999999994</v>
      </c>
      <c r="CG8" s="97"/>
      <c r="CH8" s="97"/>
      <c r="CI8" s="97"/>
      <c r="CJ8" s="97"/>
      <c r="CK8" s="97"/>
      <c r="CL8" s="97"/>
      <c r="CM8" s="97"/>
      <c r="CN8" s="97"/>
      <c r="CO8" s="97"/>
      <c r="CP8" s="97"/>
      <c r="CQ8" s="97"/>
      <c r="CR8" s="97"/>
      <c r="CS8" s="97"/>
      <c r="CT8" s="97" t="s">
        <v>127</v>
      </c>
      <c r="CU8" s="97" t="s">
        <v>128</v>
      </c>
      <c r="CV8" s="98">
        <f>E71</f>
        <v>180</v>
      </c>
      <c r="CW8" s="97">
        <f>L66</f>
        <v>0</v>
      </c>
      <c r="CX8" s="97">
        <f>L67</f>
        <v>0</v>
      </c>
      <c r="CY8" s="98">
        <f>E77</f>
        <v>262</v>
      </c>
      <c r="CZ8" s="99">
        <f>I76</f>
        <v>100.7</v>
      </c>
      <c r="DA8" s="96">
        <f>IF(F71&gt;=F13,F71+$J$3,F71+1+$J$3)</f>
        <v>45372.011805555558</v>
      </c>
      <c r="DB8" s="100">
        <f>I71</f>
        <v>29.999999999999993</v>
      </c>
      <c r="DC8" s="100">
        <f>I77+I79</f>
        <v>45</v>
      </c>
      <c r="DD8" s="100">
        <f>DB8+DC8</f>
        <v>75</v>
      </c>
      <c r="DE8" s="100">
        <f>DD8-75</f>
        <v>0</v>
      </c>
      <c r="DF8" s="101" t="s">
        <v>129</v>
      </c>
      <c r="DG8" s="100">
        <f>I73</f>
        <v>5</v>
      </c>
      <c r="DH8" s="100">
        <f>I73</f>
        <v>5</v>
      </c>
      <c r="DI8" s="100">
        <f>I74</f>
        <v>10</v>
      </c>
      <c r="DJ8" s="102" t="s">
        <v>130</v>
      </c>
      <c r="DK8" s="102">
        <f>(E77-E82)/E77%</f>
        <v>7.6335877862595414</v>
      </c>
      <c r="DL8" s="103">
        <f>ABS(8-DK8)%</f>
        <v>3.6641221374045861E-3</v>
      </c>
      <c r="DM8" s="101"/>
      <c r="DN8" s="101"/>
      <c r="DO8" s="102">
        <f>(E65-E96-10.5)/E65%</f>
        <v>9.3511450381679388</v>
      </c>
      <c r="DP8" s="100">
        <f>I75</f>
        <v>0</v>
      </c>
      <c r="DQ8" s="104">
        <f>L76</f>
        <v>101.2</v>
      </c>
      <c r="DR8" s="101"/>
      <c r="DS8" s="101"/>
      <c r="DT8" s="101"/>
      <c r="DU8" s="100">
        <f>K81</f>
        <v>1165</v>
      </c>
      <c r="DV8" s="100">
        <f>K81+K74</f>
        <v>2176</v>
      </c>
      <c r="DW8" s="101">
        <f>L82</f>
        <v>0</v>
      </c>
      <c r="DX8" s="100">
        <f>I82</f>
        <v>10.000000000000004</v>
      </c>
      <c r="DY8" s="100">
        <f>I86</f>
        <v>10.000000000000004</v>
      </c>
      <c r="DZ8" s="100">
        <f>DY8-10</f>
        <v>0</v>
      </c>
      <c r="EA8" s="101" t="s">
        <v>130</v>
      </c>
      <c r="EB8" s="105">
        <f>D81/E96</f>
        <v>0.63740088105726889</v>
      </c>
      <c r="EC8" s="100">
        <f>I96</f>
        <v>48.999999999999986</v>
      </c>
      <c r="ED8" s="101">
        <f>L96</f>
        <v>11.5</v>
      </c>
      <c r="EE8" s="102">
        <f>E98</f>
        <v>3.8</v>
      </c>
      <c r="EF8" s="102">
        <f>EE8*1000/E96</f>
        <v>16.740088105726873</v>
      </c>
      <c r="EG8" s="101"/>
      <c r="EH8" s="100">
        <f>E96</f>
        <v>227</v>
      </c>
      <c r="EI8" s="100">
        <f>L103</f>
        <v>210.99999999999989</v>
      </c>
      <c r="EJ8" s="101">
        <f>ABS(L103-K103)</f>
        <v>1.1368683772161603E-13</v>
      </c>
      <c r="EK8" s="102">
        <f>L101</f>
        <v>5.8500000000000005</v>
      </c>
      <c r="EL8" s="101">
        <f>ABS(L101-K101)</f>
        <v>0.17999999999999972</v>
      </c>
      <c r="EM8" s="102">
        <f>L104</f>
        <v>36.641221374046822</v>
      </c>
      <c r="EN8" s="101">
        <f>L94</f>
        <v>18.18</v>
      </c>
      <c r="EO8" s="101">
        <f>L95</f>
        <v>5.5</v>
      </c>
    </row>
    <row r="9" spans="2:148" s="106" customFormat="1" ht="22.5" customHeight="1">
      <c r="B9" s="107"/>
      <c r="C9" s="108" t="s">
        <v>131</v>
      </c>
      <c r="D9" s="109">
        <v>1700</v>
      </c>
      <c r="E9" s="110">
        <v>1678</v>
      </c>
      <c r="F9" s="111"/>
      <c r="G9" s="111"/>
      <c r="H9" s="112"/>
      <c r="I9" s="112"/>
      <c r="J9" s="113" t="s">
        <v>132</v>
      </c>
      <c r="K9" s="114">
        <f>D14+D13+D15</f>
        <v>55</v>
      </c>
      <c r="L9" s="115">
        <f>E14+E13+E15</f>
        <v>55</v>
      </c>
      <c r="M9" s="86"/>
      <c r="N9" s="87">
        <f>D9*'[1]Extract inputs'!E23</f>
        <v>1360</v>
      </c>
      <c r="O9" s="87">
        <f>(D9+K15)/133+K9+D15</f>
        <v>83.699248120300751</v>
      </c>
      <c r="P9" s="87" t="s">
        <v>133</v>
      </c>
      <c r="Q9" s="87"/>
      <c r="R9" s="87">
        <f>52+15</f>
        <v>67</v>
      </c>
      <c r="S9" s="87">
        <v>236</v>
      </c>
      <c r="T9" s="87">
        <f>(D13+D15)*100</f>
        <v>5100</v>
      </c>
      <c r="U9" s="87">
        <f>D9*0.7+K15*0.67</f>
        <v>1360.85</v>
      </c>
      <c r="V9" s="87">
        <f>T9+U9</f>
        <v>6460.85</v>
      </c>
      <c r="W9" s="87">
        <v>100</v>
      </c>
      <c r="X9" s="87">
        <f>V9*W9</f>
        <v>646085</v>
      </c>
      <c r="Y9" s="87" t="s">
        <v>134</v>
      </c>
      <c r="Z9" s="87"/>
      <c r="AA9" s="87">
        <f>V9/100</f>
        <v>64.608500000000006</v>
      </c>
      <c r="AB9" s="87"/>
      <c r="AC9" s="87"/>
      <c r="AD9" s="87"/>
      <c r="AE9" s="87"/>
      <c r="AF9" s="87"/>
      <c r="AG9" s="87"/>
      <c r="AH9" s="87">
        <f>AH8+10+2+16</f>
        <v>173</v>
      </c>
      <c r="AI9" s="116" t="s">
        <v>135</v>
      </c>
      <c r="AJ9" s="117"/>
      <c r="AK9" s="117"/>
      <c r="AL9" s="118"/>
      <c r="AM9" s="119">
        <v>44</v>
      </c>
      <c r="AN9" s="120">
        <v>44</v>
      </c>
      <c r="AO9" s="120">
        <v>20</v>
      </c>
      <c r="AP9" s="87"/>
      <c r="AQ9" s="92" t="s">
        <v>136</v>
      </c>
      <c r="AR9" s="92">
        <v>96</v>
      </c>
      <c r="AS9" s="92">
        <v>99</v>
      </c>
    </row>
    <row r="10" spans="2:148" s="106" customFormat="1" ht="24.75" customHeight="1">
      <c r="B10" s="121"/>
      <c r="C10" s="122"/>
      <c r="D10" s="123"/>
      <c r="E10" s="124"/>
      <c r="F10" s="125"/>
      <c r="G10" s="125"/>
      <c r="H10" s="112"/>
      <c r="I10" s="112"/>
      <c r="J10" s="122" t="s">
        <v>137</v>
      </c>
      <c r="K10" s="126"/>
      <c r="L10" s="127"/>
      <c r="M10" s="128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116" t="s">
        <v>138</v>
      </c>
      <c r="AJ10" s="117"/>
      <c r="AK10" s="117"/>
      <c r="AL10" s="117"/>
      <c r="AM10" s="129">
        <f>(K8+K9+D31+D48+D53)-D57</f>
        <v>42</v>
      </c>
      <c r="AN10" s="129">
        <f>K60+AM10-(D58-D57)</f>
        <v>71</v>
      </c>
      <c r="AO10" s="129">
        <f>AN10+K61-D60</f>
        <v>21</v>
      </c>
      <c r="AP10" s="87"/>
      <c r="AQ10" s="92"/>
      <c r="AR10" s="92"/>
      <c r="AS10" s="92"/>
      <c r="AV10" s="130" t="s">
        <v>139</v>
      </c>
      <c r="AW10" s="130" t="s">
        <v>140</v>
      </c>
      <c r="AX10" s="130" t="s">
        <v>141</v>
      </c>
      <c r="AY10" s="130" t="s">
        <v>142</v>
      </c>
      <c r="AZ10" s="130" t="s">
        <v>143</v>
      </c>
      <c r="BA10" s="130" t="s">
        <v>144</v>
      </c>
      <c r="BB10" s="130" t="s">
        <v>145</v>
      </c>
      <c r="BC10" s="130" t="s">
        <v>146</v>
      </c>
      <c r="BD10" s="130" t="s">
        <v>147</v>
      </c>
    </row>
    <row r="11" spans="2:148" s="106" customFormat="1" ht="15" customHeight="1">
      <c r="B11" s="131"/>
      <c r="C11" s="132" t="s">
        <v>148</v>
      </c>
      <c r="D11" s="133"/>
      <c r="E11" s="133"/>
      <c r="F11" s="133"/>
      <c r="G11" s="133"/>
      <c r="H11" s="133"/>
      <c r="I11" s="133"/>
      <c r="J11" s="134"/>
      <c r="K11" s="134"/>
      <c r="L11" s="135"/>
      <c r="M11" s="136"/>
      <c r="N11" s="87"/>
      <c r="O11" s="87">
        <v>47</v>
      </c>
      <c r="P11" s="87">
        <v>50</v>
      </c>
      <c r="Q11" s="87"/>
      <c r="R11" s="87"/>
      <c r="S11" s="87"/>
      <c r="T11" s="87"/>
      <c r="U11" s="87"/>
      <c r="V11" s="87"/>
      <c r="W11" s="137">
        <f>((O8*W8)+(O9*W9))/SUM(O8:O9)</f>
        <v>66.768983527521087</v>
      </c>
      <c r="X11" s="87"/>
      <c r="Y11" s="87"/>
      <c r="Z11" s="87"/>
      <c r="AA11" s="87"/>
      <c r="AB11" s="87"/>
      <c r="AC11" s="87"/>
      <c r="AD11" s="87">
        <f>226</f>
        <v>226</v>
      </c>
      <c r="AE11" s="87"/>
      <c r="AF11" s="87"/>
      <c r="AG11" s="87"/>
      <c r="AH11" s="87"/>
      <c r="AI11" s="89"/>
      <c r="AJ11" s="87"/>
      <c r="AK11" s="87"/>
      <c r="AL11" s="87"/>
      <c r="AM11" s="87"/>
      <c r="AN11" s="87"/>
      <c r="AO11" s="87"/>
      <c r="AP11" s="87"/>
      <c r="AQ11" s="92" t="s">
        <v>149</v>
      </c>
      <c r="AR11" s="92">
        <v>45</v>
      </c>
      <c r="AS11" s="92">
        <v>30</v>
      </c>
      <c r="AV11" s="130"/>
      <c r="AW11" s="130"/>
      <c r="AX11" s="130"/>
      <c r="AY11" s="130"/>
      <c r="AZ11" s="130"/>
      <c r="BA11" s="130"/>
      <c r="BB11" s="130"/>
      <c r="BC11" s="130"/>
      <c r="BD11" s="130"/>
    </row>
    <row r="12" spans="2:148" s="106" customFormat="1" ht="23.25" customHeight="1">
      <c r="B12" s="138"/>
      <c r="C12" s="139" t="s">
        <v>150</v>
      </c>
      <c r="D12" s="84">
        <v>5</v>
      </c>
      <c r="E12" s="124"/>
      <c r="F12" s="81"/>
      <c r="G12" s="81"/>
      <c r="H12" s="84">
        <v>1</v>
      </c>
      <c r="I12" s="84"/>
      <c r="J12" s="140" t="s">
        <v>151</v>
      </c>
      <c r="K12" s="84">
        <v>180</v>
      </c>
      <c r="L12" s="141">
        <v>180</v>
      </c>
      <c r="M12" s="142"/>
      <c r="N12" s="87"/>
      <c r="O12" s="87"/>
      <c r="P12" s="87">
        <v>91</v>
      </c>
      <c r="Q12" s="87"/>
      <c r="R12" s="87"/>
      <c r="S12" s="87"/>
      <c r="T12" s="143" t="s">
        <v>152</v>
      </c>
      <c r="U12" s="143"/>
      <c r="V12" s="88">
        <f>D9/H13*1.2</f>
        <v>165.40540540540539</v>
      </c>
      <c r="W12" s="87"/>
      <c r="X12" s="144" t="s">
        <v>153</v>
      </c>
      <c r="Y12" s="145">
        <f>D9+K15+(K9+D15)*100</f>
        <v>8855</v>
      </c>
      <c r="Z12" s="87"/>
      <c r="AA12" s="87"/>
      <c r="AB12" s="87"/>
      <c r="AC12" s="87"/>
      <c r="AD12" s="87">
        <v>150</v>
      </c>
      <c r="AE12" s="87"/>
      <c r="AF12" s="87"/>
      <c r="AG12" s="88">
        <f>K8+K9+D15+D31+D48+D53</f>
        <v>192</v>
      </c>
      <c r="AH12" s="88">
        <f>AG12-59</f>
        <v>133</v>
      </c>
      <c r="AI12" s="89"/>
      <c r="AJ12" s="87"/>
      <c r="AK12" s="87"/>
      <c r="AL12" s="87"/>
      <c r="AM12" s="87"/>
      <c r="AN12" s="87"/>
      <c r="AO12" s="87"/>
      <c r="AP12" s="87"/>
      <c r="AQ12" s="92" t="s">
        <v>154</v>
      </c>
      <c r="AR12" s="92">
        <v>269</v>
      </c>
      <c r="AS12" s="92">
        <v>265</v>
      </c>
      <c r="AV12" s="96">
        <f>$J$3+F13</f>
        <v>45371.868055555555</v>
      </c>
      <c r="AW12" s="96">
        <f>IF(F57&gt;=F13,$J$3+F57,$J$3+1+F57)</f>
        <v>45371.965277777781</v>
      </c>
      <c r="AX12" s="96">
        <f>IF(F71&gt;=F13,$J$3+F71,$J$3+1+F71)</f>
        <v>45372.011805555558</v>
      </c>
      <c r="AY12" s="146"/>
      <c r="AZ12" s="147">
        <f>E77</f>
        <v>262</v>
      </c>
      <c r="BA12" s="96">
        <f>IF(G79&gt;=F13,$J$3+G79,$J$3+1+G79)</f>
        <v>45372.063888888886</v>
      </c>
      <c r="BB12" s="146"/>
      <c r="BC12" s="147">
        <f>E82</f>
        <v>242</v>
      </c>
      <c r="BD12" s="96">
        <f>IF(G96&gt;=F13,$J$3+G96,$J$3+1+G96)</f>
        <v>45372.111805555556</v>
      </c>
    </row>
    <row r="13" spans="2:148" s="106" customFormat="1" ht="28.5" customHeight="1">
      <c r="B13" s="148"/>
      <c r="C13" s="149" t="s">
        <v>155</v>
      </c>
      <c r="D13" s="114">
        <v>37</v>
      </c>
      <c r="E13" s="110">
        <v>37</v>
      </c>
      <c r="F13" s="150">
        <v>0.86805555555555547</v>
      </c>
      <c r="G13" s="151"/>
      <c r="H13" s="114">
        <f>D13/K12*60</f>
        <v>12.333333333333332</v>
      </c>
      <c r="I13" s="152">
        <f>IF(OR(F14="",F13=""),"",IF(F14&gt;=F13,(F14-F13)*24*60,(1+F14-F13)*24*60))</f>
        <v>13.000000000000114</v>
      </c>
      <c r="J13" s="153" t="s">
        <v>156</v>
      </c>
      <c r="K13" s="154">
        <v>60</v>
      </c>
      <c r="L13" s="141">
        <v>60.2</v>
      </c>
      <c r="M13" s="155"/>
      <c r="N13" s="87"/>
      <c r="O13" s="87"/>
      <c r="P13" s="87"/>
      <c r="Q13" s="87"/>
      <c r="R13" s="87"/>
      <c r="S13" s="87"/>
      <c r="T13" s="156" t="s">
        <v>157</v>
      </c>
      <c r="U13" s="87"/>
      <c r="V13" s="157">
        <f>(K9+D15)/(D9+K15)*100</f>
        <v>3.5294117647058822</v>
      </c>
      <c r="W13" s="87"/>
      <c r="X13" s="87"/>
      <c r="Y13" s="87"/>
      <c r="Z13" s="87"/>
      <c r="AA13" s="87"/>
      <c r="AB13" s="87"/>
      <c r="AC13" s="87"/>
      <c r="AD13" s="87">
        <f>AD11-AD12</f>
        <v>76</v>
      </c>
      <c r="AE13" s="87">
        <f>AD13/280*60</f>
        <v>16.285714285714285</v>
      </c>
      <c r="AF13" s="87"/>
      <c r="AG13" s="88">
        <f>AG12-35</f>
        <v>157</v>
      </c>
      <c r="AH13" s="87"/>
      <c r="AI13" s="89"/>
      <c r="AJ13" s="87"/>
      <c r="AK13" s="87"/>
      <c r="AL13" s="87"/>
      <c r="AM13" s="87"/>
      <c r="AN13" s="87"/>
      <c r="AO13" s="87"/>
      <c r="AP13" s="87"/>
      <c r="AQ13" s="92" t="s">
        <v>158</v>
      </c>
      <c r="AR13" s="92">
        <v>3.2</v>
      </c>
      <c r="AS13" s="92">
        <v>3.3</v>
      </c>
    </row>
    <row r="14" spans="2:148" s="106" customFormat="1" ht="20.25" customHeight="1">
      <c r="B14" s="148"/>
      <c r="C14" s="108" t="s">
        <v>159</v>
      </c>
      <c r="D14" s="114">
        <v>4</v>
      </c>
      <c r="E14" s="110">
        <v>4</v>
      </c>
      <c r="F14" s="150">
        <v>0.87708333333333333</v>
      </c>
      <c r="G14" s="151"/>
      <c r="H14" s="114">
        <v>1</v>
      </c>
      <c r="I14" s="152">
        <f>IF(OR(F15="",F14=""),"",IF(F15&gt;=F14,(F15-F14)*24*60,(1+F15-F14)*24*60))</f>
        <v>0.99999999999999645</v>
      </c>
      <c r="J14" s="153" t="s">
        <v>160</v>
      </c>
      <c r="K14" s="154">
        <v>60</v>
      </c>
      <c r="L14" s="141">
        <v>54.6</v>
      </c>
      <c r="M14" s="155"/>
      <c r="N14" s="87"/>
      <c r="O14" s="87"/>
      <c r="P14" s="87"/>
      <c r="Q14" s="87"/>
      <c r="R14" s="87"/>
      <c r="S14" s="87"/>
      <c r="T14" s="156"/>
      <c r="U14" s="87"/>
      <c r="V14" s="15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8"/>
      <c r="AH14" s="87"/>
      <c r="AI14" s="89"/>
      <c r="AJ14" s="87"/>
      <c r="AK14" s="87"/>
      <c r="AL14" s="87"/>
      <c r="AM14" s="87"/>
      <c r="AN14" s="87"/>
      <c r="AO14" s="87"/>
      <c r="AP14" s="87"/>
      <c r="AQ14" s="92" t="s">
        <v>161</v>
      </c>
      <c r="AR14" s="92">
        <v>2.9</v>
      </c>
      <c r="AS14" s="92">
        <v>2.9</v>
      </c>
    </row>
    <row r="15" spans="2:148" s="161" customFormat="1" ht="33.75" customHeight="1">
      <c r="B15" s="107"/>
      <c r="C15" s="108" t="s">
        <v>162</v>
      </c>
      <c r="D15" s="114">
        <v>14</v>
      </c>
      <c r="E15" s="110">
        <v>14</v>
      </c>
      <c r="F15" s="150">
        <v>0.87777777777777777</v>
      </c>
      <c r="G15" s="151"/>
      <c r="H15" s="114">
        <f>D15/K35*60</f>
        <v>3.7333333333333334</v>
      </c>
      <c r="I15" s="152">
        <f>IF(OR(F19="",F15=""),"",IF(F19&gt;=F15,(F19-F15)*24*60,(1+F19-F15)*24*60))</f>
        <v>3.9999999999999858</v>
      </c>
      <c r="J15" s="113" t="s">
        <v>163</v>
      </c>
      <c r="K15" s="114">
        <f>D9*0.15</f>
        <v>255</v>
      </c>
      <c r="L15" s="158"/>
      <c r="M15" s="86">
        <v>270</v>
      </c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>
        <f>98+'[1]Piping length'!J6</f>
        <v>109</v>
      </c>
      <c r="Y15" s="159"/>
      <c r="Z15" s="159"/>
      <c r="AA15" s="159"/>
      <c r="AB15" s="159"/>
      <c r="AC15" s="159"/>
      <c r="AD15" s="159">
        <f>150/240*60</f>
        <v>37.5</v>
      </c>
      <c r="AE15" s="159"/>
      <c r="AF15" s="159"/>
      <c r="AG15" s="159"/>
      <c r="AH15" s="159"/>
      <c r="AI15" s="160"/>
      <c r="AJ15" s="159"/>
      <c r="AK15" s="159"/>
      <c r="AL15" s="159"/>
      <c r="AM15" s="159"/>
      <c r="AN15" s="159"/>
      <c r="AO15" s="159"/>
      <c r="AP15" s="159"/>
      <c r="AQ15" s="92" t="s">
        <v>164</v>
      </c>
      <c r="AR15" s="92">
        <v>0.36</v>
      </c>
      <c r="AS15" s="92">
        <v>0.3</v>
      </c>
    </row>
    <row r="16" spans="2:148" s="106" customFormat="1" ht="20.25" customHeight="1">
      <c r="B16" s="107"/>
      <c r="C16" s="108" t="s">
        <v>165</v>
      </c>
      <c r="D16" s="162">
        <v>3</v>
      </c>
      <c r="E16" s="110"/>
      <c r="F16" s="151"/>
      <c r="G16" s="151"/>
      <c r="H16" s="114"/>
      <c r="I16" s="114"/>
      <c r="J16" s="114"/>
      <c r="K16" s="114"/>
      <c r="L16" s="163"/>
      <c r="M16" s="86"/>
      <c r="N16" s="87"/>
      <c r="O16" s="87"/>
      <c r="P16" s="87"/>
      <c r="Q16" s="87"/>
      <c r="R16" s="87"/>
      <c r="S16" s="87"/>
      <c r="T16" s="87"/>
      <c r="U16" s="87"/>
      <c r="V16" s="87" t="e">
        <f>#REF!/100</f>
        <v>#REF!</v>
      </c>
      <c r="W16" s="87"/>
      <c r="X16" s="87"/>
      <c r="Y16" s="87"/>
      <c r="Z16" s="87"/>
      <c r="AA16" s="87"/>
      <c r="AB16" s="87"/>
      <c r="AC16" s="87"/>
      <c r="AD16" s="87">
        <f>AD15+AE13</f>
        <v>53.785714285714285</v>
      </c>
      <c r="AE16" s="87"/>
      <c r="AF16" s="87"/>
      <c r="AG16" s="87"/>
      <c r="AH16" s="87"/>
      <c r="AI16" s="89"/>
      <c r="AJ16" s="87"/>
      <c r="AK16" s="87"/>
      <c r="AL16" s="87"/>
      <c r="AM16" s="87"/>
      <c r="AN16" s="87"/>
      <c r="AO16" s="87"/>
      <c r="AP16" s="87"/>
      <c r="AQ16" s="87"/>
      <c r="AR16" s="87"/>
      <c r="AS16" s="87"/>
    </row>
    <row r="17" spans="2:88" s="106" customFormat="1" ht="24" hidden="1" customHeight="1">
      <c r="B17" s="164"/>
      <c r="C17" s="149" t="s">
        <v>166</v>
      </c>
      <c r="D17" s="162"/>
      <c r="E17" s="165"/>
      <c r="F17" s="166"/>
      <c r="G17" s="151"/>
      <c r="H17" s="167"/>
      <c r="I17" s="167"/>
      <c r="J17" s="168"/>
      <c r="K17" s="168"/>
      <c r="L17" s="169"/>
      <c r="M17" s="86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9"/>
      <c r="AJ17" s="87"/>
      <c r="AK17" s="87"/>
      <c r="AL17" s="87"/>
      <c r="AM17" s="87"/>
      <c r="AN17" s="87"/>
      <c r="AO17" s="87"/>
      <c r="AP17" s="87"/>
      <c r="AQ17" s="87"/>
      <c r="AR17" s="87"/>
      <c r="AS17" s="87"/>
    </row>
    <row r="18" spans="2:88" s="106" customFormat="1" ht="24" hidden="1" customHeight="1">
      <c r="B18" s="164"/>
      <c r="C18" s="149" t="s">
        <v>167</v>
      </c>
      <c r="D18" s="162"/>
      <c r="E18" s="165"/>
      <c r="F18" s="166"/>
      <c r="G18" s="151"/>
      <c r="H18" s="167"/>
      <c r="I18" s="167"/>
      <c r="J18" s="168"/>
      <c r="K18" s="168"/>
      <c r="L18" s="169"/>
      <c r="M18" s="86"/>
      <c r="N18" s="87"/>
      <c r="O18" s="159"/>
      <c r="P18" s="159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9"/>
      <c r="AJ18" s="87"/>
      <c r="AK18" s="87"/>
      <c r="AL18" s="87"/>
      <c r="AM18" s="87"/>
      <c r="AN18" s="87"/>
      <c r="AO18" s="87"/>
      <c r="AP18" s="87"/>
      <c r="AQ18" s="87"/>
      <c r="AR18" s="87"/>
      <c r="AS18" s="87"/>
    </row>
    <row r="19" spans="2:88" s="106" customFormat="1" ht="27.75" customHeight="1">
      <c r="B19" s="107"/>
      <c r="C19" s="108" t="s">
        <v>168</v>
      </c>
      <c r="D19" s="170">
        <v>78</v>
      </c>
      <c r="E19" s="171"/>
      <c r="F19" s="150">
        <v>0.88055555555555554</v>
      </c>
      <c r="G19" s="151"/>
      <c r="H19" s="114">
        <v>11</v>
      </c>
      <c r="I19" s="152">
        <f>IF(OR(F20="",F19=""),"",IF(F20&gt;=F19,(F20-F19)*24*60,(1+F20-F19)*24*60))</f>
        <v>9.0000000000001279</v>
      </c>
      <c r="J19" s="172" t="s">
        <v>169</v>
      </c>
      <c r="K19" s="114">
        <v>520</v>
      </c>
      <c r="L19" s="173"/>
      <c r="M19" s="86"/>
      <c r="N19" s="87"/>
      <c r="O19" s="87"/>
      <c r="P19" s="87"/>
      <c r="Q19" s="87"/>
      <c r="R19" s="87"/>
      <c r="S19" s="87"/>
      <c r="T19" s="87">
        <f>K19*H19/60</f>
        <v>95.333333333333329</v>
      </c>
      <c r="U19" s="87"/>
      <c r="V19" s="87">
        <f>9/60</f>
        <v>0.15</v>
      </c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9"/>
      <c r="AJ19" s="87"/>
      <c r="AK19" s="87"/>
      <c r="AL19" s="174" t="s">
        <v>170</v>
      </c>
      <c r="AM19" s="174"/>
      <c r="AN19" s="174"/>
      <c r="AO19" s="87"/>
      <c r="AP19" s="87"/>
      <c r="AQ19" s="87"/>
      <c r="AR19" s="87"/>
      <c r="AS19" s="87"/>
      <c r="AU19" s="175" t="s">
        <v>171</v>
      </c>
      <c r="AV19" s="176" t="s">
        <v>172</v>
      </c>
      <c r="AW19" s="176" t="s">
        <v>173</v>
      </c>
      <c r="AX19" s="177" t="s">
        <v>174</v>
      </c>
      <c r="AY19" s="177" t="s">
        <v>175</v>
      </c>
      <c r="AZ19" s="177" t="s">
        <v>176</v>
      </c>
      <c r="BA19" s="177" t="s">
        <v>177</v>
      </c>
      <c r="BB19" s="176" t="s">
        <v>178</v>
      </c>
      <c r="BC19" s="177" t="s">
        <v>179</v>
      </c>
      <c r="BD19" s="178" t="s">
        <v>180</v>
      </c>
      <c r="BE19" s="178" t="s">
        <v>181</v>
      </c>
      <c r="BF19" s="177" t="s">
        <v>182</v>
      </c>
      <c r="BG19" s="176" t="s">
        <v>183</v>
      </c>
      <c r="BH19" s="176" t="s">
        <v>184</v>
      </c>
      <c r="BI19" s="176" t="s">
        <v>185</v>
      </c>
      <c r="BJ19" s="176" t="s">
        <v>186</v>
      </c>
      <c r="BK19" s="176" t="s">
        <v>187</v>
      </c>
      <c r="BL19" s="176" t="s">
        <v>188</v>
      </c>
      <c r="BM19" s="176" t="s">
        <v>189</v>
      </c>
      <c r="BN19" s="176" t="s">
        <v>190</v>
      </c>
      <c r="BO19" s="179" t="s">
        <v>191</v>
      </c>
      <c r="BP19" s="176" t="s">
        <v>192</v>
      </c>
      <c r="BQ19" s="176" t="s">
        <v>193</v>
      </c>
      <c r="BR19" s="179" t="s">
        <v>194</v>
      </c>
      <c r="BS19" s="179" t="s">
        <v>195</v>
      </c>
      <c r="BT19" s="179" t="s">
        <v>196</v>
      </c>
      <c r="BU19" s="176" t="s">
        <v>197</v>
      </c>
      <c r="BV19" s="179" t="s">
        <v>198</v>
      </c>
      <c r="BW19" s="180" t="s">
        <v>199</v>
      </c>
      <c r="BX19" s="177" t="s">
        <v>182</v>
      </c>
      <c r="BY19" s="176" t="s">
        <v>200</v>
      </c>
      <c r="BZ19" s="179" t="s">
        <v>201</v>
      </c>
      <c r="CA19" s="179" t="s">
        <v>202</v>
      </c>
      <c r="CB19" s="176" t="s">
        <v>203</v>
      </c>
      <c r="CC19" s="176" t="s">
        <v>204</v>
      </c>
      <c r="CD19" s="176" t="s">
        <v>199</v>
      </c>
      <c r="CE19" s="176" t="s">
        <v>205</v>
      </c>
      <c r="CF19" s="181" t="s">
        <v>206</v>
      </c>
      <c r="CG19" s="181" t="s">
        <v>207</v>
      </c>
      <c r="CH19" s="181" t="s">
        <v>208</v>
      </c>
      <c r="CI19" s="182" t="s">
        <v>209</v>
      </c>
      <c r="CJ19" s="176" t="s">
        <v>210</v>
      </c>
    </row>
    <row r="20" spans="2:88" s="106" customFormat="1" ht="23.25" customHeight="1">
      <c r="B20" s="183"/>
      <c r="C20" s="184" t="s">
        <v>211</v>
      </c>
      <c r="D20" s="114"/>
      <c r="E20" s="185">
        <v>80.099999999999994</v>
      </c>
      <c r="F20" s="150">
        <v>0.88680555555555562</v>
      </c>
      <c r="G20" s="151">
        <f>IF(ISBLANK(F20),"",F20+TIME(0,H20,0))</f>
        <v>0.89722222222222225</v>
      </c>
      <c r="H20" s="109">
        <v>15</v>
      </c>
      <c r="I20" s="152">
        <f>IF(OR(F21="",F20=""),"",IF(F21&gt;=F20,(F21-F20)*24*60,(1+F21-F20)*24*60))</f>
        <v>14.999999999999947</v>
      </c>
      <c r="J20" s="113" t="s">
        <v>212</v>
      </c>
      <c r="K20" s="154" t="s">
        <v>213</v>
      </c>
      <c r="L20" s="173"/>
      <c r="M20" s="186" t="s">
        <v>214</v>
      </c>
      <c r="N20" s="87"/>
      <c r="O20" s="87"/>
      <c r="P20" s="87"/>
      <c r="Q20" s="87"/>
      <c r="R20" s="87"/>
      <c r="S20" s="87"/>
      <c r="T20" s="87"/>
      <c r="U20" s="87"/>
      <c r="V20" s="87" t="e">
        <f>V16/V19</f>
        <v>#REF!</v>
      </c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9"/>
      <c r="AJ20" s="87"/>
      <c r="AK20" s="87"/>
      <c r="AL20" s="87">
        <v>96</v>
      </c>
      <c r="AM20" s="87">
        <f>K9*100+D9</f>
        <v>7200</v>
      </c>
      <c r="AN20" s="87">
        <f>(AL20*AM20+AL21*AM21)/(AM20+AM21)</f>
        <v>62.174757281553397</v>
      </c>
      <c r="AO20" s="87"/>
      <c r="AP20" s="87"/>
      <c r="AQ20" s="87"/>
      <c r="AR20" s="87"/>
      <c r="AS20" s="87"/>
      <c r="AU20" s="187">
        <f>I8</f>
        <v>2</v>
      </c>
      <c r="AV20" s="188" t="str">
        <f>IF(E2="Budweiser","BUD"&amp;RIGHT(H3,3),"")</f>
        <v>BUD295</v>
      </c>
      <c r="AW20" s="187">
        <f>E8</f>
        <v>3924</v>
      </c>
      <c r="AX20" s="189">
        <v>0.80700000000000005</v>
      </c>
      <c r="AY20" s="189">
        <v>4.4699999999999997E-2</v>
      </c>
      <c r="AZ20" s="189"/>
      <c r="BA20" s="189">
        <v>0.3</v>
      </c>
      <c r="BB20" s="187">
        <f>E9</f>
        <v>1678</v>
      </c>
      <c r="BC20" s="189">
        <v>0.8</v>
      </c>
      <c r="BD20" s="189">
        <f t="shared" ref="BD20" si="0">AW20/(AW20+BB20)</f>
        <v>0.70046411995715818</v>
      </c>
      <c r="BE20" s="189">
        <f t="shared" ref="BE20" si="1">BB20/(AW20+BB20)</f>
        <v>0.29953588004284182</v>
      </c>
      <c r="BF20" s="187">
        <f t="shared" ref="BF20" si="2">(AW20-AZ20-0)*AX20*(100%-AY20)+AZ20*BA20+(BB20+0)*BC20</f>
        <v>4367.517940400001</v>
      </c>
      <c r="BG20" s="190">
        <f>D16</f>
        <v>3</v>
      </c>
      <c r="BH20" s="190">
        <f>D38</f>
        <v>4</v>
      </c>
      <c r="BI20" s="190">
        <f>D73</f>
        <v>2.5</v>
      </c>
      <c r="BJ20" s="191"/>
      <c r="BK20" s="191">
        <f>D74</f>
        <v>2.14</v>
      </c>
      <c r="BL20" s="188"/>
      <c r="BM20" s="191">
        <f>D75</f>
        <v>1.9</v>
      </c>
      <c r="BN20" s="191">
        <f>D76</f>
        <v>2.08</v>
      </c>
      <c r="BO20" s="190">
        <f>D81</f>
        <v>144.69000000000003</v>
      </c>
      <c r="BP20" s="187">
        <f>E96</f>
        <v>227</v>
      </c>
      <c r="BQ20" s="188">
        <v>0</v>
      </c>
      <c r="BR20" s="188">
        <f>L54</f>
        <v>22.15</v>
      </c>
      <c r="BS20" s="188">
        <f>L94</f>
        <v>18.18</v>
      </c>
      <c r="BT20" s="191">
        <f>K89</f>
        <v>18.45</v>
      </c>
      <c r="BU20" s="188" t="str">
        <f>C3</f>
        <v>Công</v>
      </c>
      <c r="BV20" s="188">
        <f>L95</f>
        <v>5.5</v>
      </c>
      <c r="BW20" s="188">
        <f>IF(BS20="","",+BS20*(1+(BS20-0.4644)/238.4)-0.02)</f>
        <v>19.510963120805371</v>
      </c>
      <c r="BX20" s="188">
        <f>IF(OR(BW20="",BP20=""),"",BP20*BW20)</f>
        <v>4428.9886284228196</v>
      </c>
      <c r="BY20" s="187">
        <f>E65</f>
        <v>262</v>
      </c>
      <c r="BZ20" s="188">
        <f>L62</f>
        <v>2.66</v>
      </c>
      <c r="CA20" s="188">
        <f>L63</f>
        <v>0.38</v>
      </c>
      <c r="CB20" s="188"/>
      <c r="CC20" s="188"/>
      <c r="CD20" s="188"/>
      <c r="CE20" s="188"/>
      <c r="CF20" s="187">
        <f>K30</f>
        <v>190</v>
      </c>
      <c r="CG20" s="188">
        <f>K47</f>
        <v>240</v>
      </c>
      <c r="CH20" s="187">
        <f>K84</f>
        <v>2367</v>
      </c>
      <c r="CI20" s="187">
        <f>BF20-BX20</f>
        <v>-61.470688022818649</v>
      </c>
      <c r="CJ20" s="191">
        <f>IF(BT20="","",CI20/BF20%)</f>
        <v>-1.4074512998380226</v>
      </c>
    </row>
    <row r="21" spans="2:88" s="106" customFormat="1" ht="26.25" customHeight="1">
      <c r="B21" s="107"/>
      <c r="C21" s="108" t="s">
        <v>215</v>
      </c>
      <c r="D21" s="114"/>
      <c r="E21" s="171"/>
      <c r="F21" s="192">
        <f>G20</f>
        <v>0.89722222222222225</v>
      </c>
      <c r="G21" s="151"/>
      <c r="H21" s="114">
        <v>10</v>
      </c>
      <c r="I21" s="152">
        <f>IF(OR(F22="",F21=""),"",IF(F22&gt;=F21,(F22-F21)*24*60,(1+F22-F21)*24*60))</f>
        <v>6.9999999999998153</v>
      </c>
      <c r="J21" s="172" t="s">
        <v>169</v>
      </c>
      <c r="K21" s="114">
        <v>520</v>
      </c>
      <c r="L21" s="173"/>
      <c r="M21" s="193"/>
      <c r="N21" s="87"/>
      <c r="O21" s="87"/>
      <c r="P21" s="87"/>
      <c r="Q21" s="87"/>
      <c r="R21" s="87"/>
      <c r="S21" s="87"/>
      <c r="T21" s="87">
        <f>K21*H21/60</f>
        <v>86.666666666666671</v>
      </c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9"/>
      <c r="AJ21" s="87"/>
      <c r="AK21" s="87"/>
      <c r="AL21" s="87">
        <v>44</v>
      </c>
      <c r="AM21" s="87">
        <f>K8*100+D8</f>
        <v>13400</v>
      </c>
      <c r="AN21" s="87"/>
      <c r="AO21" s="87"/>
      <c r="AP21" s="87"/>
      <c r="AQ21" s="87"/>
      <c r="AR21" s="87"/>
      <c r="AS21" s="87"/>
    </row>
    <row r="22" spans="2:88" s="106" customFormat="1" ht="21.75" customHeight="1">
      <c r="B22" s="183"/>
      <c r="C22" s="184" t="s">
        <v>216</v>
      </c>
      <c r="D22" s="114"/>
      <c r="E22" s="185">
        <v>95.1</v>
      </c>
      <c r="F22" s="150">
        <v>0.90208333333333324</v>
      </c>
      <c r="G22" s="151">
        <f>IF(ISBLANK(F22),"",F22+TIME(0,H22,0))</f>
        <v>0.90555555555555545</v>
      </c>
      <c r="H22" s="109">
        <v>5</v>
      </c>
      <c r="I22" s="152">
        <f>IF(OR(F30="",F22=""),"",IF(F30&gt;=F22,(F30-F22)*24*60,(1+F30-F22)*24*60))</f>
        <v>9.0000000000001279</v>
      </c>
      <c r="J22" s="113" t="s">
        <v>212</v>
      </c>
      <c r="K22" s="154" t="s">
        <v>213</v>
      </c>
      <c r="L22" s="173"/>
      <c r="M22" s="194"/>
      <c r="N22" s="87"/>
      <c r="O22" s="159"/>
      <c r="P22" s="159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9"/>
      <c r="AJ22" s="87"/>
      <c r="AK22" s="87"/>
      <c r="AL22" s="87"/>
      <c r="AM22" s="87"/>
      <c r="AN22" s="87"/>
      <c r="AO22" s="87"/>
      <c r="AP22" s="87"/>
      <c r="AQ22" s="87"/>
      <c r="AR22" s="87"/>
      <c r="AS22" s="87"/>
    </row>
    <row r="23" spans="2:88" s="106" customFormat="1" ht="21.75" hidden="1" customHeight="1">
      <c r="B23" s="107"/>
      <c r="C23" s="108" t="s">
        <v>217</v>
      </c>
      <c r="D23" s="114"/>
      <c r="E23" s="110"/>
      <c r="F23" s="195"/>
      <c r="G23" s="151"/>
      <c r="H23" s="196"/>
      <c r="I23" s="152" t="str">
        <f t="shared" ref="I23:I29" si="3">IF(OR(F24="",F23=""),"",IF(F24&gt;F23,(F24-F23)*24*60,(1+F24-F23)*24*60))</f>
        <v/>
      </c>
      <c r="J23" s="197" t="s">
        <v>218</v>
      </c>
      <c r="K23" s="198"/>
      <c r="L23" s="173"/>
      <c r="M23" s="193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9"/>
      <c r="AJ23" s="87"/>
      <c r="AK23" s="87"/>
      <c r="AL23" s="87"/>
      <c r="AM23" s="87"/>
      <c r="AN23" s="87"/>
      <c r="AO23" s="87"/>
      <c r="AP23" s="87"/>
      <c r="AQ23" s="87"/>
      <c r="AR23" s="87"/>
      <c r="AS23" s="87"/>
    </row>
    <row r="24" spans="2:88" s="106" customFormat="1" ht="15" hidden="1" customHeight="1">
      <c r="B24" s="107"/>
      <c r="C24" s="199" t="s">
        <v>219</v>
      </c>
      <c r="D24" s="114"/>
      <c r="E24" s="110"/>
      <c r="F24" s="195"/>
      <c r="G24" s="151"/>
      <c r="H24" s="196">
        <v>10</v>
      </c>
      <c r="I24" s="152" t="str">
        <f t="shared" si="3"/>
        <v/>
      </c>
      <c r="J24" s="167"/>
      <c r="K24" s="167"/>
      <c r="L24" s="173"/>
      <c r="M24" s="86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9"/>
      <c r="AJ24" s="87"/>
      <c r="AK24" s="87"/>
      <c r="AL24" s="87"/>
      <c r="AM24" s="87"/>
      <c r="AN24" s="87"/>
      <c r="AO24" s="87"/>
      <c r="AP24" s="87"/>
      <c r="AQ24" s="87"/>
      <c r="AR24" s="87"/>
      <c r="AS24" s="87"/>
    </row>
    <row r="25" spans="2:88" s="106" customFormat="1" ht="22.5" hidden="1" customHeight="1">
      <c r="B25" s="107"/>
      <c r="C25" s="149" t="s">
        <v>220</v>
      </c>
      <c r="D25" s="114"/>
      <c r="E25" s="110"/>
      <c r="F25" s="195"/>
      <c r="G25" s="151"/>
      <c r="H25" s="196"/>
      <c r="I25" s="152" t="str">
        <f t="shared" si="3"/>
        <v/>
      </c>
      <c r="J25" s="167"/>
      <c r="K25" s="167"/>
      <c r="L25" s="173"/>
      <c r="M25" s="86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9"/>
      <c r="AJ25" s="87"/>
      <c r="AK25" s="87"/>
      <c r="AL25" s="87"/>
      <c r="AM25" s="87"/>
      <c r="AN25" s="87"/>
      <c r="AO25" s="87"/>
      <c r="AP25" s="87"/>
      <c r="AQ25" s="87"/>
      <c r="AR25" s="87"/>
      <c r="AS25" s="87"/>
    </row>
    <row r="26" spans="2:88" s="106" customFormat="1" ht="14.25" hidden="1" customHeight="1">
      <c r="B26" s="107"/>
      <c r="C26" s="199" t="s">
        <v>221</v>
      </c>
      <c r="D26" s="114"/>
      <c r="E26" s="110"/>
      <c r="F26" s="195"/>
      <c r="G26" s="151"/>
      <c r="H26" s="196"/>
      <c r="I26" s="152" t="str">
        <f t="shared" si="3"/>
        <v/>
      </c>
      <c r="J26" s="167"/>
      <c r="K26" s="167"/>
      <c r="L26" s="173"/>
      <c r="M26" s="86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9"/>
      <c r="AJ26" s="87"/>
      <c r="AK26" s="87"/>
      <c r="AL26" s="87"/>
      <c r="AM26" s="87"/>
      <c r="AN26" s="87"/>
      <c r="AO26" s="87"/>
      <c r="AP26" s="87"/>
      <c r="AQ26" s="87"/>
      <c r="AR26" s="87"/>
      <c r="AS26" s="87"/>
    </row>
    <row r="27" spans="2:88" s="106" customFormat="1" ht="17.25" hidden="1" customHeight="1">
      <c r="B27" s="107"/>
      <c r="C27" s="108" t="s">
        <v>222</v>
      </c>
      <c r="D27" s="114"/>
      <c r="E27" s="110"/>
      <c r="F27" s="195"/>
      <c r="G27" s="151"/>
      <c r="H27" s="196"/>
      <c r="I27" s="152" t="str">
        <f t="shared" si="3"/>
        <v/>
      </c>
      <c r="J27" s="167"/>
      <c r="K27" s="167"/>
      <c r="L27" s="173"/>
      <c r="M27" s="86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9"/>
      <c r="AJ27" s="87"/>
      <c r="AK27" s="87"/>
      <c r="AL27" s="87"/>
      <c r="AM27" s="87"/>
      <c r="AN27" s="87"/>
      <c r="AO27" s="87"/>
      <c r="AP27" s="87"/>
      <c r="AQ27" s="87"/>
      <c r="AR27" s="87"/>
      <c r="AS27" s="87"/>
    </row>
    <row r="28" spans="2:88" s="106" customFormat="1" ht="15.75" hidden="1" customHeight="1">
      <c r="B28" s="107"/>
      <c r="C28" s="199" t="s">
        <v>223</v>
      </c>
      <c r="D28" s="114"/>
      <c r="E28" s="110"/>
      <c r="F28" s="195"/>
      <c r="G28" s="151"/>
      <c r="H28" s="196">
        <v>10</v>
      </c>
      <c r="I28" s="152" t="str">
        <f t="shared" si="3"/>
        <v/>
      </c>
      <c r="J28" s="167"/>
      <c r="K28" s="167"/>
      <c r="L28" s="173"/>
      <c r="M28" s="86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9"/>
      <c r="AJ28" s="87"/>
      <c r="AK28" s="87"/>
      <c r="AL28" s="87"/>
      <c r="AM28" s="87"/>
      <c r="AN28" s="87"/>
      <c r="AO28" s="87"/>
      <c r="AP28" s="87"/>
      <c r="AQ28" s="87"/>
      <c r="AR28" s="87"/>
      <c r="AS28" s="87"/>
    </row>
    <row r="29" spans="2:88" s="106" customFormat="1" ht="23.25" hidden="1" customHeight="1">
      <c r="B29" s="200"/>
      <c r="C29" s="108" t="s">
        <v>224</v>
      </c>
      <c r="D29" s="114"/>
      <c r="E29" s="110"/>
      <c r="F29" s="195"/>
      <c r="G29" s="151"/>
      <c r="H29" s="201">
        <v>6</v>
      </c>
      <c r="I29" s="152" t="str">
        <f t="shared" si="3"/>
        <v/>
      </c>
      <c r="J29" s="197" t="s">
        <v>218</v>
      </c>
      <c r="K29" s="198"/>
      <c r="L29" s="173"/>
      <c r="M29" s="193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9"/>
      <c r="AJ29" s="87"/>
      <c r="AK29" s="87"/>
      <c r="AL29" s="87"/>
      <c r="AM29" s="87"/>
      <c r="AN29" s="87"/>
      <c r="AO29" s="87"/>
      <c r="AP29" s="87"/>
      <c r="AQ29" s="87"/>
      <c r="AR29" s="87"/>
      <c r="AS29" s="87"/>
    </row>
    <row r="30" spans="2:88" s="106" customFormat="1" ht="24.75" customHeight="1" collapsed="1">
      <c r="B30" s="107"/>
      <c r="C30" s="108" t="s">
        <v>225</v>
      </c>
      <c r="D30" s="114"/>
      <c r="E30" s="171"/>
      <c r="F30" s="150">
        <v>0.90833333333333333</v>
      </c>
      <c r="G30" s="151"/>
      <c r="H30" s="114">
        <v>11</v>
      </c>
      <c r="I30" s="152">
        <f>IF(OR(F31="",F30=""),"",IF(F31&gt;=F30,(F31-F30)*24*60,(1+F31-F30)*24*60))</f>
        <v>5.9999999999999787</v>
      </c>
      <c r="J30" s="202" t="s">
        <v>226</v>
      </c>
      <c r="K30" s="201">
        <v>190</v>
      </c>
      <c r="L30" s="203"/>
      <c r="M30" s="86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9"/>
      <c r="AJ30" s="87"/>
      <c r="AK30" s="87"/>
      <c r="AL30" s="87"/>
      <c r="AM30" s="92" t="s">
        <v>227</v>
      </c>
      <c r="AN30" s="92" t="s">
        <v>228</v>
      </c>
      <c r="AO30" s="92" t="s">
        <v>172</v>
      </c>
      <c r="AP30" s="92" t="s">
        <v>229</v>
      </c>
      <c r="AQ30" s="92" t="s">
        <v>230</v>
      </c>
      <c r="AR30" s="204" t="s">
        <v>231</v>
      </c>
      <c r="AS30" s="87"/>
    </row>
    <row r="31" spans="2:88" s="106" customFormat="1" ht="24.75" customHeight="1">
      <c r="B31" s="107"/>
      <c r="C31" s="108" t="s">
        <v>232</v>
      </c>
      <c r="D31" s="114">
        <v>7</v>
      </c>
      <c r="E31" s="171"/>
      <c r="F31" s="150">
        <v>0.91249999999999998</v>
      </c>
      <c r="G31" s="151">
        <f>IF(F42="","",F42)</f>
        <v>0.91319444444444453</v>
      </c>
      <c r="H31" s="114">
        <v>1</v>
      </c>
      <c r="I31" s="152">
        <f>IF(OR(G31="",F31=""),"",IF(G31&gt;=F31,(G31-F31)*24*60,(1+G31-F31)*24*60))</f>
        <v>1.0000000000001563</v>
      </c>
      <c r="J31" s="113"/>
      <c r="K31" s="113"/>
      <c r="L31" s="205"/>
      <c r="M31" s="155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9"/>
      <c r="AJ31" s="87"/>
      <c r="AK31" s="87"/>
      <c r="AL31" s="87"/>
      <c r="AM31" s="92"/>
      <c r="AN31" s="92">
        <v>80</v>
      </c>
      <c r="AO31" s="92">
        <v>30</v>
      </c>
      <c r="AP31" s="92">
        <v>60</v>
      </c>
      <c r="AQ31" s="92">
        <v>180</v>
      </c>
      <c r="AR31" s="204">
        <f>AQ31*AO32</f>
        <v>72</v>
      </c>
      <c r="AS31" s="87"/>
    </row>
    <row r="32" spans="2:88" s="106" customFormat="1" ht="24.75" customHeight="1">
      <c r="B32" s="107"/>
      <c r="C32" s="108" t="s">
        <v>233</v>
      </c>
      <c r="D32" s="114">
        <v>2</v>
      </c>
      <c r="E32" s="171"/>
      <c r="F32" s="171"/>
      <c r="G32" s="171"/>
      <c r="H32" s="114">
        <v>0</v>
      </c>
      <c r="I32" s="114"/>
      <c r="J32" s="113"/>
      <c r="K32" s="113"/>
      <c r="L32" s="205"/>
      <c r="M32" s="155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9"/>
      <c r="AJ32" s="87"/>
      <c r="AK32" s="87"/>
      <c r="AL32" s="87"/>
      <c r="AM32" s="92"/>
      <c r="AN32" s="92">
        <v>0.6</v>
      </c>
      <c r="AO32" s="92">
        <f>1-AN32</f>
        <v>0.4</v>
      </c>
      <c r="AP32" s="206">
        <f>AN31*AN32+AO31*AO32</f>
        <v>60</v>
      </c>
      <c r="AQ32" s="92"/>
      <c r="AR32" s="92"/>
      <c r="AS32" s="87"/>
    </row>
    <row r="33" spans="2:45" s="106" customFormat="1" ht="22.5" customHeight="1">
      <c r="B33" s="207"/>
      <c r="C33" s="208" t="s">
        <v>234</v>
      </c>
      <c r="D33" s="209"/>
      <c r="E33" s="209"/>
      <c r="F33" s="209"/>
      <c r="G33" s="209"/>
      <c r="H33" s="209">
        <f>SUM(H12:H32)</f>
        <v>97.066666666666663</v>
      </c>
      <c r="I33" s="209">
        <f>IF(OR(G31="",F13=""),"",IF(G31&gt;=F13,(G31-F13)*24*60,(G31+1-F13)*24*60))</f>
        <v>65.000000000000256</v>
      </c>
      <c r="J33" s="210"/>
      <c r="K33" s="210"/>
      <c r="L33" s="211"/>
      <c r="M33" s="212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9"/>
      <c r="AJ33" s="87"/>
      <c r="AK33" s="87"/>
      <c r="AL33" s="87"/>
      <c r="AM33" s="87"/>
      <c r="AN33" s="87"/>
      <c r="AO33" s="87"/>
      <c r="AP33" s="87"/>
      <c r="AQ33" s="87"/>
      <c r="AR33" s="87"/>
      <c r="AS33" s="87"/>
    </row>
    <row r="34" spans="2:45" s="106" customFormat="1" ht="15" customHeight="1">
      <c r="B34" s="131"/>
      <c r="C34" s="132" t="s">
        <v>235</v>
      </c>
      <c r="D34" s="132"/>
      <c r="E34" s="133"/>
      <c r="F34" s="133"/>
      <c r="G34" s="133"/>
      <c r="H34" s="133"/>
      <c r="I34" s="133"/>
      <c r="J34" s="134"/>
      <c r="K34" s="213"/>
      <c r="L34" s="135"/>
      <c r="M34" s="214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9"/>
      <c r="AJ34" s="87"/>
      <c r="AK34" s="87"/>
      <c r="AL34" s="87"/>
      <c r="AM34" s="87"/>
      <c r="AN34" s="87"/>
      <c r="AO34" s="87"/>
      <c r="AP34" s="87"/>
      <c r="AQ34" s="87"/>
      <c r="AR34" s="87"/>
      <c r="AS34" s="87"/>
    </row>
    <row r="35" spans="2:45" s="106" customFormat="1" ht="24.75" customHeight="1">
      <c r="B35" s="77"/>
      <c r="C35" s="78" t="s">
        <v>236</v>
      </c>
      <c r="D35" s="84">
        <v>10</v>
      </c>
      <c r="E35" s="215"/>
      <c r="F35" s="81"/>
      <c r="G35" s="81"/>
      <c r="H35" s="84">
        <v>2</v>
      </c>
      <c r="I35" s="84"/>
      <c r="J35" s="140" t="s">
        <v>151</v>
      </c>
      <c r="K35" s="154">
        <v>225</v>
      </c>
      <c r="L35" s="216">
        <v>225</v>
      </c>
      <c r="M35" s="217"/>
      <c r="N35" s="87"/>
      <c r="O35" s="87"/>
      <c r="P35" s="87"/>
      <c r="Q35" s="87"/>
      <c r="R35" s="87"/>
      <c r="S35" s="87"/>
      <c r="T35" s="143" t="s">
        <v>237</v>
      </c>
      <c r="U35" s="143"/>
      <c r="V35" s="87">
        <f>(D8-K15)/H36*1.2</f>
        <v>210.65624999999997</v>
      </c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9"/>
      <c r="AJ35" s="87"/>
      <c r="AK35" s="87"/>
      <c r="AL35" s="87"/>
      <c r="AM35" s="92" t="s">
        <v>238</v>
      </c>
      <c r="AN35" s="92" t="s">
        <v>228</v>
      </c>
      <c r="AO35" s="92" t="s">
        <v>172</v>
      </c>
      <c r="AP35" s="92" t="s">
        <v>239</v>
      </c>
      <c r="AQ35" s="92" t="s">
        <v>240</v>
      </c>
      <c r="AR35" s="204" t="s">
        <v>231</v>
      </c>
      <c r="AS35" s="87"/>
    </row>
    <row r="36" spans="2:45" s="161" customFormat="1" ht="24" customHeight="1">
      <c r="B36" s="107"/>
      <c r="C36" s="108" t="s">
        <v>241</v>
      </c>
      <c r="D36" s="114">
        <v>80</v>
      </c>
      <c r="E36" s="110">
        <v>80</v>
      </c>
      <c r="F36" s="150">
        <v>0.88055555555555554</v>
      </c>
      <c r="G36" s="151"/>
      <c r="H36" s="114">
        <f>D36/K35*60</f>
        <v>21.333333333333336</v>
      </c>
      <c r="I36" s="152">
        <f>IF(OR(F37="",F36=""),"",IF(F37&gt;=F36,(F37-F36)*24*60,(1+F37-F36)*24*60))</f>
        <v>22.000000000000082</v>
      </c>
      <c r="J36" s="172" t="s">
        <v>242</v>
      </c>
      <c r="K36" s="154">
        <v>40.5</v>
      </c>
      <c r="L36" s="169">
        <v>40.6</v>
      </c>
      <c r="M36" s="218"/>
      <c r="N36" s="159"/>
      <c r="O36" s="159"/>
      <c r="P36" s="159"/>
      <c r="Q36" s="159"/>
      <c r="R36" s="159"/>
      <c r="S36" s="159"/>
      <c r="T36" s="156" t="s">
        <v>157</v>
      </c>
      <c r="U36" s="159"/>
      <c r="V36" s="219">
        <f>(K8)/(D8-K15)*100</f>
        <v>2.5100133511348464</v>
      </c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60"/>
      <c r="AJ36" s="159"/>
      <c r="AK36" s="159"/>
      <c r="AL36" s="159"/>
      <c r="AM36" s="220"/>
      <c r="AN36" s="92">
        <v>80</v>
      </c>
      <c r="AO36" s="92">
        <v>30</v>
      </c>
      <c r="AP36" s="92">
        <v>41</v>
      </c>
      <c r="AQ36" s="92">
        <v>240</v>
      </c>
      <c r="AR36" s="204">
        <f>AQ36*AO37</f>
        <v>187.20000000000002</v>
      </c>
      <c r="AS36" s="159"/>
    </row>
    <row r="37" spans="2:45" s="161" customFormat="1" ht="24" customHeight="1">
      <c r="B37" s="107"/>
      <c r="C37" s="108" t="s">
        <v>243</v>
      </c>
      <c r="D37" s="114">
        <v>14</v>
      </c>
      <c r="E37" s="110">
        <v>14</v>
      </c>
      <c r="F37" s="150">
        <v>0.89583333333333337</v>
      </c>
      <c r="G37" s="151"/>
      <c r="H37" s="114">
        <f>D37/280*60</f>
        <v>3</v>
      </c>
      <c r="I37" s="152">
        <f>IF(OR(F40="",F37=""),"",IF(F40&gt;=F37,(F40-F37)*24*60,(1+F40-F37)*24*60))</f>
        <v>2.9999999999999893</v>
      </c>
      <c r="J37" s="153" t="s">
        <v>160</v>
      </c>
      <c r="K37" s="154">
        <v>44</v>
      </c>
      <c r="L37" s="169">
        <v>44.7</v>
      </c>
      <c r="M37" s="218"/>
      <c r="N37" s="159"/>
      <c r="O37" s="159"/>
      <c r="P37" s="159"/>
      <c r="Q37" s="159"/>
      <c r="R37" s="159"/>
      <c r="S37" s="159"/>
      <c r="T37" s="156"/>
      <c r="U37" s="159"/>
      <c r="V37" s="21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60"/>
      <c r="AJ37" s="159"/>
      <c r="AK37" s="159"/>
      <c r="AL37" s="159"/>
      <c r="AM37" s="220"/>
      <c r="AN37" s="92">
        <v>0.22</v>
      </c>
      <c r="AO37" s="92">
        <f>1-AN37</f>
        <v>0.78</v>
      </c>
      <c r="AP37" s="206">
        <f>AN36*AN37+AO36*AO37</f>
        <v>41</v>
      </c>
      <c r="AQ37" s="92"/>
      <c r="AR37" s="92"/>
      <c r="AS37" s="159"/>
    </row>
    <row r="38" spans="2:45" s="106" customFormat="1" ht="24" customHeight="1">
      <c r="B38" s="107"/>
      <c r="C38" s="108" t="s">
        <v>165</v>
      </c>
      <c r="D38" s="162">
        <v>4</v>
      </c>
      <c r="E38" s="110"/>
      <c r="F38" s="151"/>
      <c r="G38" s="151"/>
      <c r="H38" s="114"/>
      <c r="I38" s="114"/>
      <c r="J38" s="172"/>
      <c r="K38" s="162"/>
      <c r="L38" s="221"/>
      <c r="M38" s="222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9"/>
      <c r="AJ38" s="87"/>
      <c r="AK38" s="87"/>
      <c r="AL38" s="87"/>
      <c r="AM38" s="87"/>
      <c r="AN38" s="87"/>
      <c r="AO38" s="87"/>
      <c r="AP38" s="87"/>
      <c r="AQ38" s="87"/>
      <c r="AR38" s="87"/>
      <c r="AS38" s="87"/>
    </row>
    <row r="39" spans="2:45" s="106" customFormat="1" ht="20.25" customHeight="1">
      <c r="B39" s="164"/>
      <c r="C39" s="108" t="s">
        <v>244</v>
      </c>
      <c r="D39" s="162"/>
      <c r="E39" s="171"/>
      <c r="F39" s="150">
        <v>0.8979166666666667</v>
      </c>
      <c r="G39" s="151"/>
      <c r="H39" s="114"/>
      <c r="I39" s="114"/>
      <c r="J39" s="223"/>
      <c r="K39" s="162"/>
      <c r="L39" s="127"/>
      <c r="M39" s="218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9"/>
      <c r="AJ39" s="87"/>
      <c r="AK39" s="87"/>
      <c r="AL39" s="87"/>
      <c r="AM39" s="87"/>
      <c r="AN39" s="87"/>
      <c r="AO39" s="87"/>
      <c r="AP39" s="87"/>
      <c r="AQ39" s="87"/>
      <c r="AR39" s="87"/>
      <c r="AS39" s="87"/>
    </row>
    <row r="40" spans="2:45" s="106" customFormat="1" ht="24" customHeight="1">
      <c r="B40" s="224"/>
      <c r="C40" s="225" t="s">
        <v>245</v>
      </c>
      <c r="D40" s="162"/>
      <c r="E40" s="185">
        <v>44.5</v>
      </c>
      <c r="F40" s="150">
        <v>0.8979166666666667</v>
      </c>
      <c r="G40" s="151">
        <f>IF(ISBLANK(F40),"",F40+TIME(0,H40,0))</f>
        <v>0.90833333333333333</v>
      </c>
      <c r="H40" s="109">
        <v>15</v>
      </c>
      <c r="I40" s="152">
        <f>IF(OR(F41="",F40=""),"",IF(F41&gt;=F40,(F41-F40)*24*60,(1+F41-F40)*24*60))</f>
        <v>14.999999999999947</v>
      </c>
      <c r="J40" s="226"/>
      <c r="K40" s="162"/>
      <c r="L40" s="127"/>
      <c r="M40" s="218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9"/>
      <c r="AJ40" s="87"/>
      <c r="AK40" s="87"/>
      <c r="AL40" s="87"/>
      <c r="AM40" s="92" t="s">
        <v>246</v>
      </c>
      <c r="AN40" s="92" t="s">
        <v>228</v>
      </c>
      <c r="AO40" s="92" t="s">
        <v>172</v>
      </c>
      <c r="AP40" s="92" t="s">
        <v>247</v>
      </c>
      <c r="AQ40" s="92" t="s">
        <v>230</v>
      </c>
      <c r="AR40" s="204" t="s">
        <v>231</v>
      </c>
      <c r="AS40" s="87"/>
    </row>
    <row r="41" spans="2:45" s="106" customFormat="1" ht="24" customHeight="1">
      <c r="B41" s="107"/>
      <c r="C41" s="108" t="s">
        <v>248</v>
      </c>
      <c r="D41" s="162"/>
      <c r="E41" s="227"/>
      <c r="F41" s="192">
        <f>IF(F30="","",F30)</f>
        <v>0.90833333333333333</v>
      </c>
      <c r="G41" s="151"/>
      <c r="H41" s="114">
        <f>SUM(H30,H31)</f>
        <v>12</v>
      </c>
      <c r="I41" s="152">
        <f>IF(OR(F42="",F41=""),"",IF(F42&gt;=F41,(F42-F41)*24*60,(1+F42-F41)*24*60))</f>
        <v>7.000000000000135</v>
      </c>
      <c r="J41" s="202" t="s">
        <v>249</v>
      </c>
      <c r="K41" s="228"/>
      <c r="L41" s="163"/>
      <c r="M41" s="218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9"/>
      <c r="AJ41" s="87"/>
      <c r="AK41" s="87"/>
      <c r="AL41" s="87"/>
      <c r="AM41" s="220"/>
      <c r="AN41" s="92">
        <v>80</v>
      </c>
      <c r="AO41" s="92">
        <v>30</v>
      </c>
      <c r="AP41" s="92">
        <v>80</v>
      </c>
      <c r="AQ41" s="92">
        <v>220</v>
      </c>
      <c r="AR41" s="204">
        <f>AQ41*AO42</f>
        <v>0</v>
      </c>
      <c r="AS41" s="87"/>
    </row>
    <row r="42" spans="2:45" s="106" customFormat="1" ht="24" customHeight="1">
      <c r="B42" s="107"/>
      <c r="C42" s="108" t="s">
        <v>250</v>
      </c>
      <c r="D42" s="114"/>
      <c r="E42" s="171"/>
      <c r="F42" s="150">
        <v>0.91319444444444453</v>
      </c>
      <c r="G42" s="151"/>
      <c r="H42" s="114">
        <v>3</v>
      </c>
      <c r="I42" s="152">
        <f>IF(OR(F43="",F42=""),"",IF(F43&gt;=F42,(F43-F42)*24*60,(1+F43-F42)*24*60))</f>
        <v>2.9999999999998295</v>
      </c>
      <c r="J42" s="113" t="s">
        <v>226</v>
      </c>
      <c r="K42" s="229">
        <v>49</v>
      </c>
      <c r="L42" s="163"/>
      <c r="M42" s="218"/>
      <c r="N42" s="87"/>
      <c r="O42" s="87"/>
      <c r="P42" s="87"/>
      <c r="Q42" s="87"/>
      <c r="R42" s="87"/>
      <c r="S42" s="87"/>
      <c r="T42" s="156" t="s">
        <v>157</v>
      </c>
      <c r="U42" s="87"/>
      <c r="V42" s="157">
        <f>(K8+K9+D15)/(D8+D9)*100</f>
        <v>2.8596491228070176</v>
      </c>
      <c r="W42" s="87"/>
      <c r="X42" s="144" t="s">
        <v>251</v>
      </c>
      <c r="Y42" s="145">
        <f>D8+D9+(K8+K9+D15+D31)*100</f>
        <v>22700</v>
      </c>
      <c r="Z42" s="87"/>
      <c r="AA42" s="87"/>
      <c r="AB42" s="87"/>
      <c r="AC42" s="87"/>
      <c r="AD42" s="87"/>
      <c r="AE42" s="87"/>
      <c r="AF42" s="87"/>
      <c r="AG42" s="87"/>
      <c r="AH42" s="87"/>
      <c r="AI42" s="89"/>
      <c r="AJ42" s="87"/>
      <c r="AK42" s="87"/>
      <c r="AL42" s="87"/>
      <c r="AM42" s="220"/>
      <c r="AN42" s="92">
        <v>1</v>
      </c>
      <c r="AO42" s="92">
        <f>1-AN42</f>
        <v>0</v>
      </c>
      <c r="AP42" s="206">
        <f>AN41*AN42+AO41*AO42</f>
        <v>80</v>
      </c>
      <c r="AQ42" s="92"/>
      <c r="AR42" s="92"/>
      <c r="AS42" s="87"/>
    </row>
    <row r="43" spans="2:45" s="106" customFormat="1" ht="25.5" customHeight="1">
      <c r="B43" s="183"/>
      <c r="C43" s="184" t="s">
        <v>252</v>
      </c>
      <c r="D43" s="114"/>
      <c r="E43" s="185">
        <v>65.3</v>
      </c>
      <c r="F43" s="150">
        <v>0.91527777777777775</v>
      </c>
      <c r="G43" s="151">
        <f>IF(ISBLANK(F43),"",F43+TIME(0,H43,0))</f>
        <v>0.94652777777777775</v>
      </c>
      <c r="H43" s="109">
        <v>45</v>
      </c>
      <c r="I43" s="152">
        <f>IF(OR(F45="",F43=""),"",IF(F45&gt;=F43,(F45-F43)*24*60,(1+F45-F43)*24*60))</f>
        <v>45</v>
      </c>
      <c r="J43" s="113" t="s">
        <v>253</v>
      </c>
      <c r="K43" s="154" t="s">
        <v>254</v>
      </c>
      <c r="L43" s="141"/>
      <c r="M43" s="186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9"/>
      <c r="AJ43" s="87"/>
      <c r="AK43" s="87"/>
      <c r="AL43" s="87"/>
      <c r="AM43" s="87"/>
      <c r="AN43" s="87"/>
      <c r="AO43" s="87"/>
      <c r="AP43" s="87"/>
      <c r="AQ43" s="87"/>
      <c r="AR43" s="87"/>
      <c r="AS43" s="87"/>
    </row>
    <row r="44" spans="2:45" s="106" customFormat="1" ht="25.5" customHeight="1">
      <c r="B44" s="164"/>
      <c r="C44" s="197" t="s">
        <v>255</v>
      </c>
      <c r="D44" s="114"/>
      <c r="E44" s="171"/>
      <c r="F44" s="151"/>
      <c r="G44" s="151"/>
      <c r="H44" s="114"/>
      <c r="I44" s="114"/>
      <c r="J44" s="226" t="s">
        <v>256</v>
      </c>
      <c r="K44" s="230" t="s">
        <v>257</v>
      </c>
      <c r="L44" s="141"/>
      <c r="M44" s="86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9"/>
      <c r="AJ44" s="87"/>
      <c r="AK44" s="87"/>
      <c r="AL44" s="87"/>
      <c r="AM44" s="92" t="s">
        <v>258</v>
      </c>
      <c r="AN44" s="92" t="s">
        <v>228</v>
      </c>
      <c r="AO44" s="92" t="s">
        <v>172</v>
      </c>
      <c r="AP44" s="92" t="s">
        <v>239</v>
      </c>
      <c r="AQ44" s="92" t="s">
        <v>230</v>
      </c>
      <c r="AR44" s="204" t="s">
        <v>231</v>
      </c>
      <c r="AS44" s="87"/>
    </row>
    <row r="45" spans="2:45" s="106" customFormat="1" ht="24" customHeight="1">
      <c r="B45" s="107"/>
      <c r="C45" s="108" t="s">
        <v>259</v>
      </c>
      <c r="D45" s="114"/>
      <c r="E45" s="171"/>
      <c r="F45" s="192">
        <f>G43</f>
        <v>0.94652777777777775</v>
      </c>
      <c r="G45" s="151"/>
      <c r="H45" s="114">
        <v>10</v>
      </c>
      <c r="I45" s="152">
        <f>IF(OR(F46="",F45=""),"",IF(F46&gt;=F45,(F46-F45)*24*60,(1+F46-F45)*24*60))</f>
        <v>9.0000000000001279</v>
      </c>
      <c r="J45" s="172" t="s">
        <v>169</v>
      </c>
      <c r="K45" s="114">
        <v>800</v>
      </c>
      <c r="L45" s="231"/>
      <c r="M45" s="232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9"/>
      <c r="AJ45" s="87"/>
      <c r="AK45" s="87"/>
      <c r="AL45" s="87"/>
      <c r="AM45" s="220"/>
      <c r="AN45" s="92">
        <v>80</v>
      </c>
      <c r="AO45" s="92">
        <v>30</v>
      </c>
      <c r="AP45" s="92">
        <v>74</v>
      </c>
      <c r="AQ45" s="92">
        <v>220</v>
      </c>
      <c r="AR45" s="204">
        <f>AQ45*AO46</f>
        <v>26.4</v>
      </c>
      <c r="AS45" s="87"/>
    </row>
    <row r="46" spans="2:45" s="106" customFormat="1" ht="24" customHeight="1">
      <c r="B46" s="107"/>
      <c r="C46" s="108" t="s">
        <v>260</v>
      </c>
      <c r="D46" s="114"/>
      <c r="E46" s="185">
        <v>76</v>
      </c>
      <c r="F46" s="150">
        <v>0.95277777777777783</v>
      </c>
      <c r="G46" s="151"/>
      <c r="H46" s="114">
        <v>0</v>
      </c>
      <c r="I46" s="152">
        <f>IF(OR(F47="",F46=""),"",IF(F47&gt;=F46,(F47-F46)*24*60,(1+F47-F46)*24*60))</f>
        <v>0</v>
      </c>
      <c r="J46" s="113" t="s">
        <v>212</v>
      </c>
      <c r="K46" s="154" t="s">
        <v>213</v>
      </c>
      <c r="L46" s="231"/>
      <c r="M46" s="193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9"/>
      <c r="AJ46" s="87"/>
      <c r="AK46" s="87"/>
      <c r="AL46" s="87"/>
      <c r="AM46" s="220"/>
      <c r="AN46" s="92">
        <v>0.88</v>
      </c>
      <c r="AO46" s="92">
        <f>1-AN46</f>
        <v>0.12</v>
      </c>
      <c r="AP46" s="206">
        <f>AN45*AN46+AO45*AO46</f>
        <v>74</v>
      </c>
      <c r="AQ46" s="92"/>
      <c r="AR46" s="92"/>
      <c r="AS46" s="87"/>
    </row>
    <row r="47" spans="2:45" s="161" customFormat="1" ht="22.5" customHeight="1">
      <c r="B47" s="148"/>
      <c r="C47" s="199" t="s">
        <v>261</v>
      </c>
      <c r="D47" s="109"/>
      <c r="E47" s="171"/>
      <c r="F47" s="150">
        <v>0.95277777777777783</v>
      </c>
      <c r="G47" s="151"/>
      <c r="H47" s="109">
        <v>8</v>
      </c>
      <c r="I47" s="152">
        <f>IF(OR(F48="",F47=""),"",IF(F48&gt;=F47,(F48-F47)*24*60,(1+F48-F47)*24*60))</f>
        <v>6.9999999999999751</v>
      </c>
      <c r="J47" s="113" t="s">
        <v>226</v>
      </c>
      <c r="K47" s="229">
        <v>240</v>
      </c>
      <c r="L47" s="233"/>
      <c r="M47" s="234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60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 t="s">
        <v>262</v>
      </c>
    </row>
    <row r="48" spans="2:45" s="106" customFormat="1" ht="20.25" customHeight="1">
      <c r="B48" s="121"/>
      <c r="C48" s="235" t="s">
        <v>263</v>
      </c>
      <c r="D48" s="236">
        <v>10</v>
      </c>
      <c r="E48" s="124"/>
      <c r="F48" s="150">
        <v>0.95763888888888893</v>
      </c>
      <c r="G48" s="151">
        <f>IF(F56="","",F56)</f>
        <v>0.9590277777777777</v>
      </c>
      <c r="H48" s="236">
        <v>2</v>
      </c>
      <c r="I48" s="152">
        <f>IF(OR(G48="",F48=""),"",IF(G48&gt;=F48,(G48-F48)*24*60,(1+G48-F48)*24*60))</f>
        <v>1.999999999999833</v>
      </c>
      <c r="J48" s="122"/>
      <c r="K48" s="122"/>
      <c r="L48" s="237"/>
      <c r="M48" s="142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9"/>
      <c r="AJ48" s="87"/>
      <c r="AK48" s="87"/>
      <c r="AL48" s="87"/>
      <c r="AM48" s="87"/>
      <c r="AN48" s="87"/>
      <c r="AO48" s="87"/>
      <c r="AP48" s="87" t="s">
        <v>264</v>
      </c>
      <c r="AQ48" s="87">
        <v>6</v>
      </c>
      <c r="AR48" s="87">
        <f>AR45</f>
        <v>26.4</v>
      </c>
      <c r="AS48" s="87">
        <f>(AQ48*AR48+AQ49*AR49)/(AR48+AR49)</f>
        <v>6.3520000000000003</v>
      </c>
    </row>
    <row r="49" spans="2:46" s="106" customFormat="1" ht="20.25" customHeight="1">
      <c r="B49" s="107"/>
      <c r="C49" s="108" t="s">
        <v>233</v>
      </c>
      <c r="D49" s="114">
        <v>2</v>
      </c>
      <c r="E49" s="171"/>
      <c r="F49" s="151"/>
      <c r="G49" s="151"/>
      <c r="H49" s="114">
        <v>1</v>
      </c>
      <c r="I49" s="114"/>
      <c r="J49" s="113"/>
      <c r="K49" s="113"/>
      <c r="L49" s="205"/>
      <c r="M49" s="155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9"/>
      <c r="AJ49" s="87"/>
      <c r="AK49" s="87"/>
      <c r="AL49" s="87"/>
      <c r="AM49" s="87"/>
      <c r="AN49" s="87"/>
      <c r="AO49" s="87"/>
      <c r="AP49" s="87" t="s">
        <v>265</v>
      </c>
      <c r="AQ49" s="87">
        <v>6.4</v>
      </c>
      <c r="AR49" s="87">
        <f>AQ45-AR48</f>
        <v>193.6</v>
      </c>
      <c r="AS49" s="87"/>
    </row>
    <row r="50" spans="2:46" s="106" customFormat="1" ht="22.5" customHeight="1" thickBot="1">
      <c r="B50" s="238"/>
      <c r="C50" s="239" t="s">
        <v>266</v>
      </c>
      <c r="D50" s="240"/>
      <c r="E50" s="241"/>
      <c r="F50" s="240"/>
      <c r="G50" s="241"/>
      <c r="H50" s="240">
        <f>SUM(H35:H49)</f>
        <v>122.33333333333334</v>
      </c>
      <c r="I50" s="240">
        <f>IF(OR(G48="",F36=""),"",IF(G48&gt;=F36,(G48-F36)*24*60,(G48+1-F36)*24*60))</f>
        <v>112.99999999999991</v>
      </c>
      <c r="J50" s="242"/>
      <c r="K50" s="242"/>
      <c r="L50" s="243"/>
      <c r="M50" s="244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9"/>
      <c r="AJ50" s="87"/>
      <c r="AK50" s="87"/>
      <c r="AL50" s="87"/>
      <c r="AM50" s="87"/>
      <c r="AN50" s="87"/>
      <c r="AO50" s="87"/>
      <c r="AP50" s="87"/>
      <c r="AQ50" s="87"/>
      <c r="AR50" s="87"/>
      <c r="AS50" s="87"/>
    </row>
    <row r="51" spans="2:46" s="106" customFormat="1" thickBot="1">
      <c r="B51" s="245"/>
      <c r="C51" s="246"/>
      <c r="D51" s="247"/>
      <c r="E51" s="247"/>
      <c r="F51" s="247"/>
      <c r="G51" s="247"/>
      <c r="H51" s="247"/>
      <c r="I51" s="247"/>
      <c r="J51" s="248"/>
      <c r="K51" s="249"/>
      <c r="L51" s="249"/>
      <c r="M51" s="21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</row>
    <row r="52" spans="2:46" s="106" customFormat="1" ht="12">
      <c r="B52" s="250"/>
      <c r="C52" s="251" t="s">
        <v>267</v>
      </c>
      <c r="D52" s="252"/>
      <c r="E52" s="252"/>
      <c r="F52" s="252"/>
      <c r="G52" s="252"/>
      <c r="H52" s="252"/>
      <c r="I52" s="252"/>
      <c r="J52" s="253"/>
      <c r="K52" s="254"/>
      <c r="L52" s="255"/>
      <c r="M52" s="256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9"/>
      <c r="AJ52" s="87"/>
      <c r="AK52" s="87"/>
      <c r="AL52" s="87"/>
      <c r="AM52" s="87"/>
      <c r="AN52" s="87"/>
      <c r="AO52" s="87"/>
      <c r="AP52" s="87"/>
      <c r="AQ52" s="87"/>
      <c r="AR52" s="87"/>
      <c r="AS52" s="87"/>
    </row>
    <row r="53" spans="2:46" s="106" customFormat="1" ht="22.5" customHeight="1">
      <c r="B53" s="77"/>
      <c r="C53" s="78" t="s">
        <v>268</v>
      </c>
      <c r="D53" s="84">
        <v>12</v>
      </c>
      <c r="E53" s="215"/>
      <c r="F53" s="81"/>
      <c r="G53" s="81"/>
      <c r="H53" s="84">
        <v>2</v>
      </c>
      <c r="I53" s="152" t="str">
        <f>IF(OR(G53="",F53=""),"",IF(G53&gt;=F53,(G53-F53)*24*60,(1+G53-F53)*24*60))</f>
        <v/>
      </c>
      <c r="J53" s="83" t="s">
        <v>269</v>
      </c>
      <c r="K53" s="257">
        <v>200</v>
      </c>
      <c r="L53" s="258">
        <v>200</v>
      </c>
      <c r="M53" s="259"/>
      <c r="N53" s="88">
        <f>K8+K9+D15+D31+D48+D53</f>
        <v>192</v>
      </c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9"/>
      <c r="AJ53" s="87"/>
      <c r="AK53" s="87"/>
      <c r="AL53" s="87"/>
      <c r="AM53" s="87"/>
      <c r="AN53" s="87"/>
      <c r="AO53" s="87"/>
      <c r="AP53" s="159"/>
      <c r="AQ53" s="159"/>
      <c r="AR53" s="159"/>
      <c r="AS53" s="159" t="s">
        <v>262</v>
      </c>
    </row>
    <row r="54" spans="2:46" s="106" customFormat="1" ht="21" customHeight="1">
      <c r="B54" s="107"/>
      <c r="C54" s="108" t="s">
        <v>270</v>
      </c>
      <c r="D54" s="114"/>
      <c r="E54" s="171"/>
      <c r="F54" s="192">
        <f>IF(F47="","",F47)</f>
        <v>0.95277777777777783</v>
      </c>
      <c r="G54" s="151"/>
      <c r="H54" s="114">
        <f>H47</f>
        <v>8</v>
      </c>
      <c r="I54" s="152">
        <f>IF(OR(F56="",F54=""),"",IF(F56&gt;=F54,(F56-F54)*24*60,(1+F56-F54)*24*60))</f>
        <v>8.9999999999998082</v>
      </c>
      <c r="J54" s="113" t="s">
        <v>271</v>
      </c>
      <c r="K54" s="170" t="s">
        <v>272</v>
      </c>
      <c r="L54" s="260">
        <v>22.15</v>
      </c>
      <c r="M54" s="261"/>
      <c r="N54" s="87" t="e">
        <f>#REF!/N53</f>
        <v>#REF!</v>
      </c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9"/>
      <c r="AJ54" s="87"/>
      <c r="AK54" s="87"/>
      <c r="AL54" s="87"/>
      <c r="AM54" s="87"/>
      <c r="AN54" s="87"/>
      <c r="AO54" s="87"/>
      <c r="AP54" s="87" t="s">
        <v>273</v>
      </c>
      <c r="AQ54" s="87">
        <v>6</v>
      </c>
      <c r="AR54" s="87">
        <v>21.999999999999996</v>
      </c>
      <c r="AS54" s="87">
        <f>(AQ54*AR54+AQ55*AR55)/(AR54+AR55)</f>
        <v>6.36</v>
      </c>
    </row>
    <row r="55" spans="2:46" s="106" customFormat="1" ht="20.25" customHeight="1">
      <c r="B55" s="107"/>
      <c r="C55" s="108" t="s">
        <v>274</v>
      </c>
      <c r="D55" s="114"/>
      <c r="E55" s="171"/>
      <c r="F55" s="151">
        <f>IF(F48="","",F48)</f>
        <v>0.95763888888888893</v>
      </c>
      <c r="G55" s="151"/>
      <c r="H55" s="114">
        <v>2</v>
      </c>
      <c r="I55" s="114"/>
      <c r="J55" s="113" t="s">
        <v>275</v>
      </c>
      <c r="K55" s="114">
        <v>80</v>
      </c>
      <c r="L55" s="262">
        <v>80.099999999999994</v>
      </c>
      <c r="M55" s="263"/>
      <c r="N55" s="87"/>
      <c r="O55" s="87"/>
      <c r="P55" s="87"/>
      <c r="Q55" s="87"/>
      <c r="R55" s="87"/>
      <c r="S55" s="87"/>
      <c r="T55" s="87"/>
      <c r="U55" s="87"/>
      <c r="V55" s="87"/>
      <c r="W55" s="87">
        <v>2100</v>
      </c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9"/>
      <c r="AJ55" s="87"/>
      <c r="AK55" s="87"/>
      <c r="AL55" s="87"/>
      <c r="AM55" s="87"/>
      <c r="AN55" s="87"/>
      <c r="AO55" s="87"/>
      <c r="AP55" s="87" t="s">
        <v>265</v>
      </c>
      <c r="AQ55" s="87">
        <v>6.4</v>
      </c>
      <c r="AR55" s="87">
        <v>198</v>
      </c>
      <c r="AS55" s="87"/>
    </row>
    <row r="56" spans="2:46" s="106" customFormat="1" ht="23.25" customHeight="1">
      <c r="B56" s="107"/>
      <c r="C56" s="108" t="s">
        <v>276</v>
      </c>
      <c r="D56" s="109" t="s">
        <v>277</v>
      </c>
      <c r="E56" s="185">
        <v>12.8</v>
      </c>
      <c r="F56" s="150">
        <v>0.9590277777777777</v>
      </c>
      <c r="G56" s="151"/>
      <c r="H56" s="114">
        <v>7</v>
      </c>
      <c r="I56" s="152">
        <f>IF(OR(F57="",F56=""),"",IF(F57&gt;=F56,(F57-F56)*24*60,(1+F57-F56)*24*60))</f>
        <v>9.0000000000001279</v>
      </c>
      <c r="J56" s="113" t="s">
        <v>278</v>
      </c>
      <c r="K56" s="154">
        <v>210</v>
      </c>
      <c r="L56" s="141">
        <v>210</v>
      </c>
      <c r="M56" s="86"/>
      <c r="N56" s="87"/>
      <c r="O56" s="87"/>
      <c r="P56" s="87"/>
      <c r="Q56" s="87"/>
      <c r="R56" s="87"/>
      <c r="S56" s="87"/>
      <c r="T56" s="87"/>
      <c r="U56" s="88"/>
      <c r="V56" s="87"/>
      <c r="W56" s="87">
        <v>1106</v>
      </c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9"/>
      <c r="AJ56" s="87"/>
      <c r="AK56" s="87"/>
      <c r="AL56" s="87"/>
      <c r="AM56" s="87"/>
      <c r="AN56" s="87"/>
      <c r="AO56" s="87"/>
      <c r="AP56" s="87"/>
      <c r="AQ56" s="87"/>
      <c r="AR56" s="87"/>
      <c r="AS56" s="87"/>
    </row>
    <row r="57" spans="2:46" s="106" customFormat="1" ht="24" customHeight="1">
      <c r="B57" s="107"/>
      <c r="C57" s="108" t="s">
        <v>279</v>
      </c>
      <c r="D57" s="109">
        <v>136</v>
      </c>
      <c r="E57" s="110">
        <v>136</v>
      </c>
      <c r="F57" s="150">
        <v>0.96527777777777779</v>
      </c>
      <c r="G57" s="151"/>
      <c r="H57" s="114">
        <f>D57/K53*60</f>
        <v>40.800000000000004</v>
      </c>
      <c r="I57" s="152">
        <f>IF(OR(F58="",F57=""),"",IF(F58&gt;=F57,(F58-F57)*24*60,(1+F58-F57)*24*60))</f>
        <v>51.000000000000142</v>
      </c>
      <c r="J57" s="113" t="s">
        <v>280</v>
      </c>
      <c r="K57" s="264" t="s">
        <v>281</v>
      </c>
      <c r="L57" s="265" t="s">
        <v>282</v>
      </c>
      <c r="M57" s="266"/>
      <c r="N57" s="87"/>
      <c r="O57" s="87"/>
      <c r="P57" s="87"/>
      <c r="Q57" s="87"/>
      <c r="R57" s="87"/>
      <c r="S57" s="87"/>
      <c r="T57" s="88">
        <f>170-D57</f>
        <v>34</v>
      </c>
      <c r="U57" s="88">
        <f>K8+K9+D15+D31+D48+D53</f>
        <v>192</v>
      </c>
      <c r="V57" s="87"/>
      <c r="W57" s="87">
        <f>W55-W56</f>
        <v>994</v>
      </c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9"/>
      <c r="AJ57" s="87"/>
      <c r="AK57" s="87"/>
      <c r="AL57" s="87"/>
      <c r="AM57" s="87"/>
      <c r="AN57" s="87"/>
      <c r="AO57" s="87"/>
      <c r="AP57" s="87"/>
      <c r="AQ57" s="87"/>
      <c r="AR57" s="87"/>
      <c r="AS57" s="87"/>
    </row>
    <row r="58" spans="2:46" s="106" customFormat="1" ht="24" customHeight="1">
      <c r="B58" s="107"/>
      <c r="C58" s="108" t="s">
        <v>283</v>
      </c>
      <c r="D58" s="109">
        <v>257</v>
      </c>
      <c r="E58" s="110">
        <v>257</v>
      </c>
      <c r="F58" s="150">
        <v>6.9444444444444447E-4</v>
      </c>
      <c r="G58" s="151"/>
      <c r="H58" s="114">
        <f>(D58-D57)/K56*60</f>
        <v>34.571428571428569</v>
      </c>
      <c r="I58" s="152">
        <f>IF(OR(F60="",F58=""),"",IF(F60&gt;=F58,(F60-F58)*24*60,(1+F60-F58)*24*60))</f>
        <v>34.999999999999993</v>
      </c>
      <c r="J58" s="113" t="s">
        <v>280</v>
      </c>
      <c r="K58" s="264" t="s">
        <v>281</v>
      </c>
      <c r="L58" s="265" t="s">
        <v>282</v>
      </c>
      <c r="M58" s="267"/>
      <c r="N58" s="88"/>
      <c r="O58" s="87"/>
      <c r="P58" s="87"/>
      <c r="Q58" s="87"/>
      <c r="R58" s="87"/>
      <c r="S58" s="87"/>
      <c r="T58" s="87">
        <f>T57/K56*60</f>
        <v>9.7142857142857153</v>
      </c>
      <c r="U58" s="88" t="e">
        <f>U57+K60-D59</f>
        <v>#VALUE!</v>
      </c>
      <c r="V58" s="88"/>
      <c r="W58" s="87">
        <f>W57/1000</f>
        <v>0.99399999999999999</v>
      </c>
      <c r="X58" s="87">
        <f>4400/1000</f>
        <v>4.4000000000000004</v>
      </c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9"/>
      <c r="AJ58" s="87"/>
      <c r="AK58" s="87"/>
      <c r="AL58" s="87"/>
      <c r="AM58" s="87"/>
      <c r="AN58" s="88"/>
      <c r="AO58" s="88"/>
      <c r="AP58" s="87"/>
      <c r="AQ58" s="87"/>
      <c r="AR58" s="87"/>
      <c r="AS58" s="87"/>
    </row>
    <row r="59" spans="2:46" s="106" customFormat="1" ht="24" customHeight="1">
      <c r="B59" s="107"/>
      <c r="C59" s="108" t="s">
        <v>284</v>
      </c>
      <c r="D59" s="109" t="s">
        <v>285</v>
      </c>
      <c r="E59" s="110">
        <v>2</v>
      </c>
      <c r="F59" s="151"/>
      <c r="G59" s="151"/>
      <c r="H59" s="114"/>
      <c r="I59" s="114"/>
      <c r="J59" s="113" t="s">
        <v>286</v>
      </c>
      <c r="K59" s="114">
        <v>17</v>
      </c>
      <c r="L59" s="268"/>
      <c r="M59" s="267"/>
      <c r="N59" s="88"/>
      <c r="O59" s="87"/>
      <c r="P59" s="87"/>
      <c r="Q59" s="87"/>
      <c r="R59" s="87"/>
      <c r="S59" s="87"/>
      <c r="T59" s="88">
        <f>T58+H57</f>
        <v>50.51428571428572</v>
      </c>
      <c r="U59" s="88"/>
      <c r="V59" s="88"/>
      <c r="W59" s="87">
        <f>PI()*(X58/2)^2*W58</f>
        <v>15.114076592714353</v>
      </c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9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269"/>
    </row>
    <row r="60" spans="2:46" s="106" customFormat="1" ht="21.75" customHeight="1">
      <c r="B60" s="107"/>
      <c r="C60" s="108" t="s">
        <v>287</v>
      </c>
      <c r="D60" s="109">
        <v>90</v>
      </c>
      <c r="E60" s="110">
        <v>103</v>
      </c>
      <c r="F60" s="150">
        <v>2.4999999999999998E-2</v>
      </c>
      <c r="G60" s="151">
        <f>IF(ISBLANK(F60),"",F60+TIME(0,E60/220*60,0))</f>
        <v>4.4444444444444439E-2</v>
      </c>
      <c r="H60" s="114">
        <f>D60/K56*60</f>
        <v>25.714285714285712</v>
      </c>
      <c r="I60" s="152">
        <f>IF(OR(G60="",F60=""),"",IF(G60&gt;=F60,(G60-F60)*24*60,(1+G60-F60)*24*60))</f>
        <v>27.999999999999993</v>
      </c>
      <c r="J60" s="113" t="s">
        <v>288</v>
      </c>
      <c r="K60" s="114">
        <v>150</v>
      </c>
      <c r="L60" s="270">
        <v>150</v>
      </c>
      <c r="M60" s="271"/>
      <c r="N60" s="87"/>
      <c r="O60" s="87"/>
      <c r="P60" s="87"/>
      <c r="Q60" s="87"/>
      <c r="R60" s="87"/>
      <c r="S60" s="87"/>
      <c r="T60" s="88" t="e">
        <f>D60-D59</f>
        <v>#VALUE!</v>
      </c>
      <c r="U60" s="88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9"/>
      <c r="AJ60" s="87"/>
      <c r="AK60" s="87"/>
      <c r="AL60" s="87"/>
      <c r="AM60" s="87"/>
      <c r="AN60" s="87"/>
      <c r="AO60" s="87"/>
      <c r="AP60" s="87"/>
      <c r="AQ60" s="87"/>
      <c r="AR60" s="87"/>
      <c r="AS60" s="87"/>
    </row>
    <row r="61" spans="2:46" s="106" customFormat="1" ht="18.75" customHeight="1">
      <c r="B61" s="107"/>
      <c r="C61" s="113" t="s">
        <v>289</v>
      </c>
      <c r="D61" s="114"/>
      <c r="E61" s="171"/>
      <c r="F61" s="151"/>
      <c r="G61" s="151"/>
      <c r="H61" s="114">
        <v>10</v>
      </c>
      <c r="I61" s="114"/>
      <c r="J61" s="113" t="s">
        <v>290</v>
      </c>
      <c r="K61" s="114">
        <v>40</v>
      </c>
      <c r="L61" s="141">
        <v>40</v>
      </c>
      <c r="M61" s="86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9"/>
      <c r="AJ61" s="87"/>
      <c r="AK61" s="87"/>
      <c r="AL61" s="87"/>
      <c r="AM61" s="87"/>
      <c r="AN61" s="87"/>
      <c r="AO61" s="87"/>
      <c r="AP61" s="87"/>
      <c r="AQ61" s="87"/>
      <c r="AR61" s="87"/>
      <c r="AS61" s="87"/>
    </row>
    <row r="62" spans="2:46" s="106" customFormat="1" ht="20.100000000000001" customHeight="1">
      <c r="B62" s="107"/>
      <c r="C62" s="113" t="s">
        <v>291</v>
      </c>
      <c r="D62" s="114"/>
      <c r="E62" s="171"/>
      <c r="F62" s="151"/>
      <c r="G62" s="151"/>
      <c r="H62" s="114">
        <v>3</v>
      </c>
      <c r="I62" s="114"/>
      <c r="J62" s="113" t="s">
        <v>292</v>
      </c>
      <c r="K62" s="154" t="s">
        <v>293</v>
      </c>
      <c r="L62" s="169">
        <v>2.66</v>
      </c>
      <c r="M62" s="86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9"/>
      <c r="AJ62" s="87"/>
      <c r="AK62" s="87"/>
      <c r="AL62" s="87"/>
      <c r="AM62" s="87"/>
      <c r="AN62" s="87"/>
      <c r="AO62" s="87"/>
      <c r="AP62" s="87"/>
      <c r="AQ62" s="87"/>
      <c r="AR62" s="87"/>
      <c r="AS62" s="87"/>
    </row>
    <row r="63" spans="2:46" s="106" customFormat="1" ht="20.100000000000001" customHeight="1">
      <c r="B63" s="272"/>
      <c r="C63" s="208" t="s">
        <v>294</v>
      </c>
      <c r="D63" s="209"/>
      <c r="E63" s="273"/>
      <c r="F63" s="273"/>
      <c r="G63" s="273"/>
      <c r="H63" s="209">
        <f>SUM(H53:H62)</f>
        <v>133.08571428571429</v>
      </c>
      <c r="I63" s="209">
        <f>IF(OR(G60="",F54=""),"",IF(G60&gt;=F54,(G60-F54)*24*60,(G60+1-F54)*24*60))</f>
        <v>132</v>
      </c>
      <c r="J63" s="113" t="s">
        <v>295</v>
      </c>
      <c r="K63" s="154" t="s">
        <v>296</v>
      </c>
      <c r="L63" s="274">
        <v>0.38</v>
      </c>
      <c r="M63" s="86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9"/>
      <c r="AJ63" s="87"/>
      <c r="AK63" s="87"/>
      <c r="AL63" s="87"/>
      <c r="AM63" s="87"/>
      <c r="AN63" s="87"/>
      <c r="AO63" s="87"/>
      <c r="AP63" s="87"/>
      <c r="AQ63" s="87"/>
      <c r="AR63" s="87"/>
      <c r="AS63" s="87"/>
    </row>
    <row r="64" spans="2:46" s="106" customFormat="1" ht="12">
      <c r="B64" s="131"/>
      <c r="C64" s="132" t="s">
        <v>297</v>
      </c>
      <c r="D64" s="133"/>
      <c r="E64" s="133"/>
      <c r="F64" s="133"/>
      <c r="G64" s="133"/>
      <c r="H64" s="133"/>
      <c r="I64" s="133"/>
      <c r="J64" s="275"/>
      <c r="K64" s="213"/>
      <c r="L64" s="135"/>
      <c r="M64" s="214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9"/>
      <c r="AJ64" s="87"/>
      <c r="AK64" s="87"/>
      <c r="AL64" s="87"/>
      <c r="AM64" s="87"/>
      <c r="AN64" s="87"/>
      <c r="AO64" s="87"/>
      <c r="AP64" s="87"/>
      <c r="AQ64" s="87"/>
      <c r="AR64" s="87"/>
      <c r="AS64" s="87"/>
    </row>
    <row r="65" spans="2:45" s="106" customFormat="1" ht="17.25" customHeight="1">
      <c r="B65" s="107"/>
      <c r="C65" s="108" t="s">
        <v>298</v>
      </c>
      <c r="D65" s="109">
        <f>D58</f>
        <v>257</v>
      </c>
      <c r="E65" s="110">
        <v>262</v>
      </c>
      <c r="F65" s="151"/>
      <c r="G65" s="151"/>
      <c r="H65" s="114">
        <f>H58+H59</f>
        <v>34.571428571428569</v>
      </c>
      <c r="I65" s="114"/>
      <c r="J65" s="226" t="s">
        <v>299</v>
      </c>
      <c r="K65" s="230">
        <v>72</v>
      </c>
      <c r="L65" s="276">
        <v>75.099999999999994</v>
      </c>
      <c r="M65" s="27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9"/>
      <c r="AJ65" s="87"/>
      <c r="AK65" s="87"/>
      <c r="AL65" s="87"/>
      <c r="AM65" s="87"/>
      <c r="AN65" s="87"/>
      <c r="AO65" s="87"/>
      <c r="AP65" s="87"/>
      <c r="AQ65" s="87"/>
      <c r="AR65" s="87"/>
      <c r="AS65" s="87"/>
    </row>
    <row r="66" spans="2:45" s="106" customFormat="1" ht="14.25" customHeight="1">
      <c r="B66" s="107"/>
      <c r="C66" s="108" t="s">
        <v>300</v>
      </c>
      <c r="D66" s="109">
        <v>170</v>
      </c>
      <c r="E66" s="171"/>
      <c r="F66" s="151"/>
      <c r="G66" s="151"/>
      <c r="H66" s="114">
        <f>D65/900*60</f>
        <v>17.133333333333333</v>
      </c>
      <c r="I66" s="114"/>
      <c r="J66" s="226" t="s">
        <v>301</v>
      </c>
      <c r="K66" s="230">
        <v>88</v>
      </c>
      <c r="L66" s="276"/>
      <c r="M66" s="278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9"/>
      <c r="AJ66" s="87"/>
      <c r="AK66" s="87"/>
      <c r="AL66" s="87"/>
      <c r="AM66" s="87"/>
      <c r="AN66" s="87"/>
      <c r="AO66" s="87"/>
      <c r="AP66" s="87"/>
      <c r="AQ66" s="87"/>
      <c r="AR66" s="87"/>
      <c r="AS66" s="87"/>
    </row>
    <row r="67" spans="2:45" s="106" customFormat="1">
      <c r="B67" s="107"/>
      <c r="C67" s="108" t="s">
        <v>302</v>
      </c>
      <c r="D67" s="109">
        <v>3</v>
      </c>
      <c r="E67" s="171"/>
      <c r="F67" s="171"/>
      <c r="G67" s="171"/>
      <c r="H67" s="114">
        <v>2</v>
      </c>
      <c r="I67" s="114"/>
      <c r="J67" s="226" t="s">
        <v>303</v>
      </c>
      <c r="K67" s="230">
        <v>92</v>
      </c>
      <c r="L67" s="276"/>
      <c r="M67" s="278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9"/>
      <c r="AJ67" s="87"/>
      <c r="AK67" s="87"/>
      <c r="AL67" s="87"/>
      <c r="AM67" s="87"/>
      <c r="AN67" s="87"/>
      <c r="AO67" s="87"/>
      <c r="AP67" s="87"/>
      <c r="AQ67" s="87"/>
      <c r="AR67" s="87"/>
      <c r="AS67" s="87"/>
    </row>
    <row r="68" spans="2:45" s="106" customFormat="1" ht="12">
      <c r="B68" s="131"/>
      <c r="C68" s="132" t="s">
        <v>304</v>
      </c>
      <c r="D68" s="133"/>
      <c r="E68" s="133"/>
      <c r="F68" s="133"/>
      <c r="G68" s="133"/>
      <c r="H68" s="133"/>
      <c r="I68" s="133"/>
      <c r="J68" s="134"/>
      <c r="K68" s="213"/>
      <c r="L68" s="135"/>
      <c r="M68" s="214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9"/>
      <c r="AJ68" s="87"/>
      <c r="AK68" s="87"/>
      <c r="AL68" s="87"/>
      <c r="AM68" s="87"/>
      <c r="AN68" s="87"/>
      <c r="AO68" s="87"/>
      <c r="AP68" s="87"/>
      <c r="AQ68" s="87"/>
      <c r="AR68" s="87"/>
      <c r="AS68" s="87"/>
    </row>
    <row r="69" spans="2:45" s="106" customFormat="1" ht="24" customHeight="1">
      <c r="B69" s="77"/>
      <c r="C69" s="78" t="s">
        <v>305</v>
      </c>
      <c r="D69" s="79">
        <v>65</v>
      </c>
      <c r="E69" s="215"/>
      <c r="F69" s="150">
        <v>3.472222222222222E-3</v>
      </c>
      <c r="G69" s="81"/>
      <c r="H69" s="84">
        <v>5</v>
      </c>
      <c r="I69" s="152">
        <f>IF(OR(F70="",F69=""),"",IF(F70&gt;=F69,(F70-F69)*24*60,(1+F70-F69)*24*60))</f>
        <v>5</v>
      </c>
      <c r="J69" s="113" t="s">
        <v>306</v>
      </c>
      <c r="K69" s="114">
        <v>2400</v>
      </c>
      <c r="L69" s="279" t="s">
        <v>307</v>
      </c>
      <c r="M69" s="86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9"/>
      <c r="AJ69" s="87"/>
      <c r="AK69" s="87"/>
      <c r="AL69" s="87"/>
      <c r="AM69" s="87"/>
      <c r="AN69" s="87"/>
      <c r="AO69" s="87"/>
      <c r="AP69" s="87"/>
      <c r="AQ69" s="87"/>
      <c r="AR69" s="87"/>
      <c r="AS69" s="87"/>
    </row>
    <row r="70" spans="2:45" s="106" customFormat="1" ht="24" customHeight="1">
      <c r="B70" s="107"/>
      <c r="C70" s="108" t="s">
        <v>308</v>
      </c>
      <c r="D70" s="114"/>
      <c r="E70" s="171"/>
      <c r="F70" s="151">
        <f>IF(ISBLANK(F69),"",F69+TIME(0,5,0))</f>
        <v>6.9444444444444441E-3</v>
      </c>
      <c r="G70" s="151"/>
      <c r="H70" s="114">
        <v>10</v>
      </c>
      <c r="I70" s="152">
        <f>IF(OR(F71="",F70=""),"",IF(F71&gt;=F70,(F71-F70)*24*60,(1+F71-F70)*24*60))</f>
        <v>7</v>
      </c>
      <c r="J70" s="113" t="s">
        <v>306</v>
      </c>
      <c r="K70" s="280">
        <v>1500</v>
      </c>
      <c r="L70" s="279" t="s">
        <v>309</v>
      </c>
      <c r="M70" s="86"/>
      <c r="N70" s="87"/>
      <c r="O70" s="87">
        <f>K70*4/60</f>
        <v>100</v>
      </c>
      <c r="P70" s="87"/>
      <c r="Q70" s="87">
        <v>734</v>
      </c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9"/>
      <c r="AJ70" s="87"/>
      <c r="AK70" s="87"/>
      <c r="AL70" s="87"/>
      <c r="AM70" s="87"/>
      <c r="AN70" s="87"/>
      <c r="AO70" s="87"/>
      <c r="AP70" s="87"/>
      <c r="AQ70" s="87"/>
      <c r="AR70" s="87"/>
      <c r="AS70" s="87"/>
    </row>
    <row r="71" spans="2:45" s="106" customFormat="1" ht="16.5" customHeight="1">
      <c r="B71" s="281"/>
      <c r="C71" s="282" t="s">
        <v>310</v>
      </c>
      <c r="D71" s="283" t="s">
        <v>311</v>
      </c>
      <c r="E71" s="284">
        <v>180</v>
      </c>
      <c r="F71" s="285">
        <v>1.1805555555555555E-2</v>
      </c>
      <c r="G71" s="286">
        <f>IF(ISBLANK($F$71),"",F71+TIME(0,H71,0))</f>
        <v>3.2638888888888884E-2</v>
      </c>
      <c r="H71" s="283">
        <v>30</v>
      </c>
      <c r="I71" s="287">
        <f>IF(ISBLANK($F$71),"",(G71-F71)*24*60)</f>
        <v>29.999999999999993</v>
      </c>
      <c r="J71" s="226" t="s">
        <v>312</v>
      </c>
      <c r="K71" s="109">
        <v>1700</v>
      </c>
      <c r="L71" s="288"/>
      <c r="M71" s="234"/>
      <c r="N71" s="87"/>
      <c r="O71" s="87">
        <f>K71*H71/60</f>
        <v>850</v>
      </c>
      <c r="P71" s="87"/>
      <c r="Q71" s="87">
        <v>1763</v>
      </c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9"/>
      <c r="AJ71" s="87"/>
      <c r="AK71" s="87"/>
      <c r="AL71" s="87"/>
      <c r="AM71" s="87"/>
      <c r="AN71" s="87"/>
      <c r="AO71" s="87"/>
      <c r="AP71" s="87"/>
      <c r="AQ71" s="87"/>
      <c r="AR71" s="87"/>
      <c r="AS71" s="87"/>
    </row>
    <row r="72" spans="2:45" s="106" customFormat="1" ht="15.75" customHeight="1">
      <c r="B72" s="289"/>
      <c r="C72" s="290"/>
      <c r="D72" s="291"/>
      <c r="E72" s="292"/>
      <c r="F72" s="293"/>
      <c r="G72" s="294"/>
      <c r="H72" s="291"/>
      <c r="I72" s="295"/>
      <c r="J72" s="226" t="s">
        <v>313</v>
      </c>
      <c r="K72" s="296">
        <v>1100</v>
      </c>
      <c r="L72" s="288"/>
      <c r="M72" s="29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9"/>
      <c r="AJ72" s="87"/>
      <c r="AK72" s="87"/>
      <c r="AL72" s="87"/>
      <c r="AM72" s="87"/>
      <c r="AN72" s="87"/>
      <c r="AO72" s="87"/>
      <c r="AP72" s="87"/>
      <c r="AQ72" s="87"/>
      <c r="AR72" s="87"/>
      <c r="AS72" s="87"/>
    </row>
    <row r="73" spans="2:45" s="106" customFormat="1" ht="24" customHeight="1">
      <c r="B73" s="298"/>
      <c r="C73" s="299" t="s">
        <v>314</v>
      </c>
      <c r="D73" s="300">
        <v>2.5</v>
      </c>
      <c r="E73" s="301"/>
      <c r="F73" s="302" t="s">
        <v>315</v>
      </c>
      <c r="G73" s="303"/>
      <c r="H73" s="304"/>
      <c r="I73" s="305">
        <v>5</v>
      </c>
      <c r="J73" s="306" t="s">
        <v>316</v>
      </c>
      <c r="K73" s="307">
        <v>191</v>
      </c>
      <c r="L73" s="308"/>
      <c r="M73" s="309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9"/>
      <c r="AJ73" s="87"/>
      <c r="AK73" s="87"/>
      <c r="AL73" s="87"/>
      <c r="AM73" s="87"/>
      <c r="AN73" s="87"/>
      <c r="AO73" s="87"/>
      <c r="AP73" s="87"/>
      <c r="AQ73" s="87"/>
      <c r="AR73" s="87"/>
      <c r="AS73" s="87"/>
    </row>
    <row r="74" spans="2:45" s="106" customFormat="1" ht="25.5" customHeight="1">
      <c r="B74" s="107"/>
      <c r="C74" s="108" t="s">
        <v>317</v>
      </c>
      <c r="D74" s="310">
        <v>2.14</v>
      </c>
      <c r="E74" s="311"/>
      <c r="F74" s="312" t="s">
        <v>318</v>
      </c>
      <c r="G74" s="313"/>
      <c r="H74" s="314"/>
      <c r="I74" s="305">
        <v>10</v>
      </c>
      <c r="J74" s="315" t="s">
        <v>319</v>
      </c>
      <c r="K74" s="307">
        <v>1011</v>
      </c>
      <c r="L74" s="127"/>
      <c r="M74" s="309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9"/>
      <c r="AJ74" s="87" t="e">
        <f>VLOOKUP(K75,'[1]Platotable - wv - oP'!$A$1:$B$1352,2,1)</f>
        <v>#N/A</v>
      </c>
      <c r="AK74" s="87" t="e">
        <f>'[1]Extract inputs'!D11/'10295'!AJ74</f>
        <v>#N/A</v>
      </c>
      <c r="AL74" s="87"/>
      <c r="AM74" s="87" t="s">
        <v>320</v>
      </c>
      <c r="AN74" s="87"/>
      <c r="AO74" s="87"/>
      <c r="AP74" s="87"/>
      <c r="AQ74" s="87"/>
      <c r="AR74" s="87"/>
      <c r="AS74" s="87"/>
    </row>
    <row r="75" spans="2:45" s="106" customFormat="1" ht="23.25" customHeight="1">
      <c r="B75" s="107"/>
      <c r="C75" s="108" t="s">
        <v>321</v>
      </c>
      <c r="D75" s="310">
        <v>1.9</v>
      </c>
      <c r="E75" s="311"/>
      <c r="F75" s="312" t="s">
        <v>322</v>
      </c>
      <c r="G75" s="314"/>
      <c r="H75" s="112">
        <v>0</v>
      </c>
      <c r="I75" s="305">
        <v>0</v>
      </c>
      <c r="J75" s="113" t="s">
        <v>323</v>
      </c>
      <c r="K75" s="154" t="s">
        <v>324</v>
      </c>
      <c r="L75" s="316"/>
      <c r="M75" s="309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9"/>
      <c r="AJ75" s="87"/>
      <c r="AK75" s="87"/>
      <c r="AL75" s="87"/>
      <c r="AM75" s="87"/>
      <c r="AN75" s="87"/>
      <c r="AO75" s="87"/>
      <c r="AP75" s="87"/>
      <c r="AQ75" s="87"/>
      <c r="AR75" s="87"/>
      <c r="AS75" s="87"/>
    </row>
    <row r="76" spans="2:45" s="106" customFormat="1" ht="24" customHeight="1">
      <c r="B76" s="107"/>
      <c r="C76" s="108" t="s">
        <v>325</v>
      </c>
      <c r="D76" s="310">
        <v>2.08</v>
      </c>
      <c r="E76" s="317"/>
      <c r="F76" s="312" t="s">
        <v>326</v>
      </c>
      <c r="G76" s="314"/>
      <c r="H76" s="112" t="s">
        <v>327</v>
      </c>
      <c r="I76" s="318">
        <v>100.7</v>
      </c>
      <c r="J76" s="202" t="s">
        <v>328</v>
      </c>
      <c r="K76" s="170" t="s">
        <v>329</v>
      </c>
      <c r="L76" s="319">
        <v>101.2</v>
      </c>
      <c r="M76" s="309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9"/>
      <c r="AJ76" s="87"/>
      <c r="AK76" s="87"/>
      <c r="AL76" s="87"/>
      <c r="AM76" s="87"/>
      <c r="AN76" s="87"/>
      <c r="AO76" s="87"/>
      <c r="AP76" s="87"/>
      <c r="AQ76" s="87"/>
      <c r="AR76" s="87"/>
      <c r="AS76" s="87"/>
    </row>
    <row r="77" spans="2:45" s="106" customFormat="1" ht="20.100000000000001" customHeight="1">
      <c r="B77" s="281"/>
      <c r="C77" s="282" t="s">
        <v>330</v>
      </c>
      <c r="D77" s="283" t="s">
        <v>331</v>
      </c>
      <c r="E77" s="284">
        <v>262</v>
      </c>
      <c r="F77" s="286">
        <f>G71</f>
        <v>3.2638888888888884E-2</v>
      </c>
      <c r="G77" s="286">
        <f>IF(ISBLANK($F$71),"",F77+TIME(0,H77,0))</f>
        <v>4.9999999999999996E-2</v>
      </c>
      <c r="H77" s="283">
        <v>25</v>
      </c>
      <c r="I77" s="287">
        <f>IF(ISBLANK($F$71),"",(G77-F77)*24*60)</f>
        <v>25</v>
      </c>
      <c r="J77" s="226" t="s">
        <v>312</v>
      </c>
      <c r="K77" s="109">
        <v>750</v>
      </c>
      <c r="L77" s="163"/>
      <c r="M77" s="234"/>
      <c r="N77" s="87"/>
      <c r="O77" s="87">
        <f>K77*45/60</f>
        <v>562.5</v>
      </c>
      <c r="P77" s="87"/>
      <c r="Q77" s="87"/>
      <c r="R77" s="87"/>
      <c r="S77" s="87"/>
      <c r="T77" s="320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9"/>
      <c r="AJ77" s="87"/>
      <c r="AK77" s="87"/>
      <c r="AL77" s="87"/>
      <c r="AM77" s="87"/>
      <c r="AN77" s="87"/>
      <c r="AO77" s="321"/>
      <c r="AP77" s="321"/>
      <c r="AQ77" s="321"/>
      <c r="AR77" s="249"/>
      <c r="AS77" s="249"/>
    </row>
    <row r="78" spans="2:45" s="106" customFormat="1" ht="20.100000000000001" customHeight="1">
      <c r="B78" s="289"/>
      <c r="C78" s="290"/>
      <c r="D78" s="291"/>
      <c r="E78" s="292"/>
      <c r="F78" s="294"/>
      <c r="G78" s="294"/>
      <c r="H78" s="291"/>
      <c r="I78" s="295"/>
      <c r="J78" s="226" t="s">
        <v>313</v>
      </c>
      <c r="K78" s="109">
        <v>450</v>
      </c>
      <c r="L78" s="163"/>
      <c r="M78" s="234"/>
      <c r="N78" s="87"/>
      <c r="O78" s="87"/>
      <c r="P78" s="87"/>
      <c r="Q78" s="87"/>
      <c r="R78" s="87"/>
      <c r="S78" s="87"/>
      <c r="T78" s="320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9"/>
      <c r="AJ78" s="87"/>
      <c r="AK78" s="87"/>
      <c r="AL78" s="87"/>
      <c r="AM78" s="87">
        <v>17</v>
      </c>
      <c r="AN78" s="87">
        <v>8</v>
      </c>
      <c r="AO78" s="87"/>
      <c r="AP78" s="322"/>
      <c r="AQ78" s="322"/>
      <c r="AR78" s="323"/>
      <c r="AS78" s="87"/>
    </row>
    <row r="79" spans="2:45" s="106" customFormat="1" ht="20.100000000000001" customHeight="1">
      <c r="B79" s="281"/>
      <c r="C79" s="282" t="s">
        <v>332</v>
      </c>
      <c r="D79" s="283" t="s">
        <v>331</v>
      </c>
      <c r="E79" s="324"/>
      <c r="F79" s="286">
        <f>G77</f>
        <v>4.9999999999999996E-2</v>
      </c>
      <c r="G79" s="286">
        <f>IF(ISBLANK($F$71),"",F79+TIME(0,H79,0))</f>
        <v>6.3888888888888884E-2</v>
      </c>
      <c r="H79" s="283">
        <v>20</v>
      </c>
      <c r="I79" s="287">
        <f>IF(ISBLANK($F$71),"",(G79-F79)*24*60)</f>
        <v>20</v>
      </c>
      <c r="J79" s="226" t="s">
        <v>312</v>
      </c>
      <c r="K79" s="109">
        <v>1700</v>
      </c>
      <c r="L79" s="163"/>
      <c r="M79" s="234"/>
      <c r="N79" s="87"/>
      <c r="O79" s="87">
        <f>K79*45/60</f>
        <v>1275</v>
      </c>
      <c r="P79" s="87"/>
      <c r="Q79" s="87"/>
      <c r="R79" s="87"/>
      <c r="S79" s="87"/>
      <c r="T79" s="320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9"/>
      <c r="AJ79" s="87"/>
      <c r="AK79" s="87"/>
      <c r="AL79" s="87"/>
      <c r="AM79" s="87">
        <v>4</v>
      </c>
      <c r="AN79" s="87">
        <v>23</v>
      </c>
      <c r="AO79" s="321"/>
      <c r="AP79" s="321"/>
      <c r="AQ79" s="321"/>
      <c r="AR79" s="249"/>
      <c r="AS79" s="249"/>
    </row>
    <row r="80" spans="2:45" s="106" customFormat="1" ht="20.100000000000001" customHeight="1">
      <c r="B80" s="289"/>
      <c r="C80" s="290"/>
      <c r="D80" s="291"/>
      <c r="E80" s="325"/>
      <c r="F80" s="294"/>
      <c r="G80" s="294"/>
      <c r="H80" s="291"/>
      <c r="I80" s="295"/>
      <c r="J80" s="226" t="s">
        <v>313</v>
      </c>
      <c r="K80" s="109">
        <v>1100</v>
      </c>
      <c r="L80" s="163"/>
      <c r="M80" s="234"/>
      <c r="N80" s="87"/>
      <c r="O80" s="87"/>
      <c r="P80" s="87"/>
      <c r="Q80" s="87"/>
      <c r="R80" s="87"/>
      <c r="S80" s="87"/>
      <c r="T80" s="320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9"/>
      <c r="AJ80" s="87"/>
      <c r="AK80" s="87"/>
      <c r="AL80" s="87"/>
      <c r="AM80" s="87"/>
      <c r="AN80" s="87">
        <v>17</v>
      </c>
      <c r="AO80" s="87">
        <v>161</v>
      </c>
      <c r="AP80" s="322"/>
      <c r="AQ80" s="322"/>
      <c r="AR80" s="323"/>
      <c r="AS80" s="87"/>
    </row>
    <row r="81" spans="2:45" s="106" customFormat="1" ht="36" customHeight="1">
      <c r="B81" s="107"/>
      <c r="C81" s="108" t="s">
        <v>333</v>
      </c>
      <c r="D81" s="326">
        <f>137.8*1.05</f>
        <v>144.69000000000003</v>
      </c>
      <c r="E81" s="201"/>
      <c r="F81" s="327" t="s">
        <v>334</v>
      </c>
      <c r="G81" s="328" t="s">
        <v>335</v>
      </c>
      <c r="H81" s="329" t="s">
        <v>336</v>
      </c>
      <c r="I81" s="330" t="s">
        <v>337</v>
      </c>
      <c r="J81" s="315" t="s">
        <v>338</v>
      </c>
      <c r="K81" s="196">
        <f>K84-K73-K74</f>
        <v>1165</v>
      </c>
      <c r="L81" s="308"/>
      <c r="M81" s="86"/>
      <c r="N81" s="87"/>
      <c r="O81" s="87"/>
      <c r="P81" s="87"/>
      <c r="Q81" s="87"/>
      <c r="R81" s="87"/>
      <c r="S81" s="87"/>
      <c r="T81" s="331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9">
        <f>82.3*1.1</f>
        <v>90.53</v>
      </c>
      <c r="AJ81" s="87"/>
      <c r="AK81" s="87"/>
      <c r="AL81" s="87">
        <f>AI82-AI81</f>
        <v>6.0499999999999972</v>
      </c>
      <c r="AM81" s="87"/>
      <c r="AN81" s="87">
        <v>23</v>
      </c>
      <c r="AO81" s="87">
        <v>50</v>
      </c>
      <c r="AP81" s="322"/>
      <c r="AQ81" s="322"/>
      <c r="AR81" s="323"/>
      <c r="AS81" s="87"/>
    </row>
    <row r="82" spans="2:45" s="106" customFormat="1" ht="25.5" customHeight="1">
      <c r="B82" s="107"/>
      <c r="C82" s="108" t="s">
        <v>339</v>
      </c>
      <c r="D82" s="332" t="s">
        <v>340</v>
      </c>
      <c r="E82" s="110">
        <v>242</v>
      </c>
      <c r="F82" s="151">
        <f>G79</f>
        <v>6.3888888888888884E-2</v>
      </c>
      <c r="G82" s="151"/>
      <c r="H82" s="114">
        <v>9</v>
      </c>
      <c r="I82" s="152">
        <f>IF(ISBLANK($F$71),"",(F86-F82)*24*60)</f>
        <v>10.000000000000004</v>
      </c>
      <c r="J82" s="113" t="s">
        <v>341</v>
      </c>
      <c r="K82" s="162">
        <v>18</v>
      </c>
      <c r="L82" s="333"/>
      <c r="M82" s="86"/>
      <c r="N82" s="87"/>
      <c r="O82" s="87"/>
      <c r="P82" s="87"/>
      <c r="Q82" s="87"/>
      <c r="R82" s="320"/>
      <c r="S82" s="87"/>
      <c r="T82" s="88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9">
        <f>87.8*1.1</f>
        <v>96.58</v>
      </c>
      <c r="AJ82" s="87"/>
      <c r="AK82" s="87"/>
      <c r="AL82" s="87">
        <f t="shared" ref="AL82:AL84" si="4">AI83-AI82</f>
        <v>35.42</v>
      </c>
      <c r="AM82" s="87"/>
      <c r="AN82" s="87">
        <f>161/23</f>
        <v>7</v>
      </c>
      <c r="AO82" s="87"/>
      <c r="AP82" s="322"/>
      <c r="AQ82" s="322"/>
      <c r="AR82" s="323"/>
      <c r="AS82" s="87"/>
    </row>
    <row r="83" spans="2:45" s="106" customFormat="1" ht="24" customHeight="1">
      <c r="B83" s="107"/>
      <c r="C83" s="108" t="s">
        <v>342</v>
      </c>
      <c r="D83" s="114">
        <v>5</v>
      </c>
      <c r="E83" s="171"/>
      <c r="F83" s="151"/>
      <c r="G83" s="151"/>
      <c r="H83" s="114">
        <v>1.1111111111111112</v>
      </c>
      <c r="I83" s="114"/>
      <c r="J83" s="226" t="s">
        <v>343</v>
      </c>
      <c r="K83" s="334" t="s">
        <v>344</v>
      </c>
      <c r="L83" s="335"/>
      <c r="M83" s="86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9">
        <f>120*1.1</f>
        <v>132</v>
      </c>
      <c r="AJ83" s="87"/>
      <c r="AK83" s="87"/>
      <c r="AL83" s="87">
        <f t="shared" si="4"/>
        <v>12.870000000000005</v>
      </c>
      <c r="AM83" s="87"/>
      <c r="AN83" s="87"/>
      <c r="AO83" s="87"/>
      <c r="AP83" s="322"/>
      <c r="AQ83" s="322"/>
      <c r="AR83" s="323"/>
      <c r="AS83" s="87"/>
    </row>
    <row r="84" spans="2:45" s="106" customFormat="1" ht="21.75" customHeight="1">
      <c r="B84" s="272"/>
      <c r="C84" s="336" t="s">
        <v>345</v>
      </c>
      <c r="D84" s="209"/>
      <c r="E84" s="273"/>
      <c r="F84" s="273"/>
      <c r="G84" s="273"/>
      <c r="H84" s="209">
        <f>SUM(H69:H83)</f>
        <v>100.11111111111111</v>
      </c>
      <c r="I84" s="209"/>
      <c r="J84" s="337" t="s">
        <v>226</v>
      </c>
      <c r="K84" s="196">
        <v>2367</v>
      </c>
      <c r="L84" s="163"/>
      <c r="M84" s="86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9">
        <f>131.7*1.1</f>
        <v>144.87</v>
      </c>
      <c r="AJ84" s="87"/>
      <c r="AK84" s="87"/>
      <c r="AL84" s="87">
        <f t="shared" si="4"/>
        <v>-144.87</v>
      </c>
      <c r="AM84" s="87"/>
      <c r="AN84" s="87"/>
      <c r="AO84" s="159"/>
      <c r="AP84" s="87"/>
      <c r="AQ84" s="338"/>
      <c r="AR84" s="249"/>
      <c r="AS84" s="87"/>
    </row>
    <row r="85" spans="2:45" s="106" customFormat="1" ht="12">
      <c r="B85" s="131"/>
      <c r="C85" s="132" t="s">
        <v>346</v>
      </c>
      <c r="D85" s="133"/>
      <c r="E85" s="133"/>
      <c r="F85" s="133"/>
      <c r="G85" s="133"/>
      <c r="H85" s="133"/>
      <c r="I85" s="133"/>
      <c r="J85" s="134"/>
      <c r="K85" s="213"/>
      <c r="L85" s="135"/>
      <c r="M85" s="214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7"/>
      <c r="AR85" s="87"/>
      <c r="AS85" s="87"/>
    </row>
    <row r="86" spans="2:45" s="106" customFormat="1" ht="23.25" customHeight="1">
      <c r="B86" s="77"/>
      <c r="C86" s="78" t="s">
        <v>347</v>
      </c>
      <c r="D86" s="84"/>
      <c r="E86" s="215"/>
      <c r="F86" s="151">
        <f>IF(ISBLANK(F71),"",F82+TIME(0,H82+H83,0))</f>
        <v>7.0833333333333331E-2</v>
      </c>
      <c r="G86" s="151">
        <f>IF(ISBLANK($F$71),"",F86+TIME(0,H86,0))</f>
        <v>7.7777777777777779E-2</v>
      </c>
      <c r="H86" s="79">
        <v>10</v>
      </c>
      <c r="I86" s="152">
        <f>IF(ISBLANK($F$71),"",(G86-F86)*24*60)</f>
        <v>10.000000000000004</v>
      </c>
      <c r="J86" s="83"/>
      <c r="K86" s="339"/>
      <c r="L86" s="340"/>
      <c r="M86" s="86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9"/>
      <c r="AJ86" s="87"/>
      <c r="AK86" s="87"/>
      <c r="AL86" s="87"/>
      <c r="AM86" s="87"/>
      <c r="AN86" s="87"/>
      <c r="AO86" s="87"/>
      <c r="AP86" s="87"/>
      <c r="AQ86" s="87"/>
      <c r="AR86" s="87"/>
      <c r="AS86" s="87"/>
    </row>
    <row r="87" spans="2:45" s="106" customFormat="1" ht="19.5" customHeight="1">
      <c r="B87" s="107"/>
      <c r="C87" s="108" t="s">
        <v>348</v>
      </c>
      <c r="D87" s="114"/>
      <c r="E87" s="171"/>
      <c r="F87" s="151"/>
      <c r="G87" s="151"/>
      <c r="H87" s="114">
        <v>49</v>
      </c>
      <c r="I87" s="114"/>
      <c r="J87" s="113" t="s">
        <v>349</v>
      </c>
      <c r="K87" s="109">
        <v>269</v>
      </c>
      <c r="L87" s="127"/>
      <c r="M87" s="86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9"/>
      <c r="AJ87" s="87"/>
      <c r="AK87" s="87"/>
      <c r="AL87" s="87"/>
      <c r="AM87" s="87"/>
      <c r="AN87" s="87"/>
      <c r="AO87" s="87"/>
      <c r="AP87" s="87"/>
      <c r="AQ87" s="87"/>
      <c r="AR87" s="87"/>
      <c r="AS87" s="87"/>
    </row>
    <row r="88" spans="2:45" s="106" customFormat="1" ht="18.75" customHeight="1">
      <c r="B88" s="107"/>
      <c r="C88" s="113" t="s">
        <v>350</v>
      </c>
      <c r="D88" s="114"/>
      <c r="E88" s="171"/>
      <c r="F88" s="151"/>
      <c r="G88" s="151"/>
      <c r="H88" s="114">
        <v>7.5</v>
      </c>
      <c r="I88" s="114"/>
      <c r="J88" s="114"/>
      <c r="K88" s="114"/>
      <c r="L88" s="163"/>
      <c r="M88" s="86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9"/>
      <c r="AJ88" s="87"/>
      <c r="AK88" s="87"/>
      <c r="AL88" s="87"/>
      <c r="AM88" s="87"/>
      <c r="AN88" s="87"/>
      <c r="AO88" s="87"/>
      <c r="AP88" s="87"/>
      <c r="AQ88" s="87"/>
      <c r="AR88" s="87"/>
      <c r="AS88" s="87"/>
    </row>
    <row r="89" spans="2:45" s="106" customFormat="1" ht="17.25" customHeight="1">
      <c r="B89" s="107"/>
      <c r="C89" s="113" t="s">
        <v>351</v>
      </c>
      <c r="D89" s="114"/>
      <c r="E89" s="171"/>
      <c r="F89" s="151"/>
      <c r="G89" s="151"/>
      <c r="H89" s="114">
        <v>2.2222222222222223</v>
      </c>
      <c r="I89" s="114"/>
      <c r="J89" s="341" t="s">
        <v>352</v>
      </c>
      <c r="K89" s="342">
        <v>18.45</v>
      </c>
      <c r="L89" s="163"/>
      <c r="M89" s="86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9"/>
      <c r="AJ89" s="87"/>
      <c r="AK89" s="87"/>
      <c r="AL89" s="87"/>
      <c r="AM89" s="87"/>
      <c r="AN89" s="87"/>
      <c r="AO89" s="87"/>
      <c r="AP89" s="87"/>
      <c r="AQ89" s="87"/>
      <c r="AR89" s="87"/>
      <c r="AS89" s="87"/>
    </row>
    <row r="90" spans="2:45" s="106" customFormat="1">
      <c r="B90" s="272"/>
      <c r="C90" s="208" t="s">
        <v>353</v>
      </c>
      <c r="D90" s="343"/>
      <c r="E90" s="344"/>
      <c r="F90" s="273"/>
      <c r="G90" s="273"/>
      <c r="H90" s="209">
        <f>SUM(H86:H89)</f>
        <v>68.722222222222229</v>
      </c>
      <c r="I90" s="209"/>
      <c r="J90" s="210"/>
      <c r="K90" s="114"/>
      <c r="L90" s="163"/>
      <c r="M90" s="86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9"/>
      <c r="AJ90" s="87"/>
      <c r="AK90" s="87"/>
      <c r="AL90" s="87"/>
      <c r="AM90" s="87"/>
      <c r="AN90" s="87"/>
      <c r="AO90" s="87"/>
      <c r="AP90" s="87"/>
      <c r="AQ90" s="87"/>
      <c r="AR90" s="87"/>
      <c r="AS90" s="87"/>
    </row>
    <row r="91" spans="2:45" s="106" customFormat="1" ht="12" hidden="1">
      <c r="B91" s="131"/>
      <c r="C91" s="132" t="s">
        <v>354</v>
      </c>
      <c r="D91" s="133"/>
      <c r="E91" s="133"/>
      <c r="F91" s="133"/>
      <c r="G91" s="133"/>
      <c r="H91" s="133"/>
      <c r="I91" s="133"/>
      <c r="J91" s="275"/>
      <c r="K91" s="213"/>
      <c r="L91" s="135"/>
      <c r="M91" s="214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9"/>
      <c r="AJ91" s="87"/>
      <c r="AK91" s="87"/>
      <c r="AL91" s="87"/>
      <c r="AM91" s="87"/>
      <c r="AN91" s="87"/>
      <c r="AO91" s="87"/>
      <c r="AP91" s="87"/>
      <c r="AQ91" s="87"/>
      <c r="AR91" s="87"/>
      <c r="AS91" s="87"/>
    </row>
    <row r="92" spans="2:45" s="106" customFormat="1" ht="12" hidden="1">
      <c r="B92" s="345"/>
      <c r="C92" s="275" t="s">
        <v>355</v>
      </c>
      <c r="D92" s="133"/>
      <c r="E92" s="133"/>
      <c r="F92" s="133"/>
      <c r="G92" s="133"/>
      <c r="H92" s="133"/>
      <c r="I92" s="133"/>
      <c r="J92" s="275"/>
      <c r="K92" s="213"/>
      <c r="L92" s="135"/>
      <c r="M92" s="214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9"/>
      <c r="AJ92" s="87"/>
      <c r="AK92" s="87"/>
      <c r="AL92" s="87"/>
      <c r="AM92" s="87"/>
      <c r="AN92" s="87"/>
      <c r="AO92" s="87"/>
      <c r="AP92" s="87"/>
      <c r="AQ92" s="87"/>
      <c r="AR92" s="87"/>
      <c r="AS92" s="87"/>
    </row>
    <row r="93" spans="2:45" s="106" customFormat="1" ht="12">
      <c r="B93" s="131"/>
      <c r="C93" s="132" t="s">
        <v>356</v>
      </c>
      <c r="D93" s="133"/>
      <c r="E93" s="133"/>
      <c r="F93" s="133"/>
      <c r="G93" s="133"/>
      <c r="H93" s="133"/>
      <c r="I93" s="133"/>
      <c r="J93" s="275"/>
      <c r="K93" s="213"/>
      <c r="L93" s="135"/>
      <c r="M93" s="214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9"/>
      <c r="AJ93" s="87"/>
      <c r="AK93" s="87"/>
      <c r="AL93" s="87"/>
      <c r="AM93" s="87"/>
      <c r="AN93" s="87"/>
      <c r="AO93" s="87"/>
      <c r="AP93" s="87"/>
      <c r="AQ93" s="87"/>
      <c r="AR93" s="87"/>
      <c r="AS93" s="87"/>
    </row>
    <row r="94" spans="2:45" s="106" customFormat="1" ht="21.75" customHeight="1">
      <c r="B94" s="138"/>
      <c r="C94" s="346" t="s">
        <v>357</v>
      </c>
      <c r="D94" s="84">
        <v>3</v>
      </c>
      <c r="E94" s="84"/>
      <c r="F94" s="347" t="s">
        <v>358</v>
      </c>
      <c r="G94" s="347"/>
      <c r="H94" s="347"/>
      <c r="I94" s="114"/>
      <c r="J94" s="83" t="s">
        <v>359</v>
      </c>
      <c r="K94" s="339" t="s">
        <v>360</v>
      </c>
      <c r="L94" s="216">
        <v>18.18</v>
      </c>
      <c r="M94" s="86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9"/>
      <c r="AJ94" s="87"/>
      <c r="AK94" s="87"/>
      <c r="AL94" s="87"/>
      <c r="AM94" s="87"/>
      <c r="AN94" s="87"/>
      <c r="AO94" s="87"/>
      <c r="AP94" s="87"/>
      <c r="AQ94" s="87"/>
      <c r="AR94" s="87"/>
      <c r="AS94" s="87"/>
    </row>
    <row r="95" spans="2:45" s="106" customFormat="1" ht="19.5" customHeight="1">
      <c r="B95" s="107"/>
      <c r="C95" s="108" t="s">
        <v>361</v>
      </c>
      <c r="D95" s="114"/>
      <c r="E95" s="171"/>
      <c r="F95" s="151"/>
      <c r="G95" s="151"/>
      <c r="H95" s="114">
        <v>5</v>
      </c>
      <c r="I95" s="114"/>
      <c r="J95" s="113" t="s">
        <v>362</v>
      </c>
      <c r="K95" s="154" t="s">
        <v>363</v>
      </c>
      <c r="L95" s="169">
        <v>5.5</v>
      </c>
      <c r="M95" s="86"/>
      <c r="N95" s="87"/>
      <c r="O95" s="87"/>
      <c r="P95" s="87"/>
      <c r="Q95" s="87"/>
      <c r="R95" s="87"/>
      <c r="S95" s="87"/>
      <c r="T95" s="87" t="s">
        <v>364</v>
      </c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9"/>
      <c r="AJ95" s="87"/>
      <c r="AK95" s="87"/>
      <c r="AL95" s="87"/>
      <c r="AM95" s="87"/>
      <c r="AN95" s="87"/>
      <c r="AO95" s="87"/>
      <c r="AP95" s="87"/>
      <c r="AQ95" s="87"/>
      <c r="AR95" s="87"/>
      <c r="AS95" s="87"/>
    </row>
    <row r="96" spans="2:45" s="106" customFormat="1" ht="21" customHeight="1">
      <c r="B96" s="107"/>
      <c r="C96" s="348" t="s">
        <v>365</v>
      </c>
      <c r="D96" s="109">
        <v>225</v>
      </c>
      <c r="E96" s="110">
        <v>227</v>
      </c>
      <c r="F96" s="151">
        <f>G86</f>
        <v>7.7777777777777779E-2</v>
      </c>
      <c r="G96" s="151">
        <f>IF(ISBLANK($F$71),"",F96+TIME(0,H96,0))</f>
        <v>0.11180555555555555</v>
      </c>
      <c r="H96" s="114">
        <f>H87</f>
        <v>49</v>
      </c>
      <c r="I96" s="152">
        <f>IF(ISBLANK($F$71),"",(G96-F96)*24*60)</f>
        <v>48.999999999999986</v>
      </c>
      <c r="J96" s="113" t="s">
        <v>366</v>
      </c>
      <c r="K96" s="349">
        <v>11.7</v>
      </c>
      <c r="L96" s="169">
        <v>11.5</v>
      </c>
      <c r="M96" s="86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9"/>
      <c r="AJ96" s="87"/>
      <c r="AK96" s="87"/>
      <c r="AL96" s="87"/>
      <c r="AM96" s="87"/>
      <c r="AN96" s="87"/>
      <c r="AO96" s="87"/>
      <c r="AP96" s="87"/>
      <c r="AQ96" s="87"/>
      <c r="AR96" s="87"/>
      <c r="AS96" s="87"/>
    </row>
    <row r="97" spans="2:45" s="106" customFormat="1" ht="26.25" customHeight="1">
      <c r="B97" s="107"/>
      <c r="C97" s="108" t="s">
        <v>367</v>
      </c>
      <c r="D97" s="162" t="s">
        <v>368</v>
      </c>
      <c r="E97" s="350" t="s">
        <v>369</v>
      </c>
      <c r="F97" s="351"/>
      <c r="G97" s="110">
        <v>30</v>
      </c>
      <c r="H97" s="114"/>
      <c r="I97" s="114"/>
      <c r="J97" s="172" t="s">
        <v>370</v>
      </c>
      <c r="K97" s="349">
        <v>13.8</v>
      </c>
      <c r="L97" s="141" t="s">
        <v>371</v>
      </c>
      <c r="M97" s="86"/>
      <c r="N97" s="87"/>
      <c r="O97" s="87"/>
      <c r="P97" s="87"/>
      <c r="Q97" s="87"/>
      <c r="R97" s="87"/>
      <c r="S97" s="87"/>
      <c r="T97" s="87"/>
      <c r="U97" s="87"/>
      <c r="V97" s="87" t="s">
        <v>372</v>
      </c>
      <c r="W97" s="87" t="s">
        <v>373</v>
      </c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9"/>
      <c r="AJ97" s="87"/>
      <c r="AK97" s="87"/>
      <c r="AL97" s="87"/>
      <c r="AM97" s="87"/>
      <c r="AN97" s="87"/>
      <c r="AO97" s="87"/>
      <c r="AP97" s="87"/>
      <c r="AQ97" s="87"/>
      <c r="AR97" s="87"/>
      <c r="AS97" s="87"/>
    </row>
    <row r="98" spans="2:45" s="106" customFormat="1" ht="24.75" customHeight="1">
      <c r="B98" s="107"/>
      <c r="C98" s="108" t="s">
        <v>374</v>
      </c>
      <c r="D98" s="114">
        <v>5</v>
      </c>
      <c r="E98" s="352">
        <v>3.8</v>
      </c>
      <c r="F98" s="114"/>
      <c r="G98" s="114"/>
      <c r="H98" s="114"/>
      <c r="I98" s="114"/>
      <c r="J98" s="113" t="s">
        <v>375</v>
      </c>
      <c r="K98" s="154">
        <v>80</v>
      </c>
      <c r="L98" s="163"/>
      <c r="M98" s="86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9"/>
      <c r="AJ98" s="87"/>
      <c r="AK98" s="87"/>
      <c r="AL98" s="87"/>
      <c r="AM98" s="87"/>
      <c r="AN98" s="87"/>
      <c r="AO98" s="87"/>
      <c r="AP98" s="87"/>
      <c r="AQ98" s="87"/>
      <c r="AR98" s="87"/>
      <c r="AS98" s="87"/>
    </row>
    <row r="99" spans="2:45" s="106" customFormat="1" ht="20.25" customHeight="1" thickBot="1">
      <c r="B99" s="238"/>
      <c r="C99" s="353" t="s">
        <v>376</v>
      </c>
      <c r="D99" s="240"/>
      <c r="E99" s="240"/>
      <c r="F99" s="240"/>
      <c r="G99" s="240"/>
      <c r="H99" s="240">
        <v>2</v>
      </c>
      <c r="I99" s="240"/>
      <c r="J99" s="242" t="s">
        <v>377</v>
      </c>
      <c r="K99" s="354" t="s">
        <v>378</v>
      </c>
      <c r="L99" s="355"/>
      <c r="M99" s="356"/>
      <c r="N99" s="87"/>
      <c r="O99" s="87"/>
      <c r="P99" s="87"/>
      <c r="Q99" s="87"/>
      <c r="R99" s="87"/>
      <c r="S99" s="87"/>
      <c r="T99" s="87" t="s">
        <v>379</v>
      </c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9"/>
      <c r="AJ99" s="87"/>
      <c r="AK99" s="87"/>
      <c r="AL99" s="87"/>
      <c r="AM99" s="87"/>
      <c r="AN99" s="87"/>
      <c r="AO99" s="87"/>
      <c r="AP99" s="87"/>
      <c r="AQ99" s="87"/>
      <c r="AR99" s="87"/>
      <c r="AS99" s="87"/>
    </row>
    <row r="100" spans="2:45" s="106" customFormat="1" ht="16.5" customHeight="1" thickBot="1">
      <c r="B100" s="357" t="s">
        <v>380</v>
      </c>
      <c r="C100" s="358"/>
      <c r="D100" s="359">
        <v>6.03</v>
      </c>
      <c r="E100" s="360" t="s">
        <v>381</v>
      </c>
      <c r="F100" s="361"/>
      <c r="G100" s="361"/>
      <c r="H100" s="362">
        <f>SUM(H13:H31,H42:H48,H56:H57,(D66-D57)/K56*60,H69:H72,H77:H80,H82:H83,H86:H87)/60</f>
        <v>6.3448677248677248</v>
      </c>
      <c r="I100" s="363">
        <f>IF(OR(F13="",G96=""),"",IF(G96&gt;=F13,(G96-F13)*24,(G96+1-F13)*24))</f>
        <v>5.8500000000000005</v>
      </c>
      <c r="J100" s="358" t="s">
        <v>382</v>
      </c>
      <c r="K100" s="245"/>
      <c r="L100" s="364"/>
      <c r="M100" s="365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9"/>
      <c r="AJ100" s="87"/>
      <c r="AK100" s="87"/>
      <c r="AL100" s="87"/>
      <c r="AM100" s="87"/>
      <c r="AN100" s="87"/>
      <c r="AO100" s="87"/>
      <c r="AP100" s="87"/>
      <c r="AQ100" s="87"/>
      <c r="AR100" s="87"/>
      <c r="AS100" s="87"/>
    </row>
    <row r="101" spans="2:45" s="374" customFormat="1" ht="24" customHeight="1">
      <c r="B101" s="366" t="s">
        <v>383</v>
      </c>
      <c r="C101" s="367" t="s">
        <v>384</v>
      </c>
      <c r="D101" s="368" t="s">
        <v>385</v>
      </c>
      <c r="E101" s="368"/>
      <c r="F101" s="369"/>
      <c r="G101" s="369"/>
      <c r="H101" s="369"/>
      <c r="I101" s="369"/>
      <c r="J101" s="370" t="s">
        <v>386</v>
      </c>
      <c r="K101" s="371">
        <v>6.03</v>
      </c>
      <c r="L101" s="372">
        <f>IF(OR(F13="",G96=""),"",IF(G96&gt;=F13,(G96-F13)*24,(G96+1-F13)*24))</f>
        <v>5.8500000000000005</v>
      </c>
      <c r="M101" s="373"/>
      <c r="N101" s="373"/>
      <c r="O101" s="373"/>
      <c r="P101" s="373"/>
      <c r="Q101" s="373"/>
      <c r="R101" s="373"/>
      <c r="S101" s="373"/>
      <c r="T101" s="373"/>
      <c r="U101" s="373"/>
      <c r="V101" s="373"/>
      <c r="W101" s="373"/>
      <c r="X101" s="373"/>
      <c r="Y101" s="373"/>
      <c r="Z101" s="373"/>
      <c r="AA101" s="373"/>
      <c r="AB101" s="373"/>
      <c r="AC101" s="373"/>
      <c r="AD101" s="373"/>
      <c r="AE101" s="373"/>
      <c r="AF101" s="373"/>
      <c r="AG101" s="373"/>
      <c r="AH101" s="373"/>
      <c r="AI101" s="373"/>
      <c r="AJ101" s="373"/>
      <c r="AK101" s="373"/>
      <c r="AL101" s="373"/>
      <c r="AM101" s="373"/>
      <c r="AN101" s="373"/>
      <c r="AO101" s="373"/>
      <c r="AP101" s="373"/>
      <c r="AQ101" s="373"/>
      <c r="AR101" s="373"/>
      <c r="AS101" s="373"/>
    </row>
    <row r="102" spans="2:45" s="374" customFormat="1" ht="24" customHeight="1">
      <c r="B102" s="375" t="s">
        <v>387</v>
      </c>
      <c r="C102" s="376"/>
      <c r="D102" s="369"/>
      <c r="E102" s="369"/>
      <c r="F102" s="369"/>
      <c r="G102" s="369"/>
      <c r="H102" s="377"/>
      <c r="I102" s="369"/>
      <c r="J102" s="370" t="s">
        <v>388</v>
      </c>
      <c r="K102" s="371">
        <v>8</v>
      </c>
      <c r="L102" s="372">
        <f>IF(OR(ISBLANK(E82),ISBLANK(E65)),"",(1-E82/E65)*100)</f>
        <v>7.6335877862595432</v>
      </c>
      <c r="M102" s="378"/>
      <c r="N102" s="373"/>
      <c r="O102" s="373"/>
      <c r="P102" s="373"/>
      <c r="Q102" s="373"/>
      <c r="R102" s="373"/>
      <c r="S102" s="373"/>
      <c r="T102" s="373"/>
      <c r="U102" s="373"/>
      <c r="V102" s="373"/>
      <c r="W102" s="373"/>
      <c r="X102" s="373"/>
      <c r="Y102" s="373"/>
      <c r="Z102" s="373"/>
      <c r="AA102" s="373"/>
      <c r="AB102" s="373"/>
      <c r="AC102" s="373"/>
      <c r="AD102" s="373"/>
      <c r="AE102" s="373"/>
      <c r="AF102" s="373"/>
      <c r="AG102" s="373"/>
      <c r="AH102" s="373"/>
      <c r="AI102" s="373"/>
      <c r="AJ102" s="373"/>
      <c r="AK102" s="373"/>
      <c r="AL102" s="373"/>
      <c r="AM102" s="373"/>
      <c r="AN102" s="373"/>
      <c r="AO102" s="373"/>
      <c r="AP102" s="373"/>
      <c r="AQ102" s="373"/>
      <c r="AR102" s="373"/>
      <c r="AS102" s="373"/>
    </row>
    <row r="103" spans="2:45" s="374" customFormat="1" ht="24" customHeight="1">
      <c r="B103" s="24"/>
      <c r="C103" s="379"/>
      <c r="D103" s="380"/>
      <c r="E103" s="381"/>
      <c r="F103" s="381"/>
      <c r="G103" s="369"/>
      <c r="H103" s="382"/>
      <c r="I103" s="369"/>
      <c r="J103" s="370" t="s">
        <v>389</v>
      </c>
      <c r="K103" s="371">
        <v>211</v>
      </c>
      <c r="L103" s="372">
        <f>IF(OR(G96="",F57=""),"",IF(G96&gt;=F57,(G96-F57)*60*24,(G96+1-F57)*24*60))</f>
        <v>210.99999999999989</v>
      </c>
      <c r="M103" s="378"/>
      <c r="N103" s="373"/>
      <c r="O103" s="373"/>
      <c r="P103" s="373"/>
      <c r="Q103" s="373"/>
      <c r="R103" s="373"/>
      <c r="S103" s="373"/>
      <c r="T103" s="373"/>
      <c r="U103" s="373"/>
      <c r="V103" s="373"/>
      <c r="W103" s="373"/>
      <c r="X103" s="373"/>
      <c r="Y103" s="373"/>
      <c r="Z103" s="373"/>
      <c r="AA103" s="373"/>
      <c r="AB103" s="373"/>
      <c r="AC103" s="373"/>
      <c r="AD103" s="373"/>
      <c r="AE103" s="373"/>
      <c r="AF103" s="373"/>
      <c r="AG103" s="373"/>
      <c r="AH103" s="373"/>
      <c r="AI103" s="373"/>
      <c r="AJ103" s="373"/>
      <c r="AK103" s="373"/>
      <c r="AL103" s="373"/>
      <c r="AM103" s="373"/>
      <c r="AN103" s="373"/>
      <c r="AO103" s="373"/>
      <c r="AP103" s="373"/>
      <c r="AQ103" s="373"/>
      <c r="AR103" s="373"/>
      <c r="AS103" s="373"/>
    </row>
    <row r="104" spans="2:45" ht="29.25" customHeight="1">
      <c r="B104" s="24"/>
      <c r="C104" s="383"/>
      <c r="D104" s="383"/>
      <c r="E104" s="383"/>
      <c r="F104" s="384"/>
      <c r="G104" s="383"/>
      <c r="H104" s="383"/>
      <c r="I104" s="369"/>
      <c r="J104" s="370" t="s">
        <v>390</v>
      </c>
      <c r="K104" s="371">
        <v>300</v>
      </c>
      <c r="L104" s="372">
        <f>IF(OR(L103="",L102=""),"",ABS(L103-K103)*10+ABS(L102-K102)*100)</f>
        <v>36.641221374046822</v>
      </c>
      <c r="M104" s="385"/>
      <c r="N104" s="385"/>
      <c r="O104" s="385"/>
      <c r="P104" s="385"/>
      <c r="Q104" s="385"/>
      <c r="R104" s="385"/>
      <c r="S104" s="385"/>
      <c r="T104" s="385"/>
      <c r="U104" s="385"/>
      <c r="V104" s="385"/>
      <c r="W104" s="385"/>
      <c r="X104" s="385"/>
      <c r="Y104" s="385"/>
      <c r="Z104" s="385"/>
      <c r="AA104" s="385"/>
      <c r="AB104" s="385"/>
      <c r="AC104" s="385"/>
      <c r="AD104" s="385"/>
      <c r="AE104" s="385"/>
      <c r="AF104" s="385"/>
      <c r="AG104" s="385"/>
      <c r="AH104" s="385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</row>
    <row r="105" spans="2:45" ht="24.75" customHeight="1"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</row>
    <row r="106" spans="2:45" ht="24.75" customHeight="1"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</row>
    <row r="107" spans="2:45" ht="27.75" customHeight="1"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</row>
  </sheetData>
  <mergeCells count="139">
    <mergeCell ref="F94:H94"/>
    <mergeCell ref="E97:F97"/>
    <mergeCell ref="H77:H78"/>
    <mergeCell ref="I77:I78"/>
    <mergeCell ref="B79:B80"/>
    <mergeCell ref="C79:C80"/>
    <mergeCell ref="D79:D80"/>
    <mergeCell ref="E79:E80"/>
    <mergeCell ref="F79:F80"/>
    <mergeCell ref="G79:G80"/>
    <mergeCell ref="H79:H80"/>
    <mergeCell ref="I79:I80"/>
    <mergeCell ref="F73:H73"/>
    <mergeCell ref="F74:H74"/>
    <mergeCell ref="F75:G75"/>
    <mergeCell ref="F76:G76"/>
    <mergeCell ref="B77:B78"/>
    <mergeCell ref="C77:C78"/>
    <mergeCell ref="D77:D78"/>
    <mergeCell ref="E77:E78"/>
    <mergeCell ref="F77:F78"/>
    <mergeCell ref="G77:G78"/>
    <mergeCell ref="T35:U35"/>
    <mergeCell ref="B71:B72"/>
    <mergeCell ref="C71:C72"/>
    <mergeCell ref="D71:D72"/>
    <mergeCell ref="E71:E72"/>
    <mergeCell ref="F71:F72"/>
    <mergeCell ref="G71:G72"/>
    <mergeCell ref="H71:H72"/>
    <mergeCell ref="I71:I72"/>
    <mergeCell ref="BA10:BA11"/>
    <mergeCell ref="BB10:BB11"/>
    <mergeCell ref="BC10:BC11"/>
    <mergeCell ref="BD10:BD11"/>
    <mergeCell ref="T12:U12"/>
    <mergeCell ref="AL19:AN19"/>
    <mergeCell ref="AI10:AL10"/>
    <mergeCell ref="AV10:AV11"/>
    <mergeCell ref="AW10:AW11"/>
    <mergeCell ref="AX10:AX11"/>
    <mergeCell ref="AY10:AY11"/>
    <mergeCell ref="AZ10:AZ11"/>
    <mergeCell ref="EJ5:EJ7"/>
    <mergeCell ref="EK5:EK7"/>
    <mergeCell ref="EM5:EM7"/>
    <mergeCell ref="EN5:EN7"/>
    <mergeCell ref="EO5:EO7"/>
    <mergeCell ref="AI9:AL9"/>
    <mergeCell ref="DY5:DY7"/>
    <mergeCell ref="DZ5:DZ7"/>
    <mergeCell ref="EB5:EB7"/>
    <mergeCell ref="EC5:EC7"/>
    <mergeCell ref="ED5:ED7"/>
    <mergeCell ref="EE5:EE7"/>
    <mergeCell ref="DC5:DC7"/>
    <mergeCell ref="DD5:DD7"/>
    <mergeCell ref="DE5:DE7"/>
    <mergeCell ref="DF5:DF7"/>
    <mergeCell ref="DG5:DG7"/>
    <mergeCell ref="DQ5:DQ7"/>
    <mergeCell ref="CW5:CW7"/>
    <mergeCell ref="CX5:CX7"/>
    <mergeCell ref="CY5:CY7"/>
    <mergeCell ref="CZ5:CZ7"/>
    <mergeCell ref="DA5:DA7"/>
    <mergeCell ref="DB5:DB7"/>
    <mergeCell ref="CC5:CC7"/>
    <mergeCell ref="CD5:CD7"/>
    <mergeCell ref="CF5:CF7"/>
    <mergeCell ref="CT5:CT7"/>
    <mergeCell ref="CU5:CU7"/>
    <mergeCell ref="CV5:CV7"/>
    <mergeCell ref="BW5:BW7"/>
    <mergeCell ref="BX5:BX7"/>
    <mergeCell ref="BY5:BY7"/>
    <mergeCell ref="BZ5:BZ7"/>
    <mergeCell ref="CA5:CA7"/>
    <mergeCell ref="CB5:CB7"/>
    <mergeCell ref="BP5:BP7"/>
    <mergeCell ref="BQ5:BQ7"/>
    <mergeCell ref="BR5:BR7"/>
    <mergeCell ref="BS5:BS7"/>
    <mergeCell ref="BT5:BT7"/>
    <mergeCell ref="BV5:BV7"/>
    <mergeCell ref="BI5:BI7"/>
    <mergeCell ref="BK5:BK7"/>
    <mergeCell ref="BL5:BL7"/>
    <mergeCell ref="BM5:BM7"/>
    <mergeCell ref="BN5:BN7"/>
    <mergeCell ref="BO5:BO7"/>
    <mergeCell ref="BC5:BC7"/>
    <mergeCell ref="BD5:BD7"/>
    <mergeCell ref="BE5:BE7"/>
    <mergeCell ref="BF5:BF7"/>
    <mergeCell ref="BG5:BG7"/>
    <mergeCell ref="BH5:BH7"/>
    <mergeCell ref="AW5:AW7"/>
    <mergeCell ref="AX5:AX7"/>
    <mergeCell ref="AY5:AY7"/>
    <mergeCell ref="AZ5:AZ7"/>
    <mergeCell ref="BA5:BA7"/>
    <mergeCell ref="BB5:BB7"/>
    <mergeCell ref="EG4:EG7"/>
    <mergeCell ref="EH4:EH7"/>
    <mergeCell ref="EI4:EI7"/>
    <mergeCell ref="EL4:EL7"/>
    <mergeCell ref="B5:B6"/>
    <mergeCell ref="C5:C6"/>
    <mergeCell ref="D5:E5"/>
    <mergeCell ref="F5:I5"/>
    <mergeCell ref="J5:J6"/>
    <mergeCell ref="K5:K6"/>
    <mergeCell ref="DP4:DP7"/>
    <mergeCell ref="DS4:DS7"/>
    <mergeCell ref="DT4:DT7"/>
    <mergeCell ref="DU4:DU7"/>
    <mergeCell ref="EA4:EA7"/>
    <mergeCell ref="EF4:EF7"/>
    <mergeCell ref="DR5:DR7"/>
    <mergeCell ref="DV5:DV7"/>
    <mergeCell ref="DW5:DW7"/>
    <mergeCell ref="DX5:DX7"/>
    <mergeCell ref="DJ4:DJ7"/>
    <mergeCell ref="DK4:DK7"/>
    <mergeCell ref="DL4:DL7"/>
    <mergeCell ref="DM4:DM7"/>
    <mergeCell ref="DN4:DN7"/>
    <mergeCell ref="DO4:DO7"/>
    <mergeCell ref="B1:M1"/>
    <mergeCell ref="BJ4:BJ7"/>
    <mergeCell ref="BU4:BU7"/>
    <mergeCell ref="CE4:CE7"/>
    <mergeCell ref="DH4:DH7"/>
    <mergeCell ref="DI4:DI7"/>
    <mergeCell ref="L5:L6"/>
    <mergeCell ref="M5:M6"/>
    <mergeCell ref="AU5:AU7"/>
    <mergeCell ref="AV5:AV7"/>
  </mergeCells>
  <conditionalFormatting sqref="I1:I62 I64:I72 I77:I1048576">
    <cfRule type="cellIs" dxfId="24" priority="12" operator="lessThanOrEqual">
      <formula>0</formula>
    </cfRule>
  </conditionalFormatting>
  <conditionalFormatting sqref="I100">
    <cfRule type="cellIs" dxfId="23" priority="13" operator="lessThanOrEqual">
      <formula>0</formula>
    </cfRule>
    <cfRule type="cellIs" dxfId="22" priority="19" operator="between">
      <formula>$D$100-0.2</formula>
      <formula>$D$100+0.2</formula>
    </cfRule>
    <cfRule type="cellIs" dxfId="21" priority="20" operator="notBetween">
      <formula>$D$100-0.2</formula>
      <formula>$D$100+0.2</formula>
    </cfRule>
  </conditionalFormatting>
  <conditionalFormatting sqref="L82">
    <cfRule type="cellIs" dxfId="20" priority="22" operator="notBetween">
      <formula>K82-0.25</formula>
      <formula>K82+0.25</formula>
    </cfRule>
    <cfRule type="cellIs" dxfId="19" priority="23" operator="between">
      <formula>K82-0.25</formula>
      <formula>K82+0.25</formula>
    </cfRule>
  </conditionalFormatting>
  <conditionalFormatting sqref="L83">
    <cfRule type="containsBlanks" dxfId="18" priority="14">
      <formula>LEN(TRIM(L83))=0</formula>
    </cfRule>
    <cfRule type="cellIs" dxfId="17" priority="15" operator="notBetween">
      <formula>VALUE(LEFT(K83,4))-0.2</formula>
      <formula>VALUE(LEFT(K83,4))+0.2</formula>
    </cfRule>
    <cfRule type="cellIs" dxfId="16" priority="21" operator="between">
      <formula>VALUE(LEFT(K83,4))-0.2</formula>
      <formula>VALUE(LEFT(K83,4))+0.2</formula>
    </cfRule>
  </conditionalFormatting>
  <conditionalFormatting sqref="L94">
    <cfRule type="cellIs" dxfId="15" priority="17" operator="notBetween">
      <formula>VALUE(LEFT(K94,5))</formula>
      <formula>VALUE(RIGHT(K94,5))</formula>
    </cfRule>
    <cfRule type="cellIs" dxfId="14" priority="18" operator="between">
      <formula>VALUE(LEFT(K94,5))</formula>
      <formula>VALUE(RIGHT(K94,5))</formula>
    </cfRule>
  </conditionalFormatting>
  <conditionalFormatting sqref="L94:L95">
    <cfRule type="containsBlanks" dxfId="13" priority="16">
      <formula>LEN(TRIM(L94))=0</formula>
    </cfRule>
  </conditionalFormatting>
  <conditionalFormatting sqref="L95">
    <cfRule type="cellIs" dxfId="12" priority="24" operator="between">
      <formula>VALUE(LEFT(K95,4))</formula>
      <formula>VALUE(RIGHT(K95,4))</formula>
    </cfRule>
    <cfRule type="cellIs" dxfId="11" priority="25" operator="notBetween">
      <formula>VALUE(LEFT(K95,4))</formula>
      <formula>VALUE(RIGHT(K95,4))</formula>
    </cfRule>
  </conditionalFormatting>
  <conditionalFormatting sqref="L101">
    <cfRule type="cellIs" dxfId="10" priority="6" operator="notBetween">
      <formula>$K$101-0.2</formula>
      <formula>$K$101+0.2</formula>
    </cfRule>
    <cfRule type="cellIs" dxfId="9" priority="7" operator="between">
      <formula>$K$101-0.2</formula>
      <formula>$K$101+0.2</formula>
    </cfRule>
  </conditionalFormatting>
  <conditionalFormatting sqref="L103">
    <cfRule type="cellIs" dxfId="8" priority="10" operator="lessThan">
      <formula>$K$103+20</formula>
    </cfRule>
    <cfRule type="cellIs" dxfId="7" priority="11" operator="greaterThanOrEqual">
      <formula>$K$103+20</formula>
    </cfRule>
  </conditionalFormatting>
  <conditionalFormatting sqref="L104">
    <cfRule type="cellIs" dxfId="6" priority="8" operator="lessThan">
      <formula>$K$104</formula>
    </cfRule>
    <cfRule type="cellIs" dxfId="5" priority="9" operator="greaterThanOrEqual">
      <formula>$K$104</formula>
    </cfRule>
  </conditionalFormatting>
  <conditionalFormatting sqref="BS19">
    <cfRule type="cellIs" dxfId="4" priority="4" operator="between">
      <formula>16.25</formula>
      <formula>16.75</formula>
    </cfRule>
    <cfRule type="cellIs" dxfId="3" priority="5" operator="between">
      <formula>17.75</formula>
      <formula>18.25</formula>
    </cfRule>
  </conditionalFormatting>
  <conditionalFormatting sqref="CF19:CJ19">
    <cfRule type="cellIs" dxfId="2" priority="3" operator="lessThan">
      <formula>230</formula>
    </cfRule>
  </conditionalFormatting>
  <conditionalFormatting sqref="CG19">
    <cfRule type="cellIs" dxfId="1" priority="2" operator="lessThan">
      <formula>270</formula>
    </cfRule>
  </conditionalFormatting>
  <conditionalFormatting sqref="CH19">
    <cfRule type="cellIs" dxfId="0" priority="1" operator="lessThan">
      <formula>2600</formula>
    </cfRule>
  </conditionalFormatting>
  <dataValidations count="2">
    <dataValidation type="list" allowBlank="1" showInputMessage="1" showErrorMessage="1" sqref="C3" xr:uid="{92B87E58-663F-45E1-A61E-914BEC087FC4}">
      <formula1>$AV$1:$AV$4</formula1>
    </dataValidation>
    <dataValidation type="list" allowBlank="1" showInputMessage="1" showErrorMessage="1" sqref="I8" xr:uid="{6E894852-3835-4DB8-9DFE-82D1A0F3F4B4}">
      <formula1>$AU$1:$AU$4</formula1>
    </dataValidation>
  </dataValidations>
  <printOptions horizontalCentered="1" verticalCentered="1"/>
  <pageMargins left="0.2" right="0" top="0" bottom="0" header="0" footer="0"/>
  <pageSetup paperSize="9" scale="81" orientation="portrait" r:id="rId1"/>
  <headerFooter alignWithMargins="0">
    <oddFooter>Page &amp;P</oddFooter>
  </headerFooter>
  <rowBreaks count="1" manualBreakCount="1">
    <brk id="50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4</xdr:col>
                    <xdr:colOff>114300</xdr:colOff>
                    <xdr:row>37</xdr:row>
                    <xdr:rowOff>76200</xdr:rowOff>
                  </from>
                  <to>
                    <xdr:col>4</xdr:col>
                    <xdr:colOff>342900</xdr:colOff>
                    <xdr:row>37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4</xdr:col>
                    <xdr:colOff>114300</xdr:colOff>
                    <xdr:row>15</xdr:row>
                    <xdr:rowOff>57150</xdr:rowOff>
                  </from>
                  <to>
                    <xdr:col>4</xdr:col>
                    <xdr:colOff>342900</xdr:colOff>
                    <xdr:row>15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4</xdr:col>
                    <xdr:colOff>114300</xdr:colOff>
                    <xdr:row>72</xdr:row>
                    <xdr:rowOff>76200</xdr:rowOff>
                  </from>
                  <to>
                    <xdr:col>4</xdr:col>
                    <xdr:colOff>342900</xdr:colOff>
                    <xdr:row>72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4</xdr:col>
                    <xdr:colOff>114300</xdr:colOff>
                    <xdr:row>73</xdr:row>
                    <xdr:rowOff>76200</xdr:rowOff>
                  </from>
                  <to>
                    <xdr:col>4</xdr:col>
                    <xdr:colOff>342900</xdr:colOff>
                    <xdr:row>73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4</xdr:col>
                    <xdr:colOff>114300</xdr:colOff>
                    <xdr:row>74</xdr:row>
                    <xdr:rowOff>76200</xdr:rowOff>
                  </from>
                  <to>
                    <xdr:col>4</xdr:col>
                    <xdr:colOff>342900</xdr:colOff>
                    <xdr:row>74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4</xdr:col>
                    <xdr:colOff>114300</xdr:colOff>
                    <xdr:row>75</xdr:row>
                    <xdr:rowOff>76200</xdr:rowOff>
                  </from>
                  <to>
                    <xdr:col>4</xdr:col>
                    <xdr:colOff>342900</xdr:colOff>
                    <xdr:row>75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4</xdr:col>
                    <xdr:colOff>114300</xdr:colOff>
                    <xdr:row>80</xdr:row>
                    <xdr:rowOff>152400</xdr:rowOff>
                  </from>
                  <to>
                    <xdr:col>4</xdr:col>
                    <xdr:colOff>342900</xdr:colOff>
                    <xdr:row>80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10</xdr:col>
                    <xdr:colOff>238125</xdr:colOff>
                    <xdr:row>9</xdr:row>
                    <xdr:rowOff>66675</xdr:rowOff>
                  </from>
                  <to>
                    <xdr:col>10</xdr:col>
                    <xdr:colOff>457200</xdr:colOff>
                    <xdr:row>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10</xdr:col>
                    <xdr:colOff>447675</xdr:colOff>
                    <xdr:row>56</xdr:row>
                    <xdr:rowOff>57150</xdr:rowOff>
                  </from>
                  <to>
                    <xdr:col>10</xdr:col>
                    <xdr:colOff>666750</xdr:colOff>
                    <xdr:row>56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11</xdr:col>
                    <xdr:colOff>247650</xdr:colOff>
                    <xdr:row>56</xdr:row>
                    <xdr:rowOff>57150</xdr:rowOff>
                  </from>
                  <to>
                    <xdr:col>11</xdr:col>
                    <xdr:colOff>466725</xdr:colOff>
                    <xdr:row>56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10</xdr:col>
                    <xdr:colOff>447675</xdr:colOff>
                    <xdr:row>57</xdr:row>
                    <xdr:rowOff>57150</xdr:rowOff>
                  </from>
                  <to>
                    <xdr:col>10</xdr:col>
                    <xdr:colOff>666750</xdr:colOff>
                    <xdr:row>57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11</xdr:col>
                    <xdr:colOff>247650</xdr:colOff>
                    <xdr:row>57</xdr:row>
                    <xdr:rowOff>57150</xdr:rowOff>
                  </from>
                  <to>
                    <xdr:col>11</xdr:col>
                    <xdr:colOff>466725</xdr:colOff>
                    <xdr:row>57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10295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Chương Lê Quang</dc:creator>
  <cp:lastModifiedBy>Chương Lê Quang</cp:lastModifiedBy>
  <dcterms:created xsi:type="dcterms:W3CDTF">2026-05-30T07:31:19Z</dcterms:created>
  <dcterms:modified xsi:type="dcterms:W3CDTF">2026-05-30T07:31:59Z</dcterms:modified>
</cp:coreProperties>
</file>