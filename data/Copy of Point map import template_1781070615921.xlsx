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51720" yWindow="-120" windowWidth="51840" windowHeight="21120" tabRatio="946" firstSheet="1" activeTab="8" autoFilterDateGrouping="1"/>
  </bookViews>
  <sheets>
    <sheet name="Global" sheetId="1" state="hidden" r:id="rId1"/>
    <sheet name="填写说明" sheetId="2" state="visible" r:id="rId2"/>
    <sheet name="Sheet1" sheetId="3" state="visible" r:id="rId3"/>
    <sheet name="主数据" sheetId="4" state="visible" r:id="rId4"/>
    <sheet name="点图PI" sheetId="5" state="visible" r:id="rId5"/>
    <sheet name="自动化支持取数PI" sheetId="6" state="visible" r:id="rId6"/>
    <sheet name="新增点位" sheetId="7" state="visible" r:id="rId7"/>
    <sheet name="Water" sheetId="8" state="visible" r:id="rId8"/>
    <sheet name="Water (2)" sheetId="9" state="visible" r:id="rId9"/>
    <sheet name="CO2" sheetId="10" state="visible" r:id="rId10"/>
    <sheet name="Klining Malt" sheetId="11" state="visible" r:id="rId11"/>
    <sheet name="Shipment Malt" sheetId="12" state="visible" r:id="rId12"/>
    <sheet name="Rice（新增）" sheetId="13" state="visible" r:id="rId13"/>
    <sheet name="Hop （新增）" sheetId="14" state="visible" r:id="rId14"/>
    <sheet name="Brewhouse" sheetId="15" state="visible" r:id="rId15"/>
    <sheet name="Cold Wort" sheetId="16" state="visible" r:id="rId16"/>
    <sheet name="Yeast" sheetId="17" state="visible" r:id="rId17"/>
    <sheet name="Yeast Propagation" sheetId="18" state="visible" r:id="rId18"/>
    <sheet name="Fermentation" sheetId="19" state="visible" r:id="rId19"/>
    <sheet name="Cold aging" sheetId="20" state="visible" r:id="rId20"/>
    <sheet name="Kareusen" sheetId="21" state="visible" r:id="rId21"/>
    <sheet name="Spent Yeast" sheetId="22" state="visible" r:id="rId22"/>
    <sheet name="Cross Flow" sheetId="23" state="visible" r:id="rId23"/>
    <sheet name="Centrifuge" sheetId="24" state="visible" r:id="rId24"/>
    <sheet name="Filtration" sheetId="25" state="visible" r:id="rId25"/>
    <sheet name="BBT" sheetId="26" state="visible" r:id="rId26"/>
    <sheet name="Packaging" sheetId="27" state="visible" r:id="rId27"/>
    <sheet name="PU" sheetId="28" state="visible" r:id="rId28"/>
    <sheet name="Caustic %" sheetId="29" state="visible" r:id="rId29"/>
    <sheet name="Finish Beer" sheetId="30" state="visible" r:id="rId30"/>
    <sheet name="Global Dot Graph" sheetId="31" state="visible" r:id="rId31"/>
    <sheet name="LIMS" sheetId="32" state="visible" r:id="rId32"/>
    <sheet name="SSS 3.0" sheetId="33" state="visible" r:id="rId33"/>
  </sheets>
  <definedNames>
    <definedName name="ABInBev">#REF!</definedName>
    <definedName name="ABinBev1">#REF!</definedName>
    <definedName name="ABInBev2">#REF!</definedName>
    <definedName name="Yeast">#REF!</definedName>
    <definedName name="yeast2">#REF!</definedName>
    <definedName name="_xlnm._FilterDatabase" localSheetId="3" hidden="1">'主数据'!$A$2:$E$30</definedName>
    <definedName name="_xlnm._FilterDatabase" localSheetId="4" hidden="1">'点图PI'!$A$1:$W$360</definedName>
    <definedName name="_xlnm._FilterDatabase" localSheetId="5" hidden="1">'自动化支持取数PI'!$A$1:$B$51</definedName>
    <definedName name="_xlnm._FilterDatabase" localSheetId="30" hidden="1">'Global Dot Graph'!$A$2:$P$164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yyyy\-mm\-dd;@"/>
    <numFmt numFmtId="165" formatCode="[$-409]mmm\-yy;@"/>
    <numFmt numFmtId="166" formatCode="0.0"/>
    <numFmt numFmtId="167" formatCode="yyyy\-mm\-dd\ h:mm:ss"/>
    <numFmt numFmtId="168" formatCode="yyyy-mm-dd h:mm:ss"/>
    <numFmt numFmtId="169" formatCode="_ \¥* #,##0.00_ ;_ \¥* \-#,##0.00_ ;_ \¥* &quot;-&quot;??_ ;_ @_ "/>
  </numFmts>
  <fonts count="30">
    <font>
      <name val="Calibri"/>
      <charset val="134"/>
      <color theme="1"/>
      <sz val="11"/>
      <scheme val="minor"/>
    </font>
    <font>
      <name val="Calibri"/>
      <charset val="134"/>
      <color theme="1"/>
      <sz val="9"/>
      <scheme val="minor"/>
    </font>
    <font>
      <name val="宋体"/>
      <charset val="134"/>
      <b val="1"/>
      <sz val="9"/>
    </font>
    <font>
      <name val="Calibri"/>
      <charset val="134"/>
      <b val="1"/>
      <color theme="1"/>
      <sz val="10"/>
      <scheme val="minor"/>
    </font>
    <font>
      <name val="微软雅黑"/>
      <charset val="134"/>
      <color rgb="FF000000"/>
      <sz val="10"/>
    </font>
    <font>
      <name val="Calibri"/>
      <charset val="134"/>
      <b val="1"/>
      <color rgb="FFFF0000"/>
      <sz val="10"/>
      <scheme val="minor"/>
    </font>
    <font>
      <name val="Calibri"/>
      <charset val="134"/>
      <b val="1"/>
      <color rgb="FFFFFFFF"/>
      <sz val="22"/>
      <scheme val="minor"/>
    </font>
    <font>
      <name val="Calibri"/>
      <charset val="134"/>
      <b val="1"/>
      <color rgb="FFFFFFFF"/>
      <sz val="11"/>
      <scheme val="minor"/>
    </font>
    <font>
      <name val="Calibri"/>
      <charset val="134"/>
      <b val="1"/>
      <color rgb="FFFF0000"/>
      <sz val="11"/>
      <scheme val="minor"/>
    </font>
    <font>
      <name val="Calibri"/>
      <charset val="134"/>
      <b val="1"/>
      <color rgb="FFFFC000"/>
      <sz val="11"/>
      <scheme val="minor"/>
    </font>
    <font>
      <name val="Calibri"/>
      <charset val="134"/>
      <b val="1"/>
      <color rgb="FF00B050"/>
      <sz val="11"/>
      <scheme val="minor"/>
    </font>
    <font>
      <name val="Calibri"/>
      <charset val="134"/>
      <color rgb="FF000000"/>
      <sz val="11"/>
      <scheme val="minor"/>
    </font>
    <font>
      <name val="Arial"/>
      <charset val="134"/>
      <color theme="1"/>
      <sz val="10"/>
    </font>
    <font>
      <name val="Arial"/>
      <charset val="134"/>
      <color theme="1"/>
      <sz val="9"/>
    </font>
    <font>
      <name val="微软雅黑"/>
      <charset val="134"/>
      <color theme="1"/>
      <sz val="10"/>
    </font>
    <font>
      <name val="Calibri"/>
      <charset val="134"/>
      <color theme="1"/>
      <sz val="10"/>
      <scheme val="minor"/>
    </font>
    <font>
      <name val="宋体"/>
      <charset val="134"/>
      <color theme="1"/>
      <sz val="10"/>
    </font>
    <font>
      <name val="Arial"/>
      <charset val="134"/>
      <sz val="10"/>
    </font>
    <font>
      <name val="宋体"/>
      <charset val="134"/>
      <sz val="11"/>
    </font>
    <font>
      <name val="Arial"/>
      <charset val="134"/>
      <sz val="9"/>
    </font>
    <font>
      <name val="Arial"/>
      <charset val="134"/>
      <b val="1"/>
      <color theme="1"/>
      <sz val="10"/>
    </font>
    <font>
      <name val="宋体"/>
      <charset val="134"/>
      <b val="1"/>
      <color theme="1"/>
      <sz val="10"/>
    </font>
    <font>
      <name val="PingFang SC"/>
      <charset val="134"/>
      <color rgb="FF000000"/>
      <sz val="10.45"/>
    </font>
    <font>
      <name val="Arial"/>
      <charset val="134"/>
      <b val="1"/>
      <color theme="1"/>
      <sz val="12"/>
    </font>
    <font>
      <name val="宋体"/>
      <charset val="134"/>
      <sz val="10"/>
    </font>
    <font>
      <name val="Calibri"/>
      <charset val="134"/>
      <color rgb="FF000000"/>
      <sz val="10"/>
      <scheme val="minor"/>
    </font>
    <font>
      <name val="Calibri"/>
      <charset val="134"/>
      <b val="1"/>
      <color theme="1"/>
      <sz val="11"/>
      <scheme val="minor"/>
    </font>
    <font>
      <name val="Calibri"/>
      <charset val="134"/>
      <b val="1"/>
      <sz val="11"/>
    </font>
    <font>
      <name val="宋体"/>
      <charset val="134"/>
      <sz val="12"/>
    </font>
    <font>
      <name val="Calibri"/>
      <charset val="134"/>
      <color theme="1"/>
      <sz val="11"/>
      <scheme val="minor"/>
    </font>
  </fonts>
  <fills count="27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rgb="FF000000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rgb="FF000000"/>
      </patternFill>
    </fill>
    <fill>
      <patternFill patternType="solid">
        <fgColor theme="7"/>
        <bgColor indexed="64"/>
      </patternFill>
    </fill>
    <fill>
      <patternFill patternType="solid">
        <fgColor theme="3" tint="0.7999511703848384"/>
        <bgColor rgb="FF000000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222B35"/>
        <bgColor rgb="FF000000"/>
      </patternFill>
    </fill>
    <fill>
      <patternFill patternType="solid">
        <fgColor rgb="FF333F4F"/>
        <bgColor rgb="FF000000"/>
      </patternFill>
    </fill>
    <fill>
      <patternFill patternType="solid">
        <fgColor rgb="FFA6A6A6"/>
        <bgColor rgb="FFA6A6A6"/>
      </patternFill>
    </fill>
    <fill>
      <patternFill patternType="solid">
        <fgColor rgb="FFD9D9D9"/>
        <bgColor rgb="FFD9D9D9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rgb="FFA6A6A6"/>
      </patternFill>
    </fill>
    <fill>
      <patternFill patternType="solid">
        <fgColor rgb="FFFFC000"/>
        <bgColor rgb="FFA6A6A6"/>
      </patternFill>
    </fill>
    <fill>
      <patternFill patternType="solid">
        <fgColor rgb="FF00B050"/>
        <bgColor rgb="FFA6A6A6"/>
      </patternFill>
    </fill>
    <fill>
      <patternFill patternType="solid">
        <fgColor rgb="FF00B050"/>
        <bgColor rgb="FFD9D9D9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</borders>
  <cellStyleXfs count="5">
    <xf numFmtId="0" fontId="29" fillId="0" borderId="0"/>
    <xf numFmtId="169" fontId="29" fillId="0" borderId="0" applyAlignment="1">
      <alignment vertical="center"/>
    </xf>
    <xf numFmtId="0" fontId="18" fillId="0" borderId="0" applyAlignment="1">
      <alignment vertical="center"/>
    </xf>
    <xf numFmtId="0" fontId="28" fillId="0" borderId="0" applyAlignment="1">
      <alignment vertical="center"/>
    </xf>
    <xf numFmtId="0" fontId="29" fillId="0" borderId="0" applyAlignment="1">
      <alignment vertical="center"/>
    </xf>
  </cellStyleXfs>
  <cellXfs count="268">
    <xf numFmtId="0" fontId="0" fillId="0" borderId="0" pivotButton="0" quotePrefix="0" xfId="0"/>
    <xf numFmtId="0" fontId="29" fillId="0" borderId="0" applyAlignment="1" pivotButton="0" quotePrefix="0" xfId="4">
      <alignment horizontal="center" vertical="center"/>
    </xf>
    <xf numFmtId="0" fontId="29" fillId="0" borderId="0" applyAlignment="1" pivotButton="0" quotePrefix="0" xfId="4">
      <alignment horizontal="left" vertical="center"/>
    </xf>
    <xf numFmtId="0" fontId="29" fillId="0" borderId="0" applyAlignment="1" pivotButton="0" quotePrefix="0" xfId="4">
      <alignment vertical="center"/>
    </xf>
    <xf numFmtId="0" fontId="29" fillId="0" borderId="1" applyAlignment="1" pivotButton="0" quotePrefix="0" xfId="4">
      <alignment horizontal="center" vertical="center"/>
    </xf>
    <xf numFmtId="0" fontId="29" fillId="0" borderId="2" applyAlignment="1" pivotButton="0" quotePrefix="0" xfId="4">
      <alignment horizontal="center" vertical="center"/>
    </xf>
    <xf numFmtId="0" fontId="29" fillId="0" borderId="2" applyAlignment="1" pivotButton="0" quotePrefix="0" xfId="4">
      <alignment horizontal="center" vertical="center" wrapText="1"/>
    </xf>
    <xf numFmtId="0" fontId="29" fillId="0" borderId="0" applyAlignment="1" pivotButton="0" quotePrefix="0" xfId="4">
      <alignment horizontal="center" vertical="center" wrapText="1"/>
    </xf>
    <xf numFmtId="0" fontId="29" fillId="2" borderId="1" applyAlignment="1" pivotButton="0" quotePrefix="0" xfId="4">
      <alignment horizontal="center" vertical="center"/>
    </xf>
    <xf numFmtId="0" fontId="29" fillId="2" borderId="1" applyAlignment="1" pivotButton="0" quotePrefix="0" xfId="4">
      <alignment horizontal="left" vertical="center"/>
    </xf>
    <xf numFmtId="0" fontId="29" fillId="0" borderId="3" applyAlignment="1" pivotButton="0" quotePrefix="0" xfId="4">
      <alignment horizontal="center" vertical="center"/>
    </xf>
    <xf numFmtId="0" fontId="29" fillId="3" borderId="1" applyAlignment="1" pivotButton="0" quotePrefix="0" xfId="4">
      <alignment horizontal="center" vertical="center"/>
    </xf>
    <xf numFmtId="0" fontId="29" fillId="3" borderId="1" applyAlignment="1" pivotButton="0" quotePrefix="0" xfId="4">
      <alignment horizontal="left" vertical="center"/>
    </xf>
    <xf numFmtId="0" fontId="29" fillId="4" borderId="1" applyAlignment="1" pivotButton="0" quotePrefix="0" xfId="4">
      <alignment horizontal="center" vertical="center"/>
    </xf>
    <xf numFmtId="0" fontId="29" fillId="4" borderId="1" applyAlignment="1" pivotButton="0" quotePrefix="0" xfId="4">
      <alignment horizontal="left" vertical="center"/>
    </xf>
    <xf numFmtId="0" fontId="29" fillId="5" borderId="0" applyAlignment="1" pivotButton="0" quotePrefix="0" xfId="4">
      <alignment horizontal="center" vertical="center"/>
    </xf>
    <xf numFmtId="0" fontId="29" fillId="0" borderId="0" applyAlignment="1" pivotButton="0" quotePrefix="0" xfId="4">
      <alignment horizontal="left" vertical="top"/>
    </xf>
    <xf numFmtId="0" fontId="29" fillId="0" borderId="1" applyAlignment="1" pivotButton="0" quotePrefix="0" xfId="4">
      <alignment horizontal="center" vertical="center" wrapText="1"/>
    </xf>
    <xf numFmtId="0" fontId="29" fillId="6" borderId="1" applyAlignment="1" pivotButton="0" quotePrefix="0" xfId="4">
      <alignment horizontal="center" vertical="center" wrapText="1"/>
    </xf>
    <xf numFmtId="0" fontId="29" fillId="5" borderId="1" applyAlignment="1" pivotButton="0" quotePrefix="0" xfId="4">
      <alignment horizontal="center" vertical="center" wrapText="1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2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3" fillId="7" borderId="1" applyAlignment="1" pivotButton="0" quotePrefix="0" xfId="0">
      <alignment vertical="center" wrapText="1"/>
    </xf>
    <xf numFmtId="0" fontId="4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vertical="center"/>
    </xf>
    <xf numFmtId="0" fontId="3" fillId="6" borderId="1" applyAlignment="1" pivotButton="0" quotePrefix="0" xfId="0">
      <alignment vertical="center" wrapText="1"/>
    </xf>
    <xf numFmtId="0" fontId="4" fillId="10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vertical="center" wrapText="1"/>
    </xf>
    <xf numFmtId="0" fontId="2" fillId="9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vertical="center"/>
    </xf>
    <xf numFmtId="0" fontId="3" fillId="11" borderId="1" applyAlignment="1" pivotButton="0" quotePrefix="0" xfId="0">
      <alignment vertical="center"/>
    </xf>
    <xf numFmtId="0" fontId="5" fillId="6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center"/>
    </xf>
    <xf numFmtId="0" fontId="4" fillId="12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vertical="center"/>
    </xf>
    <xf numFmtId="0" fontId="3" fillId="11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/>
    </xf>
    <xf numFmtId="0" fontId="5" fillId="6" borderId="2" applyAlignment="1" pivotButton="0" quotePrefix="0" xfId="0">
      <alignment vertical="center" wrapText="1"/>
    </xf>
    <xf numFmtId="0" fontId="5" fillId="13" borderId="1" applyAlignment="1" pivotButton="0" quotePrefix="0" xfId="0">
      <alignment vertical="center" wrapText="1"/>
    </xf>
    <xf numFmtId="0" fontId="0" fillId="0" borderId="0" applyAlignment="1" pivotButton="0" quotePrefix="0" xfId="0">
      <alignment horizontal="center"/>
    </xf>
    <xf numFmtId="0" fontId="7" fillId="15" borderId="0" applyAlignment="1" pivotButton="0" quotePrefix="0" xfId="0">
      <alignment horizontal="center" vertical="center" wrapText="1"/>
    </xf>
    <xf numFmtId="0" fontId="8" fillId="15" borderId="0" applyAlignment="1" pivotButton="0" quotePrefix="0" xfId="0">
      <alignment horizontal="center" vertical="center" wrapText="1"/>
    </xf>
    <xf numFmtId="0" fontId="9" fillId="15" borderId="0" applyAlignment="1" pivotButton="0" quotePrefix="0" xfId="0">
      <alignment horizontal="center" vertical="center" wrapText="1"/>
    </xf>
    <xf numFmtId="0" fontId="10" fillId="15" borderId="0" applyAlignment="1" pivotButton="0" quotePrefix="0" xfId="0">
      <alignment horizontal="center" vertical="center" wrapText="1"/>
    </xf>
    <xf numFmtId="0" fontId="11" fillId="16" borderId="0" applyAlignment="1" pivotButton="0" quotePrefix="0" xfId="0">
      <alignment horizontal="center" vertical="center"/>
    </xf>
    <xf numFmtId="0" fontId="0" fillId="9" borderId="0" pivotButton="0" quotePrefix="0" xfId="0"/>
    <xf numFmtId="0" fontId="0" fillId="9" borderId="0" applyAlignment="1" pivotButton="0" quotePrefix="0" xfId="0">
      <alignment horizontal="center"/>
    </xf>
    <xf numFmtId="0" fontId="11" fillId="17" borderId="0" applyAlignment="1" pivotButton="0" quotePrefix="0" xfId="0">
      <alignment horizontal="center" vertical="center"/>
    </xf>
    <xf numFmtId="0" fontId="0" fillId="5" borderId="0" pivotButton="0" quotePrefix="0" xfId="0"/>
    <xf numFmtId="0" fontId="0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 wrapText="1"/>
    </xf>
    <xf numFmtId="164" fontId="0" fillId="0" borderId="0" pivotButton="0" quotePrefix="0" xfId="0"/>
    <xf numFmtId="164" fontId="1" fillId="0" borderId="0" pivotButton="0" quotePrefix="0" xfId="0"/>
    <xf numFmtId="0" fontId="0" fillId="6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16" fontId="13" fillId="3" borderId="1" applyAlignment="1" pivotButton="0" quotePrefix="0" xfId="0">
      <alignment wrapText="1"/>
    </xf>
    <xf numFmtId="16" fontId="13" fillId="6" borderId="1" applyAlignment="1" pivotButton="0" quotePrefix="0" xfId="0">
      <alignment horizontal="center" vertical="center" wrapText="1"/>
    </xf>
    <xf numFmtId="16" fontId="12" fillId="9" borderId="1" applyAlignment="1" pivotButton="0" quotePrefix="0" xfId="0">
      <alignment horizontal="center" vertical="center" wrapText="1"/>
    </xf>
    <xf numFmtId="16" fontId="12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top" wrapText="1"/>
    </xf>
    <xf numFmtId="0" fontId="0" fillId="0" borderId="1" pivotButton="0" quotePrefix="0" xfId="0"/>
    <xf numFmtId="16" fontId="13" fillId="6" borderId="4" applyAlignment="1" pivotButton="0" quotePrefix="0" xfId="0">
      <alignment horizontal="center" vertical="center" wrapText="1"/>
    </xf>
    <xf numFmtId="16" fontId="12" fillId="19" borderId="4" applyAlignment="1" pivotButton="0" quotePrefix="0" xfId="0">
      <alignment horizontal="center" vertical="center" wrapText="1"/>
    </xf>
    <xf numFmtId="16" fontId="12" fillId="19" borderId="1" applyAlignment="1" pivotButton="0" quotePrefix="0" xfId="0">
      <alignment horizontal="center" vertical="center" wrapText="1"/>
    </xf>
    <xf numFmtId="0" fontId="12" fillId="19" borderId="1" applyAlignment="1" pivotButton="0" quotePrefix="0" xfId="0">
      <alignment horizontal="center" vertical="center" wrapText="1"/>
    </xf>
    <xf numFmtId="164" fontId="12" fillId="0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164" fontId="1" fillId="0" borderId="0" applyAlignment="1" pivotButton="0" quotePrefix="0" xfId="0">
      <alignment horizontal="center" vertical="center"/>
    </xf>
    <xf numFmtId="165" fontId="1" fillId="0" borderId="0" applyAlignment="1" pivotButton="0" quotePrefix="0" xfId="1">
      <alignment horizontal="center" vertical="center"/>
    </xf>
    <xf numFmtId="0" fontId="0" fillId="6" borderId="0" applyAlignment="1" pivotButton="0" quotePrefix="0" xfId="0">
      <alignment horizontal="center"/>
    </xf>
    <xf numFmtId="16" fontId="12" fillId="6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top"/>
    </xf>
    <xf numFmtId="16" fontId="13" fillId="9" borderId="1" applyAlignment="1" pivotButton="0" quotePrefix="0" xfId="0">
      <alignment horizontal="center" vertical="center" wrapText="1"/>
    </xf>
    <xf numFmtId="16" fontId="13" fillId="3" borderId="1" applyAlignment="1" pivotButton="0" quotePrefix="0" xfId="0">
      <alignment horizontal="center" vertical="center" wrapText="1"/>
    </xf>
    <xf numFmtId="16" fontId="13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0" borderId="1" applyAlignment="1" pivotButton="0" quotePrefix="0" xfId="0">
      <alignment horizontal="center" vertical="top" wrapText="1"/>
    </xf>
    <xf numFmtId="0" fontId="1" fillId="3" borderId="1" applyAlignment="1" pivotButton="0" quotePrefix="0" xfId="0">
      <alignment horizontal="center" vertical="top" wrapText="1"/>
    </xf>
    <xf numFmtId="0" fontId="1" fillId="0" borderId="1" applyAlignment="1" pivotButton="0" quotePrefix="0" xfId="0">
      <alignment horizontal="center" vertical="top"/>
    </xf>
    <xf numFmtId="0" fontId="1" fillId="3" borderId="1" applyAlignment="1" pivotButton="0" quotePrefix="0" xfId="0">
      <alignment horizontal="center" vertical="top"/>
    </xf>
    <xf numFmtId="16" fontId="13" fillId="19" borderId="1" applyAlignment="1" pivotButton="0" quotePrefix="0" xfId="0">
      <alignment horizontal="center" vertical="center" wrapText="1"/>
    </xf>
    <xf numFmtId="0" fontId="13" fillId="19" borderId="1" applyAlignment="1" pivotButton="0" quotePrefix="0" xfId="0">
      <alignment horizontal="center" vertical="center" wrapText="1"/>
    </xf>
    <xf numFmtId="0" fontId="13" fillId="3" borderId="1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/>
    </xf>
    <xf numFmtId="0" fontId="1" fillId="0" borderId="1" pivotButton="0" quotePrefix="0" xfId="0"/>
    <xf numFmtId="0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wrapText="1"/>
    </xf>
    <xf numFmtId="16" fontId="12" fillId="3" borderId="1" applyAlignment="1" pivotButton="0" quotePrefix="0" xfId="0">
      <alignment horizontal="center" vertical="center" wrapText="1"/>
    </xf>
    <xf numFmtId="16" fontId="14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horizontal="center" vertical="top" wrapText="1"/>
    </xf>
    <xf numFmtId="16" fontId="15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top" wrapText="1"/>
    </xf>
    <xf numFmtId="16" fontId="12" fillId="0" borderId="1" applyAlignment="1" pivotButton="0" quotePrefix="0" xfId="0">
      <alignment horizontal="center" vertical="top" wrapText="1"/>
    </xf>
    <xf numFmtId="16" fontId="16" fillId="0" borderId="1" applyAlignment="1" pivotButton="0" quotePrefix="0" xfId="0">
      <alignment horizontal="center" vertical="center" wrapText="1"/>
    </xf>
    <xf numFmtId="16" fontId="14" fillId="0" borderId="1" applyAlignment="1" pivotButton="0" quotePrefix="0" xfId="0">
      <alignment horizontal="center" vertical="center" wrapText="1"/>
    </xf>
    <xf numFmtId="16" fontId="16" fillId="20" borderId="1" applyAlignment="1" pivotButton="0" quotePrefix="0" xfId="0">
      <alignment horizontal="center" vertical="center" wrapText="1"/>
    </xf>
    <xf numFmtId="16" fontId="16" fillId="3" borderId="1" applyAlignment="1" pivotButton="0" quotePrefix="0" xfId="0">
      <alignment horizontal="center" vertical="center" wrapText="1"/>
    </xf>
    <xf numFmtId="16" fontId="12" fillId="3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center" vertical="top" wrapText="1"/>
    </xf>
    <xf numFmtId="16" fontId="17" fillId="19" borderId="1" applyAlignment="1" pivotButton="0" quotePrefix="0" xfId="0">
      <alignment horizontal="center" vertical="center" wrapText="1"/>
    </xf>
    <xf numFmtId="0" fontId="12" fillId="3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18" fillId="0" borderId="0" applyAlignment="1" pivotButton="0" quotePrefix="0" xfId="2">
      <alignment horizontal="left" vertical="center" wrapText="1"/>
    </xf>
    <xf numFmtId="0" fontId="0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0" fillId="0" borderId="1" applyAlignment="1" pivotButton="0" quotePrefix="0" xfId="0">
      <alignment horizontal="left" vertical="center" wrapText="1"/>
    </xf>
    <xf numFmtId="2" fontId="0" fillId="0" borderId="0" pivotButton="0" quotePrefix="0" xfId="0"/>
    <xf numFmtId="2" fontId="12" fillId="9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 wrapText="1"/>
    </xf>
    <xf numFmtId="2" fontId="12" fillId="0" borderId="1" applyAlignment="1" pivotButton="0" quotePrefix="0" xfId="0">
      <alignment horizontal="center" vertical="center" wrapText="1"/>
    </xf>
    <xf numFmtId="0" fontId="18" fillId="0" borderId="1" applyAlignment="1" pivotButton="0" quotePrefix="0" xfId="2">
      <alignment horizontal="left" vertical="center" wrapText="1"/>
    </xf>
    <xf numFmtId="0" fontId="0" fillId="0" borderId="1" applyAlignment="1" pivotButton="0" quotePrefix="0" xfId="0">
      <alignment horizontal="left" vertical="center"/>
    </xf>
    <xf numFmtId="2" fontId="18" fillId="0" borderId="1" applyAlignment="1" pivotButton="0" quotePrefix="0" xfId="2">
      <alignment horizontal="left" vertical="center" wrapText="1"/>
    </xf>
    <xf numFmtId="0" fontId="1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wrapText="1"/>
    </xf>
    <xf numFmtId="2" fontId="12" fillId="19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 wrapText="1"/>
    </xf>
    <xf numFmtId="0" fontId="12" fillId="19" borderId="4" applyAlignment="1" pivotButton="0" quotePrefix="0" xfId="0">
      <alignment horizontal="center" vertical="center" wrapText="1"/>
    </xf>
    <xf numFmtId="16" fontId="13" fillId="9" borderId="9" applyAlignment="1" pivotButton="0" quotePrefix="0" xfId="0">
      <alignment horizontal="center" vertical="center" wrapText="1"/>
    </xf>
    <xf numFmtId="16" fontId="13" fillId="0" borderId="9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left" vertical="center" wrapText="1"/>
    </xf>
    <xf numFmtId="16" fontId="13" fillId="19" borderId="9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165" fontId="1" fillId="0" borderId="0" pivotButton="0" quotePrefix="0" xfId="1"/>
    <xf numFmtId="16" fontId="19" fillId="19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/>
    </xf>
    <xf numFmtId="2" fontId="13" fillId="3" borderId="11" applyAlignment="1" pivotButton="0" quotePrefix="0" xfId="0">
      <alignment horizontal="center"/>
    </xf>
    <xf numFmtId="16" fontId="12" fillId="18" borderId="1" applyAlignment="1" pivotButton="0" quotePrefix="0" xfId="0">
      <alignment horizontal="center" vertical="center" wrapText="1"/>
    </xf>
    <xf numFmtId="16" fontId="13" fillId="3" borderId="1" applyAlignment="1" pivotButton="0" quotePrefix="0" xfId="0">
      <alignment horizontal="center"/>
    </xf>
    <xf numFmtId="166" fontId="19" fillId="19" borderId="1" applyAlignment="1" pivotButton="0" quotePrefix="0" xfId="0">
      <alignment horizontal="center" vertical="center" wrapText="1"/>
    </xf>
    <xf numFmtId="0" fontId="12" fillId="0" borderId="0" applyAlignment="1" pivotButton="0" quotePrefix="0" xfId="0">
      <alignment vertical="center"/>
    </xf>
    <xf numFmtId="0" fontId="12" fillId="0" borderId="0" pivotButton="0" quotePrefix="0" xfId="0"/>
    <xf numFmtId="0" fontId="20" fillId="6" borderId="1" applyAlignment="1" pivotButton="0" quotePrefix="0" xfId="0">
      <alignment horizontal="center" vertical="center" wrapText="1"/>
    </xf>
    <xf numFmtId="0" fontId="21" fillId="6" borderId="1" applyAlignment="1" pivotButton="0" quotePrefix="0" xfId="0">
      <alignment horizontal="center" vertical="center" wrapText="1"/>
    </xf>
    <xf numFmtId="2" fontId="12" fillId="3" borderId="1" applyAlignment="1" pivotButton="0" quotePrefix="0" xfId="0">
      <alignment horizontal="center" vertical="center" wrapText="1"/>
    </xf>
    <xf numFmtId="0" fontId="22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  <xf numFmtId="0" fontId="0" fillId="21" borderId="12" applyAlignment="1" pivotButton="0" quotePrefix="0" xfId="0">
      <alignment horizontal="center" vertical="center" wrapText="1"/>
    </xf>
    <xf numFmtId="0" fontId="0" fillId="21" borderId="13" applyAlignment="1" pivotButton="0" quotePrefix="0" xfId="0">
      <alignment horizontal="center" vertical="center" wrapText="1"/>
    </xf>
    <xf numFmtId="0" fontId="0" fillId="21" borderId="13" applyAlignment="1" pivotButton="0" quotePrefix="0" xfId="0">
      <alignment horizontal="left" vertical="center" wrapText="1"/>
    </xf>
    <xf numFmtId="0" fontId="0" fillId="21" borderId="14" applyAlignment="1" pivotButton="0" quotePrefix="0" xfId="0">
      <alignment horizontal="center" vertical="center" wrapText="1"/>
    </xf>
    <xf numFmtId="0" fontId="0" fillId="0" borderId="16" applyAlignment="1" pivotButton="0" quotePrefix="0" xfId="0">
      <alignment horizontal="center" vertical="center" wrapText="1"/>
    </xf>
    <xf numFmtId="16" fontId="12" fillId="18" borderId="15" applyAlignment="1" pivotButton="0" quotePrefix="0" xfId="0">
      <alignment horizontal="center" vertical="center" wrapText="1"/>
    </xf>
    <xf numFmtId="16" fontId="12" fillId="3" borderId="15" applyAlignment="1" pivotButton="0" quotePrefix="0" xfId="0">
      <alignment horizontal="center" vertical="center" wrapText="1"/>
    </xf>
    <xf numFmtId="16" fontId="13" fillId="9" borderId="18" applyAlignment="1" pivotButton="0" quotePrefix="0" xfId="0">
      <alignment horizontal="center" vertical="center" wrapText="1"/>
    </xf>
    <xf numFmtId="0" fontId="0" fillId="0" borderId="18" applyAlignment="1" pivotButton="0" quotePrefix="0" xfId="0">
      <alignment horizontal="left" vertical="center" wrapText="1"/>
    </xf>
    <xf numFmtId="0" fontId="0" fillId="0" borderId="19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left" vertical="center" wrapText="1"/>
    </xf>
    <xf numFmtId="0" fontId="15" fillId="0" borderId="0" applyAlignment="1" pivotButton="0" quotePrefix="0" xfId="0">
      <alignment horizontal="center"/>
    </xf>
    <xf numFmtId="0" fontId="15" fillId="0" borderId="0" pivotButton="0" quotePrefix="0" xfId="0"/>
    <xf numFmtId="0" fontId="15" fillId="21" borderId="1" applyAlignment="1" pivotButton="0" quotePrefix="0" xfId="0">
      <alignment horizontal="center" vertical="center" wrapText="1"/>
    </xf>
    <xf numFmtId="16" fontId="12" fillId="21" borderId="1" applyAlignment="1" pivotButton="0" quotePrefix="0" xfId="0">
      <alignment horizontal="center" vertical="center" wrapText="1"/>
    </xf>
    <xf numFmtId="0" fontId="15" fillId="21" borderId="1" applyAlignment="1" pivotButton="0" quotePrefix="0" xfId="0">
      <alignment horizontal="left" vertical="center" wrapText="1"/>
    </xf>
    <xf numFmtId="0" fontId="15" fillId="21" borderId="0" pivotButton="0" quotePrefix="0" xfId="0"/>
    <xf numFmtId="0" fontId="15" fillId="21" borderId="3" applyAlignment="1" pivotButton="0" quotePrefix="0" xfId="0">
      <alignment horizontal="center" vertical="center" wrapText="1"/>
    </xf>
    <xf numFmtId="0" fontId="15" fillId="6" borderId="1" applyAlignment="1" pivotButton="0" quotePrefix="0" xfId="0">
      <alignment horizontal="center" vertical="center" wrapText="1"/>
    </xf>
    <xf numFmtId="0" fontId="15" fillId="6" borderId="1" applyAlignment="1" pivotButton="0" quotePrefix="0" xfId="0">
      <alignment horizontal="left" vertical="center" wrapText="1"/>
    </xf>
    <xf numFmtId="0" fontId="15" fillId="0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left" vertical="center" wrapText="1"/>
    </xf>
    <xf numFmtId="166" fontId="17" fillId="19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center" wrapText="1"/>
    </xf>
    <xf numFmtId="0" fontId="24" fillId="0" borderId="1" applyAlignment="1" pivotButton="0" quotePrefix="0" xfId="2">
      <alignment horizontal="center" vertical="center" wrapText="1"/>
    </xf>
    <xf numFmtId="0" fontId="24" fillId="0" borderId="1" applyAlignment="1" pivotButton="0" quotePrefix="0" xfId="2">
      <alignment horizontal="left" vertical="center" wrapText="1"/>
    </xf>
    <xf numFmtId="0" fontId="25" fillId="9" borderId="1" applyAlignment="1" pivotButton="0" quotePrefix="0" xfId="0">
      <alignment horizontal="center" vertical="center" wrapText="1"/>
    </xf>
    <xf numFmtId="16" fontId="12" fillId="0" borderId="1" applyAlignment="1" pivotButton="0" quotePrefix="0" xfId="0">
      <alignment horizontal="left" vertical="center" wrapText="1"/>
    </xf>
    <xf numFmtId="0" fontId="15" fillId="2" borderId="1" applyAlignment="1" pivotButton="0" quotePrefix="0" xfId="0">
      <alignment horizontal="center" vertical="center" wrapText="1"/>
    </xf>
    <xf numFmtId="0" fontId="15" fillId="2" borderId="1" applyAlignment="1" pivotButton="0" quotePrefix="0" xfId="0">
      <alignment horizontal="left" vertical="center" wrapText="1"/>
    </xf>
    <xf numFmtId="0" fontId="15" fillId="5" borderId="1" applyAlignment="1" pivotButton="0" quotePrefix="0" xfId="0">
      <alignment horizontal="center" vertical="center" wrapText="1"/>
    </xf>
    <xf numFmtId="2" fontId="15" fillId="0" borderId="1" applyAlignment="1" pivotButton="0" quotePrefix="0" xfId="0">
      <alignment horizontal="left" vertical="center" wrapText="1"/>
    </xf>
    <xf numFmtId="2" fontId="12" fillId="21" borderId="1" applyAlignment="1" pivotButton="0" quotePrefix="0" xfId="0">
      <alignment horizontal="center" vertical="center" wrapText="1"/>
    </xf>
    <xf numFmtId="2" fontId="15" fillId="21" borderId="1" applyAlignment="1" pivotButton="0" quotePrefix="0" xfId="0">
      <alignment horizontal="center" vertical="center" wrapText="1"/>
    </xf>
    <xf numFmtId="2" fontId="15" fillId="0" borderId="1" applyAlignment="1" pivotButton="0" quotePrefix="0" xfId="0">
      <alignment horizontal="center" vertical="center" wrapText="1"/>
    </xf>
    <xf numFmtId="0" fontId="0" fillId="6" borderId="0" pivotButton="0" quotePrefix="0" xfId="0"/>
    <xf numFmtId="0" fontId="26" fillId="6" borderId="1" pivotButton="0" quotePrefix="0" xfId="0"/>
    <xf numFmtId="0" fontId="27" fillId="6" borderId="1" applyAlignment="1" pivotButton="0" quotePrefix="0" xfId="0">
      <alignment horizontal="center" vertical="center"/>
    </xf>
    <xf numFmtId="0" fontId="0" fillId="2" borderId="1" pivotButton="0" quotePrefix="0" xfId="0"/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27" fillId="2" borderId="2" applyAlignment="1" pivotButton="0" quotePrefix="0" xfId="0">
      <alignment horizontal="center" vertical="center"/>
    </xf>
    <xf numFmtId="0" fontId="0" fillId="22" borderId="1" pivotButton="0" quotePrefix="0" xfId="0"/>
    <xf numFmtId="0" fontId="27" fillId="2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0" fontId="0" fillId="0" borderId="15" applyAlignment="1" pivotButton="0" quotePrefix="0" xfId="0">
      <alignment horizontal="center" vertical="center" wrapText="1"/>
    </xf>
    <xf numFmtId="0" fontId="0" fillId="0" borderId="16" applyAlignment="1" pivotButton="0" quotePrefix="0" xfId="0">
      <alignment horizontal="left" vertical="center" wrapText="1"/>
    </xf>
    <xf numFmtId="0" fontId="0" fillId="0" borderId="17" applyAlignment="1" pivotButton="0" quotePrefix="0" xfId="0">
      <alignment horizontal="center" vertical="center" wrapText="1"/>
    </xf>
    <xf numFmtId="0" fontId="0" fillId="0" borderId="19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center" vertical="center"/>
    </xf>
    <xf numFmtId="0" fontId="11" fillId="23" borderId="0" applyAlignment="1" pivotButton="0" quotePrefix="0" xfId="0">
      <alignment horizontal="center" vertical="center"/>
    </xf>
    <xf numFmtId="0" fontId="11" fillId="24" borderId="0" applyAlignment="1" pivotButton="0" quotePrefix="0" xfId="0">
      <alignment horizontal="center" vertical="center"/>
    </xf>
    <xf numFmtId="0" fontId="11" fillId="25" borderId="0" applyAlignment="1" pivotButton="0" quotePrefix="0" xfId="0">
      <alignment horizontal="center" vertical="center"/>
    </xf>
    <xf numFmtId="0" fontId="11" fillId="26" borderId="0" applyAlignment="1" pivotButton="0" quotePrefix="0" xfId="0">
      <alignment horizontal="center" vertical="center"/>
    </xf>
    <xf numFmtId="167" fontId="0" fillId="0" borderId="0" pivotButton="0" quotePrefix="0" xfId="0"/>
    <xf numFmtId="16" fontId="13" fillId="18" borderId="11" applyAlignment="1" pivotButton="0" quotePrefix="0" xfId="0">
      <alignment horizontal="center"/>
    </xf>
    <xf numFmtId="0" fontId="0" fillId="0" borderId="8" pivotButton="0" quotePrefix="0" xfId="0"/>
    <xf numFmtId="2" fontId="13" fillId="3" borderId="11" applyAlignment="1" pivotButton="0" quotePrefix="0" xfId="0">
      <alignment horizontal="center"/>
    </xf>
    <xf numFmtId="16" fontId="13" fillId="18" borderId="1" applyAlignment="1" pivotButton="0" quotePrefix="0" xfId="0">
      <alignment horizontal="center" wrapText="1"/>
    </xf>
    <xf numFmtId="0" fontId="0" fillId="0" borderId="9" pivotButton="0" quotePrefix="0" xfId="0"/>
    <xf numFmtId="16" fontId="13" fillId="18" borderId="1" applyAlignment="1" pivotButton="0" quotePrefix="0" xfId="0">
      <alignment horizontal="center"/>
    </xf>
    <xf numFmtId="164" fontId="1" fillId="6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6" pivotButton="0" quotePrefix="0" xfId="0"/>
    <xf numFmtId="16" fontId="13" fillId="3" borderId="1" applyAlignment="1" pivotButton="0" quotePrefix="0" xfId="0">
      <alignment horizontal="center"/>
    </xf>
    <xf numFmtId="0" fontId="0" fillId="6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16" fontId="12" fillId="18" borderId="1" applyAlignment="1" pivotButton="0" quotePrefix="0" xfId="0">
      <alignment horizontal="center" vertical="center" wrapText="1"/>
    </xf>
    <xf numFmtId="16" fontId="12" fillId="3" borderId="1" applyAlignment="1" pivotButton="0" quotePrefix="0" xfId="0">
      <alignment horizontal="center" vertical="center" wrapText="1"/>
    </xf>
    <xf numFmtId="2" fontId="12" fillId="3" borderId="1" applyAlignment="1" pivotButton="0" quotePrefix="0" xfId="0">
      <alignment horizontal="center" vertical="center" wrapText="1"/>
    </xf>
    <xf numFmtId="16" fontId="12" fillId="18" borderId="6" applyAlignment="1" pivotButton="0" quotePrefix="0" xfId="0">
      <alignment horizontal="center" vertical="center" wrapText="1"/>
    </xf>
    <xf numFmtId="0" fontId="15" fillId="20" borderId="1" applyAlignment="1" pivotButton="0" quotePrefix="0" xfId="0">
      <alignment horizontal="center" vertical="center" wrapText="1"/>
    </xf>
    <xf numFmtId="16" fontId="12" fillId="18" borderId="15" applyAlignment="1" pivotButton="0" quotePrefix="0" xfId="0">
      <alignment horizontal="center" vertical="center" wrapText="1"/>
    </xf>
    <xf numFmtId="0" fontId="0" fillId="0" borderId="20" pivotButton="0" quotePrefix="0" xfId="0"/>
    <xf numFmtId="0" fontId="0" fillId="0" borderId="21" pivotButton="0" quotePrefix="0" xfId="0"/>
    <xf numFmtId="2" fontId="12" fillId="3" borderId="15" applyAlignment="1" pivotButton="0" quotePrefix="0" xfId="0">
      <alignment horizontal="center" vertical="center" wrapText="1"/>
    </xf>
    <xf numFmtId="16" fontId="12" fillId="3" borderId="15" applyAlignment="1" pivotButton="0" quotePrefix="0" xfId="0">
      <alignment horizontal="center" vertical="center" wrapText="1"/>
    </xf>
    <xf numFmtId="16" fontId="13" fillId="18" borderId="15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0" fontId="23" fillId="3" borderId="1" applyAlignment="1" pivotButton="0" quotePrefix="0" xfId="0">
      <alignment horizontal="center" vertical="center" wrapText="1"/>
    </xf>
    <xf numFmtId="16" fontId="13" fillId="18" borderId="9" applyAlignment="1" pivotButton="0" quotePrefix="0" xfId="0">
      <alignment horizontal="center"/>
    </xf>
    <xf numFmtId="16" fontId="13" fillId="18" borderId="7" applyAlignment="1" pivotButton="0" quotePrefix="0" xfId="0">
      <alignment horizontal="center" vertical="center" wrapText="1"/>
    </xf>
    <xf numFmtId="0" fontId="0" fillId="0" borderId="5" pivotButton="0" quotePrefix="0" xfId="0"/>
    <xf numFmtId="16" fontId="13" fillId="18" borderId="1" applyAlignment="1" pivotButton="0" quotePrefix="0" xfId="0">
      <alignment horizontal="center" vertical="center" wrapText="1"/>
    </xf>
    <xf numFmtId="16" fontId="13" fillId="18" borderId="5" applyAlignment="1" pivotButton="0" quotePrefix="0" xfId="0">
      <alignment horizontal="center" vertical="center" wrapText="1"/>
    </xf>
    <xf numFmtId="16" fontId="13" fillId="18" borderId="3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6" borderId="1" applyAlignment="1" pivotButton="0" quotePrefix="0" xfId="0">
      <alignment horizontal="center" vertical="center"/>
    </xf>
    <xf numFmtId="16" fontId="13" fillId="18" borderId="0" applyAlignment="1" pivotButton="0" quotePrefix="0" xfId="0">
      <alignment horizontal="center" vertical="center" wrapText="1"/>
    </xf>
    <xf numFmtId="16" fontId="12" fillId="18" borderId="6" applyAlignment="1" pivotButton="0" quotePrefix="0" xfId="0">
      <alignment horizontal="center"/>
    </xf>
    <xf numFmtId="0" fontId="0" fillId="0" borderId="10" pivotButton="0" quotePrefix="0" xfId="0"/>
    <xf numFmtId="16" fontId="12" fillId="18" borderId="1" applyAlignment="1" pivotButton="0" quotePrefix="0" xfId="0">
      <alignment horizontal="center"/>
    </xf>
    <xf numFmtId="164" fontId="0" fillId="6" borderId="1" applyAlignment="1" pivotButton="0" quotePrefix="0" xfId="0">
      <alignment horizontal="center" vertical="center" wrapText="1"/>
    </xf>
    <xf numFmtId="16" fontId="12" fillId="18" borderId="1" applyAlignment="1" pivotButton="0" quotePrefix="0" xfId="0">
      <alignment horizontal="center" wrapText="1"/>
    </xf>
    <xf numFmtId="16" fontId="12" fillId="3" borderId="7" applyAlignment="1" pivotButton="0" quotePrefix="0" xfId="0">
      <alignment horizontal="center"/>
    </xf>
    <xf numFmtId="2" fontId="12" fillId="3" borderId="1" applyAlignment="1" pivotButton="0" quotePrefix="0" xfId="0">
      <alignment horizontal="center"/>
    </xf>
    <xf numFmtId="16" fontId="12" fillId="3" borderId="1" applyAlignment="1" pivotButton="0" quotePrefix="0" xfId="0">
      <alignment horizontal="center"/>
    </xf>
    <xf numFmtId="0" fontId="0" fillId="20" borderId="1" applyAlignment="1" pivotButton="0" quotePrefix="0" xfId="0">
      <alignment horizontal="center"/>
    </xf>
    <xf numFmtId="16" fontId="12" fillId="18" borderId="11" applyAlignment="1" pivotButton="0" quotePrefix="0" xfId="0">
      <alignment horizontal="center" wrapText="1"/>
    </xf>
    <xf numFmtId="2" fontId="12" fillId="3" borderId="9" applyAlignment="1" pivotButton="0" quotePrefix="0" xfId="0">
      <alignment horizontal="center"/>
    </xf>
    <xf numFmtId="16" fontId="12" fillId="18" borderId="5" applyAlignment="1" pivotButton="0" quotePrefix="0" xfId="0">
      <alignment horizontal="center" wrapText="1"/>
    </xf>
    <xf numFmtId="16" fontId="12" fillId="18" borderId="5" applyAlignment="1" pivotButton="0" quotePrefix="0" xfId="0">
      <alignment horizontal="center"/>
    </xf>
    <xf numFmtId="16" fontId="12" fillId="18" borderId="7" applyAlignment="1" pivotButton="0" quotePrefix="0" xfId="0">
      <alignment horizontal="center"/>
    </xf>
    <xf numFmtId="16" fontId="12" fillId="18" borderId="7" applyAlignment="1" pivotButton="0" quotePrefix="0" xfId="0">
      <alignment horizontal="center" wrapText="1"/>
    </xf>
    <xf numFmtId="16" fontId="12" fillId="3" borderId="5" applyAlignment="1" pivotButton="0" quotePrefix="0" xfId="0">
      <alignment horizontal="center" wrapText="1"/>
    </xf>
    <xf numFmtId="16" fontId="13" fillId="18" borderId="7" applyAlignment="1" pivotButton="0" quotePrefix="0" xfId="0">
      <alignment horizontal="center" wrapText="1"/>
    </xf>
    <xf numFmtId="16" fontId="13" fillId="3" borderId="5" applyAlignment="1" pivotButton="0" quotePrefix="0" xfId="0">
      <alignment horizontal="center" wrapText="1"/>
    </xf>
    <xf numFmtId="0" fontId="6" fillId="14" borderId="0" applyAlignment="1" pivotButton="0" quotePrefix="0" xfId="0">
      <alignment horizontal="center" vertical="center"/>
    </xf>
    <xf numFmtId="0" fontId="29" fillId="0" borderId="3" applyAlignment="1" pivotButton="0" quotePrefix="0" xfId="4">
      <alignment horizontal="center" vertical="center"/>
    </xf>
    <xf numFmtId="0" fontId="0" fillId="0" borderId="3" pivotButton="0" quotePrefix="0" xfId="0"/>
    <xf numFmtId="167" fontId="0" fillId="0" borderId="0" pivotButton="0" quotePrefix="0" xfId="0"/>
    <xf numFmtId="168" fontId="0" fillId="0" borderId="0" pivotButton="0" quotePrefix="0" xfId="0"/>
    <xf numFmtId="168" fontId="0" fillId="0" borderId="0" pivotButton="0" quotePrefix="0" xfId="0"/>
  </cellXfs>
  <cellStyles count="5">
    <cellStyle name="Normal" xfId="0" builtinId="0"/>
    <cellStyle name="Currency" xfId="1" builtinId="4"/>
    <cellStyle name="常规 13" xfId="2"/>
    <cellStyle name="常规 2" xfId="3"/>
    <cellStyle name="常规 2 3" xfId="4"/>
  </cellStyles>
  <dxfs count="345">
    <dxf>
      <fill>
        <patternFill patternType="solid">
          <bgColor rgb="FF00B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7" tint="0.3999145481734672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7" tint="0.3999145481734672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7" tint="0.3999145481734672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7" tint="0.5999633777886288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7" tint="0.5999633777886288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7" tint="0.7999206518753624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7" tint="0.7999206518753624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7" tint="0.5999633777886288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7" tint="0.3999145481734672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7" tint="0.399914548173467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7" tint="0.399914548173467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J164"/>
  <sheetViews>
    <sheetView workbookViewId="0">
      <pane ySplit="2" topLeftCell="A3" activePane="bottomLeft" state="frozen"/>
      <selection pane="bottomLeft" activeCell="H14" sqref="H14"/>
    </sheetView>
  </sheetViews>
  <sheetFormatPr baseColWidth="8" defaultColWidth="9" defaultRowHeight="15"/>
  <cols>
    <col width="12.140625" customWidth="1" style="241" min="1" max="1"/>
    <col width="13.42578125" customWidth="1" style="241" min="2" max="2"/>
    <col width="19.42578125" customWidth="1" style="241" min="3" max="3"/>
    <col width="29.85546875" customWidth="1" style="241" min="4" max="4"/>
    <col hidden="1" width="23.42578125" customWidth="1" style="241" min="5" max="5"/>
    <col width="39.42578125" customWidth="1" style="241" min="6" max="6"/>
    <col width="11" customWidth="1" style="241" min="7" max="7"/>
    <col width="16.42578125" customWidth="1" style="241" min="8" max="8"/>
    <col width="14.42578125" customWidth="1" style="241" min="9" max="9"/>
    <col width="40.85546875" customWidth="1" style="241" min="10" max="10"/>
  </cols>
  <sheetData>
    <row r="2" ht="30" customHeight="1" s="241">
      <c r="A2" s="43" t="inlineStr">
        <is>
          <t>Process Stream</t>
        </is>
      </c>
      <c r="B2" s="43" t="inlineStr">
        <is>
          <t>Process Sub Stream</t>
        </is>
      </c>
      <c r="C2" s="43" t="inlineStr">
        <is>
          <t>Process Step</t>
        </is>
      </c>
      <c r="D2" s="43" t="inlineStr">
        <is>
          <t>Process Block</t>
        </is>
      </c>
      <c r="E2" s="43" t="inlineStr">
        <is>
          <t>PTS Parameter Code</t>
        </is>
      </c>
      <c r="F2" s="43" t="inlineStr">
        <is>
          <t>PTS Parameter Name</t>
        </is>
      </c>
      <c r="G2" s="43" t="inlineStr">
        <is>
          <t>Unit Of Measure</t>
        </is>
      </c>
      <c r="H2" s="43" t="inlineStr">
        <is>
          <t>Global</t>
        </is>
      </c>
      <c r="J2" s="43" t="inlineStr">
        <is>
          <t>Remark</t>
        </is>
      </c>
    </row>
    <row r="3">
      <c r="A3" s="47" t="inlineStr">
        <is>
          <t>Brewing</t>
        </is>
      </c>
      <c r="B3" s="47" t="inlineStr">
        <is>
          <t>Brewhouse</t>
        </is>
      </c>
      <c r="C3" s="47" t="inlineStr">
        <is>
          <t>Brewhouse</t>
        </is>
      </c>
      <c r="D3" s="47" t="inlineStr">
        <is>
          <t>Adjunct Cooker</t>
        </is>
      </c>
      <c r="E3" s="47" t="inlineStr">
        <is>
          <t>P.BR.BH.ADJ.0016</t>
        </is>
      </c>
      <c r="F3" s="47" t="inlineStr">
        <is>
          <t>Adjunct Cooker Cycle Duration</t>
        </is>
      </c>
      <c r="G3" s="47" t="inlineStr">
        <is>
          <t>min</t>
        </is>
      </c>
      <c r="H3" s="204" t="inlineStr">
        <is>
          <t>Global</t>
        </is>
      </c>
      <c r="I3" s="47" t="inlineStr">
        <is>
          <t>OK</t>
        </is>
      </c>
    </row>
    <row r="4">
      <c r="A4" s="47" t="inlineStr">
        <is>
          <t>Brewing</t>
        </is>
      </c>
      <c r="B4" s="47" t="inlineStr">
        <is>
          <t>Brewhouse</t>
        </is>
      </c>
      <c r="C4" s="47" t="inlineStr">
        <is>
          <t>Brewhouse</t>
        </is>
      </c>
      <c r="D4" s="47" t="inlineStr">
        <is>
          <t>Mashing</t>
        </is>
      </c>
      <c r="E4" s="47" t="inlineStr">
        <is>
          <t>P.BR.BH.MSH.0009</t>
        </is>
      </c>
      <c r="F4" s="47" t="inlineStr">
        <is>
          <t>Mash-In Temperature Malt</t>
        </is>
      </c>
      <c r="G4" s="47" t="inlineStr">
        <is>
          <t>°C</t>
        </is>
      </c>
      <c r="H4" s="204" t="inlineStr">
        <is>
          <t>Global</t>
        </is>
      </c>
      <c r="I4" s="47" t="inlineStr">
        <is>
          <t>OK</t>
        </is>
      </c>
      <c r="J4" s="47" t="inlineStr">
        <is>
          <t>Record the Temp.  At the end mash in</t>
        </is>
      </c>
    </row>
    <row r="5">
      <c r="A5" s="50" t="inlineStr">
        <is>
          <t>Brewing</t>
        </is>
      </c>
      <c r="B5" s="50" t="inlineStr">
        <is>
          <t>Brewhouse</t>
        </is>
      </c>
      <c r="C5" s="50" t="inlineStr">
        <is>
          <t>Brewhouse</t>
        </is>
      </c>
      <c r="D5" s="50" t="inlineStr">
        <is>
          <t>Mashing</t>
        </is>
      </c>
      <c r="E5" s="50" t="inlineStr">
        <is>
          <t>P.BR.BH.MSH.0015</t>
        </is>
      </c>
      <c r="F5" s="50" t="inlineStr">
        <is>
          <t>Mash Cooker Pumpback Temperature</t>
        </is>
      </c>
      <c r="G5" s="50" t="inlineStr">
        <is>
          <t>°C</t>
        </is>
      </c>
      <c r="H5" s="204" t="inlineStr">
        <is>
          <t>Global</t>
        </is>
      </c>
      <c r="I5" s="50" t="inlineStr">
        <is>
          <t>OK</t>
        </is>
      </c>
    </row>
    <row r="6">
      <c r="A6" s="47" t="inlineStr">
        <is>
          <t>Brewing</t>
        </is>
      </c>
      <c r="B6" s="47" t="inlineStr">
        <is>
          <t>Brewhouse</t>
        </is>
      </c>
      <c r="C6" s="47" t="inlineStr">
        <is>
          <t>Brewhouse</t>
        </is>
      </c>
      <c r="D6" s="47" t="inlineStr">
        <is>
          <t>Mashing</t>
        </is>
      </c>
      <c r="E6" s="47" t="inlineStr">
        <is>
          <t>P.BR.BH.MSH.0028</t>
        </is>
      </c>
      <c r="F6" s="47" t="inlineStr">
        <is>
          <t>Total Mash Vessel Occupancy Duration</t>
        </is>
      </c>
      <c r="G6" s="47" t="inlineStr">
        <is>
          <t>min</t>
        </is>
      </c>
      <c r="H6" s="204" t="inlineStr">
        <is>
          <t>Global</t>
        </is>
      </c>
      <c r="I6" s="50" t="inlineStr">
        <is>
          <t>OK</t>
        </is>
      </c>
    </row>
    <row r="7">
      <c r="A7" s="50" t="inlineStr">
        <is>
          <t>Brewing</t>
        </is>
      </c>
      <c r="B7" s="50" t="inlineStr">
        <is>
          <t>Brewhouse</t>
        </is>
      </c>
      <c r="C7" s="50" t="inlineStr">
        <is>
          <t>Brewhouse</t>
        </is>
      </c>
      <c r="D7" s="50" t="inlineStr">
        <is>
          <t>Lauter Tun</t>
        </is>
      </c>
      <c r="E7" s="50" t="inlineStr">
        <is>
          <t>P.BR.BH.LTN.0001</t>
        </is>
      </c>
      <c r="F7" s="50" t="inlineStr">
        <is>
          <t>Vorlauf Duration</t>
        </is>
      </c>
      <c r="G7" s="50" t="inlineStr">
        <is>
          <t>min</t>
        </is>
      </c>
      <c r="H7" s="204" t="inlineStr">
        <is>
          <t>Global</t>
        </is>
      </c>
      <c r="I7" s="50" t="inlineStr">
        <is>
          <t>OK</t>
        </is>
      </c>
    </row>
    <row r="8">
      <c r="A8" s="47" t="inlineStr">
        <is>
          <t>Brewing</t>
        </is>
      </c>
      <c r="B8" s="47" t="inlineStr">
        <is>
          <t>Brewhouse</t>
        </is>
      </c>
      <c r="C8" s="47" t="inlineStr">
        <is>
          <t>Brewhouse</t>
        </is>
      </c>
      <c r="D8" s="47" t="inlineStr">
        <is>
          <t>Lauter Tun</t>
        </is>
      </c>
      <c r="E8" s="47" t="inlineStr">
        <is>
          <t>P.BR.BH.LTN.0002</t>
        </is>
      </c>
      <c r="F8" s="47" t="inlineStr">
        <is>
          <t>First Wort Extract</t>
        </is>
      </c>
      <c r="G8" s="47" t="inlineStr">
        <is>
          <t>°P</t>
        </is>
      </c>
      <c r="H8" s="204" t="inlineStr">
        <is>
          <t>Global</t>
        </is>
      </c>
      <c r="I8" s="50" t="inlineStr">
        <is>
          <t>OK</t>
        </is>
      </c>
    </row>
    <row r="9">
      <c r="A9" s="50" t="inlineStr">
        <is>
          <t>Brewing</t>
        </is>
      </c>
      <c r="B9" s="50" t="inlineStr">
        <is>
          <t>Brewhouse</t>
        </is>
      </c>
      <c r="C9" s="50" t="inlineStr">
        <is>
          <t>Brewhouse</t>
        </is>
      </c>
      <c r="D9" s="50" t="inlineStr">
        <is>
          <t>Lauter Tun</t>
        </is>
      </c>
      <c r="E9" s="50" t="inlineStr">
        <is>
          <t>P.BR.BH.LTN.0007</t>
        </is>
      </c>
      <c r="F9" s="50" t="inlineStr">
        <is>
          <t>Weak Wort Extract (Last Runnings)</t>
        </is>
      </c>
      <c r="G9" s="50" t="inlineStr">
        <is>
          <t>°P</t>
        </is>
      </c>
      <c r="H9" s="204" t="inlineStr">
        <is>
          <t>Global</t>
        </is>
      </c>
      <c r="I9" s="50" t="inlineStr">
        <is>
          <t>OK</t>
        </is>
      </c>
    </row>
    <row r="10">
      <c r="A10" s="47" t="inlineStr">
        <is>
          <t>Brewing</t>
        </is>
      </c>
      <c r="B10" s="47" t="inlineStr">
        <is>
          <t>Brewhouse</t>
        </is>
      </c>
      <c r="C10" s="47" t="inlineStr">
        <is>
          <t>Brewhouse</t>
        </is>
      </c>
      <c r="D10" s="47" t="inlineStr">
        <is>
          <t>Lauter Tun</t>
        </is>
      </c>
      <c r="E10" s="47" t="inlineStr">
        <is>
          <t>P.BR.BH.LTN.0008</t>
        </is>
      </c>
      <c r="F10" s="47" t="inlineStr">
        <is>
          <t>Lautering Duration</t>
        </is>
      </c>
      <c r="G10" s="47" t="inlineStr">
        <is>
          <t>min</t>
        </is>
      </c>
      <c r="H10" s="204" t="inlineStr">
        <is>
          <t>Global</t>
        </is>
      </c>
      <c r="I10" s="50" t="inlineStr">
        <is>
          <t>OK</t>
        </is>
      </c>
      <c r="J10" s="47" t="inlineStr">
        <is>
          <t>Wort run off time</t>
        </is>
      </c>
    </row>
    <row r="11">
      <c r="A11" s="50" t="inlineStr">
        <is>
          <t>Brewing</t>
        </is>
      </c>
      <c r="B11" s="50" t="inlineStr">
        <is>
          <t>Brewhouse</t>
        </is>
      </c>
      <c r="C11" s="50" t="inlineStr">
        <is>
          <t>Brewhouse</t>
        </is>
      </c>
      <c r="D11" s="50" t="inlineStr">
        <is>
          <t>Lauter Tun</t>
        </is>
      </c>
      <c r="E11" s="50" t="inlineStr">
        <is>
          <t>P.BR.BH.LTN.0009</t>
        </is>
      </c>
      <c r="F11" s="50" t="inlineStr">
        <is>
          <t>Sparge Water Temperature</t>
        </is>
      </c>
      <c r="G11" s="50" t="inlineStr">
        <is>
          <t>°C</t>
        </is>
      </c>
      <c r="H11" s="204" t="inlineStr">
        <is>
          <t>Global</t>
        </is>
      </c>
      <c r="I11" s="205" t="inlineStr">
        <is>
          <t>NOK</t>
        </is>
      </c>
      <c r="J11" s="47" t="inlineStr">
        <is>
          <t>加在excel中给Global，大区本期不出图</t>
        </is>
      </c>
    </row>
    <row r="12">
      <c r="A12" s="47" t="inlineStr">
        <is>
          <t>Brewing</t>
        </is>
      </c>
      <c r="B12" s="47" t="inlineStr">
        <is>
          <t>Brewhouse</t>
        </is>
      </c>
      <c r="C12" s="47" t="inlineStr">
        <is>
          <t>Brewhouse</t>
        </is>
      </c>
      <c r="D12" s="47" t="inlineStr">
        <is>
          <t>Lauter Tun</t>
        </is>
      </c>
      <c r="E12" s="47" t="inlineStr">
        <is>
          <t>P.BR.BH.LTN.0010</t>
        </is>
      </c>
      <c r="F12" s="47" t="inlineStr">
        <is>
          <t>Sparge Water pH</t>
        </is>
      </c>
      <c r="G12" s="47" t="inlineStr">
        <is>
          <t>pH</t>
        </is>
      </c>
      <c r="H12" s="204" t="inlineStr">
        <is>
          <t>Global</t>
        </is>
      </c>
      <c r="I12" s="206" t="inlineStr">
        <is>
          <t>In water part</t>
        </is>
      </c>
    </row>
    <row r="13">
      <c r="A13" s="50" t="inlineStr">
        <is>
          <t>Brewing</t>
        </is>
      </c>
      <c r="B13" s="50" t="inlineStr">
        <is>
          <t>Brewhouse</t>
        </is>
      </c>
      <c r="C13" s="50" t="inlineStr">
        <is>
          <t>Brewhouse</t>
        </is>
      </c>
      <c r="D13" s="50" t="inlineStr">
        <is>
          <t>Lauter Tun</t>
        </is>
      </c>
      <c r="E13" s="50" t="inlineStr">
        <is>
          <t>P.BR.BH.LTN.0012</t>
        </is>
      </c>
      <c r="F13" s="50" t="inlineStr">
        <is>
          <t>Sparge Water Alkalinity</t>
        </is>
      </c>
      <c r="G13" s="50" t="inlineStr">
        <is>
          <t>ppm</t>
        </is>
      </c>
      <c r="H13" s="204" t="inlineStr">
        <is>
          <t>Global</t>
        </is>
      </c>
      <c r="I13" s="206" t="inlineStr">
        <is>
          <t>In water part</t>
        </is>
      </c>
    </row>
    <row r="14">
      <c r="A14" s="47" t="inlineStr">
        <is>
          <t>Brewing</t>
        </is>
      </c>
      <c r="B14" s="47" t="inlineStr">
        <is>
          <t>Brewhouse</t>
        </is>
      </c>
      <c r="C14" s="47" t="inlineStr">
        <is>
          <t>Brewhouse</t>
        </is>
      </c>
      <c r="D14" s="47" t="inlineStr">
        <is>
          <t>Lauter Tun</t>
        </is>
      </c>
      <c r="E14" s="47" t="inlineStr">
        <is>
          <t>P.BR.BH.LTN.0013</t>
        </is>
      </c>
      <c r="F14" s="47" t="inlineStr">
        <is>
          <t>Sparge Water Free Chlorine</t>
        </is>
      </c>
      <c r="G14" s="47" t="inlineStr">
        <is>
          <t>ppm</t>
        </is>
      </c>
      <c r="H14" s="204" t="inlineStr">
        <is>
          <t>Global</t>
        </is>
      </c>
      <c r="I14" s="206" t="inlineStr">
        <is>
          <t>In water part</t>
        </is>
      </c>
    </row>
    <row r="15">
      <c r="A15" s="50" t="inlineStr">
        <is>
          <t>Brewing</t>
        </is>
      </c>
      <c r="B15" s="50" t="inlineStr">
        <is>
          <t>Brewhouse</t>
        </is>
      </c>
      <c r="C15" s="50" t="inlineStr">
        <is>
          <t>Brewhouse</t>
        </is>
      </c>
      <c r="D15" s="50" t="inlineStr">
        <is>
          <t>Mash Filter</t>
        </is>
      </c>
      <c r="E15" s="50" t="inlineStr">
        <is>
          <t>P.BR.BH.MSF.0001</t>
        </is>
      </c>
      <c r="F15" s="50" t="inlineStr">
        <is>
          <t>First Wort Extract</t>
        </is>
      </c>
      <c r="G15" s="50" t="inlineStr">
        <is>
          <t>°P</t>
        </is>
      </c>
      <c r="H15" s="204" t="inlineStr">
        <is>
          <t>Global</t>
        </is>
      </c>
      <c r="I15" s="206" t="inlineStr">
        <is>
          <t>OK</t>
        </is>
      </c>
    </row>
    <row r="16">
      <c r="A16" s="47" t="inlineStr">
        <is>
          <t>Brewing</t>
        </is>
      </c>
      <c r="B16" s="47" t="inlineStr">
        <is>
          <t>Brewhouse</t>
        </is>
      </c>
      <c r="C16" s="47" t="inlineStr">
        <is>
          <t>Brewhouse</t>
        </is>
      </c>
      <c r="D16" s="47" t="inlineStr">
        <is>
          <t>Mash Filter</t>
        </is>
      </c>
      <c r="E16" s="47" t="inlineStr">
        <is>
          <t>P.BR.BH.MSF.0006</t>
        </is>
      </c>
      <c r="F16" s="47" t="inlineStr">
        <is>
          <t>Weak Wort Extract (Last Runnings)</t>
        </is>
      </c>
      <c r="G16" s="47" t="inlineStr">
        <is>
          <t>°P</t>
        </is>
      </c>
      <c r="H16" s="204" t="inlineStr">
        <is>
          <t>Global</t>
        </is>
      </c>
      <c r="I16" s="50" t="inlineStr">
        <is>
          <t>OK</t>
        </is>
      </c>
    </row>
    <row r="17">
      <c r="A17" s="50" t="inlineStr">
        <is>
          <t>Brewing</t>
        </is>
      </c>
      <c r="B17" s="50" t="inlineStr">
        <is>
          <t>Brewhouse</t>
        </is>
      </c>
      <c r="C17" s="50" t="inlineStr">
        <is>
          <t>Brewhouse</t>
        </is>
      </c>
      <c r="D17" s="50" t="inlineStr">
        <is>
          <t>Mash Filter</t>
        </is>
      </c>
      <c r="E17" s="50" t="inlineStr">
        <is>
          <t>P.BR.BH.MSF.0007</t>
        </is>
      </c>
      <c r="F17" s="50" t="inlineStr">
        <is>
          <t>Total Wort Filtering Duration</t>
        </is>
      </c>
      <c r="G17" s="50" t="inlineStr">
        <is>
          <t>min</t>
        </is>
      </c>
      <c r="H17" s="204" t="inlineStr">
        <is>
          <t>Global</t>
        </is>
      </c>
      <c r="I17" s="50" t="inlineStr">
        <is>
          <t>OK</t>
        </is>
      </c>
    </row>
    <row r="18">
      <c r="A18" s="47" t="inlineStr">
        <is>
          <t>Brewing</t>
        </is>
      </c>
      <c r="B18" s="47" t="inlineStr">
        <is>
          <t>Brewhouse</t>
        </is>
      </c>
      <c r="C18" s="47" t="inlineStr">
        <is>
          <t>Brewhouse</t>
        </is>
      </c>
      <c r="D18" s="47" t="inlineStr">
        <is>
          <t>Mash Filter</t>
        </is>
      </c>
      <c r="E18" s="47" t="inlineStr">
        <is>
          <t>P.BR.BH.MSF.0008</t>
        </is>
      </c>
      <c r="F18" s="47" t="inlineStr">
        <is>
          <t>Sparge Water Temperature</t>
        </is>
      </c>
      <c r="G18" s="47" t="inlineStr">
        <is>
          <t>°C</t>
        </is>
      </c>
      <c r="H18" s="204" t="inlineStr">
        <is>
          <t>Global</t>
        </is>
      </c>
      <c r="I18" s="205" t="inlineStr">
        <is>
          <t>NOK</t>
        </is>
      </c>
      <c r="J18" s="47" t="inlineStr">
        <is>
          <t>加在excel中给Global，大区本期不出图</t>
        </is>
      </c>
    </row>
    <row r="19">
      <c r="A19" s="50" t="inlineStr">
        <is>
          <t>Brewing</t>
        </is>
      </c>
      <c r="B19" s="50" t="inlineStr">
        <is>
          <t>Brewhouse</t>
        </is>
      </c>
      <c r="C19" s="50" t="inlineStr">
        <is>
          <t>Brewhouse</t>
        </is>
      </c>
      <c r="D19" s="50" t="inlineStr">
        <is>
          <t>Mash Filter</t>
        </is>
      </c>
      <c r="E19" s="50" t="inlineStr">
        <is>
          <t>P.BR.BH.MSF.0009</t>
        </is>
      </c>
      <c r="F19" s="50" t="inlineStr">
        <is>
          <t>Sparge Water pH</t>
        </is>
      </c>
      <c r="G19" s="50" t="inlineStr">
        <is>
          <t>pH</t>
        </is>
      </c>
      <c r="H19" s="204" t="inlineStr">
        <is>
          <t>Global</t>
        </is>
      </c>
      <c r="I19" s="206" t="inlineStr">
        <is>
          <t>In water part</t>
        </is>
      </c>
    </row>
    <row r="20">
      <c r="A20" s="47" t="inlineStr">
        <is>
          <t>Brewing</t>
        </is>
      </c>
      <c r="B20" s="47" t="inlineStr">
        <is>
          <t>Brewhouse</t>
        </is>
      </c>
      <c r="C20" s="47" t="inlineStr">
        <is>
          <t>Brewhouse</t>
        </is>
      </c>
      <c r="D20" s="47" t="inlineStr">
        <is>
          <t>Mash Filter</t>
        </is>
      </c>
      <c r="E20" s="47" t="inlineStr">
        <is>
          <t>P.BR.BH.MSF.0011</t>
        </is>
      </c>
      <c r="F20" s="47" t="inlineStr">
        <is>
          <t>Sparge Water Alkalinity</t>
        </is>
      </c>
      <c r="G20" s="47" t="inlineStr">
        <is>
          <t>ppm</t>
        </is>
      </c>
      <c r="H20" s="204" t="inlineStr">
        <is>
          <t>Global</t>
        </is>
      </c>
      <c r="I20" s="206" t="inlineStr">
        <is>
          <t>In water part</t>
        </is>
      </c>
    </row>
    <row r="21">
      <c r="A21" s="50" t="inlineStr">
        <is>
          <t>Brewing</t>
        </is>
      </c>
      <c r="B21" s="50" t="inlineStr">
        <is>
          <t>Brewhouse</t>
        </is>
      </c>
      <c r="C21" s="50" t="inlineStr">
        <is>
          <t>Brewhouse</t>
        </is>
      </c>
      <c r="D21" s="50" t="inlineStr">
        <is>
          <t>Mash Filter</t>
        </is>
      </c>
      <c r="E21" s="50" t="inlineStr">
        <is>
          <t>P.BR.BH.MSF.0015</t>
        </is>
      </c>
      <c r="F21" s="50" t="inlineStr">
        <is>
          <t>Sparge Water Free Chlorine</t>
        </is>
      </c>
      <c r="G21" s="50" t="inlineStr">
        <is>
          <t>ppm</t>
        </is>
      </c>
      <c r="H21" s="204" t="inlineStr">
        <is>
          <t>Global</t>
        </is>
      </c>
      <c r="I21" s="206" t="inlineStr">
        <is>
          <t>In water part</t>
        </is>
      </c>
    </row>
    <row r="22">
      <c r="A22" s="50" t="inlineStr">
        <is>
          <t>Brewing</t>
        </is>
      </c>
      <c r="B22" s="50" t="inlineStr">
        <is>
          <t>Brewhouse</t>
        </is>
      </c>
      <c r="C22" s="50" t="inlineStr">
        <is>
          <t>Brewhouse</t>
        </is>
      </c>
      <c r="D22" s="50" t="inlineStr">
        <is>
          <t>Wort Boiling</t>
        </is>
      </c>
      <c r="E22" s="50" t="inlineStr">
        <is>
          <t>P.BR.BH.BOI.0002</t>
        </is>
      </c>
      <c r="F22" s="50" t="inlineStr">
        <is>
          <t>Total Boiling Time (Duration)</t>
        </is>
      </c>
      <c r="G22" s="50" t="inlineStr">
        <is>
          <t>min</t>
        </is>
      </c>
      <c r="H22" s="204" t="inlineStr">
        <is>
          <t>Global</t>
        </is>
      </c>
      <c r="I22" s="47" t="inlineStr">
        <is>
          <t>OK</t>
        </is>
      </c>
    </row>
    <row r="23">
      <c r="A23" s="47" t="inlineStr">
        <is>
          <t>Brewing</t>
        </is>
      </c>
      <c r="B23" s="47" t="inlineStr">
        <is>
          <t>Brewhouse</t>
        </is>
      </c>
      <c r="C23" s="47" t="inlineStr">
        <is>
          <t>Brewhouse</t>
        </is>
      </c>
      <c r="D23" s="47" t="inlineStr">
        <is>
          <t>Wort Boiling</t>
        </is>
      </c>
      <c r="E23" s="47" t="inlineStr">
        <is>
          <t>P.BR.BH.BOI.0008</t>
        </is>
      </c>
      <c r="F23" s="47" t="inlineStr">
        <is>
          <t>Kettle Full Boil Duration</t>
        </is>
      </c>
      <c r="G23" s="47" t="inlineStr">
        <is>
          <t>min</t>
        </is>
      </c>
      <c r="H23" s="204" t="inlineStr">
        <is>
          <t>Global</t>
        </is>
      </c>
      <c r="I23" s="47" t="inlineStr">
        <is>
          <t>OK</t>
        </is>
      </c>
    </row>
    <row r="24">
      <c r="A24" s="50" t="inlineStr">
        <is>
          <t>Brewing</t>
        </is>
      </c>
      <c r="B24" s="50" t="inlineStr">
        <is>
          <t>Brewhouse</t>
        </is>
      </c>
      <c r="C24" s="50" t="inlineStr">
        <is>
          <t>Brewhouse</t>
        </is>
      </c>
      <c r="D24" s="50" t="inlineStr">
        <is>
          <t>Wort Boiling</t>
        </is>
      </c>
      <c r="E24" s="50" t="inlineStr">
        <is>
          <t>P.BR.BH.BOI.0009</t>
        </is>
      </c>
      <c r="F24" s="50" t="inlineStr">
        <is>
          <t>Kettle Knockout Duration</t>
        </is>
      </c>
      <c r="G24" s="50" t="inlineStr">
        <is>
          <t>min</t>
        </is>
      </c>
      <c r="H24" s="204" t="inlineStr">
        <is>
          <t>Global</t>
        </is>
      </c>
      <c r="I24" s="47" t="inlineStr">
        <is>
          <t>OK</t>
        </is>
      </c>
    </row>
    <row r="25">
      <c r="A25" s="47" t="inlineStr">
        <is>
          <t>Brewing</t>
        </is>
      </c>
      <c r="B25" s="47" t="inlineStr">
        <is>
          <t>Brewhouse</t>
        </is>
      </c>
      <c r="C25" s="47" t="inlineStr">
        <is>
          <t>Brewhouse</t>
        </is>
      </c>
      <c r="D25" s="47" t="inlineStr">
        <is>
          <t>Wort Boiling</t>
        </is>
      </c>
      <c r="E25" s="47" t="inlineStr">
        <is>
          <t>P.BR.BH.BOI.0018</t>
        </is>
      </c>
      <c r="F25" s="47" t="inlineStr">
        <is>
          <t>External Calandria Exit Temperature</t>
        </is>
      </c>
      <c r="G25" s="47" t="inlineStr">
        <is>
          <t>°C</t>
        </is>
      </c>
      <c r="H25" s="204" t="inlineStr">
        <is>
          <t>Global</t>
        </is>
      </c>
      <c r="I25" s="205" t="inlineStr">
        <is>
          <t>NOK</t>
        </is>
      </c>
      <c r="J25" s="47" t="inlineStr">
        <is>
          <t>加在excel中给Global，大区本期不出图</t>
        </is>
      </c>
    </row>
    <row r="26">
      <c r="A26" s="50" t="inlineStr">
        <is>
          <t>Brewing</t>
        </is>
      </c>
      <c r="B26" s="50" t="inlineStr">
        <is>
          <t>Brewhouse</t>
        </is>
      </c>
      <c r="C26" s="50" t="inlineStr">
        <is>
          <t>Brewhouse</t>
        </is>
      </c>
      <c r="D26" s="50" t="inlineStr">
        <is>
          <t>Wort Boiling</t>
        </is>
      </c>
      <c r="E26" s="50" t="inlineStr">
        <is>
          <t>P.BR.BH.BOI.0020</t>
        </is>
      </c>
      <c r="F26" s="50" t="inlineStr">
        <is>
          <t>1st Hops Addition - Time After Start of Boil</t>
        </is>
      </c>
      <c r="G26" s="50" t="inlineStr">
        <is>
          <t>min</t>
        </is>
      </c>
      <c r="H26" s="204" t="inlineStr">
        <is>
          <t>Global</t>
        </is>
      </c>
      <c r="I26" s="205" t="inlineStr">
        <is>
          <t>NOK</t>
        </is>
      </c>
      <c r="J26" s="47" t="inlineStr">
        <is>
          <t>加在excel中给Global，大区本期不出图</t>
        </is>
      </c>
    </row>
    <row r="27">
      <c r="A27" s="47" t="inlineStr">
        <is>
          <t>Brewing</t>
        </is>
      </c>
      <c r="B27" s="47" t="inlineStr">
        <is>
          <t>Brewhouse</t>
        </is>
      </c>
      <c r="C27" s="47" t="inlineStr">
        <is>
          <t>Brewhouse</t>
        </is>
      </c>
      <c r="D27" s="47" t="inlineStr">
        <is>
          <t>Wort Boiling</t>
        </is>
      </c>
      <c r="E27" s="47" t="inlineStr">
        <is>
          <t>P.BR.BH.BOI.0024</t>
        </is>
      </c>
      <c r="F27" s="47" t="inlineStr">
        <is>
          <t>Evaporation - Kettle Full to Empty</t>
        </is>
      </c>
      <c r="G27" s="47" t="inlineStr">
        <is>
          <t>%</t>
        </is>
      </c>
      <c r="H27" s="204" t="inlineStr">
        <is>
          <t>Global</t>
        </is>
      </c>
      <c r="I27" s="47" t="inlineStr">
        <is>
          <t>OK</t>
        </is>
      </c>
    </row>
    <row r="28">
      <c r="A28" s="50" t="inlineStr">
        <is>
          <t>Brewing</t>
        </is>
      </c>
      <c r="B28" s="50" t="inlineStr">
        <is>
          <t>Brewhouse</t>
        </is>
      </c>
      <c r="C28" s="50" t="inlineStr">
        <is>
          <t>Brewhouse</t>
        </is>
      </c>
      <c r="D28" s="50" t="inlineStr">
        <is>
          <t>Wort Boiling</t>
        </is>
      </c>
      <c r="E28" s="50" t="inlineStr">
        <is>
          <t>P.BR.BH.BOI.0025</t>
        </is>
      </c>
      <c r="F28" s="50" t="inlineStr">
        <is>
          <t>Total Evaporation  - Conventional Boiling</t>
        </is>
      </c>
      <c r="G28" s="50" t="inlineStr">
        <is>
          <t>%</t>
        </is>
      </c>
      <c r="H28" s="204" t="inlineStr">
        <is>
          <t>Global</t>
        </is>
      </c>
      <c r="I28" s="205" t="inlineStr">
        <is>
          <t>NOK</t>
        </is>
      </c>
      <c r="J28" s="47" t="inlineStr">
        <is>
          <t>加在excel中给Global，大区本期不出图</t>
        </is>
      </c>
    </row>
    <row r="29">
      <c r="A29" s="47" t="inlineStr">
        <is>
          <t>Brewing</t>
        </is>
      </c>
      <c r="B29" s="47" t="inlineStr">
        <is>
          <t>Brewhouse</t>
        </is>
      </c>
      <c r="C29" s="47" t="inlineStr">
        <is>
          <t>Brewhouse</t>
        </is>
      </c>
      <c r="D29" s="47" t="inlineStr">
        <is>
          <t>Wort Boiling</t>
        </is>
      </c>
      <c r="E29" s="47" t="inlineStr">
        <is>
          <t>P.BR.BH.BOI.0026</t>
        </is>
      </c>
      <c r="F29" s="47" t="inlineStr">
        <is>
          <t>Total Evaporation - Multiple Step Boiling</t>
        </is>
      </c>
      <c r="G29" s="47" t="inlineStr">
        <is>
          <t>%</t>
        </is>
      </c>
      <c r="H29" s="204" t="inlineStr">
        <is>
          <t>Global</t>
        </is>
      </c>
      <c r="I29" s="205" t="inlineStr">
        <is>
          <t>NOK</t>
        </is>
      </c>
      <c r="J29" s="47" t="inlineStr">
        <is>
          <t>加在excel中给Global，大区本期不出图</t>
        </is>
      </c>
    </row>
    <row r="30">
      <c r="A30" s="50" t="inlineStr">
        <is>
          <t>Brewing</t>
        </is>
      </c>
      <c r="B30" s="50" t="inlineStr">
        <is>
          <t>Brewhouse</t>
        </is>
      </c>
      <c r="C30" s="50" t="inlineStr">
        <is>
          <t>Brewhouse</t>
        </is>
      </c>
      <c r="D30" s="50" t="inlineStr">
        <is>
          <t>Wort Boiling</t>
        </is>
      </c>
      <c r="E30" s="50" t="inlineStr">
        <is>
          <t>P.BR.BH.BOI.0036</t>
        </is>
      </c>
      <c r="F30" s="50" t="inlineStr">
        <is>
          <t>Kettle Full Temperature</t>
        </is>
      </c>
      <c r="G30" s="50" t="inlineStr">
        <is>
          <t>°C</t>
        </is>
      </c>
      <c r="H30" s="204" t="inlineStr">
        <is>
          <t>Global</t>
        </is>
      </c>
      <c r="I30" s="205" t="inlineStr">
        <is>
          <t>NOK</t>
        </is>
      </c>
      <c r="J30" s="47" t="inlineStr">
        <is>
          <t>加在excel中给Global，大区本期不出图</t>
        </is>
      </c>
    </row>
    <row r="31">
      <c r="A31" s="47" t="inlineStr">
        <is>
          <t>Brewing</t>
        </is>
      </c>
      <c r="B31" s="47" t="inlineStr">
        <is>
          <t>Brewhouse</t>
        </is>
      </c>
      <c r="C31" s="47" t="inlineStr">
        <is>
          <t>Brewhouse</t>
        </is>
      </c>
      <c r="D31" s="47" t="inlineStr">
        <is>
          <t>Wort Boiling</t>
        </is>
      </c>
      <c r="E31" s="47" t="inlineStr">
        <is>
          <t>P.BR.BH.BOI.0040</t>
        </is>
      </c>
      <c r="F31" s="47" t="inlineStr">
        <is>
          <t>Evaporation - SOB to Kettle Empty</t>
        </is>
      </c>
      <c r="G31" s="47" t="inlineStr">
        <is>
          <t>%</t>
        </is>
      </c>
      <c r="H31" s="204" t="inlineStr">
        <is>
          <t>Global</t>
        </is>
      </c>
      <c r="I31" s="47" t="inlineStr">
        <is>
          <t>OK</t>
        </is>
      </c>
    </row>
    <row r="32">
      <c r="A32" s="50" t="inlineStr">
        <is>
          <t>Brewing</t>
        </is>
      </c>
      <c r="B32" s="50" t="inlineStr">
        <is>
          <t>Brewhouse</t>
        </is>
      </c>
      <c r="C32" s="50" t="inlineStr">
        <is>
          <t>Brewhouse</t>
        </is>
      </c>
      <c r="D32" s="50" t="inlineStr">
        <is>
          <t>Wort Boiling</t>
        </is>
      </c>
      <c r="E32" s="50" t="inlineStr">
        <is>
          <t>P.BR.BH.BOI.0042</t>
        </is>
      </c>
      <c r="F32" s="50" t="inlineStr">
        <is>
          <t>Total Steam Used - Total per Brew</t>
        </is>
      </c>
      <c r="G32" s="50" t="inlineStr">
        <is>
          <t>kg</t>
        </is>
      </c>
      <c r="H32" s="204" t="inlineStr">
        <is>
          <t>Global</t>
        </is>
      </c>
      <c r="I32" s="47" t="inlineStr">
        <is>
          <t>OK</t>
        </is>
      </c>
    </row>
    <row r="33">
      <c r="A33" s="47" t="inlineStr">
        <is>
          <t>Brewing</t>
        </is>
      </c>
      <c r="B33" s="47" t="inlineStr">
        <is>
          <t>Brewhouse</t>
        </is>
      </c>
      <c r="C33" s="47" t="inlineStr">
        <is>
          <t>Brewhouse</t>
        </is>
      </c>
      <c r="D33" s="47" t="inlineStr">
        <is>
          <t>Wort Boiling</t>
        </is>
      </c>
      <c r="E33" s="47" t="inlineStr">
        <is>
          <t>P.BR.BH.BOI.0044</t>
        </is>
      </c>
      <c r="F33" s="47" t="inlineStr">
        <is>
          <t>Knockout Extract</t>
        </is>
      </c>
      <c r="G33" s="47" t="inlineStr">
        <is>
          <t>°P</t>
        </is>
      </c>
      <c r="H33" s="204" t="inlineStr">
        <is>
          <t>Global</t>
        </is>
      </c>
      <c r="I33" s="205" t="inlineStr">
        <is>
          <t>NOK</t>
        </is>
      </c>
      <c r="J33" s="47" t="inlineStr">
        <is>
          <t>加在excel中给Global，大区本期不出图</t>
        </is>
      </c>
    </row>
    <row r="34">
      <c r="A34" s="50" t="inlineStr">
        <is>
          <t>Brewing</t>
        </is>
      </c>
      <c r="B34" s="50" t="inlineStr">
        <is>
          <t>Brewhouse</t>
        </is>
      </c>
      <c r="C34" s="50" t="inlineStr">
        <is>
          <t>Brewhouse</t>
        </is>
      </c>
      <c r="D34" s="50" t="inlineStr">
        <is>
          <t>Wort Boiling</t>
        </is>
      </c>
      <c r="E34" s="50" t="inlineStr">
        <is>
          <t>P.BR.BH.BOI.0048</t>
        </is>
      </c>
      <c r="F34" s="50" t="inlineStr">
        <is>
          <t>Tap to Start of Boil Duration</t>
        </is>
      </c>
      <c r="G34" s="50" t="inlineStr">
        <is>
          <t>min</t>
        </is>
      </c>
      <c r="H34" s="204" t="inlineStr">
        <is>
          <t>Global</t>
        </is>
      </c>
      <c r="I34" s="47" t="inlineStr">
        <is>
          <t>OK</t>
        </is>
      </c>
    </row>
    <row r="35">
      <c r="A35" s="47" t="inlineStr">
        <is>
          <t>Brewing</t>
        </is>
      </c>
      <c r="B35" s="47" t="inlineStr">
        <is>
          <t>Brewhouse</t>
        </is>
      </c>
      <c r="C35" s="47" t="inlineStr">
        <is>
          <t>Brewhouse</t>
        </is>
      </c>
      <c r="D35" s="47" t="inlineStr">
        <is>
          <t>Wort Boiling</t>
        </is>
      </c>
      <c r="E35" s="47" t="inlineStr">
        <is>
          <t>P.BR.BH.BOI.0055</t>
        </is>
      </c>
      <c r="F35" s="47" t="inlineStr">
        <is>
          <t>Kettle full volume</t>
        </is>
      </c>
      <c r="G35" s="47" t="inlineStr">
        <is>
          <t>hL</t>
        </is>
      </c>
      <c r="H35" s="204" t="inlineStr">
        <is>
          <t>Global</t>
        </is>
      </c>
      <c r="I35" s="47" t="inlineStr">
        <is>
          <t>OK</t>
        </is>
      </c>
    </row>
    <row r="36">
      <c r="A36" s="47" t="inlineStr">
        <is>
          <t>Brewing</t>
        </is>
      </c>
      <c r="B36" s="47" t="inlineStr">
        <is>
          <t>Brewhouse</t>
        </is>
      </c>
      <c r="C36" s="47" t="inlineStr">
        <is>
          <t>Brewhouse</t>
        </is>
      </c>
      <c r="D36" s="47" t="inlineStr">
        <is>
          <t>Whirpool / Decanter</t>
        </is>
      </c>
      <c r="E36" s="47" t="inlineStr">
        <is>
          <t>P.BR.BH.WHI.0001</t>
        </is>
      </c>
      <c r="F36" s="47" t="inlineStr">
        <is>
          <t>Hot Wort Settling Duration</t>
        </is>
      </c>
      <c r="G36" s="47" t="inlineStr">
        <is>
          <t>min</t>
        </is>
      </c>
      <c r="H36" s="204" t="inlineStr">
        <is>
          <t>Global</t>
        </is>
      </c>
      <c r="I36" s="47" t="inlineStr">
        <is>
          <t>OK</t>
        </is>
      </c>
    </row>
    <row r="37">
      <c r="A37" s="50" t="inlineStr">
        <is>
          <t>Brewing</t>
        </is>
      </c>
      <c r="B37" s="50" t="inlineStr">
        <is>
          <t>Brewhouse</t>
        </is>
      </c>
      <c r="C37" s="50" t="inlineStr">
        <is>
          <t>Brewhouse</t>
        </is>
      </c>
      <c r="D37" s="50" t="inlineStr">
        <is>
          <t>Wort Stripper</t>
        </is>
      </c>
      <c r="E37" s="50" t="inlineStr">
        <is>
          <t>P.BR.BH.WST.0001</t>
        </is>
      </c>
      <c r="F37" s="50" t="inlineStr">
        <is>
          <t>Wort Outlet Temperature</t>
        </is>
      </c>
      <c r="G37" s="50" t="inlineStr">
        <is>
          <t>°C</t>
        </is>
      </c>
      <c r="H37" s="204" t="inlineStr">
        <is>
          <t>Global</t>
        </is>
      </c>
      <c r="I37" s="205" t="inlineStr">
        <is>
          <t>NOK</t>
        </is>
      </c>
    </row>
    <row r="38">
      <c r="A38" s="50" t="inlineStr">
        <is>
          <t>Brewing</t>
        </is>
      </c>
      <c r="B38" s="50" t="inlineStr">
        <is>
          <t>Brewhouse</t>
        </is>
      </c>
      <c r="C38" s="50" t="inlineStr">
        <is>
          <t>Brewhouse</t>
        </is>
      </c>
      <c r="D38" s="50" t="inlineStr">
        <is>
          <t>Wort Cooling</t>
        </is>
      </c>
      <c r="E38" s="50" t="inlineStr">
        <is>
          <t>P.BR.BH.WCO.0002</t>
        </is>
      </c>
      <c r="F38" s="50" t="inlineStr">
        <is>
          <t>Color</t>
        </is>
      </c>
      <c r="G38" s="50" t="inlineStr">
        <is>
          <t>°EBC</t>
        </is>
      </c>
      <c r="H38" s="204" t="inlineStr">
        <is>
          <t>Global</t>
        </is>
      </c>
      <c r="I38" s="47" t="inlineStr">
        <is>
          <t>OK</t>
        </is>
      </c>
    </row>
    <row r="39">
      <c r="A39" s="47" t="inlineStr">
        <is>
          <t>Brewing</t>
        </is>
      </c>
      <c r="B39" s="47" t="inlineStr">
        <is>
          <t>Brewhouse</t>
        </is>
      </c>
      <c r="C39" s="47" t="inlineStr">
        <is>
          <t>Brewhouse</t>
        </is>
      </c>
      <c r="D39" s="47" t="inlineStr">
        <is>
          <t>Wort Cooling</t>
        </is>
      </c>
      <c r="E39" s="47" t="inlineStr">
        <is>
          <t>P.BR.BH.WCO.0006</t>
        </is>
      </c>
      <c r="F39" s="47" t="inlineStr">
        <is>
          <t>Wort FAN</t>
        </is>
      </c>
      <c r="G39" s="47" t="inlineStr">
        <is>
          <t>ppm</t>
        </is>
      </c>
      <c r="H39" s="204" t="inlineStr">
        <is>
          <t>Global</t>
        </is>
      </c>
      <c r="I39" s="47" t="inlineStr">
        <is>
          <t>OK</t>
        </is>
      </c>
    </row>
    <row r="40">
      <c r="A40" s="50" t="inlineStr">
        <is>
          <t>Brewing</t>
        </is>
      </c>
      <c r="B40" s="50" t="inlineStr">
        <is>
          <t>Brewhouse</t>
        </is>
      </c>
      <c r="C40" s="50" t="inlineStr">
        <is>
          <t>Brewhouse</t>
        </is>
      </c>
      <c r="D40" s="50" t="inlineStr">
        <is>
          <t>Wort Cooling</t>
        </is>
      </c>
      <c r="E40" s="50" t="inlineStr">
        <is>
          <t>P.BR.BH.WCO.0007</t>
        </is>
      </c>
      <c r="F40" s="50" t="inlineStr">
        <is>
          <t>Wort Bitterness</t>
        </is>
      </c>
      <c r="G40" s="50" t="inlineStr">
        <is>
          <t>BU</t>
        </is>
      </c>
      <c r="H40" s="204" t="inlineStr">
        <is>
          <t>Global</t>
        </is>
      </c>
      <c r="I40" s="47" t="inlineStr">
        <is>
          <t>OK</t>
        </is>
      </c>
    </row>
    <row r="41">
      <c r="A41" s="47" t="inlineStr">
        <is>
          <t>Brewing</t>
        </is>
      </c>
      <c r="B41" s="47" t="inlineStr">
        <is>
          <t>Brewhouse</t>
        </is>
      </c>
      <c r="C41" s="47" t="inlineStr">
        <is>
          <t>Brewhouse</t>
        </is>
      </c>
      <c r="D41" s="47" t="inlineStr">
        <is>
          <t>Wort Cooling</t>
        </is>
      </c>
      <c r="E41" s="47" t="inlineStr">
        <is>
          <t>P.BR.BH.WCO.0008</t>
        </is>
      </c>
      <c r="F41" s="47" t="inlineStr">
        <is>
          <t>RDF</t>
        </is>
      </c>
      <c r="G41" s="47" t="inlineStr">
        <is>
          <t>°P</t>
        </is>
      </c>
      <c r="H41" s="204" t="inlineStr">
        <is>
          <t>Global</t>
        </is>
      </c>
      <c r="I41" s="205" t="inlineStr">
        <is>
          <t>NOK</t>
        </is>
      </c>
      <c r="J41" s="47" t="inlineStr">
        <is>
          <t>测满罐，可以用满罐RDF 送给Global</t>
        </is>
      </c>
    </row>
    <row r="42">
      <c r="A42" s="50" t="inlineStr">
        <is>
          <t>Brewing</t>
        </is>
      </c>
      <c r="B42" s="50" t="inlineStr">
        <is>
          <t>Brewhouse</t>
        </is>
      </c>
      <c r="C42" s="50" t="inlineStr">
        <is>
          <t>Brewhouse</t>
        </is>
      </c>
      <c r="D42" s="50" t="inlineStr">
        <is>
          <t>Wort Cooling</t>
        </is>
      </c>
      <c r="E42" s="50" t="inlineStr">
        <is>
          <t>P.BR.BH.WCO.0009</t>
        </is>
      </c>
      <c r="F42" s="50" t="inlineStr">
        <is>
          <t>Wort DMS</t>
        </is>
      </c>
      <c r="G42" s="50" t="inlineStr">
        <is>
          <t>ppm</t>
        </is>
      </c>
      <c r="H42" s="204" t="inlineStr">
        <is>
          <t>Global</t>
        </is>
      </c>
      <c r="I42" s="205" t="inlineStr">
        <is>
          <t>NOK</t>
        </is>
      </c>
    </row>
    <row r="43">
      <c r="A43" s="47" t="inlineStr">
        <is>
          <t>Brewing</t>
        </is>
      </c>
      <c r="B43" s="47" t="inlineStr">
        <is>
          <t>Brewhouse</t>
        </is>
      </c>
      <c r="C43" s="47" t="inlineStr">
        <is>
          <t>Brewhouse</t>
        </is>
      </c>
      <c r="D43" s="47" t="inlineStr">
        <is>
          <t>Wort Cooling</t>
        </is>
      </c>
      <c r="E43" s="47" t="inlineStr">
        <is>
          <t>P.BR.BH.WCO.0011</t>
        </is>
      </c>
      <c r="F43" s="47" t="inlineStr">
        <is>
          <t>Total Polyphenols</t>
        </is>
      </c>
      <c r="G43" s="47" t="inlineStr">
        <is>
          <t>ppm</t>
        </is>
      </c>
      <c r="H43" s="204" t="inlineStr">
        <is>
          <t>Global</t>
        </is>
      </c>
      <c r="I43" s="205" t="inlineStr">
        <is>
          <t>NOK</t>
        </is>
      </c>
    </row>
    <row r="44">
      <c r="A44" s="50" t="inlineStr">
        <is>
          <t>Brewing</t>
        </is>
      </c>
      <c r="B44" s="50" t="inlineStr">
        <is>
          <t>Brewhouse</t>
        </is>
      </c>
      <c r="C44" s="50" t="inlineStr">
        <is>
          <t>Brewhouse</t>
        </is>
      </c>
      <c r="D44" s="50" t="inlineStr">
        <is>
          <t>Wort Cooling</t>
        </is>
      </c>
      <c r="E44" s="50" t="inlineStr">
        <is>
          <t>P.BR.BH.WCO.0012</t>
        </is>
      </c>
      <c r="F44" s="50" t="inlineStr">
        <is>
          <t>Wort Calcium</t>
        </is>
      </c>
      <c r="G44" s="50" t="inlineStr">
        <is>
          <t>ppm</t>
        </is>
      </c>
      <c r="H44" s="204" t="inlineStr">
        <is>
          <t>Global</t>
        </is>
      </c>
      <c r="I44" s="47" t="inlineStr">
        <is>
          <t>OK</t>
        </is>
      </c>
    </row>
    <row r="45">
      <c r="A45" s="47" t="inlineStr">
        <is>
          <t>Brewing</t>
        </is>
      </c>
      <c r="B45" s="47" t="inlineStr">
        <is>
          <t>Brewhouse</t>
        </is>
      </c>
      <c r="C45" s="47" t="inlineStr">
        <is>
          <t>Brewhouse</t>
        </is>
      </c>
      <c r="D45" s="47" t="inlineStr">
        <is>
          <t>Wort Cooling</t>
        </is>
      </c>
      <c r="E45" s="47" t="inlineStr">
        <is>
          <t>P.BR.BH.WCO.0013</t>
        </is>
      </c>
      <c r="F45" s="47" t="inlineStr">
        <is>
          <t>Cooling Duration</t>
        </is>
      </c>
      <c r="G45" s="47" t="inlineStr">
        <is>
          <t>min</t>
        </is>
      </c>
      <c r="H45" s="204" t="inlineStr">
        <is>
          <t>Global</t>
        </is>
      </c>
      <c r="I45" s="47" t="inlineStr">
        <is>
          <t>OK</t>
        </is>
      </c>
    </row>
    <row r="46">
      <c r="A46" s="50" t="inlineStr">
        <is>
          <t>Brewing</t>
        </is>
      </c>
      <c r="B46" s="50" t="inlineStr">
        <is>
          <t>Brewhouse</t>
        </is>
      </c>
      <c r="C46" s="50" t="inlineStr">
        <is>
          <t>Brewhouse</t>
        </is>
      </c>
      <c r="D46" s="50" t="inlineStr">
        <is>
          <t>Wort Cooling</t>
        </is>
      </c>
      <c r="E46" s="50" t="inlineStr">
        <is>
          <t>P.BR.BH.WCO.0014</t>
        </is>
      </c>
      <c r="F46" s="50" t="inlineStr">
        <is>
          <t>Wort Original Gravity</t>
        </is>
      </c>
      <c r="G46" s="50" t="inlineStr">
        <is>
          <t>°P</t>
        </is>
      </c>
      <c r="H46" s="204" t="inlineStr">
        <is>
          <t>Global</t>
        </is>
      </c>
      <c r="I46" s="47" t="inlineStr">
        <is>
          <t>OK</t>
        </is>
      </c>
    </row>
    <row r="47">
      <c r="A47" s="47" t="inlineStr">
        <is>
          <t>Brewing</t>
        </is>
      </c>
      <c r="B47" s="47" t="inlineStr">
        <is>
          <t>Brewhouse</t>
        </is>
      </c>
      <c r="C47" s="47" t="inlineStr">
        <is>
          <t>Brewhouse</t>
        </is>
      </c>
      <c r="D47" s="47" t="inlineStr">
        <is>
          <t>Wort Cooling</t>
        </is>
      </c>
      <c r="E47" s="47" t="inlineStr">
        <is>
          <t>P.BR.BH.WCO.0015</t>
        </is>
      </c>
      <c r="F47" s="47" t="inlineStr">
        <is>
          <t>Wort Aeration Mass Flow Rate</t>
        </is>
      </c>
      <c r="G47" s="47" t="inlineStr">
        <is>
          <t>g air/hL</t>
        </is>
      </c>
      <c r="H47" s="204" t="inlineStr">
        <is>
          <t>Global</t>
        </is>
      </c>
      <c r="I47" s="47" t="inlineStr">
        <is>
          <t>OK</t>
        </is>
      </c>
    </row>
    <row r="48">
      <c r="A48" s="50" t="inlineStr">
        <is>
          <t>Brewing</t>
        </is>
      </c>
      <c r="B48" s="50" t="inlineStr">
        <is>
          <t>Brewhouse</t>
        </is>
      </c>
      <c r="C48" s="50" t="inlineStr">
        <is>
          <t>Brewhouse</t>
        </is>
      </c>
      <c r="D48" s="50" t="inlineStr">
        <is>
          <t>Wort Cooling</t>
        </is>
      </c>
      <c r="E48" s="50" t="inlineStr">
        <is>
          <t>P.BR.BH.WCO.0021</t>
        </is>
      </c>
      <c r="F48" s="50" t="inlineStr">
        <is>
          <t>Wort pH</t>
        </is>
      </c>
      <c r="G48" s="50" t="inlineStr">
        <is>
          <t>pH</t>
        </is>
      </c>
      <c r="H48" s="204" t="inlineStr">
        <is>
          <t>Global</t>
        </is>
      </c>
      <c r="I48" s="47" t="inlineStr">
        <is>
          <t>OK</t>
        </is>
      </c>
    </row>
    <row r="49">
      <c r="A49" s="47" t="inlineStr">
        <is>
          <t>Brewing</t>
        </is>
      </c>
      <c r="B49" s="47" t="inlineStr">
        <is>
          <t>Brewhouse</t>
        </is>
      </c>
      <c r="C49" s="47" t="inlineStr">
        <is>
          <t>Brewhouse</t>
        </is>
      </c>
      <c r="D49" s="47" t="inlineStr">
        <is>
          <t>Wort Cooling</t>
        </is>
      </c>
      <c r="E49" s="47" t="inlineStr">
        <is>
          <t>P.BR.BH.WCO.0024</t>
        </is>
      </c>
      <c r="F49" s="47" t="inlineStr">
        <is>
          <t>Wort Clarity</t>
        </is>
      </c>
      <c r="G49" s="47" t="inlineStr">
        <is>
          <t>°EBC</t>
        </is>
      </c>
      <c r="H49" s="204" t="inlineStr">
        <is>
          <t>Global</t>
        </is>
      </c>
      <c r="I49" s="47" t="inlineStr">
        <is>
          <t>OK</t>
        </is>
      </c>
    </row>
    <row r="50">
      <c r="A50" s="50" t="inlineStr">
        <is>
          <t>Brewing</t>
        </is>
      </c>
      <c r="B50" s="50" t="inlineStr">
        <is>
          <t>Brewhouse</t>
        </is>
      </c>
      <c r="C50" s="50" t="inlineStr">
        <is>
          <t>Brewhouse</t>
        </is>
      </c>
      <c r="D50" s="50" t="inlineStr">
        <is>
          <t>Wort Cooling</t>
        </is>
      </c>
      <c r="E50" s="50" t="inlineStr">
        <is>
          <t>P.BR.BH.WCO.0025</t>
        </is>
      </c>
      <c r="F50" s="50" t="inlineStr">
        <is>
          <t>Cold Wort Temperature</t>
        </is>
      </c>
      <c r="G50" s="50" t="inlineStr">
        <is>
          <t>°C</t>
        </is>
      </c>
      <c r="H50" s="204" t="inlineStr">
        <is>
          <t>Global</t>
        </is>
      </c>
      <c r="I50" s="47" t="inlineStr">
        <is>
          <t>OK</t>
        </is>
      </c>
    </row>
    <row r="51">
      <c r="A51" s="47" t="inlineStr">
        <is>
          <t>Brewing</t>
        </is>
      </c>
      <c r="B51" s="47" t="inlineStr">
        <is>
          <t>Brewhouse</t>
        </is>
      </c>
      <c r="C51" s="47" t="inlineStr">
        <is>
          <t>Brewhouse</t>
        </is>
      </c>
      <c r="D51" s="47" t="inlineStr">
        <is>
          <t>Wort Cooling</t>
        </is>
      </c>
      <c r="E51" s="47" t="inlineStr">
        <is>
          <t>P.BR.BH.WCO.0029</t>
        </is>
      </c>
      <c r="F51" s="47" t="inlineStr">
        <is>
          <t>Wort Zinc</t>
        </is>
      </c>
      <c r="G51" s="47" t="inlineStr">
        <is>
          <t>ppm</t>
        </is>
      </c>
      <c r="H51" s="204" t="inlineStr">
        <is>
          <t>Global</t>
        </is>
      </c>
      <c r="I51" s="47" t="inlineStr">
        <is>
          <t>OK</t>
        </is>
      </c>
    </row>
    <row r="52">
      <c r="A52" s="50" t="inlineStr">
        <is>
          <t>Brewing</t>
        </is>
      </c>
      <c r="B52" s="50" t="inlineStr">
        <is>
          <t>Brewhouse</t>
        </is>
      </c>
      <c r="C52" s="50" t="inlineStr">
        <is>
          <t>Brewhouse</t>
        </is>
      </c>
      <c r="D52" s="50" t="inlineStr">
        <is>
          <t>Wort Cooling</t>
        </is>
      </c>
      <c r="E52" s="50" t="inlineStr">
        <is>
          <t>P.BR.BH.WCO.0030</t>
        </is>
      </c>
      <c r="F52" s="50" t="inlineStr">
        <is>
          <t>Wort Limit Extract</t>
        </is>
      </c>
      <c r="G52" s="50" t="inlineStr">
        <is>
          <t>°P</t>
        </is>
      </c>
      <c r="H52" s="204" t="inlineStr">
        <is>
          <t>Global</t>
        </is>
      </c>
      <c r="I52" s="205" t="inlineStr">
        <is>
          <t>NOK</t>
        </is>
      </c>
      <c r="J52" t="inlineStr">
        <is>
          <t>测满罐，可以用满罐RDF 送给Global</t>
        </is>
      </c>
    </row>
    <row r="53">
      <c r="A53" s="47" t="inlineStr">
        <is>
          <t>Brewing</t>
        </is>
      </c>
      <c r="B53" s="47" t="inlineStr">
        <is>
          <t>Brewhouse</t>
        </is>
      </c>
      <c r="C53" s="47" t="inlineStr">
        <is>
          <t>Brewhouse</t>
        </is>
      </c>
      <c r="D53" s="47" t="inlineStr">
        <is>
          <t>Wort Cooling</t>
        </is>
      </c>
      <c r="E53" s="47" t="inlineStr">
        <is>
          <t>P.BR.BH.WCO.0032</t>
        </is>
      </c>
      <c r="F53" s="47" t="inlineStr">
        <is>
          <t>Total Brewhouse Cycle Time</t>
        </is>
      </c>
      <c r="G53" s="47" t="inlineStr">
        <is>
          <t>min</t>
        </is>
      </c>
      <c r="H53" s="204" t="inlineStr">
        <is>
          <t>Global</t>
        </is>
      </c>
      <c r="I53" s="47" t="inlineStr">
        <is>
          <t>OK</t>
        </is>
      </c>
    </row>
    <row r="54">
      <c r="A54" s="50" t="inlineStr">
        <is>
          <t>Brewing</t>
        </is>
      </c>
      <c r="B54" s="50" t="inlineStr">
        <is>
          <t>Brewhouse</t>
        </is>
      </c>
      <c r="C54" s="50" t="inlineStr">
        <is>
          <t>Brewhouse</t>
        </is>
      </c>
      <c r="D54" s="50" t="inlineStr">
        <is>
          <t>Wort Cooling</t>
        </is>
      </c>
      <c r="E54" s="50" t="inlineStr">
        <is>
          <t>P.BR.BH.WCO.0034</t>
        </is>
      </c>
      <c r="F54" s="50" t="inlineStr">
        <is>
          <t>Brewhouse Hot Time</t>
        </is>
      </c>
      <c r="G54" s="50" t="inlineStr">
        <is>
          <t>min</t>
        </is>
      </c>
      <c r="H54" s="204" t="inlineStr">
        <is>
          <t>Global</t>
        </is>
      </c>
      <c r="I54" s="47" t="inlineStr">
        <is>
          <t>OK</t>
        </is>
      </c>
    </row>
    <row r="55">
      <c r="A55" s="47" t="inlineStr">
        <is>
          <t>Brewing</t>
        </is>
      </c>
      <c r="B55" s="47" t="inlineStr">
        <is>
          <t>Beer Recovery</t>
        </is>
      </c>
      <c r="C55" s="47" t="inlineStr">
        <is>
          <t>Beer Recovery</t>
        </is>
      </c>
      <c r="D55" s="47" t="inlineStr">
        <is>
          <t>Cross Flow Filtration</t>
        </is>
      </c>
      <c r="E55" s="47" t="inlineStr">
        <is>
          <t>P.BR.BV.CMF.0010</t>
        </is>
      </c>
      <c r="F55" s="47" t="inlineStr">
        <is>
          <t>Yeast Storage Temperature</t>
        </is>
      </c>
      <c r="G55" s="47" t="inlineStr">
        <is>
          <t>°C</t>
        </is>
      </c>
      <c r="H55" s="204" t="inlineStr">
        <is>
          <t>Global</t>
        </is>
      </c>
      <c r="I55" s="207" t="inlineStr">
        <is>
          <t>OK</t>
        </is>
      </c>
    </row>
    <row r="56">
      <c r="A56" s="50" t="inlineStr">
        <is>
          <t>Brewing</t>
        </is>
      </c>
      <c r="B56" s="50" t="inlineStr">
        <is>
          <t>Beer Recovery</t>
        </is>
      </c>
      <c r="C56" s="50" t="inlineStr">
        <is>
          <t>Beer Recovery</t>
        </is>
      </c>
      <c r="D56" s="50" t="inlineStr">
        <is>
          <t>Cross Flow Filtration</t>
        </is>
      </c>
      <c r="E56" s="50" t="inlineStr">
        <is>
          <t>P.BR.BV.CMF.0011</t>
        </is>
      </c>
      <c r="F56" s="50" t="inlineStr">
        <is>
          <t>Yeast Storage Duration</t>
        </is>
      </c>
      <c r="G56" s="50" t="inlineStr">
        <is>
          <t>Hours</t>
        </is>
      </c>
      <c r="H56" s="204" t="inlineStr">
        <is>
          <t>Global</t>
        </is>
      </c>
      <c r="I56" s="207" t="inlineStr">
        <is>
          <t>OK</t>
        </is>
      </c>
    </row>
    <row r="57">
      <c r="A57" s="47" t="inlineStr">
        <is>
          <t>Brewing</t>
        </is>
      </c>
      <c r="B57" s="47" t="inlineStr">
        <is>
          <t>Beer Recovery</t>
        </is>
      </c>
      <c r="C57" s="47" t="inlineStr">
        <is>
          <t>Beer Recovery</t>
        </is>
      </c>
      <c r="D57" s="47" t="inlineStr">
        <is>
          <t>Cross Flow Filtration</t>
        </is>
      </c>
      <c r="E57" s="47" t="inlineStr">
        <is>
          <t>P.BR.BV.CMF.0013</t>
        </is>
      </c>
      <c r="F57" s="47" t="inlineStr">
        <is>
          <t>Recovered beer storage duration</t>
        </is>
      </c>
      <c r="G57" s="47" t="inlineStr">
        <is>
          <t>Hours</t>
        </is>
      </c>
      <c r="H57" s="204" t="inlineStr">
        <is>
          <t>Global</t>
        </is>
      </c>
      <c r="I57" s="207" t="inlineStr">
        <is>
          <t>OK</t>
        </is>
      </c>
    </row>
    <row r="58">
      <c r="A58" s="50" t="inlineStr">
        <is>
          <t>Brewing</t>
        </is>
      </c>
      <c r="B58" s="50" t="inlineStr">
        <is>
          <t>Beer Recovery</t>
        </is>
      </c>
      <c r="C58" s="50" t="inlineStr">
        <is>
          <t>Beer Recovery</t>
        </is>
      </c>
      <c r="D58" s="50" t="inlineStr">
        <is>
          <t>Cross Flow Filtration</t>
        </is>
      </c>
      <c r="E58" s="50" t="inlineStr">
        <is>
          <t>P.BR.BV.CMF.0014</t>
        </is>
      </c>
      <c r="F58" s="50" t="inlineStr">
        <is>
          <t>Recovered beer storage temperature</t>
        </is>
      </c>
      <c r="G58" s="50" t="inlineStr">
        <is>
          <t>°C</t>
        </is>
      </c>
      <c r="H58" s="204" t="inlineStr">
        <is>
          <t>Global</t>
        </is>
      </c>
      <c r="I58" s="207" t="inlineStr">
        <is>
          <t>OK</t>
        </is>
      </c>
    </row>
    <row r="59">
      <c r="A59" s="47" t="inlineStr">
        <is>
          <t>Brewing</t>
        </is>
      </c>
      <c r="B59" s="47" t="inlineStr">
        <is>
          <t>Centrifugation</t>
        </is>
      </c>
      <c r="C59" s="47" t="inlineStr">
        <is>
          <t>Fermentation</t>
        </is>
      </c>
      <c r="D59" s="47" t="inlineStr">
        <is>
          <t>Beer Centrifugation</t>
        </is>
      </c>
      <c r="E59" s="47" t="inlineStr">
        <is>
          <t>P.BR.CF.BCT.0002</t>
        </is>
      </c>
      <c r="F59" s="47" t="inlineStr">
        <is>
          <t>Dissolved Oxygen - Peak Transfer</t>
        </is>
      </c>
      <c r="G59" s="47" t="inlineStr">
        <is>
          <t>ppb</t>
        </is>
      </c>
      <c r="H59" s="204" t="inlineStr">
        <is>
          <t>Global</t>
        </is>
      </c>
      <c r="I59" s="47" t="inlineStr">
        <is>
          <t>OK</t>
        </is>
      </c>
    </row>
    <row r="60">
      <c r="A60" s="50" t="inlineStr">
        <is>
          <t>Brewing</t>
        </is>
      </c>
      <c r="B60" s="50" t="inlineStr">
        <is>
          <t>Centrifugation</t>
        </is>
      </c>
      <c r="C60" s="50" t="inlineStr">
        <is>
          <t>Fermentation</t>
        </is>
      </c>
      <c r="D60" s="50" t="inlineStr">
        <is>
          <t>Beer Centrifugation</t>
        </is>
      </c>
      <c r="E60" s="50" t="inlineStr">
        <is>
          <t>P.BR.CF.BCT.0005</t>
        </is>
      </c>
      <c r="F60" s="50" t="inlineStr">
        <is>
          <t>Outlet Turbidity</t>
        </is>
      </c>
      <c r="G60" s="50" t="inlineStr">
        <is>
          <t>%</t>
        </is>
      </c>
      <c r="H60" s="204" t="inlineStr">
        <is>
          <t>Global</t>
        </is>
      </c>
      <c r="I60" s="47" t="inlineStr">
        <is>
          <t>OK</t>
        </is>
      </c>
    </row>
    <row r="61">
      <c r="A61" s="47" t="inlineStr">
        <is>
          <t>Brewing</t>
        </is>
      </c>
      <c r="B61" s="47" t="inlineStr">
        <is>
          <t>Centrifugation</t>
        </is>
      </c>
      <c r="C61" s="47" t="inlineStr">
        <is>
          <t>Fermentation</t>
        </is>
      </c>
      <c r="D61" s="47" t="inlineStr">
        <is>
          <t>Beer Centrifugation</t>
        </is>
      </c>
      <c r="E61" s="47" t="inlineStr">
        <is>
          <t>P.BR.CF.BCT.0008</t>
        </is>
      </c>
      <c r="F61" s="47" t="inlineStr">
        <is>
          <t>Dissolved Oxygen - Transfer Average</t>
        </is>
      </c>
      <c r="G61" s="47" t="inlineStr">
        <is>
          <t>ppb</t>
        </is>
      </c>
      <c r="H61" s="204" t="inlineStr">
        <is>
          <t>Global</t>
        </is>
      </c>
      <c r="I61" s="47" t="inlineStr">
        <is>
          <t>OK</t>
        </is>
      </c>
    </row>
    <row r="62">
      <c r="A62" s="50" t="inlineStr">
        <is>
          <t>Brewing</t>
        </is>
      </c>
      <c r="B62" s="50" t="inlineStr">
        <is>
          <t>Centrifugation</t>
        </is>
      </c>
      <c r="C62" s="50" t="inlineStr">
        <is>
          <t>Fermentation</t>
        </is>
      </c>
      <c r="D62" s="50" t="inlineStr">
        <is>
          <t>Beer Centrifugation</t>
        </is>
      </c>
      <c r="E62" s="50" t="inlineStr">
        <is>
          <t>P.BR.CF.BCT.0010</t>
        </is>
      </c>
      <c r="F62" s="50" t="inlineStr">
        <is>
          <t>Cells in suspension Outlet</t>
        </is>
      </c>
      <c r="G62" s="50" t="inlineStr">
        <is>
          <t>cell/mL</t>
        </is>
      </c>
      <c r="H62" s="204" t="inlineStr">
        <is>
          <t>Global</t>
        </is>
      </c>
      <c r="I62" s="47" t="inlineStr">
        <is>
          <t>OK</t>
        </is>
      </c>
    </row>
    <row r="63">
      <c r="A63" s="47" t="inlineStr">
        <is>
          <t>Brewing</t>
        </is>
      </c>
      <c r="B63" s="47" t="inlineStr">
        <is>
          <t>Fermentation</t>
        </is>
      </c>
      <c r="C63" s="47" t="inlineStr">
        <is>
          <t>Fermentation</t>
        </is>
      </c>
      <c r="D63" s="47" t="inlineStr">
        <is>
          <t>End Of Fermentation</t>
        </is>
      </c>
      <c r="E63" s="47" t="inlineStr">
        <is>
          <t>P.BR.CF.EOF.0001</t>
        </is>
      </c>
      <c r="F63" s="47" t="inlineStr">
        <is>
          <t>Fermentation Cycle Time</t>
        </is>
      </c>
      <c r="G63" s="47" t="inlineStr">
        <is>
          <t>Hours</t>
        </is>
      </c>
      <c r="H63" s="204" t="inlineStr">
        <is>
          <t>Global</t>
        </is>
      </c>
      <c r="I63" s="47" t="inlineStr">
        <is>
          <t>OK</t>
        </is>
      </c>
    </row>
    <row r="64">
      <c r="A64" s="50" t="inlineStr">
        <is>
          <t>Brewing</t>
        </is>
      </c>
      <c r="B64" s="50" t="inlineStr">
        <is>
          <t>Fermentation</t>
        </is>
      </c>
      <c r="C64" s="50" t="inlineStr">
        <is>
          <t>Fermentation</t>
        </is>
      </c>
      <c r="D64" s="50" t="inlineStr">
        <is>
          <t>End Of Fermentation</t>
        </is>
      </c>
      <c r="E64" s="50" t="inlineStr">
        <is>
          <t>P.BR.CF.EOF.0002</t>
        </is>
      </c>
      <c r="F64" s="50" t="inlineStr">
        <is>
          <t>FAN (EOF)</t>
        </is>
      </c>
      <c r="G64" s="50" t="inlineStr">
        <is>
          <t>mg/L@12°P</t>
        </is>
      </c>
      <c r="H64" s="204" t="inlineStr">
        <is>
          <t>Global</t>
        </is>
      </c>
      <c r="I64" s="47" t="inlineStr">
        <is>
          <t>OK</t>
        </is>
      </c>
    </row>
    <row r="65">
      <c r="A65" s="47" t="inlineStr">
        <is>
          <t>Brewing</t>
        </is>
      </c>
      <c r="B65" s="47" t="inlineStr">
        <is>
          <t>Fermentation</t>
        </is>
      </c>
      <c r="C65" s="47" t="inlineStr">
        <is>
          <t>Fermentation</t>
        </is>
      </c>
      <c r="D65" s="47" t="inlineStr">
        <is>
          <t>End Of Fermentation</t>
        </is>
      </c>
      <c r="E65" s="47" t="inlineStr">
        <is>
          <t>P.BR.CF.EOF.0003</t>
        </is>
      </c>
      <c r="F65" s="47" t="inlineStr">
        <is>
          <t>FAN Uptake</t>
        </is>
      </c>
      <c r="G65" s="47" t="inlineStr">
        <is>
          <t>ppm</t>
        </is>
      </c>
      <c r="H65" s="204" t="inlineStr">
        <is>
          <t>Global</t>
        </is>
      </c>
      <c r="I65" s="47" t="inlineStr">
        <is>
          <t>OK</t>
        </is>
      </c>
    </row>
    <row r="66">
      <c r="A66" s="50" t="inlineStr">
        <is>
          <t>Brewing</t>
        </is>
      </c>
      <c r="B66" s="50" t="inlineStr">
        <is>
          <t>Fermentation</t>
        </is>
      </c>
      <c r="C66" s="50" t="inlineStr">
        <is>
          <t>Fermentation</t>
        </is>
      </c>
      <c r="D66" s="50" t="inlineStr">
        <is>
          <t>End Of Fermentation</t>
        </is>
      </c>
      <c r="E66" s="50" t="inlineStr">
        <is>
          <t>P.BR.CF.EOF.0004</t>
        </is>
      </c>
      <c r="F66" s="50" t="inlineStr">
        <is>
          <t>SO2  (EOF)</t>
        </is>
      </c>
      <c r="G66" s="50" t="inlineStr">
        <is>
          <t>mg/L</t>
        </is>
      </c>
      <c r="H66" s="204" t="inlineStr">
        <is>
          <t>Global</t>
        </is>
      </c>
      <c r="I66" s="47" t="inlineStr">
        <is>
          <t>OK</t>
        </is>
      </c>
    </row>
    <row r="67">
      <c r="A67" s="47" t="inlineStr">
        <is>
          <t>Brewing</t>
        </is>
      </c>
      <c r="B67" s="47" t="inlineStr">
        <is>
          <t>Fermentation</t>
        </is>
      </c>
      <c r="C67" s="47" t="inlineStr">
        <is>
          <t>Fermentation</t>
        </is>
      </c>
      <c r="D67" s="47" t="inlineStr">
        <is>
          <t>End Of Fermentation</t>
        </is>
      </c>
      <c r="E67" s="47" t="inlineStr">
        <is>
          <t>P.BR.CF.EOF.0008</t>
        </is>
      </c>
      <c r="F67" s="47" t="inlineStr">
        <is>
          <t>Bitterness  (EOF)</t>
        </is>
      </c>
      <c r="G67" s="47" t="inlineStr">
        <is>
          <t>BU</t>
        </is>
      </c>
      <c r="H67" s="204" t="inlineStr">
        <is>
          <t>Global</t>
        </is>
      </c>
      <c r="I67" s="47" t="inlineStr">
        <is>
          <t>OK</t>
        </is>
      </c>
    </row>
    <row r="68">
      <c r="A68" s="50" t="inlineStr">
        <is>
          <t>Brewing</t>
        </is>
      </c>
      <c r="B68" s="50" t="inlineStr">
        <is>
          <t>Fermentation</t>
        </is>
      </c>
      <c r="C68" s="50" t="inlineStr">
        <is>
          <t>Fermentation</t>
        </is>
      </c>
      <c r="D68" s="50" t="inlineStr">
        <is>
          <t>End Of Fermentation</t>
        </is>
      </c>
      <c r="E68" s="50" t="inlineStr">
        <is>
          <t>P.BR.CF.EOF.0009</t>
        </is>
      </c>
      <c r="F68" s="50" t="inlineStr">
        <is>
          <t>Apparent extract</t>
        </is>
      </c>
      <c r="G68" s="50" t="inlineStr">
        <is>
          <t>°P</t>
        </is>
      </c>
      <c r="H68" s="204" t="inlineStr">
        <is>
          <t>Global</t>
        </is>
      </c>
      <c r="I68" s="47" t="inlineStr">
        <is>
          <t>OK</t>
        </is>
      </c>
    </row>
    <row r="69">
      <c r="A69" s="47" t="inlineStr">
        <is>
          <t>Brewing</t>
        </is>
      </c>
      <c r="B69" s="47" t="inlineStr">
        <is>
          <t>Fermentation</t>
        </is>
      </c>
      <c r="C69" s="47" t="inlineStr">
        <is>
          <t>Fermentation</t>
        </is>
      </c>
      <c r="D69" s="47" t="inlineStr">
        <is>
          <t>End Of Fermentation</t>
        </is>
      </c>
      <c r="E69" s="47" t="inlineStr">
        <is>
          <t>P.BR.CF.EOF.0013</t>
        </is>
      </c>
      <c r="F69" s="47" t="inlineStr">
        <is>
          <t>Color</t>
        </is>
      </c>
      <c r="G69" s="47" t="inlineStr">
        <is>
          <t>°EBC</t>
        </is>
      </c>
      <c r="H69" s="204" t="inlineStr">
        <is>
          <t>Global</t>
        </is>
      </c>
      <c r="I69" s="47" t="inlineStr">
        <is>
          <t>OK</t>
        </is>
      </c>
    </row>
    <row r="70">
      <c r="A70" s="50" t="inlineStr">
        <is>
          <t>Brewing</t>
        </is>
      </c>
      <c r="B70" s="50" t="inlineStr">
        <is>
          <t>Fermentation</t>
        </is>
      </c>
      <c r="C70" s="50" t="inlineStr">
        <is>
          <t>Fermentation</t>
        </is>
      </c>
      <c r="D70" s="50" t="inlineStr">
        <is>
          <t>End Of Fermentation</t>
        </is>
      </c>
      <c r="E70" s="50" t="inlineStr">
        <is>
          <t>P.BR.CF.EOF.0017</t>
        </is>
      </c>
      <c r="F70" s="50" t="inlineStr">
        <is>
          <t>pH (EOF)</t>
        </is>
      </c>
      <c r="G70" s="50" t="inlineStr">
        <is>
          <t>pH</t>
        </is>
      </c>
      <c r="H70" s="204" t="inlineStr">
        <is>
          <t>Global</t>
        </is>
      </c>
      <c r="I70" s="47" t="inlineStr">
        <is>
          <t>OK</t>
        </is>
      </c>
    </row>
    <row r="71">
      <c r="A71" s="47" t="inlineStr">
        <is>
          <t>Brewing</t>
        </is>
      </c>
      <c r="B71" s="47" t="inlineStr">
        <is>
          <t>Fermentation</t>
        </is>
      </c>
      <c r="C71" s="47" t="inlineStr">
        <is>
          <t>Fermentation</t>
        </is>
      </c>
      <c r="D71" s="207" t="inlineStr">
        <is>
          <t>Fermentor Fill</t>
        </is>
      </c>
      <c r="E71" s="47" t="inlineStr">
        <is>
          <t>P.BR.CF.FMF.0003</t>
        </is>
      </c>
      <c r="F71" s="47" t="inlineStr">
        <is>
          <t>Yeast Pitching Rate</t>
        </is>
      </c>
      <c r="G71" s="47" t="inlineStr">
        <is>
          <t>cell/mL</t>
        </is>
      </c>
      <c r="H71" s="204" t="inlineStr">
        <is>
          <t>Global</t>
        </is>
      </c>
      <c r="I71" s="47" t="inlineStr">
        <is>
          <t>OK</t>
        </is>
      </c>
    </row>
    <row r="72">
      <c r="A72" s="50" t="inlineStr">
        <is>
          <t>Brewing</t>
        </is>
      </c>
      <c r="B72" s="50" t="inlineStr">
        <is>
          <t>Fermentation</t>
        </is>
      </c>
      <c r="C72" s="50" t="inlineStr">
        <is>
          <t>Fermentation</t>
        </is>
      </c>
      <c r="D72" s="208" t="inlineStr">
        <is>
          <t>Fermentor Fill</t>
        </is>
      </c>
      <c r="E72" s="50" t="inlineStr">
        <is>
          <t>P.BR.CF.FMF.0004</t>
        </is>
      </c>
      <c r="F72" s="50" t="inlineStr">
        <is>
          <t>Time to attemporation</t>
        </is>
      </c>
      <c r="G72" s="50" t="inlineStr">
        <is>
          <t>Hours</t>
        </is>
      </c>
      <c r="H72" s="204" t="inlineStr">
        <is>
          <t>Global</t>
        </is>
      </c>
      <c r="I72" s="47" t="inlineStr">
        <is>
          <t>OK</t>
        </is>
      </c>
    </row>
    <row r="73">
      <c r="A73" s="47" t="inlineStr">
        <is>
          <t>Brewing</t>
        </is>
      </c>
      <c r="B73" s="47" t="inlineStr">
        <is>
          <t>Fermentation</t>
        </is>
      </c>
      <c r="C73" s="47" t="inlineStr">
        <is>
          <t>Fermentation</t>
        </is>
      </c>
      <c r="D73" s="207" t="inlineStr">
        <is>
          <t>Fermentor Fill</t>
        </is>
      </c>
      <c r="E73" s="47" t="inlineStr">
        <is>
          <t>P.BR.CF.FMF.0005</t>
        </is>
      </c>
      <c r="F73" s="47" t="inlineStr">
        <is>
          <t>Fermentor Fill temperature</t>
        </is>
      </c>
      <c r="G73" s="47" t="inlineStr">
        <is>
          <t>°C</t>
        </is>
      </c>
      <c r="H73" s="204" t="inlineStr">
        <is>
          <t>Global</t>
        </is>
      </c>
      <c r="I73" s="47" t="inlineStr">
        <is>
          <t>OK</t>
        </is>
      </c>
    </row>
    <row r="74">
      <c r="A74" s="50" t="inlineStr">
        <is>
          <t>Brewing</t>
        </is>
      </c>
      <c r="B74" s="50" t="inlineStr">
        <is>
          <t>Fermentation</t>
        </is>
      </c>
      <c r="C74" s="50" t="inlineStr">
        <is>
          <t>Fermentation</t>
        </is>
      </c>
      <c r="D74" s="208" t="inlineStr">
        <is>
          <t>Fermentor Fill</t>
        </is>
      </c>
      <c r="E74" s="50" t="inlineStr">
        <is>
          <t>P.BR.CF.FMF.0006</t>
        </is>
      </c>
      <c r="F74" s="50" t="inlineStr">
        <is>
          <t>YACT - Yeast Air Contact Time</t>
        </is>
      </c>
      <c r="G74" s="50" t="inlineStr">
        <is>
          <t>Hours</t>
        </is>
      </c>
      <c r="H74" s="204" t="inlineStr">
        <is>
          <t>Global</t>
        </is>
      </c>
      <c r="I74" s="47" t="inlineStr">
        <is>
          <t>OK</t>
        </is>
      </c>
    </row>
    <row r="75">
      <c r="A75" s="47" t="inlineStr">
        <is>
          <t>Brewing</t>
        </is>
      </c>
      <c r="B75" s="47" t="inlineStr">
        <is>
          <t>Fermentation</t>
        </is>
      </c>
      <c r="C75" s="47" t="inlineStr">
        <is>
          <t>Fermentation</t>
        </is>
      </c>
      <c r="D75" s="207" t="inlineStr">
        <is>
          <t>Fermentor Fill</t>
        </is>
      </c>
      <c r="E75" s="47" t="inlineStr">
        <is>
          <t>P.BR.CF.FMF.0007</t>
        </is>
      </c>
      <c r="F75" s="47" t="inlineStr">
        <is>
          <t>Yeast generation</t>
        </is>
      </c>
      <c r="G75" s="47" t="inlineStr">
        <is>
          <t>number</t>
        </is>
      </c>
      <c r="H75" s="204" t="inlineStr">
        <is>
          <t>Global</t>
        </is>
      </c>
      <c r="I75" s="47" t="inlineStr">
        <is>
          <t>OK</t>
        </is>
      </c>
    </row>
    <row r="76">
      <c r="A76" s="50" t="inlineStr">
        <is>
          <t>Brewing</t>
        </is>
      </c>
      <c r="B76" s="50" t="inlineStr">
        <is>
          <t>Fermentation</t>
        </is>
      </c>
      <c r="C76" s="50" t="inlineStr">
        <is>
          <t>Fermentation</t>
        </is>
      </c>
      <c r="D76" s="208" t="inlineStr">
        <is>
          <t>Fermentor Fill</t>
        </is>
      </c>
      <c r="E76" s="50" t="inlineStr">
        <is>
          <t>P.BR.CF.FMF.0008</t>
        </is>
      </c>
      <c r="F76" s="50" t="inlineStr">
        <is>
          <t>Duration of yeast aeration (DYA)</t>
        </is>
      </c>
      <c r="G76" s="50" t="inlineStr">
        <is>
          <t>min</t>
        </is>
      </c>
      <c r="H76" s="204" t="inlineStr">
        <is>
          <t>Global</t>
        </is>
      </c>
      <c r="I76" s="207" t="inlineStr">
        <is>
          <t>OK</t>
        </is>
      </c>
    </row>
    <row r="77">
      <c r="A77" s="47" t="inlineStr">
        <is>
          <t>Brewing</t>
        </is>
      </c>
      <c r="B77" s="47" t="inlineStr">
        <is>
          <t>Fermentation</t>
        </is>
      </c>
      <c r="C77" s="47" t="inlineStr">
        <is>
          <t>Fermentation</t>
        </is>
      </c>
      <c r="D77" s="207" t="inlineStr">
        <is>
          <t>Primary Fermentation (First Phase)</t>
        </is>
      </c>
      <c r="E77" s="47" t="inlineStr">
        <is>
          <t>P.BR.CF.PRF.0005</t>
        </is>
      </c>
      <c r="F77" s="47" t="inlineStr">
        <is>
          <t>Attemporation Temperature</t>
        </is>
      </c>
      <c r="G77" s="47" t="inlineStr">
        <is>
          <t>°C</t>
        </is>
      </c>
      <c r="H77" s="204" t="inlineStr">
        <is>
          <t>Global</t>
        </is>
      </c>
      <c r="I77" s="207" t="inlineStr">
        <is>
          <t>OK</t>
        </is>
      </c>
    </row>
    <row r="78">
      <c r="A78" s="50" t="inlineStr">
        <is>
          <t>Brewing</t>
        </is>
      </c>
      <c r="B78" s="50" t="inlineStr">
        <is>
          <t>Fermentation</t>
        </is>
      </c>
      <c r="C78" s="50" t="inlineStr">
        <is>
          <t>Fermentation</t>
        </is>
      </c>
      <c r="D78" s="208" t="inlineStr">
        <is>
          <t>Primary Fermentation (First Phase)</t>
        </is>
      </c>
      <c r="E78" s="50" t="inlineStr">
        <is>
          <t>P.BR.CF.PRF.0006</t>
        </is>
      </c>
      <c r="F78" s="50" t="inlineStr">
        <is>
          <t>Time to reach 2nd stage rise temperature</t>
        </is>
      </c>
      <c r="G78" s="50" t="inlineStr">
        <is>
          <t>Hours</t>
        </is>
      </c>
      <c r="H78" s="204" t="inlineStr">
        <is>
          <t>Global</t>
        </is>
      </c>
      <c r="I78" s="207" t="inlineStr">
        <is>
          <t>OK</t>
        </is>
      </c>
    </row>
    <row r="79">
      <c r="A79" s="47" t="inlineStr">
        <is>
          <t>Brewing</t>
        </is>
      </c>
      <c r="B79" s="47" t="inlineStr">
        <is>
          <t>Fermentation</t>
        </is>
      </c>
      <c r="C79" s="47" t="inlineStr">
        <is>
          <t>Fermentation</t>
        </is>
      </c>
      <c r="D79" s="207" t="inlineStr">
        <is>
          <t>Primary Fermentation (First Phase)</t>
        </is>
      </c>
      <c r="E79" s="47" t="inlineStr">
        <is>
          <t>P.BR.CF.PRF.0008</t>
        </is>
      </c>
      <c r="F79" s="47" t="inlineStr">
        <is>
          <t>Extract to start Full Cooling</t>
        </is>
      </c>
      <c r="G79" s="47" t="inlineStr">
        <is>
          <t>°P</t>
        </is>
      </c>
      <c r="H79" s="204" t="inlineStr">
        <is>
          <t>Global</t>
        </is>
      </c>
      <c r="I79" s="207" t="inlineStr">
        <is>
          <t>OK</t>
        </is>
      </c>
    </row>
    <row r="80">
      <c r="A80" s="50" t="inlineStr">
        <is>
          <t>Brewing</t>
        </is>
      </c>
      <c r="B80" s="50" t="inlineStr">
        <is>
          <t>Fermentation</t>
        </is>
      </c>
      <c r="C80" s="50" t="inlineStr">
        <is>
          <t>Fermentation</t>
        </is>
      </c>
      <c r="D80" s="208" t="inlineStr">
        <is>
          <t>Primary Fermentation (First Phase)</t>
        </is>
      </c>
      <c r="E80" s="50" t="inlineStr">
        <is>
          <t>P.BR.CF.PRF.0009</t>
        </is>
      </c>
      <c r="F80" s="50" t="inlineStr">
        <is>
          <t>Extract to start  2nd phase</t>
        </is>
      </c>
      <c r="G80" s="50" t="inlineStr">
        <is>
          <t>°P</t>
        </is>
      </c>
      <c r="H80" s="204" t="inlineStr">
        <is>
          <t>Global</t>
        </is>
      </c>
      <c r="I80" s="207" t="inlineStr">
        <is>
          <t>OK</t>
        </is>
      </c>
    </row>
    <row r="81">
      <c r="A81" s="47" t="inlineStr">
        <is>
          <t>Brewing</t>
        </is>
      </c>
      <c r="B81" s="47" t="inlineStr">
        <is>
          <t>Fermentation</t>
        </is>
      </c>
      <c r="C81" s="47" t="inlineStr">
        <is>
          <t>Fermentation</t>
        </is>
      </c>
      <c r="D81" s="207" t="inlineStr">
        <is>
          <t>Primary Fermentation (First Phase)</t>
        </is>
      </c>
      <c r="E81" s="47" t="inlineStr">
        <is>
          <t>P.BR.CF.PRF.0011</t>
        </is>
      </c>
      <c r="F81" s="47" t="inlineStr">
        <is>
          <t>Time to Cool</t>
        </is>
      </c>
      <c r="G81" s="47" t="inlineStr">
        <is>
          <t>Hours</t>
        </is>
      </c>
      <c r="H81" s="204" t="inlineStr">
        <is>
          <t>Global</t>
        </is>
      </c>
      <c r="I81" s="207" t="inlineStr">
        <is>
          <t>OK</t>
        </is>
      </c>
    </row>
    <row r="82">
      <c r="A82" s="50" t="inlineStr">
        <is>
          <t>Brewing</t>
        </is>
      </c>
      <c r="B82" s="50" t="inlineStr">
        <is>
          <t>Fermentation</t>
        </is>
      </c>
      <c r="C82" s="50" t="inlineStr">
        <is>
          <t>Fermentation</t>
        </is>
      </c>
      <c r="D82" s="208" t="inlineStr">
        <is>
          <t>Primary Fermentation (First Phase)</t>
        </is>
      </c>
      <c r="E82" s="50" t="inlineStr">
        <is>
          <t>P.BR.CF.PRF.0012</t>
        </is>
      </c>
      <c r="F82" s="50" t="inlineStr">
        <is>
          <t>Temperature at Yeast Drawoff</t>
        </is>
      </c>
      <c r="G82" s="50" t="inlineStr">
        <is>
          <t>°C</t>
        </is>
      </c>
      <c r="H82" s="204" t="inlineStr">
        <is>
          <t>Global</t>
        </is>
      </c>
      <c r="I82" s="207" t="inlineStr">
        <is>
          <t>OK</t>
        </is>
      </c>
    </row>
    <row r="83">
      <c r="A83" s="47" t="inlineStr">
        <is>
          <t>Brewing</t>
        </is>
      </c>
      <c r="B83" s="47" t="inlineStr">
        <is>
          <t>Fermentation</t>
        </is>
      </c>
      <c r="C83" s="47" t="inlineStr">
        <is>
          <t>Fermentation</t>
        </is>
      </c>
      <c r="D83" s="47" t="inlineStr">
        <is>
          <t>Second Phase Of Fermentation</t>
        </is>
      </c>
      <c r="E83" s="47" t="inlineStr">
        <is>
          <t>P.BR.CF.SEF.0001</t>
        </is>
      </c>
      <c r="F83" s="47" t="inlineStr">
        <is>
          <t>2nd Stage Temperature</t>
        </is>
      </c>
      <c r="G83" s="47" t="inlineStr">
        <is>
          <t>°C</t>
        </is>
      </c>
      <c r="H83" s="204" t="inlineStr">
        <is>
          <t>Global</t>
        </is>
      </c>
      <c r="I83" s="207" t="inlineStr">
        <is>
          <t>OK</t>
        </is>
      </c>
    </row>
    <row r="84">
      <c r="A84" s="50" t="inlineStr">
        <is>
          <t>Brewing</t>
        </is>
      </c>
      <c r="B84" s="50" t="inlineStr">
        <is>
          <t>Fermentation</t>
        </is>
      </c>
      <c r="C84" s="50" t="inlineStr">
        <is>
          <t>Fermentation</t>
        </is>
      </c>
      <c r="D84" s="50" t="inlineStr">
        <is>
          <t>Second Phase Of Fermentation</t>
        </is>
      </c>
      <c r="E84" s="50" t="inlineStr">
        <is>
          <t>P.BR.CF.SEF.0002</t>
        </is>
      </c>
      <c r="F84" s="50" t="inlineStr">
        <is>
          <t>Cells in suspension</t>
        </is>
      </c>
      <c r="G84" s="50" t="inlineStr">
        <is>
          <t>cell/mL</t>
        </is>
      </c>
      <c r="H84" s="204" t="inlineStr">
        <is>
          <t>Global</t>
        </is>
      </c>
      <c r="I84" s="207" t="inlineStr">
        <is>
          <t>OK</t>
        </is>
      </c>
    </row>
    <row r="85">
      <c r="A85" s="47" t="inlineStr">
        <is>
          <t>Brewing</t>
        </is>
      </c>
      <c r="B85" s="47" t="inlineStr">
        <is>
          <t>Yeast Propagation</t>
        </is>
      </c>
      <c r="C85" s="47" t="inlineStr">
        <is>
          <t>Yeast Propagation</t>
        </is>
      </c>
      <c r="D85" s="47" t="inlineStr">
        <is>
          <t>Culture Receiving</t>
        </is>
      </c>
      <c r="E85" s="47" t="inlineStr">
        <is>
          <t>P.BR.CF.YCR.0003</t>
        </is>
      </c>
      <c r="F85" s="47" t="inlineStr">
        <is>
          <t>% Dead - Culture</t>
        </is>
      </c>
      <c r="G85" s="47" t="inlineStr">
        <is>
          <t>%</t>
        </is>
      </c>
      <c r="H85" s="204" t="inlineStr">
        <is>
          <t>Global</t>
        </is>
      </c>
      <c r="I85" s="207" t="inlineStr">
        <is>
          <t>OK</t>
        </is>
      </c>
    </row>
    <row r="86">
      <c r="A86" s="50" t="inlineStr">
        <is>
          <t>Brewing</t>
        </is>
      </c>
      <c r="B86" s="50" t="inlineStr">
        <is>
          <t>Yeast Propagation</t>
        </is>
      </c>
      <c r="C86" s="50" t="inlineStr">
        <is>
          <t>Yeast Propagation</t>
        </is>
      </c>
      <c r="D86" s="50" t="inlineStr">
        <is>
          <t>Culture Receiving</t>
        </is>
      </c>
      <c r="E86" s="50" t="inlineStr">
        <is>
          <t>P.BR.CF.YCR.0006</t>
        </is>
      </c>
      <c r="F86" s="50" t="inlineStr">
        <is>
          <t>% Dead - Culture</t>
        </is>
      </c>
      <c r="G86" s="50" t="inlineStr">
        <is>
          <t>%</t>
        </is>
      </c>
      <c r="H86" s="204" t="inlineStr">
        <is>
          <t>Global</t>
        </is>
      </c>
      <c r="I86" s="205" t="inlineStr">
        <is>
          <t>OK</t>
        </is>
      </c>
    </row>
    <row r="87">
      <c r="A87" s="47" t="inlineStr">
        <is>
          <t>Brewing</t>
        </is>
      </c>
      <c r="B87" s="47" t="inlineStr">
        <is>
          <t>Yeast Propagation</t>
        </is>
      </c>
      <c r="C87" s="47" t="inlineStr">
        <is>
          <t>Yeast Propagation</t>
        </is>
      </c>
      <c r="D87" s="47" t="inlineStr">
        <is>
          <t>Yeast Propagation - Phase I</t>
        </is>
      </c>
      <c r="E87" s="47" t="inlineStr">
        <is>
          <t>P.BR.CF.YP1.0024</t>
        </is>
      </c>
      <c r="F87" s="47" t="inlineStr">
        <is>
          <t>% Dead - Culture</t>
        </is>
      </c>
      <c r="G87" s="47" t="inlineStr">
        <is>
          <t>%</t>
        </is>
      </c>
      <c r="H87" s="204" t="inlineStr">
        <is>
          <t>Global</t>
        </is>
      </c>
      <c r="I87" s="207" t="inlineStr">
        <is>
          <t>OK</t>
        </is>
      </c>
    </row>
    <row r="88">
      <c r="A88" s="50" t="inlineStr">
        <is>
          <t>Brewing</t>
        </is>
      </c>
      <c r="B88" s="50" t="inlineStr">
        <is>
          <t>Yeast Propagation</t>
        </is>
      </c>
      <c r="C88" s="50" t="inlineStr">
        <is>
          <t>Yeast Propagation</t>
        </is>
      </c>
      <c r="D88" s="50" t="inlineStr">
        <is>
          <t>Yeast Propagation - Phase II</t>
        </is>
      </c>
      <c r="E88" s="50" t="inlineStr">
        <is>
          <t>P.BR.CF.YP2.0016</t>
        </is>
      </c>
      <c r="F88" s="50" t="inlineStr">
        <is>
          <t>% Dead - Culture</t>
        </is>
      </c>
      <c r="G88" s="50" t="inlineStr">
        <is>
          <t>%</t>
        </is>
      </c>
      <c r="H88" s="204" t="inlineStr">
        <is>
          <t>Global</t>
        </is>
      </c>
      <c r="I88" s="207" t="inlineStr">
        <is>
          <t>OK</t>
        </is>
      </c>
    </row>
    <row r="89">
      <c r="A89" s="47" t="inlineStr">
        <is>
          <t>Brewing</t>
        </is>
      </c>
      <c r="B89" s="47" t="inlineStr">
        <is>
          <t>Yeast Propagation</t>
        </is>
      </c>
      <c r="C89" s="47" t="inlineStr">
        <is>
          <t>Yeast Propagation</t>
        </is>
      </c>
      <c r="D89" s="47" t="inlineStr">
        <is>
          <t>Propagation - Phase III</t>
        </is>
      </c>
      <c r="E89" s="47" t="inlineStr">
        <is>
          <t>P.BR.CF.YP3.0017</t>
        </is>
      </c>
      <c r="F89" s="47" t="inlineStr">
        <is>
          <t>% Dead - Culture</t>
        </is>
      </c>
      <c r="G89" s="47" t="inlineStr">
        <is>
          <t>%</t>
        </is>
      </c>
      <c r="H89" s="204" t="inlineStr">
        <is>
          <t>Global</t>
        </is>
      </c>
      <c r="I89" s="207" t="inlineStr">
        <is>
          <t>OK</t>
        </is>
      </c>
    </row>
    <row r="90">
      <c r="A90" s="50" t="inlineStr">
        <is>
          <t>Brewing</t>
        </is>
      </c>
      <c r="B90" s="50" t="inlineStr">
        <is>
          <t>Filtration</t>
        </is>
      </c>
      <c r="C90" s="50" t="inlineStr">
        <is>
          <t>Filtration</t>
        </is>
      </c>
      <c r="D90" s="50" t="inlineStr">
        <is>
          <t>Bright Beer Tank</t>
        </is>
      </c>
      <c r="E90" s="50" t="inlineStr">
        <is>
          <t>P.BR.FI.BBT.0001</t>
        </is>
      </c>
      <c r="F90" s="50" t="inlineStr">
        <is>
          <t>pH BBT</t>
        </is>
      </c>
      <c r="G90" s="50" t="inlineStr">
        <is>
          <t>pH</t>
        </is>
      </c>
      <c r="H90" s="204" t="inlineStr">
        <is>
          <t>Global</t>
        </is>
      </c>
      <c r="I90" s="207" t="inlineStr">
        <is>
          <t>OK</t>
        </is>
      </c>
    </row>
    <row r="91">
      <c r="A91" s="47" t="inlineStr">
        <is>
          <t>Brewing</t>
        </is>
      </c>
      <c r="B91" s="47" t="inlineStr">
        <is>
          <t>Filtration</t>
        </is>
      </c>
      <c r="C91" s="47" t="inlineStr">
        <is>
          <t>Filtration</t>
        </is>
      </c>
      <c r="D91" s="47" t="inlineStr">
        <is>
          <t>Bright Beer Tank</t>
        </is>
      </c>
      <c r="E91" s="47" t="inlineStr">
        <is>
          <t>P.BR.FI.BBT.0004</t>
        </is>
      </c>
      <c r="F91" s="47" t="inlineStr">
        <is>
          <t>Iron</t>
        </is>
      </c>
      <c r="G91" s="47" t="inlineStr">
        <is>
          <t>ppm</t>
        </is>
      </c>
      <c r="H91" s="204" t="inlineStr">
        <is>
          <t>Global</t>
        </is>
      </c>
      <c r="I91" s="207" t="inlineStr">
        <is>
          <t>OK</t>
        </is>
      </c>
    </row>
    <row r="92">
      <c r="A92" s="50" t="inlineStr">
        <is>
          <t>Brewing</t>
        </is>
      </c>
      <c r="B92" s="50" t="inlineStr">
        <is>
          <t>Filtration</t>
        </is>
      </c>
      <c r="C92" s="50" t="inlineStr">
        <is>
          <t>Filtration</t>
        </is>
      </c>
      <c r="D92" s="50" t="inlineStr">
        <is>
          <t>Bright Beer Tank</t>
        </is>
      </c>
      <c r="E92" s="50" t="inlineStr">
        <is>
          <t>P.BR.FI.BBT.0005</t>
        </is>
      </c>
      <c r="F92" s="50" t="inlineStr">
        <is>
          <t>RDF</t>
        </is>
      </c>
      <c r="G92" s="50" t="inlineStr">
        <is>
          <t>%</t>
        </is>
      </c>
      <c r="H92" s="204" t="inlineStr">
        <is>
          <t>Global</t>
        </is>
      </c>
      <c r="I92" s="207" t="inlineStr">
        <is>
          <t>OK</t>
        </is>
      </c>
    </row>
    <row r="93">
      <c r="A93" s="47" t="inlineStr">
        <is>
          <t>Brewing</t>
        </is>
      </c>
      <c r="B93" s="47" t="inlineStr">
        <is>
          <t>Filtration</t>
        </is>
      </c>
      <c r="C93" s="47" t="inlineStr">
        <is>
          <t>Filtration</t>
        </is>
      </c>
      <c r="D93" s="47" t="inlineStr">
        <is>
          <t>Bright Beer Tank</t>
        </is>
      </c>
      <c r="E93" s="47" t="inlineStr">
        <is>
          <t>P.BR.FI.BBT.0012</t>
        </is>
      </c>
      <c r="F93" s="47" t="inlineStr">
        <is>
          <t>Polyphenols</t>
        </is>
      </c>
      <c r="G93" s="47" t="inlineStr">
        <is>
          <t>ppm</t>
        </is>
      </c>
      <c r="H93" s="204" t="inlineStr">
        <is>
          <t>Global</t>
        </is>
      </c>
      <c r="I93" s="207" t="inlineStr">
        <is>
          <t>OK</t>
        </is>
      </c>
    </row>
    <row r="94">
      <c r="A94" s="50" t="inlineStr">
        <is>
          <t>Brewing</t>
        </is>
      </c>
      <c r="B94" s="50" t="inlineStr">
        <is>
          <t>Filtration</t>
        </is>
      </c>
      <c r="C94" s="50" t="inlineStr">
        <is>
          <t>Filtration</t>
        </is>
      </c>
      <c r="D94" s="50" t="inlineStr">
        <is>
          <t>Bright Beer Tank</t>
        </is>
      </c>
      <c r="E94" s="50" t="inlineStr">
        <is>
          <t>P.BR.FI.BBT.0016</t>
        </is>
      </c>
      <c r="F94" s="50" t="inlineStr">
        <is>
          <t>Original Extract (OE)</t>
        </is>
      </c>
      <c r="G94" s="50" t="inlineStr">
        <is>
          <t>°P</t>
        </is>
      </c>
      <c r="H94" s="204" t="inlineStr">
        <is>
          <t>Global</t>
        </is>
      </c>
      <c r="I94" s="207" t="inlineStr">
        <is>
          <t>OK</t>
        </is>
      </c>
    </row>
    <row r="95">
      <c r="A95" s="47" t="inlineStr">
        <is>
          <t>Brewing</t>
        </is>
      </c>
      <c r="B95" s="47" t="inlineStr">
        <is>
          <t>Filtration</t>
        </is>
      </c>
      <c r="C95" s="47" t="inlineStr">
        <is>
          <t>Filtration</t>
        </is>
      </c>
      <c r="D95" s="47" t="inlineStr">
        <is>
          <t>Bright Beer Tank</t>
        </is>
      </c>
      <c r="E95" s="47" t="inlineStr">
        <is>
          <t>P.BR.FI.BBT.0017</t>
        </is>
      </c>
      <c r="F95" s="47" t="inlineStr">
        <is>
          <t>Apparent extract</t>
        </is>
      </c>
      <c r="G95" s="47" t="inlineStr">
        <is>
          <t>°P</t>
        </is>
      </c>
      <c r="H95" s="204" t="inlineStr">
        <is>
          <t>Global</t>
        </is>
      </c>
      <c r="I95" s="207" t="inlineStr">
        <is>
          <t>OK</t>
        </is>
      </c>
    </row>
    <row r="96">
      <c r="A96" s="50" t="inlineStr">
        <is>
          <t>Brewing</t>
        </is>
      </c>
      <c r="B96" s="50" t="inlineStr">
        <is>
          <t>Filtration</t>
        </is>
      </c>
      <c r="C96" s="50" t="inlineStr">
        <is>
          <t>Filtration</t>
        </is>
      </c>
      <c r="D96" s="50" t="inlineStr">
        <is>
          <t>Bright Beer Tank</t>
        </is>
      </c>
      <c r="E96" s="50" t="inlineStr">
        <is>
          <t>P.BR.FI.BBT.0018</t>
        </is>
      </c>
      <c r="F96" s="50" t="inlineStr">
        <is>
          <t>Dissolved Oxygen (DO)</t>
        </is>
      </c>
      <c r="G96" s="50" t="inlineStr">
        <is>
          <t>ppb</t>
        </is>
      </c>
      <c r="H96" s="204" t="inlineStr">
        <is>
          <t>Global</t>
        </is>
      </c>
      <c r="I96" s="207" t="inlineStr">
        <is>
          <t>OK</t>
        </is>
      </c>
    </row>
    <row r="97">
      <c r="A97" s="47" t="inlineStr">
        <is>
          <t>Brewing</t>
        </is>
      </c>
      <c r="B97" s="47" t="inlineStr">
        <is>
          <t>Filtration</t>
        </is>
      </c>
      <c r="C97" s="47" t="inlineStr">
        <is>
          <t>Filtration</t>
        </is>
      </c>
      <c r="D97" s="47" t="inlineStr">
        <is>
          <t>Bright Beer Tank</t>
        </is>
      </c>
      <c r="E97" s="47" t="inlineStr">
        <is>
          <t>P.BR.FI.BBT.0019</t>
        </is>
      </c>
      <c r="F97" s="47" t="inlineStr">
        <is>
          <t>Color</t>
        </is>
      </c>
      <c r="G97" s="47" t="inlineStr">
        <is>
          <t>°EBC</t>
        </is>
      </c>
      <c r="H97" s="204" t="inlineStr">
        <is>
          <t>Global</t>
        </is>
      </c>
      <c r="I97" s="207" t="inlineStr">
        <is>
          <t>OK</t>
        </is>
      </c>
    </row>
    <row r="98">
      <c r="A98" s="50" t="inlineStr">
        <is>
          <t>Brewing</t>
        </is>
      </c>
      <c r="B98" s="50" t="inlineStr">
        <is>
          <t>Filtration</t>
        </is>
      </c>
      <c r="C98" s="50" t="inlineStr">
        <is>
          <t>Filtration</t>
        </is>
      </c>
      <c r="D98" s="50" t="inlineStr">
        <is>
          <t>Bright Beer Tank</t>
        </is>
      </c>
      <c r="E98" s="50" t="inlineStr">
        <is>
          <t>P.BR.FI.BBT.0022</t>
        </is>
      </c>
      <c r="F98" s="50" t="inlineStr">
        <is>
          <t>Bitterness BBT</t>
        </is>
      </c>
      <c r="G98" s="50" t="inlineStr">
        <is>
          <t>BU</t>
        </is>
      </c>
      <c r="H98" s="204" t="inlineStr">
        <is>
          <t>Global</t>
        </is>
      </c>
      <c r="I98" s="207" t="inlineStr">
        <is>
          <t>OK</t>
        </is>
      </c>
    </row>
    <row r="99">
      <c r="A99" s="47" t="inlineStr">
        <is>
          <t>Brewing</t>
        </is>
      </c>
      <c r="B99" s="47" t="inlineStr">
        <is>
          <t>Filtration</t>
        </is>
      </c>
      <c r="C99" s="47" t="inlineStr">
        <is>
          <t>Filtration</t>
        </is>
      </c>
      <c r="D99" s="47" t="inlineStr">
        <is>
          <t>Bright Beer Tank</t>
        </is>
      </c>
      <c r="E99" s="47" t="inlineStr">
        <is>
          <t>P.BR.FI.BBT.0024</t>
        </is>
      </c>
      <c r="F99" s="47" t="inlineStr">
        <is>
          <t>SO2 BBT</t>
        </is>
      </c>
      <c r="G99" s="47" t="inlineStr">
        <is>
          <t>ppm</t>
        </is>
      </c>
      <c r="H99" s="204" t="inlineStr">
        <is>
          <t>Global</t>
        </is>
      </c>
      <c r="I99" s="207" t="inlineStr">
        <is>
          <t>OK</t>
        </is>
      </c>
    </row>
    <row r="100">
      <c r="A100" s="50" t="inlineStr">
        <is>
          <t>Brewing</t>
        </is>
      </c>
      <c r="B100" s="50" t="inlineStr">
        <is>
          <t>Filtration</t>
        </is>
      </c>
      <c r="C100" s="50" t="inlineStr">
        <is>
          <t>Filtration</t>
        </is>
      </c>
      <c r="D100" s="50" t="inlineStr">
        <is>
          <t>Bright Beer Tank</t>
        </is>
      </c>
      <c r="E100" s="50" t="inlineStr">
        <is>
          <t>P.BR.FI.BBT.0029</t>
        </is>
      </c>
      <c r="F100" s="50" t="inlineStr">
        <is>
          <t>Haze @ 90°</t>
        </is>
      </c>
      <c r="G100" s="50" t="inlineStr">
        <is>
          <t>°EBC</t>
        </is>
      </c>
      <c r="H100" s="204" t="inlineStr">
        <is>
          <t>Global</t>
        </is>
      </c>
      <c r="I100" s="207" t="inlineStr">
        <is>
          <t>OK</t>
        </is>
      </c>
    </row>
    <row r="101">
      <c r="A101" s="47" t="inlineStr">
        <is>
          <t>Brewing</t>
        </is>
      </c>
      <c r="B101" s="47" t="inlineStr">
        <is>
          <t>Filtration</t>
        </is>
      </c>
      <c r="C101" s="47" t="inlineStr">
        <is>
          <t>Filtration</t>
        </is>
      </c>
      <c r="D101" s="47" t="inlineStr">
        <is>
          <t>Bright Beer Tank</t>
        </is>
      </c>
      <c r="E101" s="47" t="inlineStr">
        <is>
          <t>P.BR.FI.BBT.0032</t>
        </is>
      </c>
      <c r="F101" s="47" t="inlineStr">
        <is>
          <t>CO2 BBT</t>
        </is>
      </c>
      <c r="G101" s="47" t="inlineStr">
        <is>
          <t>v/v</t>
        </is>
      </c>
      <c r="H101" s="204" t="inlineStr">
        <is>
          <t>Global</t>
        </is>
      </c>
      <c r="I101" s="207" t="inlineStr">
        <is>
          <t>OK</t>
        </is>
      </c>
    </row>
    <row r="102">
      <c r="A102" s="50" t="inlineStr">
        <is>
          <t>Brewing</t>
        </is>
      </c>
      <c r="B102" s="50" t="inlineStr">
        <is>
          <t>Filtration</t>
        </is>
      </c>
      <c r="C102" s="50" t="inlineStr">
        <is>
          <t>Filtration</t>
        </is>
      </c>
      <c r="D102" s="50" t="inlineStr">
        <is>
          <t>Beer Membrane Filter</t>
        </is>
      </c>
      <c r="E102" s="50" t="inlineStr">
        <is>
          <t>P.BR.FI.BMF.0001</t>
        </is>
      </c>
      <c r="F102" s="50" t="inlineStr">
        <is>
          <t>Pre Chiller Temperature</t>
        </is>
      </c>
      <c r="G102" s="50" t="inlineStr">
        <is>
          <t>°C</t>
        </is>
      </c>
      <c r="H102" s="204" t="inlineStr">
        <is>
          <t>Global</t>
        </is>
      </c>
      <c r="I102" s="207" t="inlineStr">
        <is>
          <t>OK</t>
        </is>
      </c>
    </row>
    <row r="103">
      <c r="A103" s="47" t="inlineStr">
        <is>
          <t>Brewing</t>
        </is>
      </c>
      <c r="B103" s="47" t="inlineStr">
        <is>
          <t>Filtration</t>
        </is>
      </c>
      <c r="C103" s="47" t="inlineStr">
        <is>
          <t>Filtration</t>
        </is>
      </c>
      <c r="D103" s="47" t="inlineStr">
        <is>
          <t>Beer Membrane Filter</t>
        </is>
      </c>
      <c r="E103" s="47" t="inlineStr">
        <is>
          <t>P.BR.FI.BMF.0002</t>
        </is>
      </c>
      <c r="F103" s="47" t="inlineStr">
        <is>
          <t>Post Chiller Temperature</t>
        </is>
      </c>
      <c r="G103" s="47" t="inlineStr">
        <is>
          <t>°C</t>
        </is>
      </c>
      <c r="H103" s="204" t="inlineStr">
        <is>
          <t>Global</t>
        </is>
      </c>
      <c r="I103" s="207" t="inlineStr">
        <is>
          <t>OK</t>
        </is>
      </c>
    </row>
    <row r="104">
      <c r="A104" s="50" t="inlineStr">
        <is>
          <t>Brewing</t>
        </is>
      </c>
      <c r="B104" s="50" t="inlineStr">
        <is>
          <t>Filtration</t>
        </is>
      </c>
      <c r="C104" s="50" t="inlineStr">
        <is>
          <t>Filtration</t>
        </is>
      </c>
      <c r="D104" s="50" t="inlineStr">
        <is>
          <t>Beer Membrane Filter</t>
        </is>
      </c>
      <c r="E104" s="50" t="inlineStr">
        <is>
          <t>P.BR.FI.BMF.0009</t>
        </is>
      </c>
      <c r="F104" s="50" t="inlineStr">
        <is>
          <t>Haze @ 90°</t>
        </is>
      </c>
      <c r="G104" s="50" t="inlineStr">
        <is>
          <t>°EBC</t>
        </is>
      </c>
      <c r="H104" s="204" t="inlineStr">
        <is>
          <t>Global</t>
        </is>
      </c>
      <c r="I104" s="207" t="inlineStr">
        <is>
          <t>OK</t>
        </is>
      </c>
    </row>
    <row r="105">
      <c r="A105" s="47" t="inlineStr">
        <is>
          <t>Brewing</t>
        </is>
      </c>
      <c r="B105" s="47" t="inlineStr">
        <is>
          <t>Filtration</t>
        </is>
      </c>
      <c r="C105" s="47" t="inlineStr">
        <is>
          <t>Filtration</t>
        </is>
      </c>
      <c r="D105" s="47" t="inlineStr">
        <is>
          <t>Beer Membrane Filter</t>
        </is>
      </c>
      <c r="E105" s="47" t="inlineStr">
        <is>
          <t>P.BR.FI.BMF.0011</t>
        </is>
      </c>
      <c r="F105" s="47" t="inlineStr">
        <is>
          <t>Dissolved oxygen  - Filtration Inlet</t>
        </is>
      </c>
      <c r="G105" s="47" t="inlineStr">
        <is>
          <t>ppb</t>
        </is>
      </c>
      <c r="H105" s="204" t="inlineStr">
        <is>
          <t>Global</t>
        </is>
      </c>
      <c r="I105" s="207" t="inlineStr">
        <is>
          <t>OK</t>
        </is>
      </c>
    </row>
    <row r="106">
      <c r="A106" s="50" t="inlineStr">
        <is>
          <t>Brewing</t>
        </is>
      </c>
      <c r="B106" s="50" t="inlineStr">
        <is>
          <t>Filtration</t>
        </is>
      </c>
      <c r="C106" s="50" t="inlineStr">
        <is>
          <t>Filtration</t>
        </is>
      </c>
      <c r="D106" s="50" t="inlineStr">
        <is>
          <t>Deaerated Water</t>
        </is>
      </c>
      <c r="E106" s="50" t="inlineStr">
        <is>
          <t>P.BR.FI.DAW.0009</t>
        </is>
      </c>
      <c r="F106" s="50" t="inlineStr">
        <is>
          <t>Free chlorine [Free chlorine]</t>
        </is>
      </c>
      <c r="G106" s="50" t="inlineStr">
        <is>
          <t>ppm</t>
        </is>
      </c>
      <c r="H106" s="204" t="inlineStr">
        <is>
          <t>Global</t>
        </is>
      </c>
      <c r="I106" s="207" t="inlineStr">
        <is>
          <t>OK</t>
        </is>
      </c>
    </row>
    <row r="107">
      <c r="A107" s="47" t="inlineStr">
        <is>
          <t>Brewing</t>
        </is>
      </c>
      <c r="B107" s="47" t="inlineStr">
        <is>
          <t>Filtration</t>
        </is>
      </c>
      <c r="C107" s="47" t="inlineStr">
        <is>
          <t>Filtration</t>
        </is>
      </c>
      <c r="D107" s="47" t="inlineStr">
        <is>
          <t>Deaerated Water</t>
        </is>
      </c>
      <c r="E107" s="47" t="inlineStr">
        <is>
          <t>P.BR.FI.DAW.0014</t>
        </is>
      </c>
      <c r="F107" s="47" t="inlineStr">
        <is>
          <t>Blending Water – Dissolved Oxygen (DO)</t>
        </is>
      </c>
      <c r="G107" s="47" t="inlineStr">
        <is>
          <t>ppb</t>
        </is>
      </c>
      <c r="H107" s="204" t="inlineStr">
        <is>
          <t>Global</t>
        </is>
      </c>
      <c r="I107" s="207" t="inlineStr">
        <is>
          <t>OK</t>
        </is>
      </c>
    </row>
    <row r="108">
      <c r="A108" s="50" t="inlineStr">
        <is>
          <t>Brewing</t>
        </is>
      </c>
      <c r="B108" s="50" t="inlineStr">
        <is>
          <t>Filtration</t>
        </is>
      </c>
      <c r="C108" s="50" t="inlineStr">
        <is>
          <t>Filtration</t>
        </is>
      </c>
      <c r="D108" s="50" t="inlineStr">
        <is>
          <t>Filtration</t>
        </is>
      </c>
      <c r="E108" s="50" t="inlineStr">
        <is>
          <t>P.BR.FI.FIL.0001</t>
        </is>
      </c>
      <c r="F108" s="50" t="inlineStr">
        <is>
          <t>Dissolved oxygen  - Filtration Inlet</t>
        </is>
      </c>
      <c r="G108" s="50" t="inlineStr">
        <is>
          <t>ppb</t>
        </is>
      </c>
      <c r="H108" s="204" t="inlineStr">
        <is>
          <t>Global</t>
        </is>
      </c>
      <c r="I108" s="207" t="inlineStr">
        <is>
          <t>OK</t>
        </is>
      </c>
    </row>
    <row r="109">
      <c r="A109" s="47" t="inlineStr">
        <is>
          <t>Brewing</t>
        </is>
      </c>
      <c r="B109" s="47" t="inlineStr">
        <is>
          <t>Filtration</t>
        </is>
      </c>
      <c r="C109" s="47" t="inlineStr">
        <is>
          <t>Filtration</t>
        </is>
      </c>
      <c r="D109" s="47" t="inlineStr">
        <is>
          <t>Filtration</t>
        </is>
      </c>
      <c r="E109" s="47" t="inlineStr">
        <is>
          <t>P.BR.FI.FIL.0002</t>
        </is>
      </c>
      <c r="F109" s="47" t="inlineStr">
        <is>
          <t>Filter Start-up Peak D.O.</t>
        </is>
      </c>
      <c r="G109" s="47" t="inlineStr">
        <is>
          <t>ppb</t>
        </is>
      </c>
      <c r="H109" s="204" t="inlineStr">
        <is>
          <t>Global</t>
        </is>
      </c>
      <c r="I109" s="207" t="inlineStr">
        <is>
          <t>OK</t>
        </is>
      </c>
    </row>
    <row r="110">
      <c r="A110" s="50" t="inlineStr">
        <is>
          <t>Brewing</t>
        </is>
      </c>
      <c r="B110" s="50" t="inlineStr">
        <is>
          <t>Filtration</t>
        </is>
      </c>
      <c r="C110" s="50" t="inlineStr">
        <is>
          <t>Filtration</t>
        </is>
      </c>
      <c r="D110" s="50" t="inlineStr">
        <is>
          <t>Filtration</t>
        </is>
      </c>
      <c r="E110" s="50" t="inlineStr">
        <is>
          <t>P.BR.FI.FIL.0005</t>
        </is>
      </c>
      <c r="F110" s="50" t="inlineStr">
        <is>
          <t>Haze @ 90°</t>
        </is>
      </c>
      <c r="G110" s="50" t="inlineStr">
        <is>
          <t>°EBC</t>
        </is>
      </c>
      <c r="H110" s="204" t="inlineStr">
        <is>
          <t>Global</t>
        </is>
      </c>
      <c r="I110" s="207" t="inlineStr">
        <is>
          <t>OK</t>
        </is>
      </c>
    </row>
    <row r="111">
      <c r="A111" s="47" t="inlineStr">
        <is>
          <t>Brewing</t>
        </is>
      </c>
      <c r="B111" s="47" t="inlineStr">
        <is>
          <t>Filtration</t>
        </is>
      </c>
      <c r="C111" s="47" t="inlineStr">
        <is>
          <t>Filtration</t>
        </is>
      </c>
      <c r="D111" s="47" t="inlineStr">
        <is>
          <t>Filtration</t>
        </is>
      </c>
      <c r="E111" s="47" t="inlineStr">
        <is>
          <t>P.BR.FI.FIL.0007</t>
        </is>
      </c>
      <c r="F111" s="47" t="inlineStr">
        <is>
          <t>Beer Temperature – Immediately Prior to Filtration</t>
        </is>
      </c>
      <c r="G111" s="47" t="inlineStr">
        <is>
          <t>°C</t>
        </is>
      </c>
      <c r="H111" s="204" t="inlineStr">
        <is>
          <t>Global</t>
        </is>
      </c>
      <c r="I111" s="207" t="inlineStr">
        <is>
          <t>OK</t>
        </is>
      </c>
    </row>
    <row r="112">
      <c r="A112" s="50" t="inlineStr">
        <is>
          <t>Brewing</t>
        </is>
      </c>
      <c r="B112" s="50" t="inlineStr">
        <is>
          <t>Filtration</t>
        </is>
      </c>
      <c r="C112" s="50" t="inlineStr">
        <is>
          <t>Filtration</t>
        </is>
      </c>
      <c r="D112" s="50" t="inlineStr">
        <is>
          <t>Filtration</t>
        </is>
      </c>
      <c r="E112" s="50" t="inlineStr">
        <is>
          <t>P.BR.FI.FIL.0008</t>
        </is>
      </c>
      <c r="F112" s="50" t="inlineStr">
        <is>
          <t>Filter Start-up DO</t>
        </is>
      </c>
      <c r="G112" s="50" t="inlineStr">
        <is>
          <t>ppb</t>
        </is>
      </c>
      <c r="H112" s="204" t="inlineStr">
        <is>
          <t>Global</t>
        </is>
      </c>
      <c r="I112" s="207" t="inlineStr">
        <is>
          <t>OK</t>
        </is>
      </c>
    </row>
    <row r="113">
      <c r="A113" s="47" t="inlineStr">
        <is>
          <t>Brewing</t>
        </is>
      </c>
      <c r="B113" s="47" t="inlineStr">
        <is>
          <t>Filtration</t>
        </is>
      </c>
      <c r="C113" s="47" t="inlineStr">
        <is>
          <t>Filtration</t>
        </is>
      </c>
      <c r="D113" s="47" t="inlineStr">
        <is>
          <t>Stabilization</t>
        </is>
      </c>
      <c r="E113" s="47" t="inlineStr">
        <is>
          <t>P.BR.FI.STB.0001</t>
        </is>
      </c>
      <c r="F113" s="47" t="inlineStr">
        <is>
          <t>Polyphenol after stabilization</t>
        </is>
      </c>
      <c r="G113" s="47" t="inlineStr">
        <is>
          <t>mg/L</t>
        </is>
      </c>
      <c r="H113" s="204" t="inlineStr">
        <is>
          <t>Global</t>
        </is>
      </c>
      <c r="I113" s="207" t="inlineStr">
        <is>
          <t>OK</t>
        </is>
      </c>
    </row>
    <row r="114">
      <c r="A114" s="50" t="inlineStr">
        <is>
          <t>Brewing</t>
        </is>
      </c>
      <c r="B114" s="50" t="inlineStr">
        <is>
          <t>Filtration</t>
        </is>
      </c>
      <c r="C114" s="50" t="inlineStr">
        <is>
          <t>Filtration</t>
        </is>
      </c>
      <c r="D114" s="50" t="inlineStr">
        <is>
          <t>Stabilization</t>
        </is>
      </c>
      <c r="E114" s="50" t="inlineStr">
        <is>
          <t>P.BR.FI.STB.0003</t>
        </is>
      </c>
      <c r="F114" s="50" t="inlineStr">
        <is>
          <t>Regenerable PVPP Dosage Rate</t>
        </is>
      </c>
      <c r="G114" s="50" t="inlineStr">
        <is>
          <t>g/hL</t>
        </is>
      </c>
      <c r="H114" s="204" t="inlineStr">
        <is>
          <t>Global</t>
        </is>
      </c>
      <c r="I114" s="207" t="inlineStr">
        <is>
          <t>OK</t>
        </is>
      </c>
    </row>
    <row r="115">
      <c r="A115" s="47" t="inlineStr">
        <is>
          <t>Brewing</t>
        </is>
      </c>
      <c r="B115" s="47" t="inlineStr">
        <is>
          <t>Filtration</t>
        </is>
      </c>
      <c r="C115" s="47" t="inlineStr">
        <is>
          <t>Filtration</t>
        </is>
      </c>
      <c r="D115" s="47" t="inlineStr">
        <is>
          <t>Stabilization</t>
        </is>
      </c>
      <c r="E115" s="47" t="inlineStr">
        <is>
          <t>P.BR.FI.STB.0004</t>
        </is>
      </c>
      <c r="F115" s="47" t="inlineStr">
        <is>
          <t>One-way PVPP Dosage Rate</t>
        </is>
      </c>
      <c r="G115" s="47" t="inlineStr">
        <is>
          <t>g/hL</t>
        </is>
      </c>
      <c r="H115" s="204" t="inlineStr">
        <is>
          <t>Global</t>
        </is>
      </c>
      <c r="I115" s="207" t="inlineStr">
        <is>
          <t>OK</t>
        </is>
      </c>
    </row>
    <row r="116">
      <c r="A116" s="50" t="inlineStr">
        <is>
          <t>Brewing</t>
        </is>
      </c>
      <c r="B116" s="50" t="inlineStr">
        <is>
          <t>Filtration</t>
        </is>
      </c>
      <c r="C116" s="50" t="inlineStr">
        <is>
          <t>Filtration</t>
        </is>
      </c>
      <c r="D116" s="50" t="inlineStr">
        <is>
          <t>Stabilization</t>
        </is>
      </c>
      <c r="E116" s="50" t="inlineStr">
        <is>
          <t>P.BR.FI.STB.0005</t>
        </is>
      </c>
      <c r="F116" s="50" t="inlineStr">
        <is>
          <t>Silica Hydrogel dosage</t>
        </is>
      </c>
      <c r="G116" s="50" t="inlineStr">
        <is>
          <t>g/hL</t>
        </is>
      </c>
      <c r="H116" s="204" t="inlineStr">
        <is>
          <t>Global</t>
        </is>
      </c>
      <c r="I116" s="207" t="inlineStr">
        <is>
          <t>OK</t>
        </is>
      </c>
    </row>
    <row r="117">
      <c r="A117" s="47" t="inlineStr">
        <is>
          <t>Brewing</t>
        </is>
      </c>
      <c r="B117" s="47" t="inlineStr">
        <is>
          <t>Filtration</t>
        </is>
      </c>
      <c r="C117" s="47" t="inlineStr">
        <is>
          <t>Filtration</t>
        </is>
      </c>
      <c r="D117" s="47" t="inlineStr">
        <is>
          <t>Stabilization</t>
        </is>
      </c>
      <c r="E117" s="47" t="inlineStr">
        <is>
          <t>P.BR.FI.STB.0006</t>
        </is>
      </c>
      <c r="F117" s="47" t="inlineStr">
        <is>
          <t>Silica Hydrogel Gel Addition Rate</t>
        </is>
      </c>
      <c r="G117" s="47" t="inlineStr">
        <is>
          <t>min</t>
        </is>
      </c>
      <c r="H117" s="204" t="inlineStr">
        <is>
          <t>Global</t>
        </is>
      </c>
      <c r="I117" s="207" t="inlineStr">
        <is>
          <t>OK</t>
        </is>
      </c>
    </row>
    <row r="118">
      <c r="A118" s="50" t="inlineStr">
        <is>
          <t>Brewing</t>
        </is>
      </c>
      <c r="B118" s="50" t="inlineStr">
        <is>
          <t>Maturation</t>
        </is>
      </c>
      <c r="C118" s="50" t="inlineStr">
        <is>
          <t>Maturation</t>
        </is>
      </c>
      <c r="D118" s="50" t="inlineStr">
        <is>
          <t>Cold Maturation</t>
        </is>
      </c>
      <c r="E118" s="50" t="inlineStr">
        <is>
          <t>P.BR.MT.CMT.0004</t>
        </is>
      </c>
      <c r="F118" s="50" t="inlineStr">
        <is>
          <t>Dissolved Oxygen (DO)</t>
        </is>
      </c>
      <c r="G118" s="50" t="inlineStr">
        <is>
          <t>ppb</t>
        </is>
      </c>
      <c r="H118" s="204" t="inlineStr">
        <is>
          <t>Global</t>
        </is>
      </c>
      <c r="I118" s="207" t="inlineStr">
        <is>
          <t>OK</t>
        </is>
      </c>
    </row>
    <row r="119">
      <c r="A119" s="47" t="inlineStr">
        <is>
          <t>Brewing</t>
        </is>
      </c>
      <c r="B119" s="47" t="inlineStr">
        <is>
          <t>Maturation</t>
        </is>
      </c>
      <c r="C119" s="47" t="inlineStr">
        <is>
          <t>Maturation</t>
        </is>
      </c>
      <c r="D119" s="47" t="inlineStr">
        <is>
          <t>Cold Maturation</t>
        </is>
      </c>
      <c r="E119" s="47" t="inlineStr">
        <is>
          <t>P.BR.MT.CMT.0005</t>
        </is>
      </c>
      <c r="F119" s="47" t="inlineStr">
        <is>
          <t>Temperature at fill Cold Maturation Tank</t>
        </is>
      </c>
      <c r="G119" s="47" t="inlineStr">
        <is>
          <t>°C</t>
        </is>
      </c>
      <c r="H119" s="204" t="inlineStr">
        <is>
          <t>Global</t>
        </is>
      </c>
      <c r="I119" s="207" t="inlineStr">
        <is>
          <t>OK</t>
        </is>
      </c>
    </row>
    <row r="120">
      <c r="A120" s="50" t="inlineStr">
        <is>
          <t>Brewing</t>
        </is>
      </c>
      <c r="B120" s="50" t="inlineStr">
        <is>
          <t>Maturation</t>
        </is>
      </c>
      <c r="C120" s="50" t="inlineStr">
        <is>
          <t>Maturation</t>
        </is>
      </c>
      <c r="D120" s="50" t="inlineStr">
        <is>
          <t>Cold Maturation</t>
        </is>
      </c>
      <c r="E120" s="50" t="inlineStr">
        <is>
          <t>P.BR.MT.CMT.0006</t>
        </is>
      </c>
      <c r="F120" s="50" t="inlineStr">
        <is>
          <t>Temperature Maturation tank</t>
        </is>
      </c>
      <c r="G120" s="50" t="inlineStr">
        <is>
          <t>°C</t>
        </is>
      </c>
      <c r="H120" s="204" t="inlineStr">
        <is>
          <t>Global</t>
        </is>
      </c>
      <c r="I120" s="207" t="inlineStr">
        <is>
          <t>OK</t>
        </is>
      </c>
    </row>
    <row r="121">
      <c r="A121" s="47" t="inlineStr">
        <is>
          <t>Brewing</t>
        </is>
      </c>
      <c r="B121" s="47" t="inlineStr">
        <is>
          <t>Maturation</t>
        </is>
      </c>
      <c r="C121" s="47" t="inlineStr">
        <is>
          <t>Maturation</t>
        </is>
      </c>
      <c r="D121" s="47" t="inlineStr">
        <is>
          <t>Cold Maturation</t>
        </is>
      </c>
      <c r="E121" s="47" t="inlineStr">
        <is>
          <t>P.BR.MT.CMT.0011</t>
        </is>
      </c>
      <c r="F121" s="47" t="inlineStr">
        <is>
          <t>pH (EOM)</t>
        </is>
      </c>
      <c r="G121" s="47" t="inlineStr">
        <is>
          <t>pH</t>
        </is>
      </c>
      <c r="H121" s="204" t="inlineStr">
        <is>
          <t>Global</t>
        </is>
      </c>
      <c r="I121" s="207" t="inlineStr">
        <is>
          <t>OK</t>
        </is>
      </c>
    </row>
    <row r="122">
      <c r="A122" s="50" t="inlineStr">
        <is>
          <t>Brewing</t>
        </is>
      </c>
      <c r="B122" s="50" t="inlineStr">
        <is>
          <t>Maturation</t>
        </is>
      </c>
      <c r="C122" s="50" t="inlineStr">
        <is>
          <t>Maturation</t>
        </is>
      </c>
      <c r="D122" s="50" t="inlineStr">
        <is>
          <t>Cold Maturation</t>
        </is>
      </c>
      <c r="E122" s="50" t="inlineStr">
        <is>
          <t>P.BR.MT.CMT.0017</t>
        </is>
      </c>
      <c r="F122" s="50" t="inlineStr">
        <is>
          <t>Time in Cold Maturation tank</t>
        </is>
      </c>
      <c r="G122" s="50" t="inlineStr">
        <is>
          <t>Hours</t>
        </is>
      </c>
      <c r="H122" s="204" t="inlineStr">
        <is>
          <t>Global</t>
        </is>
      </c>
      <c r="I122" s="207" t="inlineStr">
        <is>
          <t>OK</t>
        </is>
      </c>
    </row>
    <row r="123">
      <c r="A123" s="47" t="inlineStr">
        <is>
          <t>Brewing</t>
        </is>
      </c>
      <c r="B123" s="47" t="inlineStr">
        <is>
          <t>Maturation</t>
        </is>
      </c>
      <c r="C123" s="47" t="inlineStr">
        <is>
          <t>Maturation</t>
        </is>
      </c>
      <c r="D123" s="47" t="inlineStr">
        <is>
          <t>Kraeusen</t>
        </is>
      </c>
      <c r="E123" s="47" t="inlineStr">
        <is>
          <t>P.BR.MT.KRA.0002</t>
        </is>
      </c>
      <c r="F123" s="47" t="inlineStr">
        <is>
          <t>Kraeusen Tank Age</t>
        </is>
      </c>
      <c r="G123" s="47" t="inlineStr">
        <is>
          <t>Hours</t>
        </is>
      </c>
      <c r="H123" s="204" t="inlineStr">
        <is>
          <t>Global</t>
        </is>
      </c>
      <c r="I123" s="205" t="inlineStr">
        <is>
          <t>OK</t>
        </is>
      </c>
    </row>
    <row r="124">
      <c r="A124" s="50" t="inlineStr">
        <is>
          <t>Brewing</t>
        </is>
      </c>
      <c r="B124" s="50" t="inlineStr">
        <is>
          <t>Maturation</t>
        </is>
      </c>
      <c r="C124" s="50" t="inlineStr">
        <is>
          <t>Maturation</t>
        </is>
      </c>
      <c r="D124" s="50" t="inlineStr">
        <is>
          <t>Kraeusen</t>
        </is>
      </c>
      <c r="E124" s="50" t="inlineStr">
        <is>
          <t>P.BR.MT.KRA.0003</t>
        </is>
      </c>
      <c r="F124" s="50" t="inlineStr">
        <is>
          <t>Kraeusen Pitch Rate</t>
        </is>
      </c>
      <c r="G124" s="50" t="inlineStr">
        <is>
          <t>MM cells/mL</t>
        </is>
      </c>
      <c r="H124" s="204" t="inlineStr">
        <is>
          <t>Global</t>
        </is>
      </c>
      <c r="I124" s="205" t="inlineStr">
        <is>
          <t>OK</t>
        </is>
      </c>
    </row>
    <row r="125">
      <c r="A125" s="47" t="inlineStr">
        <is>
          <t>Brewing</t>
        </is>
      </c>
      <c r="B125" s="47" t="inlineStr">
        <is>
          <t>Maturation</t>
        </is>
      </c>
      <c r="C125" s="47" t="inlineStr">
        <is>
          <t>Maturation</t>
        </is>
      </c>
      <c r="D125" s="47" t="inlineStr">
        <is>
          <t>Kraeusen</t>
        </is>
      </c>
      <c r="E125" s="47" t="inlineStr">
        <is>
          <t>P.BR.MT.KRA.0004</t>
        </is>
      </c>
      <c r="F125" s="47" t="inlineStr">
        <is>
          <t>Krausening volume addition</t>
        </is>
      </c>
      <c r="G125" s="47" t="inlineStr">
        <is>
          <t>%</t>
        </is>
      </c>
      <c r="H125" s="204" t="inlineStr">
        <is>
          <t>Global</t>
        </is>
      </c>
      <c r="I125" s="205" t="inlineStr">
        <is>
          <t>OK</t>
        </is>
      </c>
    </row>
    <row r="126">
      <c r="A126" s="50" t="inlineStr">
        <is>
          <t>Brewing</t>
        </is>
      </c>
      <c r="B126" s="50" t="inlineStr">
        <is>
          <t>Maturation</t>
        </is>
      </c>
      <c r="C126" s="50" t="inlineStr">
        <is>
          <t>Maturation</t>
        </is>
      </c>
      <c r="D126" s="50" t="inlineStr">
        <is>
          <t>Warm Maturation</t>
        </is>
      </c>
      <c r="E126" s="50" t="inlineStr">
        <is>
          <t>P.BR.MT.WMR.0002</t>
        </is>
      </c>
      <c r="F126" s="50" t="inlineStr">
        <is>
          <t>0 Hr  Cell Count</t>
        </is>
      </c>
      <c r="G126" s="50" t="inlineStr">
        <is>
          <t>MM cells/mL</t>
        </is>
      </c>
      <c r="H126" s="204" t="inlineStr">
        <is>
          <t>Global</t>
        </is>
      </c>
      <c r="I126" s="207" t="inlineStr">
        <is>
          <t>OK</t>
        </is>
      </c>
    </row>
    <row r="127">
      <c r="A127" s="47" t="inlineStr">
        <is>
          <t>Brewing</t>
        </is>
      </c>
      <c r="B127" s="47" t="inlineStr">
        <is>
          <t>Maturation</t>
        </is>
      </c>
      <c r="C127" s="47" t="inlineStr">
        <is>
          <t>Maturation</t>
        </is>
      </c>
      <c r="D127" s="47" t="inlineStr">
        <is>
          <t>Warm Maturation</t>
        </is>
      </c>
      <c r="E127" s="47" t="inlineStr">
        <is>
          <t>P.BR.MT.WMR.0003</t>
        </is>
      </c>
      <c r="F127" s="47" t="inlineStr">
        <is>
          <t>Cell Count Mid Point Warm Maturation</t>
        </is>
      </c>
      <c r="G127" s="47" t="inlineStr">
        <is>
          <t>MM cells/mL</t>
        </is>
      </c>
      <c r="H127" s="204" t="inlineStr">
        <is>
          <t>Global</t>
        </is>
      </c>
      <c r="I127" s="207" t="inlineStr">
        <is>
          <t>OK</t>
        </is>
      </c>
    </row>
    <row r="128">
      <c r="A128" s="50" t="inlineStr">
        <is>
          <t>Brewing</t>
        </is>
      </c>
      <c r="B128" s="50" t="inlineStr">
        <is>
          <t>Maturation</t>
        </is>
      </c>
      <c r="C128" s="50" t="inlineStr">
        <is>
          <t>Maturation</t>
        </is>
      </c>
      <c r="D128" s="50" t="inlineStr">
        <is>
          <t>Warm Maturation</t>
        </is>
      </c>
      <c r="E128" s="50" t="inlineStr">
        <is>
          <t>P.BR.MT.WMR.0004</t>
        </is>
      </c>
      <c r="F128" s="50" t="inlineStr">
        <is>
          <t>Temperature Maturation tank</t>
        </is>
      </c>
      <c r="G128" s="50" t="inlineStr">
        <is>
          <t>°C</t>
        </is>
      </c>
      <c r="H128" s="204" t="inlineStr">
        <is>
          <t>Global</t>
        </is>
      </c>
      <c r="I128" s="207" t="inlineStr">
        <is>
          <t>OK</t>
        </is>
      </c>
    </row>
    <row r="129">
      <c r="A129" s="47" t="inlineStr">
        <is>
          <t>Brewing</t>
        </is>
      </c>
      <c r="B129" s="47" t="inlineStr">
        <is>
          <t>Maturation</t>
        </is>
      </c>
      <c r="C129" s="47" t="inlineStr">
        <is>
          <t>Maturation</t>
        </is>
      </c>
      <c r="D129" s="47" t="inlineStr">
        <is>
          <t>Warm Maturation</t>
        </is>
      </c>
      <c r="E129" s="47" t="inlineStr">
        <is>
          <t>P.BR.MT.WMR.0005</t>
        </is>
      </c>
      <c r="F129" s="47" t="inlineStr">
        <is>
          <t>Counter Pressure Maturation tank</t>
        </is>
      </c>
      <c r="G129" s="47" t="inlineStr">
        <is>
          <t>bar</t>
        </is>
      </c>
      <c r="H129" s="204" t="inlineStr">
        <is>
          <t>Global</t>
        </is>
      </c>
      <c r="I129" s="207" t="inlineStr">
        <is>
          <t>OK</t>
        </is>
      </c>
    </row>
    <row r="130">
      <c r="A130" s="50" t="inlineStr">
        <is>
          <t>Brewing</t>
        </is>
      </c>
      <c r="B130" s="50" t="inlineStr">
        <is>
          <t>Maturation</t>
        </is>
      </c>
      <c r="C130" s="50" t="inlineStr">
        <is>
          <t>Maturation</t>
        </is>
      </c>
      <c r="D130" s="50" t="inlineStr">
        <is>
          <t>Warm Maturation</t>
        </is>
      </c>
      <c r="E130" s="50" t="inlineStr">
        <is>
          <t>P.BR.MT.WMR.0007</t>
        </is>
      </c>
      <c r="F130" s="50" t="inlineStr">
        <is>
          <t>Pentanedione (EOM)</t>
        </is>
      </c>
      <c r="G130" s="50" t="inlineStr">
        <is>
          <t>ppb</t>
        </is>
      </c>
      <c r="H130" s="204" t="inlineStr">
        <is>
          <t>Global</t>
        </is>
      </c>
      <c r="I130" s="207" t="inlineStr">
        <is>
          <t>OK</t>
        </is>
      </c>
    </row>
    <row r="131">
      <c r="A131" s="47" t="inlineStr">
        <is>
          <t>Brewing</t>
        </is>
      </c>
      <c r="B131" s="47" t="inlineStr">
        <is>
          <t>Maturation</t>
        </is>
      </c>
      <c r="C131" s="47" t="inlineStr">
        <is>
          <t>Maturation</t>
        </is>
      </c>
      <c r="D131" s="47" t="inlineStr">
        <is>
          <t>Warm Maturation</t>
        </is>
      </c>
      <c r="E131" s="47" t="inlineStr">
        <is>
          <t>P.BR.MT.WMR.0008</t>
        </is>
      </c>
      <c r="F131" s="47" t="inlineStr">
        <is>
          <t>Diacetyl (EOM)</t>
        </is>
      </c>
      <c r="G131" s="47" t="inlineStr">
        <is>
          <t>ppb</t>
        </is>
      </c>
      <c r="H131" s="204" t="inlineStr">
        <is>
          <t>Global</t>
        </is>
      </c>
      <c r="I131" s="207" t="inlineStr">
        <is>
          <t>OK</t>
        </is>
      </c>
    </row>
    <row r="132">
      <c r="A132" s="50" t="inlineStr">
        <is>
          <t>Brewing</t>
        </is>
      </c>
      <c r="B132" s="50" t="inlineStr">
        <is>
          <t>Maturation</t>
        </is>
      </c>
      <c r="C132" s="50" t="inlineStr">
        <is>
          <t>Maturation</t>
        </is>
      </c>
      <c r="D132" s="50" t="inlineStr">
        <is>
          <t>Warm Maturation</t>
        </is>
      </c>
      <c r="E132" s="50" t="inlineStr">
        <is>
          <t>P.BR.MT.WMR.0009</t>
        </is>
      </c>
      <c r="F132" s="50" t="inlineStr">
        <is>
          <t>Acetaldehyde (EOM)</t>
        </is>
      </c>
      <c r="G132" s="50" t="inlineStr">
        <is>
          <t>ppm</t>
        </is>
      </c>
      <c r="H132" s="204" t="inlineStr">
        <is>
          <t>Global</t>
        </is>
      </c>
      <c r="I132" s="207" t="inlineStr">
        <is>
          <t>OK</t>
        </is>
      </c>
    </row>
    <row r="133">
      <c r="A133" s="47" t="inlineStr">
        <is>
          <t>Brewing</t>
        </is>
      </c>
      <c r="B133" s="47" t="inlineStr">
        <is>
          <t>Maturation</t>
        </is>
      </c>
      <c r="C133" s="47" t="inlineStr">
        <is>
          <t>Maturation</t>
        </is>
      </c>
      <c r="D133" s="47" t="inlineStr">
        <is>
          <t>Warm Maturation</t>
        </is>
      </c>
      <c r="E133" s="47" t="inlineStr">
        <is>
          <t>P.BR.MT.WMR.0010</t>
        </is>
      </c>
      <c r="F133" s="47" t="inlineStr">
        <is>
          <t>pH (EOM)</t>
        </is>
      </c>
      <c r="G133" s="47" t="inlineStr">
        <is>
          <t>pH</t>
        </is>
      </c>
      <c r="H133" s="204" t="inlineStr">
        <is>
          <t>Global</t>
        </is>
      </c>
      <c r="I133" s="207" t="inlineStr">
        <is>
          <t>OK</t>
        </is>
      </c>
    </row>
    <row r="134">
      <c r="A134" s="50" t="inlineStr">
        <is>
          <t>Brewing</t>
        </is>
      </c>
      <c r="B134" s="50" t="inlineStr">
        <is>
          <t>Maturation</t>
        </is>
      </c>
      <c r="C134" s="50" t="inlineStr">
        <is>
          <t>Maturation</t>
        </is>
      </c>
      <c r="D134" s="50" t="inlineStr">
        <is>
          <t>Warm Maturation</t>
        </is>
      </c>
      <c r="E134" s="50" t="inlineStr">
        <is>
          <t>P.BR.MT.WMR.0015</t>
        </is>
      </c>
      <c r="F134" s="50" t="inlineStr">
        <is>
          <t>Apparent extract</t>
        </is>
      </c>
      <c r="G134" s="50" t="inlineStr">
        <is>
          <t>°P</t>
        </is>
      </c>
      <c r="H134" s="204" t="inlineStr">
        <is>
          <t>Global</t>
        </is>
      </c>
      <c r="I134" s="207" t="inlineStr">
        <is>
          <t>OK</t>
        </is>
      </c>
    </row>
    <row r="135">
      <c r="A135" s="47" t="inlineStr">
        <is>
          <t>Brewing</t>
        </is>
      </c>
      <c r="B135" s="47" t="inlineStr">
        <is>
          <t>Maturation</t>
        </is>
      </c>
      <c r="C135" s="47" t="inlineStr">
        <is>
          <t>Maturation</t>
        </is>
      </c>
      <c r="D135" s="47" t="inlineStr">
        <is>
          <t>Warm Maturation</t>
        </is>
      </c>
      <c r="E135" s="47" t="inlineStr">
        <is>
          <t>P.BR.MT.WMR.0016</t>
        </is>
      </c>
      <c r="F135" s="47" t="inlineStr">
        <is>
          <t>Time in maturation at transfer</t>
        </is>
      </c>
      <c r="G135" s="47" t="inlineStr">
        <is>
          <t>days</t>
        </is>
      </c>
      <c r="H135" s="204" t="inlineStr">
        <is>
          <t>Global</t>
        </is>
      </c>
      <c r="I135" s="207" t="inlineStr">
        <is>
          <t>OK</t>
        </is>
      </c>
    </row>
    <row r="136">
      <c r="A136" s="50" t="inlineStr">
        <is>
          <t>Brewing</t>
        </is>
      </c>
      <c r="B136" s="50" t="inlineStr">
        <is>
          <t>Maturation</t>
        </is>
      </c>
      <c r="C136" s="50" t="inlineStr">
        <is>
          <t>Maturation</t>
        </is>
      </c>
      <c r="D136" s="50" t="inlineStr">
        <is>
          <t>Warm Maturation</t>
        </is>
      </c>
      <c r="E136" s="50" t="inlineStr">
        <is>
          <t>P.BR.MT.WMR.0017</t>
        </is>
      </c>
      <c r="F136" s="50" t="inlineStr">
        <is>
          <t>Temperature at transfer</t>
        </is>
      </c>
      <c r="G136" s="50" t="inlineStr">
        <is>
          <t>°C</t>
        </is>
      </c>
      <c r="H136" s="204" t="inlineStr">
        <is>
          <t>Global</t>
        </is>
      </c>
      <c r="I136" s="207" t="inlineStr">
        <is>
          <t>OK</t>
        </is>
      </c>
    </row>
    <row r="137">
      <c r="A137" s="47" t="inlineStr">
        <is>
          <t>Brewing</t>
        </is>
      </c>
      <c r="B137" s="47" t="inlineStr">
        <is>
          <t>Packaged Beer</t>
        </is>
      </c>
      <c r="C137" s="47" t="inlineStr">
        <is>
          <t>Packaged Beer</t>
        </is>
      </c>
      <c r="D137" s="47" t="inlineStr">
        <is>
          <t>Packaged Beer</t>
        </is>
      </c>
      <c r="E137" s="47" t="inlineStr">
        <is>
          <t>P.BR.PB.PBR.0003</t>
        </is>
      </c>
      <c r="F137" s="47" t="inlineStr">
        <is>
          <t>Bitterness</t>
        </is>
      </c>
      <c r="G137" s="47" t="inlineStr">
        <is>
          <t>ppm</t>
        </is>
      </c>
      <c r="H137" s="204" t="inlineStr">
        <is>
          <t>Global</t>
        </is>
      </c>
      <c r="I137" s="207" t="inlineStr">
        <is>
          <t>OK</t>
        </is>
      </c>
    </row>
    <row r="138">
      <c r="A138" s="50" t="inlineStr">
        <is>
          <t>Brewing</t>
        </is>
      </c>
      <c r="B138" s="50" t="inlineStr">
        <is>
          <t>Packaged Beer</t>
        </is>
      </c>
      <c r="C138" s="50" t="inlineStr">
        <is>
          <t>Packaged Beer</t>
        </is>
      </c>
      <c r="D138" s="50" t="inlineStr">
        <is>
          <t>Packaged Beer</t>
        </is>
      </c>
      <c r="E138" s="50" t="inlineStr">
        <is>
          <t>P.BR.PB.PBR.0004</t>
        </is>
      </c>
      <c r="F138" s="50" t="inlineStr">
        <is>
          <t>Foam stability</t>
        </is>
      </c>
      <c r="G138" s="50" t="inlineStr">
        <is>
          <t>sec</t>
        </is>
      </c>
      <c r="H138" s="204" t="inlineStr">
        <is>
          <t>Global</t>
        </is>
      </c>
      <c r="I138" s="207" t="inlineStr">
        <is>
          <t>OK</t>
        </is>
      </c>
    </row>
    <row r="139">
      <c r="A139" s="47" t="inlineStr">
        <is>
          <t>Brewing</t>
        </is>
      </c>
      <c r="B139" s="47" t="inlineStr">
        <is>
          <t>Packaged Beer</t>
        </is>
      </c>
      <c r="C139" s="47" t="inlineStr">
        <is>
          <t>Packaged Beer</t>
        </is>
      </c>
      <c r="D139" s="47" t="inlineStr">
        <is>
          <t>Packaged Beer</t>
        </is>
      </c>
      <c r="E139" s="47" t="inlineStr">
        <is>
          <t>P.BR.PB.PBR.0005</t>
        </is>
      </c>
      <c r="F139" s="47" t="inlineStr">
        <is>
          <t>Haze @ 90°</t>
        </is>
      </c>
      <c r="G139" s="47" t="inlineStr">
        <is>
          <t>°EBC</t>
        </is>
      </c>
      <c r="H139" s="204" t="inlineStr">
        <is>
          <t>Global</t>
        </is>
      </c>
      <c r="I139" s="207" t="inlineStr">
        <is>
          <t>OK</t>
        </is>
      </c>
    </row>
    <row r="140">
      <c r="A140" s="50" t="inlineStr">
        <is>
          <t>Brewing</t>
        </is>
      </c>
      <c r="B140" s="50" t="inlineStr">
        <is>
          <t>Packaged Beer</t>
        </is>
      </c>
      <c r="C140" s="50" t="inlineStr">
        <is>
          <t>Packaged Beer</t>
        </is>
      </c>
      <c r="D140" s="50" t="inlineStr">
        <is>
          <t>Packaged Beer</t>
        </is>
      </c>
      <c r="E140" s="50" t="inlineStr">
        <is>
          <t>P.BR.PB.PBR.0006</t>
        </is>
      </c>
      <c r="F140" s="50" t="inlineStr">
        <is>
          <t>Haze Forcing Test</t>
        </is>
      </c>
      <c r="G140" s="50" t="inlineStr">
        <is>
          <t>°EBC</t>
        </is>
      </c>
      <c r="H140" s="204" t="inlineStr">
        <is>
          <t>Global</t>
        </is>
      </c>
      <c r="I140" s="207" t="inlineStr">
        <is>
          <t>OK</t>
        </is>
      </c>
    </row>
    <row r="141">
      <c r="A141" s="47" t="inlineStr">
        <is>
          <t>Brewing</t>
        </is>
      </c>
      <c r="B141" s="47" t="inlineStr">
        <is>
          <t>Packaged Beer</t>
        </is>
      </c>
      <c r="C141" s="47" t="inlineStr">
        <is>
          <t>Packaged Beer</t>
        </is>
      </c>
      <c r="D141" s="47" t="inlineStr">
        <is>
          <t>Packaged Beer</t>
        </is>
      </c>
      <c r="E141" s="47" t="inlineStr">
        <is>
          <t>P.BR.PB.PBR.0007</t>
        </is>
      </c>
      <c r="F141" s="47" t="inlineStr">
        <is>
          <t>Iron</t>
        </is>
      </c>
      <c r="G141" s="47" t="inlineStr">
        <is>
          <t>mg/L</t>
        </is>
      </c>
      <c r="H141" s="204" t="inlineStr">
        <is>
          <t>Global</t>
        </is>
      </c>
      <c r="I141" s="207" t="inlineStr">
        <is>
          <t>OK</t>
        </is>
      </c>
    </row>
    <row r="142">
      <c r="A142" s="50" t="inlineStr">
        <is>
          <t>Brewing</t>
        </is>
      </c>
      <c r="B142" s="50" t="inlineStr">
        <is>
          <t>Packaged Beer</t>
        </is>
      </c>
      <c r="C142" s="50" t="inlineStr">
        <is>
          <t>Packaged Beer</t>
        </is>
      </c>
      <c r="D142" s="50" t="inlineStr">
        <is>
          <t>Packaged Beer</t>
        </is>
      </c>
      <c r="E142" s="50" t="inlineStr">
        <is>
          <t>P.BR.PB.PBR.0008</t>
        </is>
      </c>
      <c r="F142" s="50" t="inlineStr">
        <is>
          <t>SO2</t>
        </is>
      </c>
      <c r="G142" s="50" t="inlineStr">
        <is>
          <t>mg/L</t>
        </is>
      </c>
      <c r="H142" s="204" t="inlineStr">
        <is>
          <t>Global</t>
        </is>
      </c>
      <c r="I142" s="207" t="inlineStr">
        <is>
          <t>OK</t>
        </is>
      </c>
    </row>
    <row r="143">
      <c r="A143" s="47" t="inlineStr">
        <is>
          <t>Brewing</t>
        </is>
      </c>
      <c r="B143" s="47" t="inlineStr">
        <is>
          <t>Packaged Beer</t>
        </is>
      </c>
      <c r="C143" s="47" t="inlineStr">
        <is>
          <t>Packaged Beer</t>
        </is>
      </c>
      <c r="D143" s="47" t="inlineStr">
        <is>
          <t>Packaged Beer</t>
        </is>
      </c>
      <c r="E143" s="47" t="inlineStr">
        <is>
          <t>P.BR.PB.PBR.0009</t>
        </is>
      </c>
      <c r="F143" s="47" t="inlineStr">
        <is>
          <t>Calcium</t>
        </is>
      </c>
      <c r="G143" s="47" t="inlineStr">
        <is>
          <t>mg/L@12°P</t>
        </is>
      </c>
      <c r="H143" s="204" t="inlineStr">
        <is>
          <t>Global</t>
        </is>
      </c>
      <c r="I143" s="207" t="inlineStr">
        <is>
          <t>OK</t>
        </is>
      </c>
    </row>
    <row r="144">
      <c r="A144" s="50" t="inlineStr">
        <is>
          <t>Brewing</t>
        </is>
      </c>
      <c r="B144" s="50" t="inlineStr">
        <is>
          <t>Packaged Beer</t>
        </is>
      </c>
      <c r="C144" s="50" t="inlineStr">
        <is>
          <t>Packaged Beer</t>
        </is>
      </c>
      <c r="D144" s="50" t="inlineStr">
        <is>
          <t>Packaged Beer</t>
        </is>
      </c>
      <c r="E144" s="50" t="inlineStr">
        <is>
          <t>P.BR.PB.PBR.0011</t>
        </is>
      </c>
      <c r="F144" s="50" t="inlineStr">
        <is>
          <t>Total Diacetyl</t>
        </is>
      </c>
      <c r="G144" s="50" t="inlineStr">
        <is>
          <t>ppb</t>
        </is>
      </c>
      <c r="H144" s="204" t="inlineStr">
        <is>
          <t>Global</t>
        </is>
      </c>
      <c r="I144" s="207" t="inlineStr">
        <is>
          <t>OK</t>
        </is>
      </c>
    </row>
    <row r="145">
      <c r="A145" s="47" t="inlineStr">
        <is>
          <t>Brewing</t>
        </is>
      </c>
      <c r="B145" s="47" t="inlineStr">
        <is>
          <t>Packaged Beer</t>
        </is>
      </c>
      <c r="C145" s="47" t="inlineStr">
        <is>
          <t>Packaged Beer</t>
        </is>
      </c>
      <c r="D145" s="47" t="inlineStr">
        <is>
          <t>Packaged Beer</t>
        </is>
      </c>
      <c r="E145" s="47" t="inlineStr">
        <is>
          <t>P.BR.PB.PBR.0012</t>
        </is>
      </c>
      <c r="F145" s="47" t="inlineStr">
        <is>
          <t>Acetaldehyde</t>
        </is>
      </c>
      <c r="G145" s="47" t="inlineStr">
        <is>
          <t>ppb</t>
        </is>
      </c>
      <c r="H145" s="204" t="inlineStr">
        <is>
          <t>Global</t>
        </is>
      </c>
      <c r="I145" s="207" t="inlineStr">
        <is>
          <t>OK</t>
        </is>
      </c>
    </row>
    <row r="146">
      <c r="A146" s="50" t="inlineStr">
        <is>
          <t>Brewing</t>
        </is>
      </c>
      <c r="B146" s="50" t="inlineStr">
        <is>
          <t>Packaged Beer</t>
        </is>
      </c>
      <c r="C146" s="50" t="inlineStr">
        <is>
          <t>Packaged Beer</t>
        </is>
      </c>
      <c r="D146" s="50" t="inlineStr">
        <is>
          <t>Packaged Beer</t>
        </is>
      </c>
      <c r="E146" s="50" t="inlineStr">
        <is>
          <t>P.BR.PB.PBR.0023</t>
        </is>
      </c>
      <c r="F146" s="50" t="inlineStr">
        <is>
          <t>Apparent extract</t>
        </is>
      </c>
      <c r="G146" s="50" t="inlineStr">
        <is>
          <t>°P</t>
        </is>
      </c>
      <c r="H146" s="204" t="inlineStr">
        <is>
          <t>Global</t>
        </is>
      </c>
      <c r="I146" s="207" t="inlineStr">
        <is>
          <t>OK</t>
        </is>
      </c>
    </row>
    <row r="147">
      <c r="A147" s="47" t="inlineStr">
        <is>
          <t>Brewing</t>
        </is>
      </c>
      <c r="B147" s="47" t="inlineStr">
        <is>
          <t>Packaged Beer</t>
        </is>
      </c>
      <c r="C147" s="47" t="inlineStr">
        <is>
          <t>Packaged Beer</t>
        </is>
      </c>
      <c r="D147" s="47" t="inlineStr">
        <is>
          <t>Packaged Beer</t>
        </is>
      </c>
      <c r="E147" s="47" t="inlineStr">
        <is>
          <t>P.BR.PB.PBR.0024</t>
        </is>
      </c>
      <c r="F147" s="47" t="inlineStr">
        <is>
          <t>CO2 Content</t>
        </is>
      </c>
      <c r="G147" s="47" t="inlineStr">
        <is>
          <t>v/v</t>
        </is>
      </c>
      <c r="H147" s="204" t="inlineStr">
        <is>
          <t>Global</t>
        </is>
      </c>
      <c r="I147" s="207" t="inlineStr">
        <is>
          <t>OK</t>
        </is>
      </c>
    </row>
    <row r="148">
      <c r="A148" s="50" t="inlineStr">
        <is>
          <t>Brewing</t>
        </is>
      </c>
      <c r="B148" s="50" t="inlineStr">
        <is>
          <t>Packaged Beer</t>
        </is>
      </c>
      <c r="C148" s="50" t="inlineStr">
        <is>
          <t>Packaged Beer</t>
        </is>
      </c>
      <c r="D148" s="50" t="inlineStr">
        <is>
          <t>Packaged Beer</t>
        </is>
      </c>
      <c r="E148" s="50" t="inlineStr">
        <is>
          <t>P.BR.PB.PBR.0025</t>
        </is>
      </c>
      <c r="F148" s="50" t="inlineStr">
        <is>
          <t>Color</t>
        </is>
      </c>
      <c r="G148" s="50" t="inlineStr">
        <is>
          <t>°EBC</t>
        </is>
      </c>
      <c r="H148" s="204" t="inlineStr">
        <is>
          <t>Global</t>
        </is>
      </c>
      <c r="I148" s="207" t="inlineStr">
        <is>
          <t>OK</t>
        </is>
      </c>
    </row>
    <row r="149">
      <c r="A149" s="47" t="inlineStr">
        <is>
          <t>Brewing</t>
        </is>
      </c>
      <c r="B149" s="47" t="inlineStr">
        <is>
          <t>Packaged Beer</t>
        </is>
      </c>
      <c r="C149" s="47" t="inlineStr">
        <is>
          <t>Packaged Beer</t>
        </is>
      </c>
      <c r="D149" s="47" t="inlineStr">
        <is>
          <t>Packaged Beer</t>
        </is>
      </c>
      <c r="E149" s="47" t="inlineStr">
        <is>
          <t>P.BR.PB.PBR.0027</t>
        </is>
      </c>
      <c r="F149" s="47" t="inlineStr">
        <is>
          <t>RDF</t>
        </is>
      </c>
      <c r="G149" s="47" t="inlineStr">
        <is>
          <t>%</t>
        </is>
      </c>
      <c r="H149" s="204" t="inlineStr">
        <is>
          <t>Global</t>
        </is>
      </c>
      <c r="I149" s="207" t="inlineStr">
        <is>
          <t>OK</t>
        </is>
      </c>
    </row>
    <row r="150">
      <c r="A150" s="50" t="inlineStr">
        <is>
          <t>Brewing</t>
        </is>
      </c>
      <c r="B150" s="50" t="inlineStr">
        <is>
          <t>Packaged Beer</t>
        </is>
      </c>
      <c r="C150" s="50" t="inlineStr">
        <is>
          <t>Packaged Beer</t>
        </is>
      </c>
      <c r="D150" s="50" t="inlineStr">
        <is>
          <t>Packaged Beer</t>
        </is>
      </c>
      <c r="E150" s="50" t="inlineStr">
        <is>
          <t>P.BR.PB.PBR.0028</t>
        </is>
      </c>
      <c r="F150" s="50" t="inlineStr">
        <is>
          <t>Protein</t>
        </is>
      </c>
      <c r="G150" s="50" t="inlineStr">
        <is>
          <t>%</t>
        </is>
      </c>
      <c r="H150" s="204" t="inlineStr">
        <is>
          <t>Global</t>
        </is>
      </c>
      <c r="I150" s="207" t="inlineStr">
        <is>
          <t>OK</t>
        </is>
      </c>
    </row>
    <row r="151">
      <c r="A151" s="47" t="inlineStr">
        <is>
          <t>Brewing</t>
        </is>
      </c>
      <c r="B151" s="47" t="inlineStr">
        <is>
          <t>Packaged Beer</t>
        </is>
      </c>
      <c r="C151" s="47" t="inlineStr">
        <is>
          <t>Packaged Beer</t>
        </is>
      </c>
      <c r="D151" s="47" t="inlineStr">
        <is>
          <t>Packaged Beer</t>
        </is>
      </c>
      <c r="E151" s="47" t="inlineStr">
        <is>
          <t>P.BR.PB.PBR.0029</t>
        </is>
      </c>
      <c r="F151" s="47" t="inlineStr">
        <is>
          <t>Polyphenols</t>
        </is>
      </c>
      <c r="G151" s="47" t="inlineStr">
        <is>
          <t>mg/L</t>
        </is>
      </c>
      <c r="H151" s="204" t="inlineStr">
        <is>
          <t>Global</t>
        </is>
      </c>
      <c r="I151" s="207" t="inlineStr">
        <is>
          <t>OK</t>
        </is>
      </c>
    </row>
    <row r="152">
      <c r="A152" s="50" t="inlineStr">
        <is>
          <t>Brewing</t>
        </is>
      </c>
      <c r="B152" s="50" t="inlineStr">
        <is>
          <t>Packaged Beer</t>
        </is>
      </c>
      <c r="C152" s="50" t="inlineStr">
        <is>
          <t>Packaged Beer</t>
        </is>
      </c>
      <c r="D152" s="50" t="inlineStr">
        <is>
          <t>Packaged Beer</t>
        </is>
      </c>
      <c r="E152" s="50" t="inlineStr">
        <is>
          <t>P.BR.PB.PBR.0031</t>
        </is>
      </c>
      <c r="F152" s="50" t="inlineStr">
        <is>
          <t>DMS</t>
        </is>
      </c>
      <c r="G152" s="50" t="inlineStr">
        <is>
          <t>ppb</t>
        </is>
      </c>
      <c r="H152" s="204" t="inlineStr">
        <is>
          <t>Global</t>
        </is>
      </c>
      <c r="I152" s="207" t="inlineStr">
        <is>
          <t>OK</t>
        </is>
      </c>
    </row>
    <row r="153">
      <c r="A153" s="47" t="inlineStr">
        <is>
          <t>Brewing</t>
        </is>
      </c>
      <c r="B153" s="47" t="inlineStr">
        <is>
          <t>Road Tanker Out</t>
        </is>
      </c>
      <c r="C153" s="47" t="inlineStr">
        <is>
          <t>Road Tanker Out</t>
        </is>
      </c>
      <c r="D153" s="47" t="inlineStr">
        <is>
          <t>Road Tanker- Aging</t>
        </is>
      </c>
      <c r="E153" s="47" t="inlineStr">
        <is>
          <t>P.BR.RO.ROA.0005</t>
        </is>
      </c>
      <c r="F153" s="47" t="inlineStr">
        <is>
          <t>Dissolved Oxygen (DO)</t>
        </is>
      </c>
      <c r="G153" s="47" t="inlineStr">
        <is>
          <t>ppb</t>
        </is>
      </c>
      <c r="H153" s="204" t="inlineStr">
        <is>
          <t>Global</t>
        </is>
      </c>
      <c r="I153" s="205" t="inlineStr">
        <is>
          <t>NOK</t>
        </is>
      </c>
    </row>
    <row r="154">
      <c r="A154" s="50" t="inlineStr">
        <is>
          <t>Brewing</t>
        </is>
      </c>
      <c r="B154" s="50" t="inlineStr">
        <is>
          <t>Road Tanker Out</t>
        </is>
      </c>
      <c r="C154" s="50" t="inlineStr">
        <is>
          <t>Road Tanker Out</t>
        </is>
      </c>
      <c r="D154" s="50" t="inlineStr">
        <is>
          <t>Road Tanker - BBT</t>
        </is>
      </c>
      <c r="E154" s="50" t="inlineStr">
        <is>
          <t>P.BR.RO.ROB.0005</t>
        </is>
      </c>
      <c r="F154" s="50" t="inlineStr">
        <is>
          <t>Dissolved Oxygen (DO)</t>
        </is>
      </c>
      <c r="G154" s="50" t="inlineStr">
        <is>
          <t>ppb</t>
        </is>
      </c>
      <c r="H154" s="204" t="inlineStr">
        <is>
          <t>Global</t>
        </is>
      </c>
      <c r="I154" s="205" t="inlineStr">
        <is>
          <t>NOK</t>
        </is>
      </c>
    </row>
    <row r="155">
      <c r="A155" s="47" t="inlineStr">
        <is>
          <t>Brewing</t>
        </is>
      </c>
      <c r="B155" s="47" t="inlineStr">
        <is>
          <t>Road Tanker In</t>
        </is>
      </c>
      <c r="C155" s="47" t="inlineStr">
        <is>
          <t>Road Tanker In</t>
        </is>
      </c>
      <c r="D155" s="47" t="inlineStr">
        <is>
          <t>Road Tanker- Aging</t>
        </is>
      </c>
      <c r="E155" s="47" t="inlineStr">
        <is>
          <t>P.BR.RR.RTA.0005</t>
        </is>
      </c>
      <c r="F155" s="47" t="inlineStr">
        <is>
          <t>Dissolved Oxygen (DO)</t>
        </is>
      </c>
      <c r="G155" s="47" t="inlineStr">
        <is>
          <t>ppb</t>
        </is>
      </c>
      <c r="H155" s="204" t="inlineStr">
        <is>
          <t>Global</t>
        </is>
      </c>
      <c r="I155" s="205" t="inlineStr">
        <is>
          <t>NOK</t>
        </is>
      </c>
    </row>
    <row r="156">
      <c r="A156" s="50" t="inlineStr">
        <is>
          <t>Brewing</t>
        </is>
      </c>
      <c r="B156" s="50" t="inlineStr">
        <is>
          <t>Road Tanker In</t>
        </is>
      </c>
      <c r="C156" s="50" t="inlineStr">
        <is>
          <t>Road Tanker In</t>
        </is>
      </c>
      <c r="D156" s="50" t="inlineStr">
        <is>
          <t>Road Tanker - BBT</t>
        </is>
      </c>
      <c r="E156" s="50" t="inlineStr">
        <is>
          <t>P.BR.RR.RTB.0005</t>
        </is>
      </c>
      <c r="F156" s="50" t="inlineStr">
        <is>
          <t>Dissolved Oxygen (DO)</t>
        </is>
      </c>
      <c r="G156" s="50" t="inlineStr">
        <is>
          <t>ppb</t>
        </is>
      </c>
      <c r="H156" s="204" t="inlineStr">
        <is>
          <t>Global</t>
        </is>
      </c>
      <c r="I156" s="205" t="inlineStr">
        <is>
          <t>NOK</t>
        </is>
      </c>
    </row>
    <row r="157">
      <c r="A157" s="47" t="inlineStr">
        <is>
          <t>Brewing</t>
        </is>
      </c>
      <c r="B157" s="47" t="inlineStr">
        <is>
          <t>Road Tanker In</t>
        </is>
      </c>
      <c r="C157" s="47" t="inlineStr">
        <is>
          <t>Road Tanker In</t>
        </is>
      </c>
      <c r="D157" s="47" t="inlineStr">
        <is>
          <t>Road Tanker - Packaging Filler</t>
        </is>
      </c>
      <c r="E157" s="47" t="inlineStr">
        <is>
          <t>P.BR.RR.RTP.0002</t>
        </is>
      </c>
      <c r="F157" s="47" t="inlineStr">
        <is>
          <t>Temperature</t>
        </is>
      </c>
      <c r="G157" s="47" t="inlineStr">
        <is>
          <t>°C</t>
        </is>
      </c>
      <c r="H157" s="204" t="inlineStr">
        <is>
          <t>Global</t>
        </is>
      </c>
      <c r="I157" s="205" t="inlineStr">
        <is>
          <t>NOK</t>
        </is>
      </c>
    </row>
    <row r="158">
      <c r="A158" s="50" t="inlineStr">
        <is>
          <t>Brewing</t>
        </is>
      </c>
      <c r="B158" s="50" t="inlineStr">
        <is>
          <t>Road Tanker In</t>
        </is>
      </c>
      <c r="C158" s="50" t="inlineStr">
        <is>
          <t>Road Tanker In</t>
        </is>
      </c>
      <c r="D158" s="50" t="inlineStr">
        <is>
          <t>Road Tanker - Packaging Filler</t>
        </is>
      </c>
      <c r="E158" s="50" t="inlineStr">
        <is>
          <t>P.BR.RR.RTP.0005</t>
        </is>
      </c>
      <c r="F158" s="50" t="inlineStr">
        <is>
          <t>Dissolved Oxygen (DO)</t>
        </is>
      </c>
      <c r="G158" s="50" t="inlineStr">
        <is>
          <t>ppb</t>
        </is>
      </c>
      <c r="H158" s="204" t="inlineStr">
        <is>
          <t>Global</t>
        </is>
      </c>
      <c r="I158" s="205" t="inlineStr">
        <is>
          <t>NOK</t>
        </is>
      </c>
    </row>
    <row r="159">
      <c r="A159" s="47" t="inlineStr">
        <is>
          <t>Brewing</t>
        </is>
      </c>
      <c r="B159" s="47" t="inlineStr">
        <is>
          <t>Yeast Management</t>
        </is>
      </c>
      <c r="C159" s="47" t="inlineStr">
        <is>
          <t>Yeast Management</t>
        </is>
      </c>
      <c r="D159" s="47" t="inlineStr">
        <is>
          <t>Yeast Harvest</t>
        </is>
      </c>
      <c r="E159" s="47" t="inlineStr">
        <is>
          <t>P.BR.YH.YHT.0002</t>
        </is>
      </c>
      <c r="F159" s="207" t="inlineStr">
        <is>
          <t>Time to harvest - fermentor age</t>
        </is>
      </c>
      <c r="G159" s="47" t="inlineStr">
        <is>
          <t>Hours</t>
        </is>
      </c>
      <c r="H159" s="204" t="inlineStr">
        <is>
          <t>Global</t>
        </is>
      </c>
      <c r="I159" s="207" t="inlineStr">
        <is>
          <t>OK</t>
        </is>
      </c>
    </row>
    <row r="160">
      <c r="A160" s="50" t="inlineStr">
        <is>
          <t>Brewing</t>
        </is>
      </c>
      <c r="B160" s="50" t="inlineStr">
        <is>
          <t>Yeast Management</t>
        </is>
      </c>
      <c r="C160" s="50" t="inlineStr">
        <is>
          <t>Yeast Management</t>
        </is>
      </c>
      <c r="D160" s="50" t="inlineStr">
        <is>
          <t>Yeast Harvest</t>
        </is>
      </c>
      <c r="E160" s="50" t="inlineStr">
        <is>
          <t>P.BR.YH.YHT.0003</t>
        </is>
      </c>
      <c r="F160" s="208" t="inlineStr">
        <is>
          <t>Solids</t>
        </is>
      </c>
      <c r="G160" s="50" t="inlineStr">
        <is>
          <t>%</t>
        </is>
      </c>
      <c r="H160" s="204" t="inlineStr">
        <is>
          <t>Global</t>
        </is>
      </c>
      <c r="I160" s="207" t="inlineStr">
        <is>
          <t>OK</t>
        </is>
      </c>
    </row>
    <row r="161">
      <c r="A161" s="47" t="inlineStr">
        <is>
          <t>Brewing</t>
        </is>
      </c>
      <c r="B161" s="47" t="inlineStr">
        <is>
          <t>Yeast Management</t>
        </is>
      </c>
      <c r="C161" s="47" t="inlineStr">
        <is>
          <t>Yeast Management</t>
        </is>
      </c>
      <c r="D161" s="47" t="inlineStr">
        <is>
          <t>Yeast Storage</t>
        </is>
      </c>
      <c r="E161" s="47" t="inlineStr">
        <is>
          <t>P.BR.YH.YSO.0001</t>
        </is>
      </c>
      <c r="F161" s="207" t="inlineStr">
        <is>
          <t>Intracellular zinc</t>
        </is>
      </c>
      <c r="G161" s="47" t="inlineStr">
        <is>
          <t>mg/L</t>
        </is>
      </c>
      <c r="H161" s="204" t="inlineStr">
        <is>
          <t>Global</t>
        </is>
      </c>
      <c r="I161" s="207" t="inlineStr">
        <is>
          <t>OK</t>
        </is>
      </c>
    </row>
    <row r="162">
      <c r="A162" s="50" t="inlineStr">
        <is>
          <t>Brewing</t>
        </is>
      </c>
      <c r="B162" s="50" t="inlineStr">
        <is>
          <t>Yeast Management</t>
        </is>
      </c>
      <c r="C162" s="50" t="inlineStr">
        <is>
          <t>Yeast Management</t>
        </is>
      </c>
      <c r="D162" s="50" t="inlineStr">
        <is>
          <t>Yeast Storage</t>
        </is>
      </c>
      <c r="E162" s="50" t="inlineStr">
        <is>
          <t>P.BR.YH.YSO.0002</t>
        </is>
      </c>
      <c r="F162" s="208" t="inlineStr">
        <is>
          <t>Viability</t>
        </is>
      </c>
      <c r="G162" s="50" t="inlineStr">
        <is>
          <t>%</t>
        </is>
      </c>
      <c r="H162" s="204" t="inlineStr">
        <is>
          <t>Global</t>
        </is>
      </c>
      <c r="I162" s="207" t="inlineStr">
        <is>
          <t>OK</t>
        </is>
      </c>
    </row>
    <row r="163">
      <c r="A163" s="47" t="inlineStr">
        <is>
          <t>Brewing</t>
        </is>
      </c>
      <c r="B163" s="47" t="inlineStr">
        <is>
          <t>Yeast Management</t>
        </is>
      </c>
      <c r="C163" s="47" t="inlineStr">
        <is>
          <t>Yeast Management</t>
        </is>
      </c>
      <c r="D163" s="47" t="inlineStr">
        <is>
          <t>Yeast Storage</t>
        </is>
      </c>
      <c r="E163" s="47" t="inlineStr">
        <is>
          <t>P.BR.YH.YSO.0005</t>
        </is>
      </c>
      <c r="F163" s="207" t="inlineStr">
        <is>
          <t>Storage Time</t>
        </is>
      </c>
      <c r="G163" s="47" t="inlineStr">
        <is>
          <t>Hours</t>
        </is>
      </c>
      <c r="H163" s="204" t="inlineStr">
        <is>
          <t>Global</t>
        </is>
      </c>
      <c r="I163" s="207" t="inlineStr">
        <is>
          <t>OK</t>
        </is>
      </c>
    </row>
    <row r="164">
      <c r="A164" s="50" t="inlineStr">
        <is>
          <t>Brewing</t>
        </is>
      </c>
      <c r="B164" s="50" t="inlineStr">
        <is>
          <t>Yeast Management</t>
        </is>
      </c>
      <c r="C164" s="50" t="inlineStr">
        <is>
          <t>Yeast Management</t>
        </is>
      </c>
      <c r="D164" s="50" t="inlineStr">
        <is>
          <t>Yeast Storage</t>
        </is>
      </c>
      <c r="E164" s="50" t="inlineStr">
        <is>
          <t>P.BR.YH.YSO.0006</t>
        </is>
      </c>
      <c r="F164" s="208" t="inlineStr">
        <is>
          <t>Temperature (at storage)</t>
        </is>
      </c>
      <c r="G164" s="50" t="inlineStr">
        <is>
          <t>°C</t>
        </is>
      </c>
      <c r="H164" s="204" t="inlineStr">
        <is>
          <t>Global</t>
        </is>
      </c>
      <c r="I164" s="207" t="inlineStr">
        <is>
          <t>OK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ColWidth="9" defaultRowHeight="15"/>
  <cols>
    <col width="6.42578125" customWidth="1" style="42" min="1" max="1"/>
    <col width="93.42578125" customWidth="1" style="199" min="2" max="2"/>
  </cols>
  <sheetData>
    <row r="1">
      <c r="A1" s="153" t="inlineStr">
        <is>
          <t>序号</t>
        </is>
      </c>
      <c r="B1" s="156" t="inlineStr">
        <is>
          <t>填写说明以及点图PI和主数据（必看）</t>
        </is>
      </c>
    </row>
    <row r="2">
      <c r="A2" s="200" t="n">
        <v>1</v>
      </c>
      <c r="B2" s="201" t="inlineStr">
        <is>
          <t>数据来自DF,LIMS（这两个自动采集）和手动填写三个部分。</t>
        </is>
      </c>
    </row>
    <row r="3">
      <c r="A3" s="200" t="n">
        <v>2</v>
      </c>
      <c r="B3" s="201" t="inlineStr">
        <is>
          <t>DF今年主要是四家大厂：PUT/FOS/WUH/HRB。</t>
        </is>
      </c>
    </row>
    <row r="4">
      <c r="A4" s="200" t="n">
        <v>3</v>
      </c>
      <c r="B4" s="201" t="inlineStr">
        <is>
          <t>LIMS为当前20多家有LIMS的工厂，LIMS 数据都可以自动传入新的点点图系统。</t>
        </is>
      </c>
    </row>
    <row r="5">
      <c r="A5" s="200" t="n">
        <v>4</v>
      </c>
      <c r="B5" s="201" t="inlineStr">
        <is>
          <t>数据优先自动采集，不能自动采集的使用手动填入Excel。</t>
        </is>
      </c>
    </row>
    <row r="6">
      <c r="A6" s="200" t="n">
        <v>5</v>
      </c>
      <c r="B6" s="201" t="inlineStr">
        <is>
          <t>主数据包括品牌、OG 和生产线，这些均参与点图不同维度的展示，需要保持填写规范</t>
        </is>
      </c>
    </row>
    <row r="7" ht="30" customHeight="1" s="241">
      <c r="A7" s="200" t="n">
        <v>6</v>
      </c>
      <c r="B7" s="201" t="inlineStr">
        <is>
          <t>品牌主数据：分成麦汁、发酵液、清酒和成品4个部分。为避免输入错误，建议使用下拉菜单，具体格式见主数据页面。</t>
        </is>
      </c>
    </row>
    <row r="8" ht="30" customHeight="1" s="241">
      <c r="A8" s="200" t="n">
        <v>7</v>
      </c>
      <c r="B8" s="201" t="inlineStr">
        <is>
          <t>生产线主数据：分成糖化线、扩培线、离心线和过滤线4个部分，统一从1开始编写。为避免输入错误，建议使用下拉菜单，具体格式见主数据页面。</t>
        </is>
      </c>
    </row>
    <row r="9">
      <c r="A9" s="200" t="n">
        <v>8</v>
      </c>
      <c r="B9" s="201" t="inlineStr">
        <is>
          <t>过滤槽和压滤机以及煮沸锅锅号也参与点图排序，也是从1开始编写</t>
        </is>
      </c>
    </row>
    <row r="10" ht="45" customHeight="1" s="241">
      <c r="A10" s="200" t="n">
        <v>9</v>
      </c>
      <c r="B10" s="201" t="inlineStr">
        <is>
          <t>主数据OG：麦汁、发酵液、清酒和成品在Excel中均需要填写OG，OG填写统一使用数字，使用整数（如16P），如OG不能用整数表示的，使用小数点后一位（如16.5），填写时不含单位，不需要加P，*P，°P，工厂也可以做一个下拉菜单，避免数据输入错误</t>
        </is>
      </c>
    </row>
    <row r="11">
      <c r="A11" s="200" t="n">
        <v>10</v>
      </c>
      <c r="B11" s="201" t="inlineStr">
        <is>
          <t>工厂名统一使用SSS中雷达图的大写字母缩写</t>
        </is>
      </c>
    </row>
    <row r="12" ht="30" customHeight="1" s="241">
      <c r="A12" s="200" t="n">
        <v>11</v>
      </c>
      <c r="B12" s="201" t="inlineStr">
        <is>
          <t>把以前点图上的数据复制过来，考虑到LIMS 连接需要时间，原来点图中有的QA检测数据也复制到新模板</t>
        </is>
      </c>
    </row>
    <row r="13" ht="30" customHeight="1" s="241">
      <c r="A13" s="200" t="n">
        <v>12</v>
      </c>
      <c r="B13" s="201" t="inlineStr">
        <is>
          <t>新点图参数较多，工厂不适用的数据暂不填，适用的以前没有记录的需要从现在开始收集并填写</t>
        </is>
      </c>
    </row>
    <row r="14" ht="30" customHeight="1" s="241">
      <c r="A14" s="200" t="n">
        <v>13</v>
      </c>
      <c r="B14" s="201" t="inlineStr">
        <is>
          <t>水和CO2部分按日填写，每天每个指标一个数据即可，没有检测的项不填。一年日期已经全部设好，在规定的地方填写即可</t>
        </is>
      </c>
    </row>
    <row r="15" ht="30" customHeight="1" s="241">
      <c r="A15" s="202" t="n">
        <v>14</v>
      </c>
      <c r="B15" s="203" t="inlineStr">
        <is>
          <t>特别关注需要计算的项目填写（灰色部分），糖化部分需要相关项都填写完整才能得到计算值</t>
        </is>
      </c>
    </row>
  </sheetData>
  <pageMargins left="0.7" right="0.7" top="0.75" bottom="0.75" header="0.3" footer="0.3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4:C6"/>
  <sheetViews>
    <sheetView workbookViewId="0">
      <selection activeCell="A1" sqref="A1"/>
    </sheetView>
  </sheetViews>
  <sheetFormatPr baseColWidth="8" defaultColWidth="9" defaultRowHeight="15"/>
  <cols>
    <col width="95.42578125" customWidth="1" style="241" min="3" max="3"/>
  </cols>
  <sheetData>
    <row r="4">
      <c r="B4" t="n">
        <v>1</v>
      </c>
      <c r="C4" t="inlineStr">
        <is>
          <t>基于点图的模板进行PI的增加，加入Sensory PI的点位</t>
        </is>
      </c>
    </row>
    <row r="5">
      <c r="B5" t="n">
        <v>2</v>
      </c>
      <c r="C5" t="inlineStr">
        <is>
          <t>MCS 扩培 测试等信息的标注放在黄色的Key值中，对应的信息在SSS中进行标记（测试月份和测试类型）</t>
        </is>
      </c>
    </row>
    <row r="6">
      <c r="B6" t="n">
        <v>3</v>
      </c>
      <c r="C6" t="inlineStr">
        <is>
          <t>信息的串联关系</t>
        </is>
      </c>
    </row>
  </sheetData>
  <pageMargins left="0.7" right="0.7" top="0.75" bottom="0.75" header="0.3" footer="0.3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6"/>
  <sheetViews>
    <sheetView zoomScale="115" zoomScaleNormal="115" workbookViewId="0">
      <selection activeCell="A1" sqref="A1"/>
    </sheetView>
  </sheetViews>
  <sheetFormatPr baseColWidth="8" defaultColWidth="9" defaultRowHeight="15"/>
  <cols>
    <col width="17.140625" customWidth="1" style="241" min="1" max="1"/>
    <col width="16.85546875" customWidth="1" style="241" min="2" max="2"/>
    <col width="21" customWidth="1" style="241" min="3" max="3"/>
    <col width="20.7109375" customWidth="1" style="241" min="4" max="4"/>
    <col width="68.7109375" customWidth="1" style="241" min="5" max="5"/>
    <col width="15.42578125" customWidth="1" style="42" min="7" max="14"/>
    <col width="8.7109375" customWidth="1" style="42" min="15" max="15"/>
  </cols>
  <sheetData>
    <row r="1">
      <c r="A1" s="190" t="inlineStr">
        <is>
          <t>Brand</t>
        </is>
      </c>
      <c r="G1" s="75" t="inlineStr">
        <is>
          <t>Produce Line</t>
        </is>
      </c>
    </row>
    <row r="2">
      <c r="A2" s="191" t="inlineStr">
        <is>
          <t>SSS 名称</t>
        </is>
      </c>
      <c r="B2" s="192" t="inlineStr">
        <is>
          <t>品牌编码</t>
        </is>
      </c>
      <c r="C2" s="192" t="inlineStr">
        <is>
          <t>品牌中文描述</t>
        </is>
      </c>
      <c r="D2" s="192" t="inlineStr">
        <is>
          <t>品牌英文描述</t>
        </is>
      </c>
      <c r="E2" s="191" t="inlineStr">
        <is>
          <t>别名</t>
        </is>
      </c>
      <c r="G2" s="192" t="inlineStr">
        <is>
          <t>Brewhouse</t>
        </is>
      </c>
      <c r="H2" s="192" t="inlineStr">
        <is>
          <t>Lauter Tun</t>
        </is>
      </c>
      <c r="I2" s="192" t="inlineStr">
        <is>
          <t>Mash Filter</t>
        </is>
      </c>
      <c r="J2" s="192" t="inlineStr">
        <is>
          <t>Kettle</t>
        </is>
      </c>
      <c r="K2" s="192" t="inlineStr">
        <is>
          <t>Propagation</t>
        </is>
      </c>
      <c r="L2" s="192" t="inlineStr">
        <is>
          <t>Centrifuge</t>
        </is>
      </c>
      <c r="M2" s="192" t="inlineStr">
        <is>
          <t>Filtration</t>
        </is>
      </c>
      <c r="N2" s="192" t="inlineStr">
        <is>
          <t>Packaging</t>
        </is>
      </c>
    </row>
    <row r="3">
      <c r="A3" s="66" t="inlineStr">
        <is>
          <t>BBOSS</t>
        </is>
      </c>
      <c r="B3" s="66" t="inlineStr">
        <is>
          <t>DFHX</t>
        </is>
      </c>
      <c r="C3" s="66" t="inlineStr">
        <is>
          <t>大富豪雪白</t>
        </is>
      </c>
      <c r="D3" s="193" t="inlineStr">
        <is>
          <t>BBOSS Xuebai</t>
        </is>
      </c>
      <c r="E3" s="66" t="inlineStr">
        <is>
          <t>BBOSS JINGPINXUEBAI,BBOSS QINGCHUN,大富豪</t>
        </is>
      </c>
      <c r="G3" s="194" t="inlineStr">
        <is>
          <t>BH1</t>
        </is>
      </c>
      <c r="H3" s="194" t="inlineStr">
        <is>
          <t>LT1</t>
        </is>
      </c>
      <c r="I3" s="194" t="inlineStr">
        <is>
          <t>MF1</t>
        </is>
      </c>
      <c r="J3" s="194" t="inlineStr">
        <is>
          <t>KT1</t>
        </is>
      </c>
      <c r="K3" s="194" t="inlineStr">
        <is>
          <t>PP1</t>
        </is>
      </c>
      <c r="L3" s="194" t="inlineStr">
        <is>
          <t>CT1</t>
        </is>
      </c>
      <c r="M3" s="194" t="inlineStr">
        <is>
          <t>FL1</t>
        </is>
      </c>
      <c r="N3" s="194" t="inlineStr">
        <is>
          <t>BL1</t>
        </is>
      </c>
      <c r="O3" s="195" t="inlineStr">
        <is>
          <t>瓶线</t>
        </is>
      </c>
    </row>
    <row r="4">
      <c r="A4" s="193" t="inlineStr">
        <is>
          <t>Beck's</t>
        </is>
      </c>
      <c r="B4" s="66" t="inlineStr">
        <is>
          <t>BK</t>
        </is>
      </c>
      <c r="C4" s="66" t="inlineStr">
        <is>
          <t>贝克</t>
        </is>
      </c>
      <c r="D4" s="66" t="inlineStr">
        <is>
          <t>Beck's</t>
        </is>
      </c>
      <c r="E4" s="66" t="inlineStr">
        <is>
          <t>BECKS,贝克</t>
        </is>
      </c>
      <c r="G4" s="194" t="inlineStr">
        <is>
          <t>BH2</t>
        </is>
      </c>
      <c r="H4" s="194" t="inlineStr">
        <is>
          <t>LT2</t>
        </is>
      </c>
      <c r="I4" s="194" t="inlineStr">
        <is>
          <t>MF2</t>
        </is>
      </c>
      <c r="J4" s="194" t="inlineStr">
        <is>
          <t>KT2</t>
        </is>
      </c>
      <c r="K4" s="194" t="inlineStr">
        <is>
          <t>PP2</t>
        </is>
      </c>
      <c r="L4" s="194" t="inlineStr">
        <is>
          <t>CT2</t>
        </is>
      </c>
      <c r="M4" s="194" t="inlineStr">
        <is>
          <t>FL2</t>
        </is>
      </c>
      <c r="N4" s="194" t="inlineStr">
        <is>
          <t>BL2</t>
        </is>
      </c>
      <c r="O4" s="195" t="inlineStr">
        <is>
          <t>瓶线</t>
        </is>
      </c>
    </row>
    <row r="5">
      <c r="A5" s="193" t="inlineStr">
        <is>
          <t>Bud Draft</t>
        </is>
      </c>
      <c r="B5" s="66" t="inlineStr">
        <is>
          <t>GD50</t>
        </is>
      </c>
      <c r="C5" s="66" t="inlineStr">
        <is>
          <t>百威纯生</t>
        </is>
      </c>
      <c r="D5" s="66" t="inlineStr">
        <is>
          <t>Bud Draft</t>
        </is>
      </c>
      <c r="E5" s="66" t="inlineStr">
        <is>
          <t>BUDWEISER DRAFT,百威纯生</t>
        </is>
      </c>
      <c r="G5" s="194" t="inlineStr">
        <is>
          <t>BH3</t>
        </is>
      </c>
      <c r="H5" s="194" t="inlineStr">
        <is>
          <t>LT3</t>
        </is>
      </c>
      <c r="I5" s="194" t="inlineStr">
        <is>
          <t>MF3</t>
        </is>
      </c>
      <c r="J5" s="194" t="inlineStr">
        <is>
          <t>KT3</t>
        </is>
      </c>
      <c r="K5" s="194" t="inlineStr">
        <is>
          <t>PP3</t>
        </is>
      </c>
      <c r="L5" s="194" t="inlineStr">
        <is>
          <t>CT3</t>
        </is>
      </c>
      <c r="M5" s="194" t="inlineStr">
        <is>
          <t>FL3</t>
        </is>
      </c>
      <c r="N5" s="194" t="inlineStr">
        <is>
          <t>BL3</t>
        </is>
      </c>
      <c r="O5" s="195" t="inlineStr">
        <is>
          <t>瓶线</t>
        </is>
      </c>
    </row>
    <row r="6">
      <c r="A6" s="193" t="inlineStr">
        <is>
          <t>Bud Magnum</t>
        </is>
      </c>
      <c r="B6" s="66" t="inlineStr">
        <is>
          <t>HB60</t>
        </is>
      </c>
      <c r="C6" s="66" t="inlineStr">
        <is>
          <t>百威黑金</t>
        </is>
      </c>
      <c r="D6" s="66" t="inlineStr">
        <is>
          <t>Bud Magnum</t>
        </is>
      </c>
      <c r="E6" s="66" t="inlineStr">
        <is>
          <t>Budweiser Magnum,百威黑金</t>
        </is>
      </c>
      <c r="G6" s="194" t="inlineStr">
        <is>
          <t>BH4</t>
        </is>
      </c>
      <c r="H6" s="194" t="inlineStr">
        <is>
          <t>LT4</t>
        </is>
      </c>
      <c r="I6" s="194" t="inlineStr">
        <is>
          <t>MF4</t>
        </is>
      </c>
      <c r="J6" s="194" t="inlineStr">
        <is>
          <t>KT4</t>
        </is>
      </c>
      <c r="K6" s="194" t="inlineStr">
        <is>
          <t>PP4</t>
        </is>
      </c>
      <c r="L6" s="194" t="inlineStr">
        <is>
          <t>CT4</t>
        </is>
      </c>
      <c r="M6" s="194" t="inlineStr">
        <is>
          <t>FL4</t>
        </is>
      </c>
      <c r="N6" s="194" t="inlineStr">
        <is>
          <t>BL4</t>
        </is>
      </c>
      <c r="O6" s="195" t="inlineStr">
        <is>
          <t>瓶线</t>
        </is>
      </c>
    </row>
    <row r="7">
      <c r="A7" s="193" t="inlineStr">
        <is>
          <t>Budweiser</t>
        </is>
      </c>
      <c r="B7" s="66" t="inlineStr">
        <is>
          <t>HB50</t>
        </is>
      </c>
      <c r="C7" s="66" t="inlineStr">
        <is>
          <t>百威</t>
        </is>
      </c>
      <c r="D7" s="66" t="inlineStr">
        <is>
          <t>Budweiser</t>
        </is>
      </c>
      <c r="E7" s="66" t="inlineStr">
        <is>
          <t>BUDWEISER,百威</t>
        </is>
      </c>
      <c r="G7" s="194" t="inlineStr">
        <is>
          <t>BH5</t>
        </is>
      </c>
      <c r="H7" s="194" t="inlineStr">
        <is>
          <t>LT5</t>
        </is>
      </c>
      <c r="I7" s="194" t="inlineStr">
        <is>
          <t>MF5</t>
        </is>
      </c>
      <c r="J7" s="194" t="inlineStr">
        <is>
          <t>KT5</t>
        </is>
      </c>
      <c r="K7" s="194" t="inlineStr">
        <is>
          <t>PP5</t>
        </is>
      </c>
      <c r="L7" s="194" t="inlineStr">
        <is>
          <t>CT5</t>
        </is>
      </c>
      <c r="M7" s="194" t="inlineStr">
        <is>
          <t>FL5</t>
        </is>
      </c>
      <c r="N7" s="194" t="inlineStr">
        <is>
          <t>BL5</t>
        </is>
      </c>
      <c r="O7" s="195" t="inlineStr">
        <is>
          <t>瓶线</t>
        </is>
      </c>
    </row>
    <row r="8">
      <c r="A8" s="193" t="inlineStr">
        <is>
          <t>CASS</t>
        </is>
      </c>
      <c r="B8" s="66" t="inlineStr">
        <is>
          <t>CASS</t>
        </is>
      </c>
      <c r="C8" s="66" t="inlineStr">
        <is>
          <t>凯狮</t>
        </is>
      </c>
      <c r="D8" s="66" t="inlineStr">
        <is>
          <t>Cass</t>
        </is>
      </c>
      <c r="E8" s="66" t="inlineStr">
        <is>
          <t>Cass,凯狮</t>
        </is>
      </c>
      <c r="G8" s="194" t="inlineStr">
        <is>
          <t>BH6</t>
        </is>
      </c>
      <c r="H8" s="194" t="inlineStr">
        <is>
          <t>LT6</t>
        </is>
      </c>
      <c r="I8" s="194" t="inlineStr">
        <is>
          <t>MF6</t>
        </is>
      </c>
      <c r="J8" s="194" t="inlineStr">
        <is>
          <t>KT6</t>
        </is>
      </c>
      <c r="K8" s="194" t="inlineStr">
        <is>
          <t>PP6</t>
        </is>
      </c>
      <c r="L8" s="194" t="inlineStr">
        <is>
          <t>CT6</t>
        </is>
      </c>
      <c r="M8" s="194" t="inlineStr">
        <is>
          <t>FL6</t>
        </is>
      </c>
      <c r="N8" s="194" t="inlineStr">
        <is>
          <t>BL6</t>
        </is>
      </c>
      <c r="O8" s="195" t="inlineStr">
        <is>
          <t>瓶线</t>
        </is>
      </c>
    </row>
    <row r="9">
      <c r="A9" s="193" t="inlineStr">
        <is>
          <t>Corona</t>
        </is>
      </c>
      <c r="B9" s="66" t="inlineStr">
        <is>
          <t>CRN</t>
        </is>
      </c>
      <c r="C9" s="66" t="inlineStr">
        <is>
          <t>科罗娜</t>
        </is>
      </c>
      <c r="D9" s="66" t="inlineStr">
        <is>
          <t>Corona</t>
        </is>
      </c>
      <c r="E9" s="66" t="inlineStr">
        <is>
          <t>CORONA,科罗娜</t>
        </is>
      </c>
      <c r="N9" s="194" t="inlineStr">
        <is>
          <t>BL7</t>
        </is>
      </c>
      <c r="O9" s="195" t="inlineStr">
        <is>
          <t>瓶线</t>
        </is>
      </c>
    </row>
    <row r="10">
      <c r="A10" s="193" t="inlineStr">
        <is>
          <t>Franziskaner</t>
        </is>
      </c>
      <c r="B10" s="66" t="inlineStr">
        <is>
          <t>FSKL</t>
        </is>
      </c>
      <c r="C10" s="66" t="inlineStr">
        <is>
          <t>范佳乐</t>
        </is>
      </c>
      <c r="D10" s="66" t="inlineStr">
        <is>
          <t>Franziskaner</t>
        </is>
      </c>
      <c r="E10" s="66" t="inlineStr">
        <is>
          <t>Franziskaner Weissbier,范佳乐</t>
        </is>
      </c>
      <c r="N10" s="194" t="inlineStr">
        <is>
          <t>BL8</t>
        </is>
      </c>
      <c r="O10" s="195" t="inlineStr">
        <is>
          <t>瓶线</t>
        </is>
      </c>
    </row>
    <row r="11">
      <c r="A11" s="193" t="inlineStr">
        <is>
          <t>Harbin Crystal</t>
        </is>
      </c>
      <c r="B11" s="66" t="inlineStr">
        <is>
          <t>WHCR</t>
        </is>
      </c>
      <c r="C11" s="66" t="inlineStr">
        <is>
          <t>哈尔滨冰萃</t>
        </is>
      </c>
      <c r="D11" s="66" t="inlineStr">
        <is>
          <t>Harbin Crystal</t>
        </is>
      </c>
      <c r="E11" s="66" t="inlineStr">
        <is>
          <t>Harbin Crystal,Harbin Crystal Light,哈尔滨冰萃</t>
        </is>
      </c>
      <c r="N11" s="194" t="inlineStr">
        <is>
          <t>BL9</t>
        </is>
      </c>
      <c r="O11" s="195" t="inlineStr">
        <is>
          <t>瓶线</t>
        </is>
      </c>
    </row>
    <row r="12">
      <c r="A12" s="193" t="inlineStr">
        <is>
          <t>Harbin Ice</t>
        </is>
      </c>
      <c r="B12" s="66" t="inlineStr">
        <is>
          <t>WHI5</t>
        </is>
      </c>
      <c r="C12" s="66" t="inlineStr">
        <is>
          <t>哈尔滨冰纯</t>
        </is>
      </c>
      <c r="D12" s="66" t="inlineStr">
        <is>
          <t>Harbin Ice</t>
        </is>
      </c>
      <c r="E12" s="66" t="inlineStr">
        <is>
          <t>HARBIN ICE,哈尔滨冰纯</t>
        </is>
      </c>
      <c r="N12" s="194" t="inlineStr">
        <is>
          <t>BL10</t>
        </is>
      </c>
      <c r="O12" s="195" t="inlineStr">
        <is>
          <t>瓶线</t>
        </is>
      </c>
    </row>
    <row r="13">
      <c r="A13" s="193" t="inlineStr">
        <is>
          <t>Harbin Ice Light</t>
        </is>
      </c>
      <c r="B13" s="66" t="inlineStr">
        <is>
          <t>WHIL</t>
        </is>
      </c>
      <c r="C13" s="66" t="inlineStr">
        <is>
          <t>哈尔滨冰纯淡爽</t>
        </is>
      </c>
      <c r="D13" s="66" t="inlineStr">
        <is>
          <t>Harbin Icelight</t>
        </is>
      </c>
      <c r="E13" s="66" t="inlineStr">
        <is>
          <t>HARBIN LIGHT,哈尔滨淡爽</t>
        </is>
      </c>
      <c r="N13" s="194" t="inlineStr">
        <is>
          <t>BL11</t>
        </is>
      </c>
      <c r="O13" s="195" t="inlineStr">
        <is>
          <t>瓶线</t>
        </is>
      </c>
    </row>
    <row r="14">
      <c r="A14" s="193" t="inlineStr">
        <is>
          <t>Harbin Value</t>
        </is>
      </c>
      <c r="B14" s="66" t="inlineStr">
        <is>
          <t>WHS6</t>
        </is>
      </c>
      <c r="C14" s="66" t="inlineStr">
        <is>
          <t>哈尔滨特制</t>
        </is>
      </c>
      <c r="D14" s="66" t="inlineStr">
        <is>
          <t>Harbin Value</t>
        </is>
      </c>
      <c r="E14" s="66" t="inlineStr">
        <is>
          <t>HARBIN BINGCHANG,HARBIN BINGSHUANG,HARBIN QINGSHUANG,哈尔滨普通酒</t>
        </is>
      </c>
      <c r="N14" s="194" t="inlineStr">
        <is>
          <t>BL12</t>
        </is>
      </c>
      <c r="O14" s="195" t="inlineStr">
        <is>
          <t>瓶线</t>
        </is>
      </c>
    </row>
    <row r="15">
      <c r="A15" s="193" t="inlineStr">
        <is>
          <t>Haywards</t>
        </is>
      </c>
      <c r="B15" s="66" t="inlineStr">
        <is>
          <t>HAY</t>
        </is>
      </c>
      <c r="C15" s="66" t="inlineStr">
        <is>
          <t>Haywards</t>
        </is>
      </c>
      <c r="D15" s="66" t="inlineStr">
        <is>
          <t>Haywards</t>
        </is>
      </c>
      <c r="E15" s="66" t="inlineStr">
        <is>
          <t>Haywards 5000</t>
        </is>
      </c>
      <c r="N15" s="194" t="inlineStr">
        <is>
          <t>CL1</t>
        </is>
      </c>
      <c r="O15" s="195" t="inlineStr">
        <is>
          <t>听线</t>
        </is>
      </c>
    </row>
    <row r="16">
      <c r="A16" s="193" t="inlineStr">
        <is>
          <t>Hoegaarden</t>
        </is>
      </c>
      <c r="B16" s="66" t="inlineStr">
        <is>
          <t>HGD</t>
        </is>
      </c>
      <c r="C16" s="66" t="inlineStr">
        <is>
          <t>福佳白</t>
        </is>
      </c>
      <c r="D16" s="66" t="inlineStr">
        <is>
          <t>Hoegaarden</t>
        </is>
      </c>
      <c r="E16" s="66" t="inlineStr">
        <is>
          <t>Hoegaarden White,HOEGAARDEN WHITE,福佳白</t>
        </is>
      </c>
      <c r="N16" s="194" t="inlineStr">
        <is>
          <t>CL2</t>
        </is>
      </c>
      <c r="O16" s="195" t="inlineStr">
        <is>
          <t>听线</t>
        </is>
      </c>
    </row>
    <row r="17">
      <c r="A17" s="66" t="inlineStr">
        <is>
          <t>JLQ 8P</t>
        </is>
      </c>
      <c r="B17" s="66" t="inlineStr">
        <is>
          <t>JLQD</t>
        </is>
      </c>
      <c r="C17" s="66" t="inlineStr">
        <is>
          <t>金龙泉纯生</t>
        </is>
      </c>
      <c r="D17" s="193" t="inlineStr">
        <is>
          <t>JLQ Draft</t>
        </is>
      </c>
      <c r="E17" s="66" t="inlineStr">
        <is>
          <t>JinLongQuan ChunSheng 8P,金龙泉8度</t>
        </is>
      </c>
      <c r="N17" s="194" t="inlineStr">
        <is>
          <t>CL3</t>
        </is>
      </c>
      <c r="O17" s="195" t="inlineStr">
        <is>
          <t>听线</t>
        </is>
      </c>
    </row>
    <row r="18">
      <c r="A18" s="66" t="inlineStr">
        <is>
          <t>JLQ 9P</t>
        </is>
      </c>
      <c r="B18" s="66" t="inlineStr">
        <is>
          <t>JLQD</t>
        </is>
      </c>
      <c r="C18" s="66" t="inlineStr">
        <is>
          <t>金龙泉纯生</t>
        </is>
      </c>
      <c r="D18" s="193" t="inlineStr">
        <is>
          <t>JLQ Draft</t>
        </is>
      </c>
      <c r="E18" s="66" t="inlineStr">
        <is>
          <t>JinLongQuan ChunSheng 9P,金龙泉9度</t>
        </is>
      </c>
      <c r="N18" s="194" t="inlineStr">
        <is>
          <t>CL4</t>
        </is>
      </c>
      <c r="O18" s="195" t="inlineStr">
        <is>
          <t>听线</t>
        </is>
      </c>
    </row>
    <row r="19">
      <c r="A19" s="66" t="inlineStr">
        <is>
          <t>JSB</t>
        </is>
      </c>
      <c r="B19" s="66" t="inlineStr">
        <is>
          <t>JSBGD</t>
        </is>
      </c>
      <c r="C19" s="66" t="inlineStr">
        <is>
          <t>金士百高档</t>
        </is>
      </c>
      <c r="D19" s="66" t="inlineStr">
        <is>
          <t>Jinshibai Gaodang</t>
        </is>
      </c>
      <c r="E19" s="66" t="inlineStr">
        <is>
          <t>Ginsber lvpai,金士百,Jinshibai,金士百工厂</t>
        </is>
      </c>
      <c r="N19" s="194" t="inlineStr">
        <is>
          <t>CL5</t>
        </is>
      </c>
      <c r="O19" s="195" t="inlineStr">
        <is>
          <t>听线</t>
        </is>
      </c>
    </row>
    <row r="20">
      <c r="A20" s="66" t="inlineStr">
        <is>
          <t>Knock out</t>
        </is>
      </c>
      <c r="B20" s="66" t="inlineStr">
        <is>
          <t>KNOCK</t>
        </is>
      </c>
      <c r="C20" s="66" t="inlineStr">
        <is>
          <t>Knock out</t>
        </is>
      </c>
      <c r="D20" s="193" t="inlineStr">
        <is>
          <t>Knock out</t>
        </is>
      </c>
      <c r="E20" s="66" t="inlineStr">
        <is>
          <t>Knock out</t>
        </is>
      </c>
      <c r="N20" s="194" t="inlineStr">
        <is>
          <t>CL6</t>
        </is>
      </c>
      <c r="O20" s="195" t="inlineStr">
        <is>
          <t>听线</t>
        </is>
      </c>
    </row>
    <row r="21">
      <c r="A21" s="193" t="inlineStr">
        <is>
          <t xml:space="preserve">Michelob </t>
        </is>
      </c>
      <c r="B21" s="66" t="inlineStr">
        <is>
          <t>UB</t>
        </is>
      </c>
      <c r="C21" s="66" t="inlineStr">
        <is>
          <t>米凯罗</t>
        </is>
      </c>
      <c r="D21" s="66" t="inlineStr">
        <is>
          <t>Ultra</t>
        </is>
      </c>
      <c r="E21" s="66" t="inlineStr">
        <is>
          <t>Michelob Ultra,米凯罗</t>
        </is>
      </c>
      <c r="N21" s="194" t="inlineStr">
        <is>
          <t>KL1</t>
        </is>
      </c>
      <c r="O21" s="195" t="inlineStr">
        <is>
          <t>桶线</t>
        </is>
      </c>
    </row>
    <row r="22">
      <c r="A22" s="66" t="inlineStr">
        <is>
          <t>NAC Asia</t>
        </is>
      </c>
      <c r="B22" s="66" t="inlineStr">
        <is>
          <t>NACL</t>
        </is>
      </c>
      <c r="C22" s="66" t="inlineStr">
        <is>
          <t>南昌绿瓶</t>
        </is>
      </c>
      <c r="D22" s="193" t="inlineStr">
        <is>
          <t>Nachang Lvping</t>
        </is>
      </c>
      <c r="E22" s="66" t="inlineStr">
        <is>
          <t>NANCHANG BADU,NANCHANG BINGSHUANG,NANCHANG CHAOXIAN,南昌八度</t>
        </is>
      </c>
      <c r="N22" s="194" t="inlineStr">
        <is>
          <t>KL2</t>
        </is>
      </c>
      <c r="O22" s="195" t="inlineStr">
        <is>
          <t>桶线</t>
        </is>
      </c>
    </row>
    <row r="23">
      <c r="A23" s="66" t="inlineStr">
        <is>
          <t>OB</t>
        </is>
      </c>
      <c r="B23" s="66" t="inlineStr">
        <is>
          <t>OBL</t>
        </is>
      </c>
      <c r="C23" s="66" t="inlineStr">
        <is>
          <t>OB Lager</t>
        </is>
      </c>
      <c r="D23" s="66" t="inlineStr">
        <is>
          <t>OB Lager</t>
        </is>
      </c>
      <c r="E23" s="66" t="inlineStr">
        <is>
          <t>OB Lager</t>
        </is>
      </c>
      <c r="N23" s="194" t="inlineStr">
        <is>
          <t>KL3</t>
        </is>
      </c>
      <c r="O23" s="195" t="inlineStr">
        <is>
          <t>桶线</t>
        </is>
      </c>
    </row>
    <row r="24">
      <c r="A24" s="66" t="inlineStr">
        <is>
          <t>OB</t>
        </is>
      </c>
      <c r="B24" s="66" t="inlineStr">
        <is>
          <t>OBP</t>
        </is>
      </c>
      <c r="C24" s="66" t="inlineStr">
        <is>
          <t>OB Premier</t>
        </is>
      </c>
      <c r="D24" s="193" t="inlineStr">
        <is>
          <t>OB Premier</t>
        </is>
      </c>
      <c r="E24" s="66" t="inlineStr">
        <is>
          <t>OB Premier</t>
        </is>
      </c>
      <c r="N24" s="194" t="inlineStr">
        <is>
          <t>KL4</t>
        </is>
      </c>
      <c r="O24" s="195" t="inlineStr">
        <is>
          <t>桶线</t>
        </is>
      </c>
    </row>
    <row r="25">
      <c r="A25" s="193" t="inlineStr">
        <is>
          <t>Royal</t>
        </is>
      </c>
      <c r="B25" s="66" t="inlineStr">
        <is>
          <t>ROYAL</t>
        </is>
      </c>
      <c r="C25" s="66" t="inlineStr">
        <is>
          <t>Royal challenge</t>
        </is>
      </c>
      <c r="D25" s="66" t="inlineStr">
        <is>
          <t>Royal challenge</t>
        </is>
      </c>
      <c r="E25" s="66" t="inlineStr">
        <is>
          <t>Royal challenge</t>
        </is>
      </c>
      <c r="N25" s="194" t="inlineStr">
        <is>
          <t>PL1</t>
        </is>
      </c>
      <c r="O25" s="42" t="inlineStr">
        <is>
          <t>PET瓶</t>
        </is>
      </c>
    </row>
    <row r="26">
      <c r="A26" s="193" t="inlineStr">
        <is>
          <t>Sedrin</t>
        </is>
      </c>
      <c r="B26" s="66" t="inlineStr">
        <is>
          <t>WT</t>
        </is>
      </c>
      <c r="C26" s="66" t="inlineStr">
        <is>
          <t>雪津精品</t>
        </is>
      </c>
      <c r="D26" s="66" t="inlineStr">
        <is>
          <t>Sedrin Jingping</t>
        </is>
      </c>
      <c r="E26" s="66" t="inlineStr">
        <is>
          <t>SEDRIN JINMAI,SEDRIN JINGPIN,雪津精品</t>
        </is>
      </c>
      <c r="N26" s="194" t="inlineStr">
        <is>
          <t>PL2</t>
        </is>
      </c>
      <c r="O26" s="42" t="inlineStr">
        <is>
          <t>PET瓶</t>
        </is>
      </c>
    </row>
    <row r="27">
      <c r="A27" s="193" t="inlineStr">
        <is>
          <t>Stella</t>
        </is>
      </c>
      <c r="B27" s="66" t="inlineStr">
        <is>
          <t>STL</t>
        </is>
      </c>
      <c r="C27" s="66" t="inlineStr">
        <is>
          <t>时代</t>
        </is>
      </c>
      <c r="D27" s="66" t="inlineStr">
        <is>
          <t>Stella</t>
        </is>
      </c>
      <c r="E27" s="66" t="inlineStr">
        <is>
          <t>Stella Artois,时代</t>
        </is>
      </c>
      <c r="N27" s="194" t="inlineStr">
        <is>
          <t>PL3</t>
        </is>
      </c>
      <c r="O27" s="42" t="inlineStr">
        <is>
          <t>PET瓶</t>
        </is>
      </c>
    </row>
    <row r="28">
      <c r="A28" s="66" t="inlineStr">
        <is>
          <t>WEIXUE</t>
        </is>
      </c>
      <c r="B28" s="66" t="inlineStr">
        <is>
          <t>WX</t>
        </is>
      </c>
      <c r="C28" s="66" t="inlineStr">
        <is>
          <t>维雪</t>
        </is>
      </c>
      <c r="D28" s="193" t="inlineStr">
        <is>
          <t>WeiXue</t>
        </is>
      </c>
      <c r="E28" s="66" t="inlineStr">
        <is>
          <t>JIGONGSHAN,WEIXUE ZHONGXIANG</t>
        </is>
      </c>
      <c r="N28" s="194" t="inlineStr">
        <is>
          <t>PL4</t>
        </is>
      </c>
      <c r="O28" s="42" t="inlineStr">
        <is>
          <t>PET瓶</t>
        </is>
      </c>
    </row>
    <row r="29">
      <c r="A29" s="66" t="inlineStr">
        <is>
          <t>Wheat King</t>
        </is>
      </c>
      <c r="B29" s="66" t="inlineStr">
        <is>
          <t>MHHB</t>
        </is>
      </c>
      <c r="C29" s="66" t="inlineStr">
        <is>
          <t>哈尔滨小麦王</t>
        </is>
      </c>
      <c r="D29" s="193" t="inlineStr">
        <is>
          <t>Harbin Wheat King</t>
        </is>
      </c>
      <c r="E29" s="66" t="inlineStr">
        <is>
          <t>HARBIN KINGOFWHEAT,哈尔滨小麦王</t>
        </is>
      </c>
      <c r="N29" s="194" t="inlineStr">
        <is>
          <t>PL5</t>
        </is>
      </c>
      <c r="O29" s="42" t="inlineStr">
        <is>
          <t>PET瓶</t>
        </is>
      </c>
    </row>
    <row r="30">
      <c r="A30" s="66" t="inlineStr">
        <is>
          <t>YDS</t>
        </is>
      </c>
      <c r="B30" s="193" t="inlineStr">
        <is>
          <t>YDS XZS</t>
        </is>
      </c>
      <c r="C30" s="66" t="inlineStr">
        <is>
          <t>哈尔滨冰纯</t>
        </is>
      </c>
      <c r="D30" s="66" t="inlineStr">
        <is>
          <t>Harbin Ice</t>
        </is>
      </c>
      <c r="E30" s="66" t="inlineStr">
        <is>
          <t>YDS XIANZHISHUANG,雁荡山鲜之爽</t>
        </is>
      </c>
    </row>
    <row r="32">
      <c r="A32" t="inlineStr">
        <is>
          <t>绿色标注为点图上显示的品牌名称</t>
        </is>
      </c>
    </row>
    <row r="35">
      <c r="A35" s="42" t="inlineStr">
        <is>
          <t>Wort</t>
        </is>
      </c>
      <c r="B35" s="42" t="inlineStr">
        <is>
          <t>Fermentation</t>
        </is>
      </c>
      <c r="C35" s="42" t="inlineStr">
        <is>
          <t>BBT</t>
        </is>
      </c>
      <c r="D35" s="42" t="inlineStr">
        <is>
          <t>Finish beer</t>
        </is>
      </c>
    </row>
    <row r="36">
      <c r="A36" s="192" t="inlineStr">
        <is>
          <t>Brand</t>
        </is>
      </c>
      <c r="B36" s="192" t="inlineStr">
        <is>
          <t>Brand</t>
        </is>
      </c>
      <c r="C36" s="192" t="inlineStr">
        <is>
          <t>Brand</t>
        </is>
      </c>
      <c r="D36" s="192" t="inlineStr">
        <is>
          <t>Brand</t>
        </is>
      </c>
      <c r="E36" s="196" t="inlineStr">
        <is>
          <t>从上面选个品牌和生产线放在灰色框中</t>
        </is>
      </c>
      <c r="G36" s="192" t="inlineStr">
        <is>
          <t>Brewhouse</t>
        </is>
      </c>
      <c r="H36" s="192" t="inlineStr">
        <is>
          <t>Lauter Tun</t>
        </is>
      </c>
      <c r="I36" s="192" t="inlineStr">
        <is>
          <t>Mash Filter</t>
        </is>
      </c>
      <c r="J36" s="192" t="inlineStr">
        <is>
          <t>Kettle</t>
        </is>
      </c>
      <c r="K36" s="192" t="inlineStr">
        <is>
          <t>Propagation</t>
        </is>
      </c>
      <c r="L36" s="192" t="inlineStr">
        <is>
          <t>Centrifuge</t>
        </is>
      </c>
      <c r="M36" s="192" t="inlineStr">
        <is>
          <t>Filtration</t>
        </is>
      </c>
      <c r="N36" s="192" t="inlineStr">
        <is>
          <t>Packaging</t>
        </is>
      </c>
    </row>
    <row r="37">
      <c r="A37" s="197" t="n"/>
      <c r="B37" s="197" t="n"/>
      <c r="C37" s="197" t="n"/>
      <c r="D37" s="197" t="n"/>
      <c r="E37" s="196" t="inlineStr">
        <is>
          <t>工厂可以做在每个填写页面的品牌做一个下拉菜单，避免手工填写错误</t>
        </is>
      </c>
      <c r="G37" s="198" t="n"/>
      <c r="H37" s="198" t="n"/>
      <c r="I37" s="198" t="n"/>
      <c r="J37" s="198" t="n"/>
      <c r="K37" s="198" t="n"/>
      <c r="L37" s="198" t="n"/>
      <c r="M37" s="198" t="n"/>
      <c r="N37" s="198" t="n"/>
    </row>
    <row r="38">
      <c r="A38" s="197" t="n"/>
      <c r="B38" s="197" t="n"/>
      <c r="C38" s="197" t="n"/>
      <c r="D38" s="197" t="n"/>
      <c r="E38" s="196" t="inlineStr">
        <is>
          <t>在SSS点图系统中工厂也需要维护品牌和生产线主数据</t>
        </is>
      </c>
      <c r="G38" s="198" t="n"/>
      <c r="H38" s="198" t="n"/>
      <c r="I38" s="198" t="n"/>
      <c r="J38" s="198" t="n"/>
      <c r="K38" s="198" t="n"/>
      <c r="L38" s="198" t="n"/>
      <c r="M38" s="198" t="n"/>
      <c r="N38" s="198" t="n"/>
    </row>
    <row r="39">
      <c r="A39" s="197" t="n"/>
      <c r="B39" s="197" t="n"/>
      <c r="C39" s="197" t="n"/>
      <c r="D39" s="197" t="n"/>
      <c r="E39" s="196" t="inlineStr">
        <is>
          <t>Excel 点图中的品牌必须要和SSS点图系统中维护的主数据一致</t>
        </is>
      </c>
      <c r="G39" s="198" t="n"/>
      <c r="H39" s="198" t="n"/>
      <c r="I39" s="198" t="n"/>
      <c r="J39" s="198" t="n"/>
      <c r="K39" s="198" t="n"/>
      <c r="L39" s="198" t="n"/>
      <c r="M39" s="198" t="n"/>
      <c r="N39" s="198" t="n"/>
    </row>
    <row r="40">
      <c r="A40" s="197" t="n"/>
      <c r="B40" s="197" t="n"/>
      <c r="C40" s="197" t="n"/>
      <c r="D40" s="197" t="n"/>
      <c r="G40" s="198" t="n"/>
      <c r="H40" s="198" t="n"/>
      <c r="I40" s="198" t="n"/>
      <c r="J40" s="198" t="n"/>
      <c r="K40" s="198" t="n"/>
      <c r="L40" s="198" t="n"/>
      <c r="M40" s="198" t="n"/>
      <c r="N40" s="198" t="n"/>
    </row>
    <row r="41">
      <c r="A41" s="197" t="n"/>
      <c r="B41" s="197" t="n"/>
      <c r="C41" s="197" t="n"/>
      <c r="D41" s="197" t="n"/>
      <c r="G41" s="198" t="n"/>
      <c r="H41" s="198" t="n"/>
      <c r="I41" s="198" t="n"/>
      <c r="J41" s="198" t="n"/>
      <c r="K41" s="198" t="n"/>
      <c r="L41" s="198" t="n"/>
      <c r="M41" s="198" t="n"/>
      <c r="N41" s="198" t="n"/>
    </row>
    <row r="42">
      <c r="A42" s="197" t="n"/>
      <c r="B42" s="197" t="n"/>
      <c r="C42" s="197" t="n"/>
      <c r="D42" s="197" t="n"/>
      <c r="G42" s="198" t="n"/>
      <c r="H42" s="198" t="n"/>
      <c r="I42" s="198" t="n"/>
      <c r="J42" s="198" t="n"/>
      <c r="K42" s="198" t="n"/>
      <c r="L42" s="198" t="n"/>
      <c r="M42" s="198" t="n"/>
      <c r="N42" s="198" t="n"/>
    </row>
    <row r="43">
      <c r="A43" s="197" t="n"/>
      <c r="B43" s="197" t="n"/>
      <c r="C43" s="197" t="n"/>
      <c r="D43" s="197" t="n"/>
      <c r="N43" s="198" t="n"/>
    </row>
    <row r="44">
      <c r="A44" s="197" t="n"/>
      <c r="B44" s="197" t="n"/>
      <c r="C44" s="197" t="n"/>
      <c r="D44" s="197" t="n"/>
      <c r="N44" s="198" t="n"/>
    </row>
    <row r="45">
      <c r="A45" s="197" t="n"/>
      <c r="B45" s="197" t="n"/>
      <c r="C45" s="197" t="n"/>
      <c r="D45" s="197" t="n"/>
      <c r="N45" s="198" t="n"/>
    </row>
    <row r="46">
      <c r="A46" s="197" t="n"/>
      <c r="B46" s="197" t="n"/>
      <c r="C46" s="197" t="n"/>
      <c r="D46" s="197" t="n"/>
      <c r="N46" s="198" t="n"/>
    </row>
    <row r="47">
      <c r="A47" s="197" t="n"/>
      <c r="B47" s="197" t="n"/>
      <c r="C47" s="197" t="n"/>
      <c r="D47" s="197" t="n"/>
      <c r="N47" s="198" t="n"/>
    </row>
    <row r="48">
      <c r="A48" s="197" t="n"/>
      <c r="B48" s="197" t="n"/>
      <c r="C48" s="197" t="n"/>
      <c r="D48" s="197" t="n"/>
      <c r="N48" s="198" t="n"/>
    </row>
    <row r="49">
      <c r="A49" s="197" t="n"/>
      <c r="B49" s="197" t="n"/>
      <c r="C49" s="197" t="n"/>
      <c r="D49" s="197" t="n"/>
      <c r="N49" s="198" t="n"/>
    </row>
    <row r="50">
      <c r="A50" s="197" t="n"/>
      <c r="B50" s="197" t="n"/>
      <c r="C50" s="197" t="n"/>
      <c r="D50" s="197" t="n"/>
      <c r="N50" s="198" t="n"/>
    </row>
    <row r="51">
      <c r="N51" s="198" t="n"/>
    </row>
    <row r="52">
      <c r="N52" s="198" t="n"/>
    </row>
    <row r="53">
      <c r="N53" s="198" t="n"/>
    </row>
    <row r="54">
      <c r="N54" s="198" t="n"/>
    </row>
    <row r="55">
      <c r="N55" s="198" t="n"/>
    </row>
    <row r="56">
      <c r="N56" s="198" t="n"/>
    </row>
  </sheetData>
  <autoFilter ref="A2:E30"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60"/>
  <sheetViews>
    <sheetView workbookViewId="0">
      <pane xSplit="11" ySplit="1" topLeftCell="L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ColWidth="8.7109375" defaultRowHeight="12.75"/>
  <cols>
    <col width="12.7109375" customWidth="1" style="163" min="1" max="2"/>
    <col width="22.140625" customWidth="1" style="163" min="3" max="3"/>
    <col width="18.42578125" customWidth="1" style="163" min="4" max="4"/>
    <col width="8.7109375" customWidth="1" style="163" min="5" max="5"/>
    <col width="24.28515625" customWidth="1" style="163" min="6" max="6"/>
    <col width="16.140625" customWidth="1" style="163" min="7" max="7"/>
    <col hidden="1" width="8.7109375" customWidth="1" style="163" min="8" max="8"/>
    <col hidden="1" width="52.42578125" customWidth="1" style="164" min="9" max="9"/>
    <col width="8.7109375" customWidth="1" style="163" min="10" max="10"/>
    <col width="10.28515625" customWidth="1" style="163" min="11" max="11"/>
    <col width="9.85546875" customWidth="1" style="165" min="12" max="12"/>
    <col width="8.7109375" customWidth="1" style="166" min="13" max="13"/>
    <col width="13.140625" customWidth="1" style="165" min="14" max="14"/>
    <col width="15" customWidth="1" style="165" min="15" max="15"/>
    <col width="17.85546875" customWidth="1" style="165" min="16" max="16"/>
    <col width="12.140625" customWidth="1" style="165" min="17" max="17"/>
    <col width="8.7109375" customWidth="1" style="166" min="18" max="18"/>
    <col width="8.7109375" customWidth="1" style="166" min="19" max="16384"/>
  </cols>
  <sheetData>
    <row r="1" ht="25.5" customHeight="1" s="241">
      <c r="A1" s="167" t="inlineStr">
        <is>
          <t>Process</t>
        </is>
      </c>
      <c r="B1" s="167" t="inlineStr">
        <is>
          <t>Sub-Process</t>
        </is>
      </c>
      <c r="C1" s="168" t="inlineStr">
        <is>
          <t>参数英文名</t>
        </is>
      </c>
      <c r="D1" s="168" t="inlineStr">
        <is>
          <t>参数中文名</t>
        </is>
      </c>
      <c r="E1" s="168" t="inlineStr">
        <is>
          <t>Unit</t>
        </is>
      </c>
      <c r="F1" s="168" t="inlineStr">
        <is>
          <t>说明</t>
        </is>
      </c>
      <c r="G1" s="168" t="inlineStr">
        <is>
          <t>Global</t>
        </is>
      </c>
      <c r="H1" s="167" t="inlineStr">
        <is>
          <t>DF代码</t>
        </is>
      </c>
      <c r="I1" s="169" t="inlineStr">
        <is>
          <t>DF中文</t>
        </is>
      </c>
      <c r="J1" s="167" t="inlineStr">
        <is>
          <t>数据源</t>
        </is>
      </c>
      <c r="K1" s="167" t="inlineStr">
        <is>
          <t>是否点图展示</t>
        </is>
      </c>
      <c r="L1" s="167" t="inlineStr">
        <is>
          <t>输入类型</t>
        </is>
      </c>
      <c r="M1" s="170" t="n"/>
      <c r="N1" s="171" t="inlineStr">
        <is>
          <t>筛选条件1</t>
        </is>
      </c>
      <c r="O1" s="171" t="inlineStr">
        <is>
          <t>筛选条件2</t>
        </is>
      </c>
      <c r="P1" s="171" t="inlineStr">
        <is>
          <t>筛选条件3</t>
        </is>
      </c>
      <c r="Q1" s="171" t="inlineStr">
        <is>
          <t>筛选条件4</t>
        </is>
      </c>
    </row>
    <row r="2">
      <c r="A2" s="172" t="inlineStr">
        <is>
          <t>General</t>
        </is>
      </c>
      <c r="B2" s="172" t="n"/>
      <c r="C2" s="61" t="inlineStr">
        <is>
          <t>Sensory</t>
        </is>
      </c>
      <c r="D2" s="61" t="n"/>
      <c r="E2" s="76" t="n"/>
      <c r="F2" s="61" t="n"/>
      <c r="G2" s="76" t="n"/>
      <c r="H2" s="172" t="n"/>
      <c r="I2" s="173" t="n"/>
      <c r="J2" s="172" t="n"/>
      <c r="K2" s="172" t="inlineStr">
        <is>
          <t>Y</t>
        </is>
      </c>
      <c r="L2" s="174" t="inlineStr">
        <is>
          <t>数据</t>
        </is>
      </c>
      <c r="N2" s="163" t="inlineStr">
        <is>
          <t>Brand</t>
        </is>
      </c>
      <c r="O2" s="163" t="inlineStr">
        <is>
          <t>Panel</t>
        </is>
      </c>
      <c r="P2" s="163" t="n"/>
      <c r="Q2" s="163" t="n"/>
    </row>
    <row r="3" ht="30" customHeight="1" s="241">
      <c r="A3" s="222" t="inlineStr">
        <is>
          <t>Water &amp; CO2</t>
        </is>
      </c>
      <c r="B3" s="222" t="inlineStr">
        <is>
          <t>Incoming Water</t>
        </is>
      </c>
      <c r="C3" s="61" t="inlineStr">
        <is>
          <t>Alkalinity</t>
        </is>
      </c>
      <c r="D3" s="174" t="inlineStr">
        <is>
          <t>碱度</t>
        </is>
      </c>
      <c r="E3" s="111" t="inlineStr">
        <is>
          <t>ppm</t>
        </is>
      </c>
      <c r="F3" s="174" t="inlineStr">
        <is>
          <t>进多介质前</t>
        </is>
      </c>
      <c r="G3" s="61" t="n"/>
      <c r="H3" s="174" t="inlineStr">
        <is>
          <t>US-20126</t>
        </is>
      </c>
      <c r="I3" s="175" t="inlineStr">
        <is>
          <t>原水硬度_原水处理_动力_水处理_取水设备_原水管路</t>
        </is>
      </c>
      <c r="J3" s="174" t="inlineStr">
        <is>
          <t>LIMS</t>
        </is>
      </c>
      <c r="K3" s="174" t="n"/>
      <c r="L3" s="174" t="inlineStr">
        <is>
          <t>数据</t>
        </is>
      </c>
      <c r="N3" s="165" t="inlineStr">
        <is>
          <t>无</t>
        </is>
      </c>
      <c r="O3" s="165" t="inlineStr">
        <is>
          <t>无</t>
        </is>
      </c>
      <c r="P3" s="165" t="inlineStr">
        <is>
          <t>无</t>
        </is>
      </c>
      <c r="Q3" s="165" t="inlineStr">
        <is>
          <t>无</t>
        </is>
      </c>
    </row>
    <row r="4" ht="30" customHeight="1" s="241">
      <c r="A4" s="217" t="n"/>
      <c r="B4" s="217" t="n"/>
      <c r="C4" s="61" t="inlineStr">
        <is>
          <t>Hardness</t>
        </is>
      </c>
      <c r="D4" s="174" t="inlineStr">
        <is>
          <t>硬度</t>
        </is>
      </c>
      <c r="E4" s="111" t="inlineStr">
        <is>
          <t>ppm</t>
        </is>
      </c>
      <c r="F4" s="174" t="inlineStr">
        <is>
          <t>进多介质前</t>
        </is>
      </c>
      <c r="G4" s="61" t="n"/>
      <c r="H4" s="174" t="inlineStr">
        <is>
          <t>US-20125</t>
        </is>
      </c>
      <c r="I4" s="175" t="inlineStr">
        <is>
          <t>原水碱度_原水处理_动力_水处理_取水设备_原水管路</t>
        </is>
      </c>
      <c r="J4" s="174" t="inlineStr">
        <is>
          <t>LIMS</t>
        </is>
      </c>
      <c r="K4" s="174" t="n"/>
      <c r="L4" s="174" t="inlineStr">
        <is>
          <t>数据</t>
        </is>
      </c>
      <c r="N4" s="165" t="inlineStr">
        <is>
          <t>无</t>
        </is>
      </c>
      <c r="O4" s="165" t="inlineStr">
        <is>
          <t>无</t>
        </is>
      </c>
      <c r="P4" s="165" t="inlineStr">
        <is>
          <t>无</t>
        </is>
      </c>
      <c r="Q4" s="165" t="inlineStr">
        <is>
          <t>无</t>
        </is>
      </c>
    </row>
    <row r="5" ht="30" customHeight="1" s="241">
      <c r="A5" s="217" t="n"/>
      <c r="B5" s="217" t="n"/>
      <c r="C5" s="61" t="inlineStr">
        <is>
          <t>TTHM</t>
        </is>
      </c>
      <c r="D5" s="174" t="inlineStr">
        <is>
          <t>TTHM</t>
        </is>
      </c>
      <c r="E5" s="70" t="inlineStr">
        <is>
          <t>ppb</t>
        </is>
      </c>
      <c r="F5" s="174" t="inlineStr">
        <is>
          <t>进多介质前</t>
        </is>
      </c>
      <c r="G5" s="61" t="n"/>
      <c r="H5" s="174" t="n"/>
      <c r="I5" s="175" t="n"/>
      <c r="J5" s="174" t="inlineStr">
        <is>
          <t>LIMS</t>
        </is>
      </c>
      <c r="K5" s="174" t="n"/>
      <c r="L5" s="174" t="inlineStr">
        <is>
          <t>数据</t>
        </is>
      </c>
      <c r="N5" s="165" t="inlineStr">
        <is>
          <t>无</t>
        </is>
      </c>
      <c r="O5" s="165" t="inlineStr">
        <is>
          <t>无</t>
        </is>
      </c>
      <c r="P5" s="165" t="inlineStr">
        <is>
          <t>无</t>
        </is>
      </c>
      <c r="Q5" s="165" t="inlineStr">
        <is>
          <t>无</t>
        </is>
      </c>
    </row>
    <row r="6" ht="30" customHeight="1" s="241">
      <c r="A6" s="217" t="n"/>
      <c r="B6" s="217" t="n"/>
      <c r="C6" s="61" t="inlineStr">
        <is>
          <t>Cl2</t>
        </is>
      </c>
      <c r="D6" s="174" t="inlineStr">
        <is>
          <t>余氯</t>
        </is>
      </c>
      <c r="E6" s="69" t="inlineStr">
        <is>
          <t>ppm</t>
        </is>
      </c>
      <c r="F6" s="174" t="inlineStr">
        <is>
          <t>进多介质前</t>
        </is>
      </c>
      <c r="G6" s="61" t="n"/>
      <c r="H6" s="174" t="inlineStr">
        <is>
          <t>US-20129</t>
        </is>
      </c>
      <c r="I6" s="175" t="inlineStr">
        <is>
          <t>原水氯根_原水处理_动力_水处理_取水设备_原水管路</t>
        </is>
      </c>
      <c r="J6" s="174" t="inlineStr">
        <is>
          <t>LIMS</t>
        </is>
      </c>
      <c r="K6" s="174" t="n"/>
      <c r="L6" s="174" t="inlineStr">
        <is>
          <t>数据</t>
        </is>
      </c>
      <c r="N6" s="165" t="inlineStr">
        <is>
          <t>无</t>
        </is>
      </c>
      <c r="O6" s="165" t="inlineStr">
        <is>
          <t>无</t>
        </is>
      </c>
      <c r="P6" s="165" t="inlineStr">
        <is>
          <t>无</t>
        </is>
      </c>
      <c r="Q6" s="165" t="inlineStr">
        <is>
          <t>无</t>
        </is>
      </c>
    </row>
    <row r="7" ht="30" customHeight="1" s="241">
      <c r="A7" s="217" t="n"/>
      <c r="B7" s="217" t="n"/>
      <c r="C7" s="61" t="inlineStr">
        <is>
          <t>ClO2</t>
        </is>
      </c>
      <c r="D7" s="174" t="inlineStr">
        <is>
          <t>ClO2</t>
        </is>
      </c>
      <c r="E7" s="69" t="inlineStr">
        <is>
          <t>ppm</t>
        </is>
      </c>
      <c r="F7" s="174" t="inlineStr">
        <is>
          <t>进多介质前</t>
        </is>
      </c>
      <c r="G7" s="61" t="n"/>
      <c r="H7" s="174" t="n"/>
      <c r="I7" s="175" t="n"/>
      <c r="J7" s="174" t="inlineStr">
        <is>
          <t>LIMS</t>
        </is>
      </c>
      <c r="K7" s="174" t="n"/>
      <c r="L7" s="174" t="inlineStr">
        <is>
          <t>数据</t>
        </is>
      </c>
      <c r="N7" s="165" t="inlineStr">
        <is>
          <t>无</t>
        </is>
      </c>
      <c r="O7" s="165" t="inlineStr">
        <is>
          <t>无</t>
        </is>
      </c>
      <c r="P7" s="165" t="inlineStr">
        <is>
          <t>无</t>
        </is>
      </c>
      <c r="Q7" s="165" t="inlineStr">
        <is>
          <t>无</t>
        </is>
      </c>
    </row>
    <row r="8" ht="30" customHeight="1" s="241">
      <c r="A8" s="217" t="n"/>
      <c r="B8" s="218" t="n"/>
      <c r="C8" s="61" t="inlineStr">
        <is>
          <t>Iron</t>
        </is>
      </c>
      <c r="D8" s="174" t="inlineStr">
        <is>
          <t>铁</t>
        </is>
      </c>
      <c r="E8" s="176" t="inlineStr">
        <is>
          <t>ppm</t>
        </is>
      </c>
      <c r="F8" s="174" t="inlineStr">
        <is>
          <t>进多介质前</t>
        </is>
      </c>
      <c r="G8" s="61" t="n"/>
      <c r="H8" s="174" t="inlineStr">
        <is>
          <t>US-20130</t>
        </is>
      </c>
      <c r="I8" s="175" t="inlineStr">
        <is>
          <t>原水铁离子浓度_原水处理_动力_水处理_取水设备_原水管路</t>
        </is>
      </c>
      <c r="J8" s="174" t="inlineStr">
        <is>
          <t>LIMS</t>
        </is>
      </c>
      <c r="K8" s="174" t="n"/>
      <c r="L8" s="174" t="inlineStr">
        <is>
          <t>数据</t>
        </is>
      </c>
      <c r="N8" s="165" t="inlineStr">
        <is>
          <t>无</t>
        </is>
      </c>
      <c r="O8" s="165" t="inlineStr">
        <is>
          <t>无</t>
        </is>
      </c>
      <c r="P8" s="165" t="inlineStr">
        <is>
          <t>无</t>
        </is>
      </c>
      <c r="Q8" s="165" t="inlineStr">
        <is>
          <t>无</t>
        </is>
      </c>
    </row>
    <row r="9" ht="30" customHeight="1" s="241">
      <c r="A9" s="217" t="n"/>
      <c r="B9" s="224" t="inlineStr">
        <is>
          <t>ACF Water</t>
        </is>
      </c>
      <c r="C9" s="61" t="inlineStr">
        <is>
          <t>TTHM</t>
        </is>
      </c>
      <c r="D9" s="174" t="inlineStr">
        <is>
          <t>TTHM</t>
        </is>
      </c>
      <c r="E9" s="69" t="inlineStr">
        <is>
          <t>ppb</t>
        </is>
      </c>
      <c r="F9" s="174" t="inlineStr">
        <is>
          <t>活性他出口</t>
        </is>
      </c>
      <c r="G9" s="61" t="n"/>
      <c r="H9" s="174" t="n"/>
      <c r="I9" s="175" t="n"/>
      <c r="J9" s="174" t="inlineStr">
        <is>
          <t>LIMS</t>
        </is>
      </c>
      <c r="K9" s="174" t="n"/>
      <c r="L9" s="174" t="inlineStr">
        <is>
          <t>数据</t>
        </is>
      </c>
      <c r="N9" s="165" t="inlineStr">
        <is>
          <t>无</t>
        </is>
      </c>
      <c r="O9" s="165" t="inlineStr">
        <is>
          <t>无</t>
        </is>
      </c>
      <c r="P9" s="165" t="inlineStr">
        <is>
          <t>无</t>
        </is>
      </c>
      <c r="Q9" s="165" t="inlineStr">
        <is>
          <t>无</t>
        </is>
      </c>
    </row>
    <row r="10" ht="30" customHeight="1" s="241">
      <c r="A10" s="217" t="n"/>
      <c r="B10" s="222" t="inlineStr">
        <is>
          <t>Mash Water</t>
        </is>
      </c>
      <c r="C10" s="61" t="inlineStr">
        <is>
          <t>Alkalinity</t>
        </is>
      </c>
      <c r="D10" s="174" t="inlineStr">
        <is>
          <t>碱度</t>
        </is>
      </c>
      <c r="E10" s="111" t="inlineStr">
        <is>
          <t>ppm</t>
        </is>
      </c>
      <c r="F10" s="174" t="inlineStr">
        <is>
          <t>酿造冷水罐</t>
        </is>
      </c>
      <c r="G10" s="60" t="inlineStr">
        <is>
          <t>Sparge Water Alkalinity</t>
        </is>
      </c>
      <c r="H10" s="174" t="n"/>
      <c r="I10" s="175" t="n"/>
      <c r="J10" s="174" t="inlineStr">
        <is>
          <t>LIMS</t>
        </is>
      </c>
      <c r="K10" s="174" t="inlineStr">
        <is>
          <t>Y</t>
        </is>
      </c>
      <c r="L10" s="174" t="inlineStr">
        <is>
          <t>数据</t>
        </is>
      </c>
      <c r="N10" s="165" t="inlineStr">
        <is>
          <t>无</t>
        </is>
      </c>
      <c r="O10" s="165" t="inlineStr">
        <is>
          <t>无</t>
        </is>
      </c>
      <c r="P10" s="165" t="inlineStr">
        <is>
          <t>无</t>
        </is>
      </c>
      <c r="Q10" s="165" t="inlineStr">
        <is>
          <t>无</t>
        </is>
      </c>
    </row>
    <row r="11" ht="30" customHeight="1" s="241">
      <c r="A11" s="217" t="n"/>
      <c r="B11" s="217" t="n"/>
      <c r="C11" s="61" t="inlineStr">
        <is>
          <t>Hardness</t>
        </is>
      </c>
      <c r="D11" s="174" t="inlineStr">
        <is>
          <t>硬度</t>
        </is>
      </c>
      <c r="E11" s="111" t="inlineStr">
        <is>
          <t>ppm</t>
        </is>
      </c>
      <c r="F11" s="174" t="inlineStr">
        <is>
          <t>酿造冷水罐</t>
        </is>
      </c>
      <c r="G11" s="61" t="n"/>
      <c r="H11" s="174" t="inlineStr">
        <is>
          <t>QA-05022</t>
        </is>
      </c>
      <c r="I11" s="175" t="inlineStr">
        <is>
          <t>硬度_酿造热水_酿造热水制备和存储_酿造_糖化_热水罐</t>
        </is>
      </c>
      <c r="J11" s="174" t="inlineStr">
        <is>
          <t>LIMS</t>
        </is>
      </c>
      <c r="K11" s="174" t="inlineStr">
        <is>
          <t>Y</t>
        </is>
      </c>
      <c r="L11" s="174" t="inlineStr">
        <is>
          <t>数据</t>
        </is>
      </c>
      <c r="N11" s="165" t="inlineStr">
        <is>
          <t>无</t>
        </is>
      </c>
      <c r="O11" s="165" t="inlineStr">
        <is>
          <t>无</t>
        </is>
      </c>
      <c r="P11" s="165" t="inlineStr">
        <is>
          <t>无</t>
        </is>
      </c>
      <c r="Q11" s="165" t="inlineStr">
        <is>
          <t>无</t>
        </is>
      </c>
    </row>
    <row r="12" ht="30" customHeight="1" s="241">
      <c r="A12" s="217" t="n"/>
      <c r="B12" s="217" t="n"/>
      <c r="C12" s="61" t="inlineStr">
        <is>
          <t>TTHM</t>
        </is>
      </c>
      <c r="D12" s="174" t="inlineStr">
        <is>
          <t>TTHM</t>
        </is>
      </c>
      <c r="E12" s="70" t="inlineStr">
        <is>
          <t>ppb</t>
        </is>
      </c>
      <c r="F12" s="174" t="inlineStr">
        <is>
          <t>酿造冷水罐</t>
        </is>
      </c>
      <c r="G12" s="61" t="n"/>
      <c r="H12" s="174" t="n"/>
      <c r="I12" s="175" t="n"/>
      <c r="J12" s="174" t="inlineStr">
        <is>
          <t>LIMS</t>
        </is>
      </c>
      <c r="K12" s="174" t="inlineStr">
        <is>
          <t>Y</t>
        </is>
      </c>
      <c r="L12" s="174" t="inlineStr">
        <is>
          <t>数据</t>
        </is>
      </c>
      <c r="N12" s="165" t="inlineStr">
        <is>
          <t>无</t>
        </is>
      </c>
      <c r="O12" s="165" t="inlineStr">
        <is>
          <t>无</t>
        </is>
      </c>
      <c r="P12" s="165" t="inlineStr">
        <is>
          <t>无</t>
        </is>
      </c>
      <c r="Q12" s="165" t="inlineStr">
        <is>
          <t>无</t>
        </is>
      </c>
    </row>
    <row r="13" ht="30" customHeight="1" s="241">
      <c r="A13" s="217" t="n"/>
      <c r="B13" s="217" t="n"/>
      <c r="C13" s="61" t="inlineStr">
        <is>
          <t>ClO2</t>
        </is>
      </c>
      <c r="D13" s="174" t="inlineStr">
        <is>
          <t>ClO2</t>
        </is>
      </c>
      <c r="E13" s="69" t="inlineStr">
        <is>
          <t>ppm</t>
        </is>
      </c>
      <c r="F13" s="174" t="inlineStr">
        <is>
          <t>酿造冷水罐</t>
        </is>
      </c>
      <c r="G13" s="60" t="inlineStr">
        <is>
          <t>Sparge Water Free Chlorine</t>
        </is>
      </c>
      <c r="H13" s="174" t="n"/>
      <c r="I13" s="175" t="n"/>
      <c r="J13" s="174" t="inlineStr">
        <is>
          <t>LIMS</t>
        </is>
      </c>
      <c r="K13" s="174" t="inlineStr">
        <is>
          <t>Y</t>
        </is>
      </c>
      <c r="L13" s="174" t="inlineStr">
        <is>
          <t>数据</t>
        </is>
      </c>
      <c r="N13" s="165" t="inlineStr">
        <is>
          <t>无</t>
        </is>
      </c>
      <c r="O13" s="165" t="inlineStr">
        <is>
          <t>无</t>
        </is>
      </c>
      <c r="P13" s="165" t="inlineStr">
        <is>
          <t>无</t>
        </is>
      </c>
      <c r="Q13" s="165" t="inlineStr">
        <is>
          <t>无</t>
        </is>
      </c>
    </row>
    <row r="14" ht="30" customHeight="1" s="241">
      <c r="A14" s="217" t="n"/>
      <c r="B14" s="218" t="n"/>
      <c r="C14" s="61" t="inlineStr">
        <is>
          <t>pH</t>
        </is>
      </c>
      <c r="D14" s="174" t="inlineStr">
        <is>
          <t>冷水pH</t>
        </is>
      </c>
      <c r="E14" s="69" t="n"/>
      <c r="F14" s="174" t="inlineStr">
        <is>
          <t>酿造冷水罐</t>
        </is>
      </c>
      <c r="G14" s="61" t="n"/>
      <c r="H14" s="174" t="inlineStr">
        <is>
          <t>QA-05002</t>
        </is>
      </c>
      <c r="I14" s="175" t="inlineStr">
        <is>
          <t>pH_酿造水_酿造水存储_酿造_糖化_酿造水罐</t>
        </is>
      </c>
      <c r="J14" s="174" t="inlineStr">
        <is>
          <t>LIMS</t>
        </is>
      </c>
      <c r="K14" s="174" t="inlineStr">
        <is>
          <t>Y</t>
        </is>
      </c>
      <c r="L14" s="174" t="inlineStr">
        <is>
          <t>数据</t>
        </is>
      </c>
      <c r="N14" s="165" t="inlineStr">
        <is>
          <t>无</t>
        </is>
      </c>
      <c r="O14" s="165" t="inlineStr">
        <is>
          <t>无</t>
        </is>
      </c>
      <c r="P14" s="165" t="inlineStr">
        <is>
          <t>无</t>
        </is>
      </c>
      <c r="Q14" s="165" t="inlineStr">
        <is>
          <t>无</t>
        </is>
      </c>
    </row>
    <row r="15" ht="30" customHeight="1" s="241">
      <c r="A15" s="217" t="n"/>
      <c r="B15" s="223" t="inlineStr">
        <is>
          <t>Sparge Water</t>
        </is>
      </c>
      <c r="C15" s="61" t="inlineStr">
        <is>
          <t>pH</t>
        </is>
      </c>
      <c r="D15" s="174" t="inlineStr">
        <is>
          <t>热水pH</t>
        </is>
      </c>
      <c r="E15" s="69" t="n"/>
      <c r="F15" s="174" t="inlineStr">
        <is>
          <t>酿造热水罐</t>
        </is>
      </c>
      <c r="G15" s="60" t="inlineStr">
        <is>
          <t>Sparge Water pH</t>
        </is>
      </c>
      <c r="H15" s="174" t="inlineStr">
        <is>
          <t>QA-05021</t>
        </is>
      </c>
      <c r="I15" s="175" t="inlineStr">
        <is>
          <t>pH_酿造热水_酿造热水制备和存储_酿造_糖化_热水罐</t>
        </is>
      </c>
      <c r="J15" s="174" t="inlineStr">
        <is>
          <t>LIMS</t>
        </is>
      </c>
      <c r="K15" s="174" t="inlineStr">
        <is>
          <t>Y</t>
        </is>
      </c>
      <c r="L15" s="174" t="inlineStr">
        <is>
          <t>数据</t>
        </is>
      </c>
      <c r="N15" s="165" t="inlineStr">
        <is>
          <t>无</t>
        </is>
      </c>
      <c r="O15" s="165" t="inlineStr">
        <is>
          <t>无</t>
        </is>
      </c>
      <c r="P15" s="165" t="inlineStr">
        <is>
          <t>无</t>
        </is>
      </c>
      <c r="Q15" s="165" t="inlineStr">
        <is>
          <t>无</t>
        </is>
      </c>
    </row>
    <row r="16" ht="30" customHeight="1" s="241">
      <c r="A16" s="217" t="n"/>
      <c r="B16" s="222" t="inlineStr">
        <is>
          <t>Blending Water</t>
        </is>
      </c>
      <c r="C16" s="61" t="inlineStr">
        <is>
          <t>Hardness</t>
        </is>
      </c>
      <c r="D16" s="174" t="inlineStr">
        <is>
          <t>硬度</t>
        </is>
      </c>
      <c r="E16" s="69" t="inlineStr">
        <is>
          <t>ppm</t>
        </is>
      </c>
      <c r="F16" s="174" t="inlineStr">
        <is>
          <t>稀释水罐</t>
        </is>
      </c>
      <c r="G16" s="61" t="n"/>
      <c r="H16" s="174" t="n"/>
      <c r="I16" s="175" t="n"/>
      <c r="J16" s="174" t="inlineStr">
        <is>
          <t>LIMS</t>
        </is>
      </c>
      <c r="K16" s="174" t="inlineStr">
        <is>
          <t>Y</t>
        </is>
      </c>
      <c r="L16" s="174" t="inlineStr">
        <is>
          <t>数据</t>
        </is>
      </c>
      <c r="N16" s="165" t="inlineStr">
        <is>
          <t>无</t>
        </is>
      </c>
      <c r="O16" s="165" t="inlineStr">
        <is>
          <t>无</t>
        </is>
      </c>
      <c r="P16" s="165" t="inlineStr">
        <is>
          <t>无</t>
        </is>
      </c>
      <c r="Q16" s="165" t="inlineStr">
        <is>
          <t>无</t>
        </is>
      </c>
    </row>
    <row r="17" ht="30" customHeight="1" s="241">
      <c r="A17" s="217" t="n"/>
      <c r="B17" s="217" t="n"/>
      <c r="C17" s="61" t="inlineStr">
        <is>
          <t>TTHM</t>
        </is>
      </c>
      <c r="D17" s="174" t="inlineStr">
        <is>
          <t>TTHM</t>
        </is>
      </c>
      <c r="E17" s="69" t="inlineStr">
        <is>
          <t>ppm</t>
        </is>
      </c>
      <c r="F17" s="174" t="inlineStr">
        <is>
          <t>稀释水罐</t>
        </is>
      </c>
      <c r="G17" s="61" t="n"/>
      <c r="H17" s="174" t="n"/>
      <c r="I17" s="175" t="n"/>
      <c r="J17" s="174" t="inlineStr">
        <is>
          <t>LIMS</t>
        </is>
      </c>
      <c r="K17" s="174" t="inlineStr">
        <is>
          <t>Y</t>
        </is>
      </c>
      <c r="L17" s="174" t="inlineStr">
        <is>
          <t>数据</t>
        </is>
      </c>
      <c r="N17" s="165" t="inlineStr">
        <is>
          <t>无</t>
        </is>
      </c>
      <c r="O17" s="165" t="inlineStr">
        <is>
          <t>无</t>
        </is>
      </c>
      <c r="P17" s="165" t="inlineStr">
        <is>
          <t>无</t>
        </is>
      </c>
      <c r="Q17" s="165" t="inlineStr">
        <is>
          <t>无</t>
        </is>
      </c>
    </row>
    <row r="18" ht="30" customHeight="1" s="241">
      <c r="A18" s="217" t="n"/>
      <c r="B18" s="218" t="n"/>
      <c r="C18" s="61" t="inlineStr">
        <is>
          <t>ClO2</t>
        </is>
      </c>
      <c r="D18" s="174" t="inlineStr">
        <is>
          <t>ClO2</t>
        </is>
      </c>
      <c r="E18" s="69" t="inlineStr">
        <is>
          <t>ppm</t>
        </is>
      </c>
      <c r="F18" s="174" t="inlineStr">
        <is>
          <t>稀释水罐</t>
        </is>
      </c>
      <c r="G18" s="61" t="n"/>
      <c r="H18" s="174" t="inlineStr">
        <is>
          <t>QA-19235</t>
        </is>
      </c>
      <c r="I18" s="175" t="inlineStr">
        <is>
          <t>二氧化氯(ClO2)含量_稀释水_高浓稀释_酿造_过滤_高浓稀释系统_稀释水管路</t>
        </is>
      </c>
      <c r="J18" s="174" t="inlineStr">
        <is>
          <t>LIMS</t>
        </is>
      </c>
      <c r="K18" s="174" t="inlineStr">
        <is>
          <t>Y</t>
        </is>
      </c>
      <c r="L18" s="174" t="inlineStr">
        <is>
          <t>数据</t>
        </is>
      </c>
      <c r="N18" s="165" t="inlineStr">
        <is>
          <t>无</t>
        </is>
      </c>
      <c r="O18" s="165" t="inlineStr">
        <is>
          <t>无</t>
        </is>
      </c>
      <c r="P18" s="165" t="inlineStr">
        <is>
          <t>无</t>
        </is>
      </c>
      <c r="Q18" s="165" t="inlineStr">
        <is>
          <t>无</t>
        </is>
      </c>
    </row>
    <row r="19" ht="30" customHeight="1" s="241">
      <c r="A19" s="217" t="n"/>
      <c r="B19" s="223" t="inlineStr">
        <is>
          <t>Rinser Water</t>
        </is>
      </c>
      <c r="C19" s="61" t="inlineStr">
        <is>
          <t>TTHM</t>
        </is>
      </c>
      <c r="D19" s="174" t="inlineStr">
        <is>
          <t>TTHM</t>
        </is>
      </c>
      <c r="E19" s="69" t="inlineStr">
        <is>
          <t>ppb</t>
        </is>
      </c>
      <c r="F19" s="174" t="inlineStr">
        <is>
          <t>洗瓶机水管道入口</t>
        </is>
      </c>
      <c r="G19" s="61" t="n"/>
      <c r="H19" s="174" t="n"/>
      <c r="I19" s="175" t="n"/>
      <c r="J19" s="174" t="inlineStr">
        <is>
          <t>LIMS</t>
        </is>
      </c>
      <c r="K19" s="174" t="n"/>
      <c r="L19" s="174" t="inlineStr">
        <is>
          <t>数据</t>
        </is>
      </c>
      <c r="N19" s="165" t="inlineStr">
        <is>
          <t>无</t>
        </is>
      </c>
      <c r="O19" s="165" t="inlineStr">
        <is>
          <t>无</t>
        </is>
      </c>
      <c r="P19" s="165" t="inlineStr">
        <is>
          <t>无</t>
        </is>
      </c>
      <c r="Q19" s="165" t="inlineStr">
        <is>
          <t>无</t>
        </is>
      </c>
    </row>
    <row r="20" ht="30" customHeight="1" s="241">
      <c r="A20" s="217" t="n"/>
      <c r="B20" s="218" t="n"/>
      <c r="C20" s="61" t="inlineStr">
        <is>
          <t>ClO2</t>
        </is>
      </c>
      <c r="D20" s="174" t="inlineStr">
        <is>
          <t>ClO2</t>
        </is>
      </c>
      <c r="E20" s="69" t="inlineStr">
        <is>
          <t>ppm</t>
        </is>
      </c>
      <c r="F20" s="174" t="inlineStr">
        <is>
          <t>洗瓶机水管道入口</t>
        </is>
      </c>
      <c r="G20" s="61" t="n"/>
      <c r="H20" s="174" t="n"/>
      <c r="I20" s="175" t="n"/>
      <c r="J20" s="174" t="inlineStr">
        <is>
          <t>LIMS</t>
        </is>
      </c>
      <c r="K20" s="174" t="n"/>
      <c r="L20" s="174" t="inlineStr">
        <is>
          <t>数据</t>
        </is>
      </c>
      <c r="N20" s="165" t="inlineStr">
        <is>
          <t>无</t>
        </is>
      </c>
      <c r="O20" s="165" t="inlineStr">
        <is>
          <t>无</t>
        </is>
      </c>
      <c r="P20" s="165" t="inlineStr">
        <is>
          <t>无</t>
        </is>
      </c>
      <c r="Q20" s="165" t="inlineStr">
        <is>
          <t>无</t>
        </is>
      </c>
    </row>
    <row r="21" ht="30" customHeight="1" s="241">
      <c r="A21" s="217" t="n"/>
      <c r="B21" s="222" t="inlineStr">
        <is>
          <t>Jetter Water</t>
        </is>
      </c>
      <c r="C21" s="61" t="inlineStr">
        <is>
          <t>TTHM</t>
        </is>
      </c>
      <c r="D21" s="174" t="inlineStr">
        <is>
          <t>TTHM</t>
        </is>
      </c>
      <c r="E21" s="69" t="inlineStr">
        <is>
          <t>ppb</t>
        </is>
      </c>
      <c r="F21" s="174" t="inlineStr">
        <is>
          <t>灌酒机激泡出口</t>
        </is>
      </c>
      <c r="G21" s="61" t="n"/>
      <c r="H21" s="174" t="n"/>
      <c r="I21" s="175" t="n"/>
      <c r="J21" s="174" t="inlineStr">
        <is>
          <t>LIMS</t>
        </is>
      </c>
      <c r="K21" s="174" t="n"/>
      <c r="L21" s="174" t="inlineStr">
        <is>
          <t>数据</t>
        </is>
      </c>
      <c r="N21" s="165" t="inlineStr">
        <is>
          <t>无</t>
        </is>
      </c>
      <c r="O21" s="165" t="inlineStr">
        <is>
          <t>无</t>
        </is>
      </c>
      <c r="P21" s="165" t="inlineStr">
        <is>
          <t>无</t>
        </is>
      </c>
      <c r="Q21" s="165" t="inlineStr">
        <is>
          <t>无</t>
        </is>
      </c>
    </row>
    <row r="22" ht="30" customHeight="1" s="241">
      <c r="A22" s="217" t="n"/>
      <c r="B22" s="218" t="n"/>
      <c r="C22" s="61" t="inlineStr">
        <is>
          <t>ClO2</t>
        </is>
      </c>
      <c r="D22" s="174" t="inlineStr">
        <is>
          <t>ClO2</t>
        </is>
      </c>
      <c r="E22" s="69" t="inlineStr">
        <is>
          <t>ppm</t>
        </is>
      </c>
      <c r="F22" s="174" t="inlineStr">
        <is>
          <t>灌酒机激泡出口</t>
        </is>
      </c>
      <c r="G22" s="61" t="n"/>
      <c r="H22" s="174" t="n"/>
      <c r="I22" s="175" t="n"/>
      <c r="J22" s="174" t="inlineStr">
        <is>
          <t>LIMS</t>
        </is>
      </c>
      <c r="K22" s="174" t="n"/>
      <c r="L22" s="174" t="inlineStr">
        <is>
          <t>数据</t>
        </is>
      </c>
      <c r="N22" s="165" t="inlineStr">
        <is>
          <t>无</t>
        </is>
      </c>
      <c r="O22" s="165" t="inlineStr">
        <is>
          <t>无</t>
        </is>
      </c>
      <c r="P22" s="165" t="inlineStr">
        <is>
          <t>无</t>
        </is>
      </c>
      <c r="Q22" s="165" t="inlineStr">
        <is>
          <t>无</t>
        </is>
      </c>
    </row>
    <row r="23">
      <c r="A23" s="217" t="n"/>
      <c r="B23" s="222" t="inlineStr">
        <is>
          <t>Blending Water</t>
        </is>
      </c>
      <c r="C23" s="61" t="inlineStr">
        <is>
          <t>DO</t>
        </is>
      </c>
      <c r="D23" s="174" t="inlineStr">
        <is>
          <t>DO</t>
        </is>
      </c>
      <c r="E23" s="69" t="inlineStr">
        <is>
          <t>ppb</t>
        </is>
      </c>
      <c r="F23" s="174" t="inlineStr">
        <is>
          <t>每天填一个数据</t>
        </is>
      </c>
      <c r="G23" s="61" t="n"/>
      <c r="H23" s="174" t="inlineStr">
        <is>
          <t>BR-75101</t>
        </is>
      </c>
      <c r="I23" s="175" t="inlineStr">
        <is>
          <t>稀释水DO_稀释水存储_酿造_清酒工序_脱氧水罐</t>
        </is>
      </c>
      <c r="J23" s="172" t="inlineStr">
        <is>
          <t>DF</t>
        </is>
      </c>
      <c r="K23" s="174" t="inlineStr">
        <is>
          <t>Y</t>
        </is>
      </c>
      <c r="L23" s="174" t="inlineStr">
        <is>
          <t>数据</t>
        </is>
      </c>
      <c r="N23" s="165" t="inlineStr">
        <is>
          <t>无</t>
        </is>
      </c>
      <c r="O23" s="165" t="inlineStr">
        <is>
          <t>无</t>
        </is>
      </c>
      <c r="P23" s="165" t="inlineStr">
        <is>
          <t>无</t>
        </is>
      </c>
      <c r="Q23" s="165" t="inlineStr">
        <is>
          <t>无</t>
        </is>
      </c>
    </row>
    <row r="24">
      <c r="A24" s="217" t="n"/>
      <c r="B24" s="218" t="n"/>
      <c r="C24" s="61" t="inlineStr">
        <is>
          <t>CO2</t>
        </is>
      </c>
      <c r="D24" s="174" t="inlineStr">
        <is>
          <t>CO2</t>
        </is>
      </c>
      <c r="E24" s="69" t="inlineStr">
        <is>
          <t>g/L</t>
        </is>
      </c>
      <c r="F24" s="174" t="inlineStr">
        <is>
          <t>每天填一个数据</t>
        </is>
      </c>
      <c r="G24" s="61" t="n"/>
      <c r="H24" s="174" t="inlineStr">
        <is>
          <t>BR-75102</t>
        </is>
      </c>
      <c r="I24" s="175" t="inlineStr">
        <is>
          <t>稀释水CO2_稀释水存储_酿造_清酒工序_脱氧水罐</t>
        </is>
      </c>
      <c r="J24" s="172" t="inlineStr">
        <is>
          <t>DF</t>
        </is>
      </c>
      <c r="K24" s="174" t="inlineStr">
        <is>
          <t>Y</t>
        </is>
      </c>
      <c r="L24" s="174" t="inlineStr">
        <is>
          <t>数据</t>
        </is>
      </c>
      <c r="N24" s="165" t="inlineStr">
        <is>
          <t>无</t>
        </is>
      </c>
      <c r="O24" s="165" t="inlineStr">
        <is>
          <t>无</t>
        </is>
      </c>
      <c r="P24" s="165" t="inlineStr">
        <is>
          <t>无</t>
        </is>
      </c>
      <c r="Q24" s="165" t="inlineStr">
        <is>
          <t>无</t>
        </is>
      </c>
    </row>
    <row r="25" ht="25.5" customHeight="1" s="241">
      <c r="A25" s="217" t="n"/>
      <c r="B25" s="222" t="inlineStr">
        <is>
          <t>CO2</t>
        </is>
      </c>
      <c r="C25" s="61" t="inlineStr">
        <is>
          <t>CO2 Recovery Pressure Daily Max</t>
        </is>
      </c>
      <c r="D25" s="61" t="inlineStr">
        <is>
          <t>CO2回收管道每天最高压力</t>
        </is>
      </c>
      <c r="E25" s="111" t="inlineStr">
        <is>
          <t>mBar</t>
        </is>
      </c>
      <c r="F25" s="61" t="inlineStr">
        <is>
          <t>见下一页说明</t>
        </is>
      </c>
      <c r="G25" s="61" t="n"/>
      <c r="H25" s="174" t="inlineStr">
        <is>
          <t>BR-55201</t>
        </is>
      </c>
      <c r="I25" s="175" t="inlineStr">
        <is>
          <t>CO2最高压力_发酵罐CO2回收_酿造_发酵_CO2回收系统</t>
        </is>
      </c>
      <c r="J25" s="174" t="inlineStr">
        <is>
          <t>DF</t>
        </is>
      </c>
      <c r="K25" s="174" t="inlineStr">
        <is>
          <t>Y</t>
        </is>
      </c>
      <c r="L25" s="174" t="inlineStr">
        <is>
          <t>数据</t>
        </is>
      </c>
      <c r="N25" s="165" t="inlineStr">
        <is>
          <t>无</t>
        </is>
      </c>
      <c r="O25" s="165" t="inlineStr">
        <is>
          <t>无</t>
        </is>
      </c>
      <c r="P25" s="165" t="inlineStr">
        <is>
          <t>无</t>
        </is>
      </c>
      <c r="Q25" s="165" t="inlineStr">
        <is>
          <t>无</t>
        </is>
      </c>
    </row>
    <row r="26" ht="25.5" customHeight="1" s="241">
      <c r="A26" s="217" t="n"/>
      <c r="B26" s="217" t="n"/>
      <c r="C26" s="61" t="inlineStr">
        <is>
          <t>Fermentor Back Pressure Daily Min</t>
        </is>
      </c>
      <c r="D26" s="61" t="inlineStr">
        <is>
          <t>CO2置压管道每天最低压力</t>
        </is>
      </c>
      <c r="E26" s="111" t="inlineStr">
        <is>
          <t>Bar</t>
        </is>
      </c>
      <c r="F26" s="61" t="inlineStr">
        <is>
          <t>见下一页说明</t>
        </is>
      </c>
      <c r="G26" s="61" t="n"/>
      <c r="H26" s="174" t="inlineStr">
        <is>
          <t>BR-55101</t>
        </is>
      </c>
      <c r="I26" s="175" t="inlineStr">
        <is>
          <t>CO2最低压力_发酵罐CO2供应_酿造_发酵_CO2供应系统</t>
        </is>
      </c>
      <c r="J26" s="174" t="inlineStr">
        <is>
          <t>DF</t>
        </is>
      </c>
      <c r="K26" s="174" t="n"/>
      <c r="L26" s="174" t="inlineStr">
        <is>
          <t>数据</t>
        </is>
      </c>
      <c r="N26" s="165" t="inlineStr">
        <is>
          <t>无</t>
        </is>
      </c>
      <c r="O26" s="165" t="inlineStr">
        <is>
          <t>无</t>
        </is>
      </c>
      <c r="P26" s="165" t="inlineStr">
        <is>
          <t>无</t>
        </is>
      </c>
      <c r="Q26" s="165" t="inlineStr">
        <is>
          <t>无</t>
        </is>
      </c>
    </row>
    <row r="27" ht="25.5" customHeight="1" s="241">
      <c r="A27" s="217" t="n"/>
      <c r="B27" s="217" t="n"/>
      <c r="C27" s="61" t="inlineStr">
        <is>
          <t>Fermentor Back Pressure Daily Max</t>
        </is>
      </c>
      <c r="D27" s="61" t="inlineStr">
        <is>
          <t>CO2置压管道每天最高压力</t>
        </is>
      </c>
      <c r="E27" s="111" t="inlineStr">
        <is>
          <t>Bar</t>
        </is>
      </c>
      <c r="F27" s="61" t="inlineStr">
        <is>
          <t>见下一页说明</t>
        </is>
      </c>
      <c r="G27" s="61" t="n"/>
      <c r="H27" s="174" t="inlineStr">
        <is>
          <t>BR-55102</t>
        </is>
      </c>
      <c r="I27" s="175" t="inlineStr">
        <is>
          <t>CO2最高压力_发酵罐CO2供应_酿造_发酵_CO2供应系统</t>
        </is>
      </c>
      <c r="J27" s="174" t="inlineStr">
        <is>
          <t>DF</t>
        </is>
      </c>
      <c r="K27" s="174" t="n"/>
      <c r="L27" s="174" t="inlineStr">
        <is>
          <t>数据</t>
        </is>
      </c>
      <c r="N27" s="165" t="inlineStr">
        <is>
          <t>无</t>
        </is>
      </c>
      <c r="O27" s="165" t="inlineStr">
        <is>
          <t>无</t>
        </is>
      </c>
      <c r="P27" s="165" t="inlineStr">
        <is>
          <t>无</t>
        </is>
      </c>
      <c r="Q27" s="165" t="inlineStr">
        <is>
          <t>无</t>
        </is>
      </c>
    </row>
    <row r="28" ht="25.5" customHeight="1" s="241">
      <c r="A28" s="217" t="n"/>
      <c r="B28" s="217" t="n"/>
      <c r="C28" s="61" t="inlineStr">
        <is>
          <t>BBT Blance Pressure Daily Min</t>
        </is>
      </c>
      <c r="D28" s="61" t="inlineStr">
        <is>
          <t>BBT平衡管道每天最低压力</t>
        </is>
      </c>
      <c r="E28" s="111" t="inlineStr">
        <is>
          <t>Bar</t>
        </is>
      </c>
      <c r="F28" s="61" t="inlineStr">
        <is>
          <t>见下一页说明</t>
        </is>
      </c>
      <c r="G28" s="174" t="n"/>
      <c r="H28" s="174" t="inlineStr">
        <is>
          <t>BR-75201</t>
        </is>
      </c>
      <c r="I28" s="175" t="inlineStr">
        <is>
          <t>CO2最低压力_清酒罐CO2供应_酿造_清酒工序_CO2平衡管道</t>
        </is>
      </c>
      <c r="J28" s="174" t="inlineStr">
        <is>
          <t>DF</t>
        </is>
      </c>
      <c r="K28" s="174" t="n"/>
      <c r="L28" s="174" t="inlineStr">
        <is>
          <t>数据</t>
        </is>
      </c>
      <c r="N28" s="165" t="inlineStr">
        <is>
          <t>无</t>
        </is>
      </c>
      <c r="O28" s="165" t="inlineStr">
        <is>
          <t>无</t>
        </is>
      </c>
      <c r="P28" s="165" t="inlineStr">
        <is>
          <t>无</t>
        </is>
      </c>
      <c r="Q28" s="165" t="inlineStr">
        <is>
          <t>无</t>
        </is>
      </c>
    </row>
    <row r="29" ht="25.5" customHeight="1" s="241">
      <c r="A29" s="217" t="n"/>
      <c r="B29" s="217" t="n"/>
      <c r="C29" s="61" t="inlineStr">
        <is>
          <t>BBT Blance Pressure Daily Max</t>
        </is>
      </c>
      <c r="D29" s="61" t="inlineStr">
        <is>
          <t>BBT平衡管道每天最高压力</t>
        </is>
      </c>
      <c r="E29" s="111" t="inlineStr">
        <is>
          <t>Bar</t>
        </is>
      </c>
      <c r="F29" s="61" t="inlineStr">
        <is>
          <t>见下一页说明</t>
        </is>
      </c>
      <c r="G29" s="61" t="n"/>
      <c r="H29" s="174" t="inlineStr">
        <is>
          <t>BR-75202</t>
        </is>
      </c>
      <c r="I29" s="175" t="inlineStr">
        <is>
          <t>CO2最高压力_清酒罐CO2供应_酿造_清酒工序_CO2平衡管道</t>
        </is>
      </c>
      <c r="J29" s="174" t="inlineStr">
        <is>
          <t>DF</t>
        </is>
      </c>
      <c r="K29" s="174" t="n"/>
      <c r="L29" s="174" t="inlineStr">
        <is>
          <t>数据</t>
        </is>
      </c>
      <c r="N29" s="165" t="inlineStr">
        <is>
          <t>无</t>
        </is>
      </c>
      <c r="O29" s="165" t="inlineStr">
        <is>
          <t>无</t>
        </is>
      </c>
      <c r="P29" s="165" t="inlineStr">
        <is>
          <t>无</t>
        </is>
      </c>
      <c r="Q29" s="165" t="inlineStr">
        <is>
          <t>无</t>
        </is>
      </c>
    </row>
    <row r="30" ht="25.5" customHeight="1" s="241">
      <c r="A30" s="217" t="n"/>
      <c r="B30" s="217" t="n"/>
      <c r="C30" s="61" t="inlineStr">
        <is>
          <t>CO2 Supply Purity</t>
        </is>
      </c>
      <c r="D30" s="61" t="inlineStr">
        <is>
          <t>供出CO2纯度</t>
        </is>
      </c>
      <c r="E30" s="69" t="inlineStr">
        <is>
          <t>%</t>
        </is>
      </c>
      <c r="F30" s="61" t="inlineStr">
        <is>
          <t>供稀释水的CO2纯度</t>
        </is>
      </c>
      <c r="G30" s="61" t="n"/>
      <c r="H30" s="174" t="n"/>
      <c r="I30" s="175" t="n"/>
      <c r="J30" s="177" t="inlineStr">
        <is>
          <t>DF-动力-TSM</t>
        </is>
      </c>
      <c r="K30" s="174" t="n"/>
      <c r="L30" s="174" t="inlineStr">
        <is>
          <t>数据</t>
        </is>
      </c>
      <c r="N30" s="165" t="inlineStr">
        <is>
          <t>无</t>
        </is>
      </c>
      <c r="O30" s="165" t="inlineStr">
        <is>
          <t>无</t>
        </is>
      </c>
      <c r="P30" s="165" t="inlineStr">
        <is>
          <t>无</t>
        </is>
      </c>
      <c r="Q30" s="165" t="inlineStr">
        <is>
          <t>无</t>
        </is>
      </c>
    </row>
    <row r="31" ht="25.5" customHeight="1" s="241">
      <c r="A31" s="218" t="n"/>
      <c r="B31" s="218" t="n"/>
      <c r="C31" s="61" t="inlineStr">
        <is>
          <t>CO2 Supply DO</t>
        </is>
      </c>
      <c r="D31" s="61" t="inlineStr">
        <is>
          <t>供出CO2
DO</t>
        </is>
      </c>
      <c r="E31" s="69" t="inlineStr">
        <is>
          <t>ppb</t>
        </is>
      </c>
      <c r="F31" s="61" t="inlineStr">
        <is>
          <t>供稀释水的CO2氧含量</t>
        </is>
      </c>
      <c r="G31" s="61" t="n"/>
      <c r="H31" s="174" t="n"/>
      <c r="I31" s="175" t="n"/>
      <c r="J31" s="177" t="inlineStr">
        <is>
          <t>DF-动力-TSM</t>
        </is>
      </c>
      <c r="K31" s="174" t="inlineStr">
        <is>
          <t>Y</t>
        </is>
      </c>
      <c r="L31" s="174" t="inlineStr">
        <is>
          <t>数据</t>
        </is>
      </c>
      <c r="N31" s="165" t="inlineStr">
        <is>
          <t>无</t>
        </is>
      </c>
      <c r="O31" s="165" t="inlineStr">
        <is>
          <t>无</t>
        </is>
      </c>
      <c r="P31" s="165" t="inlineStr">
        <is>
          <t>无</t>
        </is>
      </c>
      <c r="Q31" s="165" t="inlineStr">
        <is>
          <t>无</t>
        </is>
      </c>
    </row>
    <row r="32" ht="36.6" customHeight="1" s="241">
      <c r="A32" s="222" t="inlineStr">
        <is>
          <t>Raw Material</t>
        </is>
      </c>
      <c r="B32" s="222" t="inlineStr">
        <is>
          <t>Klining 
Malt</t>
        </is>
      </c>
      <c r="C32" s="61" t="inlineStr">
        <is>
          <t>Extract</t>
        </is>
      </c>
      <c r="D32" s="61" t="inlineStr">
        <is>
          <t>浸出率</t>
        </is>
      </c>
      <c r="E32" s="69" t="inlineStr">
        <is>
          <t>%</t>
        </is>
      </c>
      <c r="F32" s="61" t="n"/>
      <c r="G32" s="61" t="n"/>
      <c r="H32" s="174" t="inlineStr">
        <is>
          <t>SQA-001</t>
        </is>
      </c>
      <c r="I32" s="175" t="n"/>
      <c r="J32" s="174" t="inlineStr">
        <is>
          <t>LIMS</t>
        </is>
      </c>
      <c r="K32" s="174" t="n"/>
      <c r="L32" s="174" t="inlineStr">
        <is>
          <t>数据</t>
        </is>
      </c>
      <c r="N32" s="178" t="inlineStr">
        <is>
          <t>Specification
(AB X)</t>
        </is>
      </c>
      <c r="O32" s="165" t="inlineStr">
        <is>
          <t>Supplier</t>
        </is>
      </c>
    </row>
    <row r="33" ht="25.5" customHeight="1" s="241">
      <c r="A33" s="217" t="n"/>
      <c r="B33" s="217" t="n"/>
      <c r="C33" s="61" t="inlineStr">
        <is>
          <t>Protein</t>
        </is>
      </c>
      <c r="D33" s="61" t="inlineStr">
        <is>
          <t>蛋白</t>
        </is>
      </c>
      <c r="E33" s="69" t="inlineStr">
        <is>
          <t>%</t>
        </is>
      </c>
      <c r="F33" s="61" t="n"/>
      <c r="G33" s="61" t="n"/>
      <c r="H33" s="174" t="inlineStr">
        <is>
          <t>SQA-002</t>
        </is>
      </c>
      <c r="I33" s="175" t="n"/>
      <c r="J33" s="174" t="inlineStr">
        <is>
          <t>LIMS</t>
        </is>
      </c>
      <c r="K33" s="174" t="inlineStr">
        <is>
          <t>Y</t>
        </is>
      </c>
      <c r="L33" s="174" t="inlineStr">
        <is>
          <t>数据</t>
        </is>
      </c>
      <c r="N33" s="178" t="inlineStr">
        <is>
          <t>Specification
(AB X)</t>
        </is>
      </c>
      <c r="O33" s="165" t="inlineStr">
        <is>
          <t>Supplier</t>
        </is>
      </c>
    </row>
    <row r="34" ht="25.5" customHeight="1" s="241">
      <c r="A34" s="217" t="n"/>
      <c r="B34" s="217" t="n"/>
      <c r="C34" s="61" t="inlineStr">
        <is>
          <t>Kolbach</t>
        </is>
      </c>
      <c r="D34" s="61" t="inlineStr">
        <is>
          <t>库值</t>
        </is>
      </c>
      <c r="E34" s="70" t="inlineStr">
        <is>
          <t>%</t>
        </is>
      </c>
      <c r="F34" s="61" t="n"/>
      <c r="G34" s="61" t="n"/>
      <c r="H34" s="174" t="inlineStr">
        <is>
          <t>SQA-003</t>
        </is>
      </c>
      <c r="I34" s="175" t="n"/>
      <c r="J34" s="174" t="inlineStr">
        <is>
          <t>LIMS</t>
        </is>
      </c>
      <c r="K34" s="174" t="inlineStr">
        <is>
          <t>Y</t>
        </is>
      </c>
      <c r="L34" s="174" t="inlineStr">
        <is>
          <t>数据</t>
        </is>
      </c>
      <c r="N34" s="178" t="inlineStr">
        <is>
          <t>Specification
(AB X)</t>
        </is>
      </c>
      <c r="O34" s="165" t="inlineStr">
        <is>
          <t>Supplier</t>
        </is>
      </c>
    </row>
    <row r="35" ht="25.5" customHeight="1" s="241">
      <c r="A35" s="217" t="n"/>
      <c r="B35" s="217" t="n"/>
      <c r="C35" s="61" t="inlineStr">
        <is>
          <t>FAN</t>
        </is>
      </c>
      <c r="D35" s="61" t="inlineStr">
        <is>
          <t>氨基氮</t>
        </is>
      </c>
      <c r="E35" s="70" t="inlineStr">
        <is>
          <t>ppm</t>
        </is>
      </c>
      <c r="F35" s="61" t="n"/>
      <c r="G35" s="61" t="n"/>
      <c r="H35" s="174" t="inlineStr">
        <is>
          <t>SQA-004</t>
        </is>
      </c>
      <c r="I35" s="175" t="n"/>
      <c r="J35" s="174" t="inlineStr">
        <is>
          <t>LIMS</t>
        </is>
      </c>
      <c r="K35" s="174" t="inlineStr">
        <is>
          <t>Y</t>
        </is>
      </c>
      <c r="L35" s="174" t="inlineStr">
        <is>
          <t>整数</t>
        </is>
      </c>
      <c r="N35" s="178" t="inlineStr">
        <is>
          <t>Specification
(AB X)</t>
        </is>
      </c>
      <c r="O35" s="165" t="inlineStr">
        <is>
          <t>Supplier</t>
        </is>
      </c>
    </row>
    <row r="36" ht="25.5" customHeight="1" s="241">
      <c r="A36" s="217" t="n"/>
      <c r="B36" s="217" t="n"/>
      <c r="C36" s="61" t="inlineStr">
        <is>
          <t>DP</t>
        </is>
      </c>
      <c r="D36" s="61" t="inlineStr">
        <is>
          <t>糖化力</t>
        </is>
      </c>
      <c r="E36" s="70" t="inlineStr">
        <is>
          <t>ASBC</t>
        </is>
      </c>
      <c r="F36" s="61" t="inlineStr">
        <is>
          <t>统一以ASBC为单位</t>
        </is>
      </c>
      <c r="G36" s="61" t="n"/>
      <c r="H36" s="174" t="inlineStr">
        <is>
          <t>SQA-005</t>
        </is>
      </c>
      <c r="I36" s="175" t="n"/>
      <c r="J36" s="174" t="inlineStr">
        <is>
          <t>LIMS</t>
        </is>
      </c>
      <c r="K36" s="174" t="inlineStr">
        <is>
          <t>Y</t>
        </is>
      </c>
      <c r="L36" s="174" t="inlineStr">
        <is>
          <t>整数</t>
        </is>
      </c>
      <c r="N36" s="178" t="inlineStr">
        <is>
          <t>Specification
(AB X)</t>
        </is>
      </c>
      <c r="O36" s="165" t="inlineStr">
        <is>
          <t>Supplier</t>
        </is>
      </c>
    </row>
    <row r="37" ht="25.5" customHeight="1" s="241">
      <c r="A37" s="217" t="n"/>
      <c r="B37" s="217" t="n"/>
      <c r="C37" s="61" t="inlineStr">
        <is>
          <t>Color</t>
        </is>
      </c>
      <c r="D37" s="61" t="inlineStr">
        <is>
          <t>色度</t>
        </is>
      </c>
      <c r="E37" s="70" t="inlineStr">
        <is>
          <t>EBC</t>
        </is>
      </c>
      <c r="F37" s="61" t="n"/>
      <c r="G37" s="61" t="n"/>
      <c r="H37" s="174" t="inlineStr">
        <is>
          <t>SQA-006</t>
        </is>
      </c>
      <c r="I37" s="175" t="n"/>
      <c r="J37" s="174" t="inlineStr">
        <is>
          <t>LIMS</t>
        </is>
      </c>
      <c r="K37" s="174" t="inlineStr">
        <is>
          <t>Y</t>
        </is>
      </c>
      <c r="L37" s="174" t="inlineStr">
        <is>
          <t>数据</t>
        </is>
      </c>
      <c r="N37" s="178" t="inlineStr">
        <is>
          <t>Specification
(AB X)</t>
        </is>
      </c>
      <c r="O37" s="165" t="inlineStr">
        <is>
          <t>Supplier</t>
        </is>
      </c>
    </row>
    <row r="38" ht="25.5" customHeight="1" s="241">
      <c r="A38" s="217" t="n"/>
      <c r="B38" s="217" t="n"/>
      <c r="C38" s="61" t="inlineStr">
        <is>
          <t>Boiling color</t>
        </is>
      </c>
      <c r="D38" s="61" t="inlineStr">
        <is>
          <t>煮沸色度</t>
        </is>
      </c>
      <c r="E38" s="70" t="inlineStr">
        <is>
          <t>EBC</t>
        </is>
      </c>
      <c r="F38" s="61" t="n"/>
      <c r="G38" s="61" t="n"/>
      <c r="H38" s="174" t="inlineStr">
        <is>
          <t>SQA-007</t>
        </is>
      </c>
      <c r="I38" s="175" t="n"/>
      <c r="J38" s="174" t="inlineStr">
        <is>
          <t>LIMS</t>
        </is>
      </c>
      <c r="K38" s="174" t="inlineStr">
        <is>
          <t>Y</t>
        </is>
      </c>
      <c r="L38" s="174" t="inlineStr">
        <is>
          <t>数据</t>
        </is>
      </c>
      <c r="N38" s="178" t="inlineStr">
        <is>
          <t>Specification
(AB X)</t>
        </is>
      </c>
      <c r="O38" s="165" t="inlineStr">
        <is>
          <t>Supplier</t>
        </is>
      </c>
    </row>
    <row r="39" ht="25.5" customHeight="1" s="241">
      <c r="A39" s="217" t="n"/>
      <c r="B39" s="218" t="n"/>
      <c r="C39" s="61" t="inlineStr">
        <is>
          <t>B-Glucan</t>
        </is>
      </c>
      <c r="D39" s="61" t="inlineStr">
        <is>
          <t>B-葡聚糖</t>
        </is>
      </c>
      <c r="E39" s="70" t="inlineStr">
        <is>
          <t>ppm</t>
        </is>
      </c>
      <c r="F39" s="61" t="n"/>
      <c r="G39" s="61" t="n"/>
      <c r="H39" s="174" t="inlineStr">
        <is>
          <t>SQA-008</t>
        </is>
      </c>
      <c r="I39" s="175" t="n"/>
      <c r="J39" s="174" t="inlineStr">
        <is>
          <t>LIMS</t>
        </is>
      </c>
      <c r="K39" s="174" t="inlineStr">
        <is>
          <t>Y</t>
        </is>
      </c>
      <c r="L39" s="174" t="inlineStr">
        <is>
          <t>整数</t>
        </is>
      </c>
      <c r="N39" s="178" t="inlineStr">
        <is>
          <t>Specification
(AB X)</t>
        </is>
      </c>
      <c r="O39" s="165" t="inlineStr">
        <is>
          <t>Supplier</t>
        </is>
      </c>
    </row>
    <row r="40" ht="25.5" customHeight="1" s="241">
      <c r="A40" s="217" t="n"/>
      <c r="B40" s="222" t="inlineStr">
        <is>
          <t>Shipment Malt</t>
        </is>
      </c>
      <c r="C40" s="61" t="inlineStr">
        <is>
          <t>Extract</t>
        </is>
      </c>
      <c r="D40" s="61" t="inlineStr">
        <is>
          <t>浸出率</t>
        </is>
      </c>
      <c r="E40" s="69" t="inlineStr">
        <is>
          <t>%</t>
        </is>
      </c>
      <c r="F40" s="61" t="n"/>
      <c r="G40" s="61" t="n"/>
      <c r="H40" s="174" t="inlineStr">
        <is>
          <t>QA-00161</t>
        </is>
      </c>
      <c r="I40" s="175" t="inlineStr">
        <is>
          <t>细粉浸出物_麦芽_质量_质量实验室</t>
        </is>
      </c>
      <c r="J40" s="174" t="inlineStr">
        <is>
          <t>LIMS</t>
        </is>
      </c>
      <c r="K40" s="174" t="n"/>
      <c r="L40" s="174" t="inlineStr">
        <is>
          <t>数据</t>
        </is>
      </c>
      <c r="N40" s="178" t="inlineStr">
        <is>
          <t>Specification
(AB X)</t>
        </is>
      </c>
      <c r="O40" s="165" t="inlineStr">
        <is>
          <t>Supplier</t>
        </is>
      </c>
    </row>
    <row r="41" ht="25.5" customHeight="1" s="241">
      <c r="A41" s="217" t="n"/>
      <c r="B41" s="217" t="n"/>
      <c r="C41" s="61" t="inlineStr">
        <is>
          <t>Protein</t>
        </is>
      </c>
      <c r="D41" s="61" t="inlineStr">
        <is>
          <t>蛋白</t>
        </is>
      </c>
      <c r="E41" s="69" t="inlineStr">
        <is>
          <t>%</t>
        </is>
      </c>
      <c r="F41" s="61" t="n"/>
      <c r="G41" s="61" t="n"/>
      <c r="H41" s="174" t="inlineStr">
        <is>
          <t>QA-00170</t>
        </is>
      </c>
      <c r="I41" s="175" t="inlineStr">
        <is>
          <t>总蛋白质_麦芽_质量_质量实验室</t>
        </is>
      </c>
      <c r="J41" s="174" t="inlineStr">
        <is>
          <t>LIMS</t>
        </is>
      </c>
      <c r="K41" s="174" t="inlineStr">
        <is>
          <t>Y</t>
        </is>
      </c>
      <c r="L41" s="174" t="inlineStr">
        <is>
          <t>数据</t>
        </is>
      </c>
      <c r="N41" s="178" t="inlineStr">
        <is>
          <t>Specification
(AB X)</t>
        </is>
      </c>
      <c r="O41" s="165" t="inlineStr">
        <is>
          <t>Supplier</t>
        </is>
      </c>
    </row>
    <row r="42" ht="25.5" customHeight="1" s="241">
      <c r="A42" s="217" t="n"/>
      <c r="B42" s="217" t="n"/>
      <c r="C42" s="61" t="inlineStr">
        <is>
          <t>Kolbach</t>
        </is>
      </c>
      <c r="D42" s="61" t="inlineStr">
        <is>
          <t>库值</t>
        </is>
      </c>
      <c r="E42" s="70" t="inlineStr">
        <is>
          <t>%</t>
        </is>
      </c>
      <c r="F42" s="61" t="n"/>
      <c r="G42" s="61" t="n"/>
      <c r="H42" s="174" t="inlineStr">
        <is>
          <t>QA-00172</t>
        </is>
      </c>
      <c r="I42" s="175" t="inlineStr">
        <is>
          <t>库值_麦芽_质量_质量实验室</t>
        </is>
      </c>
      <c r="J42" s="174" t="inlineStr">
        <is>
          <t>LIMS</t>
        </is>
      </c>
      <c r="K42" s="174" t="inlineStr">
        <is>
          <t>Y</t>
        </is>
      </c>
      <c r="L42" s="174" t="inlineStr">
        <is>
          <t>数据</t>
        </is>
      </c>
      <c r="N42" s="178" t="inlineStr">
        <is>
          <t>Specification
(AB X)</t>
        </is>
      </c>
      <c r="O42" s="165" t="inlineStr">
        <is>
          <t>Supplier</t>
        </is>
      </c>
    </row>
    <row r="43" ht="25.5" customHeight="1" s="241">
      <c r="A43" s="217" t="n"/>
      <c r="B43" s="217" t="n"/>
      <c r="C43" s="61" t="inlineStr">
        <is>
          <t>FAN</t>
        </is>
      </c>
      <c r="D43" s="61" t="inlineStr">
        <is>
          <t>氨基氮</t>
        </is>
      </c>
      <c r="E43" s="70" t="inlineStr">
        <is>
          <t>ppm</t>
        </is>
      </c>
      <c r="F43" s="61" t="n"/>
      <c r="G43" s="61" t="n"/>
      <c r="H43" s="174" t="inlineStr">
        <is>
          <t>QA-00167</t>
        </is>
      </c>
      <c r="I43" s="175" t="inlineStr">
        <is>
          <t>α氨基酸_麦芽_质量_质量实验室</t>
        </is>
      </c>
      <c r="J43" s="174" t="inlineStr">
        <is>
          <t>LIMS</t>
        </is>
      </c>
      <c r="K43" s="174" t="inlineStr">
        <is>
          <t>Y</t>
        </is>
      </c>
      <c r="L43" s="174" t="inlineStr">
        <is>
          <t>整数</t>
        </is>
      </c>
      <c r="N43" s="178" t="inlineStr">
        <is>
          <t>Specification
(AB X)</t>
        </is>
      </c>
      <c r="O43" s="165" t="inlineStr">
        <is>
          <t>Supplier</t>
        </is>
      </c>
    </row>
    <row r="44" ht="25.5" customHeight="1" s="241">
      <c r="A44" s="217" t="n"/>
      <c r="B44" s="217" t="n"/>
      <c r="C44" s="61" t="inlineStr">
        <is>
          <t>DP</t>
        </is>
      </c>
      <c r="D44" s="61" t="inlineStr">
        <is>
          <t>糖化力</t>
        </is>
      </c>
      <c r="E44" s="70" t="inlineStr">
        <is>
          <t>ASBC</t>
        </is>
      </c>
      <c r="F44" s="61" t="inlineStr">
        <is>
          <t>统一以ASBC为单位</t>
        </is>
      </c>
      <c r="G44" s="61" t="n"/>
      <c r="H44" s="174" t="inlineStr">
        <is>
          <t>QA-00168</t>
        </is>
      </c>
      <c r="I44" s="175" t="inlineStr">
        <is>
          <t>糖化力_麦芽_质量_质量实验室</t>
        </is>
      </c>
      <c r="J44" s="174" t="inlineStr">
        <is>
          <t>LIMS</t>
        </is>
      </c>
      <c r="K44" s="174" t="inlineStr">
        <is>
          <t>Y</t>
        </is>
      </c>
      <c r="L44" s="174" t="inlineStr">
        <is>
          <t>整数</t>
        </is>
      </c>
      <c r="N44" s="178" t="inlineStr">
        <is>
          <t>Specification
(AB X)</t>
        </is>
      </c>
      <c r="O44" s="165" t="inlineStr">
        <is>
          <t>Supplier</t>
        </is>
      </c>
    </row>
    <row r="45" ht="25.5" customHeight="1" s="241">
      <c r="A45" s="217" t="n"/>
      <c r="B45" s="217" t="n"/>
      <c r="C45" s="61" t="inlineStr">
        <is>
          <t>Color</t>
        </is>
      </c>
      <c r="D45" s="61" t="inlineStr">
        <is>
          <t>色度</t>
        </is>
      </c>
      <c r="E45" s="70" t="inlineStr">
        <is>
          <t>EBC</t>
        </is>
      </c>
      <c r="F45" s="61" t="n"/>
      <c r="G45" s="61" t="n"/>
      <c r="H45" s="174" t="inlineStr">
        <is>
          <t>QA-00164</t>
        </is>
      </c>
      <c r="I45" s="175" t="inlineStr">
        <is>
          <t>色度_麦芽_质量_质量实验室</t>
        </is>
      </c>
      <c r="J45" s="174" t="inlineStr">
        <is>
          <t>LIMS</t>
        </is>
      </c>
      <c r="K45" s="174" t="inlineStr">
        <is>
          <t>Y</t>
        </is>
      </c>
      <c r="L45" s="174" t="inlineStr">
        <is>
          <t>数据</t>
        </is>
      </c>
      <c r="N45" s="178" t="inlineStr">
        <is>
          <t>Specification
(AB X)</t>
        </is>
      </c>
      <c r="O45" s="165" t="inlineStr">
        <is>
          <t>Supplier</t>
        </is>
      </c>
    </row>
    <row r="46" ht="25.5" customHeight="1" s="241">
      <c r="A46" s="217" t="n"/>
      <c r="B46" s="217" t="n"/>
      <c r="C46" s="61" t="inlineStr">
        <is>
          <t>Boiling color</t>
        </is>
      </c>
      <c r="D46" s="61" t="inlineStr">
        <is>
          <t>煮沸色度</t>
        </is>
      </c>
      <c r="E46" s="70" t="inlineStr">
        <is>
          <t>EBC</t>
        </is>
      </c>
      <c r="F46" s="61" t="n"/>
      <c r="G46" s="61" t="n"/>
      <c r="H46" s="174" t="inlineStr">
        <is>
          <t>QA-00165</t>
        </is>
      </c>
      <c r="I46" s="175" t="inlineStr">
        <is>
          <t>煮沸色度_麦芽_质量_质量实验室</t>
        </is>
      </c>
      <c r="J46" s="174" t="inlineStr">
        <is>
          <t>LIMS</t>
        </is>
      </c>
      <c r="K46" s="174" t="inlineStr">
        <is>
          <t>Y</t>
        </is>
      </c>
      <c r="L46" s="174" t="inlineStr">
        <is>
          <t>数据</t>
        </is>
      </c>
      <c r="N46" s="178" t="inlineStr">
        <is>
          <t>Specification
(AB X)</t>
        </is>
      </c>
      <c r="O46" s="165" t="inlineStr">
        <is>
          <t>Supplier</t>
        </is>
      </c>
    </row>
    <row r="47" ht="25.5" customHeight="1" s="241">
      <c r="A47" s="218" t="n"/>
      <c r="B47" s="218" t="n"/>
      <c r="C47" s="61" t="inlineStr">
        <is>
          <t>B-Glucan</t>
        </is>
      </c>
      <c r="D47" s="61" t="inlineStr">
        <is>
          <t>B-葡聚糖</t>
        </is>
      </c>
      <c r="E47" s="70" t="inlineStr">
        <is>
          <t>ppm</t>
        </is>
      </c>
      <c r="F47" s="61" t="n"/>
      <c r="G47" s="61" t="n"/>
      <c r="H47" s="174" t="inlineStr">
        <is>
          <t>QA-00169</t>
        </is>
      </c>
      <c r="I47" s="175" t="inlineStr">
        <is>
          <t>β葡聚糖_麦芽_质量_质量实验室</t>
        </is>
      </c>
      <c r="J47" s="174" t="inlineStr">
        <is>
          <t>LIMS</t>
        </is>
      </c>
      <c r="K47" s="174" t="inlineStr">
        <is>
          <t>Y</t>
        </is>
      </c>
      <c r="L47" s="174" t="inlineStr">
        <is>
          <t>整数</t>
        </is>
      </c>
      <c r="N47" s="178" t="inlineStr">
        <is>
          <t>Specification
(AB X)</t>
        </is>
      </c>
      <c r="O47" s="165" t="inlineStr">
        <is>
          <t>Supplier</t>
        </is>
      </c>
    </row>
    <row r="48" ht="24" customHeight="1" s="241">
      <c r="A48" s="222" t="inlineStr">
        <is>
          <t>Brewhouse</t>
        </is>
      </c>
      <c r="B48" s="222" t="inlineStr">
        <is>
          <t>Adjunct Cooker</t>
        </is>
      </c>
      <c r="C48" s="61" t="inlineStr">
        <is>
          <t>Malt Ratio</t>
        </is>
      </c>
      <c r="D48" s="174" t="inlineStr">
        <is>
          <t>麦芽分料比例</t>
        </is>
      </c>
      <c r="E48" s="111" t="inlineStr">
        <is>
          <t>%</t>
        </is>
      </c>
      <c r="F48" s="174" t="n"/>
      <c r="G48" s="61" t="n"/>
      <c r="H48" s="179" t="inlineStr">
        <is>
          <t>BR-20432</t>
        </is>
      </c>
      <c r="I48" s="180" t="inlineStr">
        <is>
          <t>工艺比例_麦芽分料_酿造_糖化_糊化锅</t>
        </is>
      </c>
      <c r="J48" s="179" t="inlineStr">
        <is>
          <t>DF</t>
        </is>
      </c>
      <c r="K48" s="174" t="inlineStr">
        <is>
          <t>Y</t>
        </is>
      </c>
      <c r="L48" s="174" t="inlineStr">
        <is>
          <t>数据</t>
        </is>
      </c>
      <c r="N48" s="165" t="inlineStr">
        <is>
          <t>Brand</t>
        </is>
      </c>
      <c r="O48" s="165" t="inlineStr">
        <is>
          <t>OG</t>
        </is>
      </c>
      <c r="P48" s="165" t="inlineStr">
        <is>
          <t>BH Line</t>
        </is>
      </c>
    </row>
    <row r="49" ht="24" customHeight="1" s="241">
      <c r="A49" s="217" t="n"/>
      <c r="B49" s="217" t="n"/>
      <c r="C49" s="61" t="inlineStr">
        <is>
          <t xml:space="preserve">Mash-In Time </t>
        </is>
      </c>
      <c r="D49" s="174" t="inlineStr">
        <is>
          <t>糊化锅投料时间</t>
        </is>
      </c>
      <c r="E49" s="69" t="inlineStr">
        <is>
          <t>min</t>
        </is>
      </c>
      <c r="F49" s="174" t="inlineStr">
        <is>
          <t>含顶水</t>
        </is>
      </c>
      <c r="G49" s="61" t="n"/>
      <c r="H49" s="179" t="inlineStr">
        <is>
          <t>BR-20431</t>
        </is>
      </c>
      <c r="I49" s="175" t="inlineStr">
        <is>
          <t>工艺步骤时间段_进醪液_酿造_糖化_糊化锅</t>
        </is>
      </c>
      <c r="J49" s="179" t="inlineStr">
        <is>
          <t>DF</t>
        </is>
      </c>
      <c r="K49" s="174" t="n"/>
      <c r="L49" s="174" t="inlineStr">
        <is>
          <t>整数</t>
        </is>
      </c>
      <c r="N49" s="165" t="inlineStr">
        <is>
          <t>Brand</t>
        </is>
      </c>
      <c r="O49" s="165" t="inlineStr">
        <is>
          <t>OG</t>
        </is>
      </c>
      <c r="P49" s="165" t="inlineStr">
        <is>
          <t>BH Line</t>
        </is>
      </c>
    </row>
    <row r="50" ht="25.5" customHeight="1" s="241">
      <c r="A50" s="217" t="n"/>
      <c r="B50" s="217" t="n"/>
      <c r="C50" s="61" t="inlineStr">
        <is>
          <t>Grist/Water 
Ratio</t>
        </is>
      </c>
      <c r="D50" s="174" t="inlineStr">
        <is>
          <t>糊化锅料水比</t>
        </is>
      </c>
      <c r="E50" s="111" t="n"/>
      <c r="F50" s="174" t="inlineStr">
        <is>
          <t>含分料部分</t>
        </is>
      </c>
      <c r="G50" s="61" t="n"/>
      <c r="H50" s="179" t="inlineStr">
        <is>
          <t>BR-20439</t>
        </is>
      </c>
      <c r="I50" s="180" t="inlineStr">
        <is>
          <t>物料和水比值_进醪液_酿造_糖化_糊化锅</t>
        </is>
      </c>
      <c r="J50" s="179" t="inlineStr">
        <is>
          <t>DF</t>
        </is>
      </c>
      <c r="K50" s="174" t="n"/>
      <c r="L50" s="174" t="inlineStr">
        <is>
          <t>数据</t>
        </is>
      </c>
      <c r="N50" s="165" t="inlineStr">
        <is>
          <t>Brand</t>
        </is>
      </c>
      <c r="O50" s="165" t="inlineStr">
        <is>
          <t>OG</t>
        </is>
      </c>
      <c r="P50" s="165" t="inlineStr">
        <is>
          <t>BH Line</t>
        </is>
      </c>
    </row>
    <row r="51" ht="24" customHeight="1" s="241">
      <c r="A51" s="217" t="n"/>
      <c r="B51" s="217" t="n"/>
      <c r="C51" s="61" t="inlineStr">
        <is>
          <t>Gel Temp</t>
        </is>
      </c>
      <c r="D51" s="174" t="inlineStr">
        <is>
          <t>凝胶休止温度</t>
        </is>
      </c>
      <c r="E51" s="69" t="inlineStr">
        <is>
          <t>°C</t>
        </is>
      </c>
      <c r="F51" s="174" t="inlineStr">
        <is>
          <t>见下一页说明</t>
        </is>
      </c>
      <c r="G51" s="61" t="n"/>
      <c r="H51" s="179" t="inlineStr">
        <is>
          <t>BR-20401</t>
        </is>
      </c>
      <c r="I51" s="180" t="inlineStr">
        <is>
          <t>糊化醪3min温度_凝胶休止1_酿造_糖化_糊化锅</t>
        </is>
      </c>
      <c r="J51" s="179" t="inlineStr">
        <is>
          <t>DF</t>
        </is>
      </c>
      <c r="K51" s="174" t="inlineStr">
        <is>
          <t>Y</t>
        </is>
      </c>
      <c r="L51" s="174" t="inlineStr">
        <is>
          <t>数据</t>
        </is>
      </c>
      <c r="N51" s="165" t="inlineStr">
        <is>
          <t>Brand</t>
        </is>
      </c>
      <c r="O51" s="165" t="inlineStr">
        <is>
          <t>OG</t>
        </is>
      </c>
      <c r="P51" s="165" t="inlineStr">
        <is>
          <t>BH Line</t>
        </is>
      </c>
    </row>
    <row r="52" ht="24" customHeight="1" s="241">
      <c r="A52" s="217" t="n"/>
      <c r="B52" s="217" t="n"/>
      <c r="C52" s="61" t="inlineStr">
        <is>
          <t>Gel Time</t>
        </is>
      </c>
      <c r="D52" s="174" t="inlineStr">
        <is>
          <t>凝胶休止时间</t>
        </is>
      </c>
      <c r="E52" s="69" t="inlineStr">
        <is>
          <t>min</t>
        </is>
      </c>
      <c r="F52" s="174" t="n"/>
      <c r="G52" s="61" t="n"/>
      <c r="H52" s="179" t="inlineStr">
        <is>
          <t>BR-20400</t>
        </is>
      </c>
      <c r="I52" s="180" t="inlineStr">
        <is>
          <t>工艺步骤时间段_凝胶休止1_酿造_糖化_糊化锅</t>
        </is>
      </c>
      <c r="J52" s="179" t="inlineStr">
        <is>
          <t>DF</t>
        </is>
      </c>
      <c r="K52" s="174" t="n"/>
      <c r="L52" s="174" t="inlineStr">
        <is>
          <t>整数</t>
        </is>
      </c>
      <c r="N52" s="165" t="inlineStr">
        <is>
          <t>Brand</t>
        </is>
      </c>
      <c r="O52" s="165" t="inlineStr">
        <is>
          <t>OG</t>
        </is>
      </c>
      <c r="P52" s="165" t="inlineStr">
        <is>
          <t>BH Line</t>
        </is>
      </c>
    </row>
    <row r="53" ht="25.5" customHeight="1" s="241">
      <c r="A53" s="217" t="n"/>
      <c r="B53" s="217" t="n"/>
      <c r="C53" s="61" t="inlineStr">
        <is>
          <t>Highest
Steam Pressue</t>
        </is>
      </c>
      <c r="D53" s="174" t="inlineStr">
        <is>
          <t>糊化锅蒸汽最高压力</t>
        </is>
      </c>
      <c r="E53" s="69" t="inlineStr">
        <is>
          <t>Bar</t>
        </is>
      </c>
      <c r="F53" s="174" t="inlineStr">
        <is>
          <t>见下一页说明</t>
        </is>
      </c>
      <c r="G53" s="61" t="n"/>
      <c r="H53" s="174" t="inlineStr">
        <is>
          <t>BR-20430</t>
        </is>
      </c>
      <c r="I53" s="175" t="inlineStr">
        <is>
          <t>蒸汽最高压力_糊化_酿造_糖化_糊化锅</t>
        </is>
      </c>
      <c r="J53" s="174" t="inlineStr">
        <is>
          <t>DF</t>
        </is>
      </c>
      <c r="K53" s="174" t="inlineStr">
        <is>
          <t>Y</t>
        </is>
      </c>
      <c r="L53" s="174" t="inlineStr">
        <is>
          <t>数据</t>
        </is>
      </c>
      <c r="N53" s="165" t="inlineStr">
        <is>
          <t>Brand</t>
        </is>
      </c>
      <c r="O53" s="165" t="inlineStr">
        <is>
          <t>OG</t>
        </is>
      </c>
      <c r="P53" s="165" t="inlineStr">
        <is>
          <t>BH Line</t>
        </is>
      </c>
    </row>
    <row r="54">
      <c r="A54" s="217" t="n"/>
      <c r="B54" s="217" t="n"/>
      <c r="C54" s="61" t="inlineStr">
        <is>
          <t>Boiling Time</t>
        </is>
      </c>
      <c r="D54" s="174" t="inlineStr">
        <is>
          <t>糊化锅煮沸时间</t>
        </is>
      </c>
      <c r="E54" s="70" t="inlineStr">
        <is>
          <t>min</t>
        </is>
      </c>
      <c r="F54" s="174" t="n"/>
      <c r="G54" s="61" t="n"/>
      <c r="H54" s="174" t="n"/>
      <c r="I54" s="180" t="n"/>
      <c r="J54" s="174" t="inlineStr">
        <is>
          <t>DF</t>
        </is>
      </c>
      <c r="K54" s="174" t="n"/>
      <c r="L54" s="174" t="inlineStr">
        <is>
          <t>整数</t>
        </is>
      </c>
      <c r="N54" s="165" t="inlineStr">
        <is>
          <t>Brand</t>
        </is>
      </c>
      <c r="O54" s="165" t="inlineStr">
        <is>
          <t>OG</t>
        </is>
      </c>
      <c r="P54" s="165" t="inlineStr">
        <is>
          <t>BH Line</t>
        </is>
      </c>
    </row>
    <row r="55" ht="18" customHeight="1" s="241">
      <c r="A55" s="217" t="n"/>
      <c r="B55" s="217" t="n"/>
      <c r="C55" s="61" t="inlineStr">
        <is>
          <t>Highest Temp</t>
        </is>
      </c>
      <c r="D55" s="174" t="inlineStr">
        <is>
          <t>糊化锅煮沸最高温度</t>
        </is>
      </c>
      <c r="E55" s="69" t="inlineStr">
        <is>
          <t>°C</t>
        </is>
      </c>
      <c r="F55" s="174" t="inlineStr">
        <is>
          <t>见下一页说明</t>
        </is>
      </c>
      <c r="G55" s="61" t="n"/>
      <c r="H55" s="174" t="inlineStr">
        <is>
          <t>BR-20436</t>
        </is>
      </c>
      <c r="I55" s="180">
        <f>IF(ISNUMBER(FIND("CIP",I49)),I58&amp;I59&amp;"_"&amp;I49&amp;I50&amp;"_"&amp;_xlfn.TEXTJOIN("_",TRUE,I62:I65),IF(AND(ISBLANK(I50),ISBLANK(I49)),I58&amp;I59&amp;"_"&amp;I48&amp;"_"&amp;_xlfn.TEXTJOIN("_",TRUE,I62:I65),IF(AND(ISBLANK(I50),I49&lt;&gt;0),I58&amp;I59&amp;"_"&amp;I49&amp;"_"&amp;_xlfn.TEXTJOIN("_",TRUE,I62:I65),I58&amp;I59&amp;"_"&amp;I50&amp;"_"&amp;_xlfn.TEXTJOIN("_",TRUE,I62:I65))))</f>
        <v/>
      </c>
      <c r="J55" s="174" t="inlineStr">
        <is>
          <t>DF</t>
        </is>
      </c>
      <c r="K55" s="174" t="inlineStr">
        <is>
          <t>Y</t>
        </is>
      </c>
      <c r="L55" s="174" t="inlineStr">
        <is>
          <t>数据</t>
        </is>
      </c>
      <c r="N55" s="165" t="inlineStr">
        <is>
          <t>Brand</t>
        </is>
      </c>
      <c r="O55" s="165" t="inlineStr">
        <is>
          <t>OG</t>
        </is>
      </c>
      <c r="P55" s="165" t="inlineStr">
        <is>
          <t>BH Line</t>
        </is>
      </c>
    </row>
    <row r="56" ht="25.5" customHeight="1" s="241">
      <c r="A56" s="217" t="n"/>
      <c r="B56" s="218" t="n"/>
      <c r="C56" s="61" t="inlineStr">
        <is>
          <t>Cycle Duration</t>
        </is>
      </c>
      <c r="D56" s="174" t="inlineStr">
        <is>
          <t>糊化锅周期</t>
        </is>
      </c>
      <c r="E56" s="70" t="inlineStr">
        <is>
          <t>min</t>
        </is>
      </c>
      <c r="F56" s="174" t="n"/>
      <c r="G56" s="181" t="inlineStr">
        <is>
          <t>Adjunct Cooker Cycle Duration</t>
        </is>
      </c>
      <c r="H56" s="174" t="inlineStr">
        <is>
          <t>BR-20373</t>
        </is>
      </c>
      <c r="I56" s="175" t="inlineStr">
        <is>
          <t>生产运行时间段_糊化_酿造_糖化_糊化锅</t>
        </is>
      </c>
      <c r="J56" s="174" t="inlineStr">
        <is>
          <t>DF</t>
        </is>
      </c>
      <c r="K56" s="174" t="inlineStr">
        <is>
          <t>Y</t>
        </is>
      </c>
      <c r="L56" s="174" t="inlineStr">
        <is>
          <t>整数</t>
        </is>
      </c>
      <c r="N56" s="165" t="inlineStr">
        <is>
          <t>Brand</t>
        </is>
      </c>
      <c r="O56" s="165" t="inlineStr">
        <is>
          <t>OG</t>
        </is>
      </c>
      <c r="P56" s="165" t="inlineStr">
        <is>
          <t>BH Line</t>
        </is>
      </c>
    </row>
    <row r="57">
      <c r="A57" s="217" t="n"/>
      <c r="B57" s="224" t="inlineStr">
        <is>
          <t>Mash Tun</t>
        </is>
      </c>
      <c r="C57" s="61" t="inlineStr">
        <is>
          <t>Mash-In Time</t>
        </is>
      </c>
      <c r="D57" s="174" t="inlineStr">
        <is>
          <t>糖化锅投料时间</t>
        </is>
      </c>
      <c r="E57" s="69" t="inlineStr">
        <is>
          <t>min</t>
        </is>
      </c>
      <c r="F57" s="174" t="inlineStr">
        <is>
          <t>含顶水</t>
        </is>
      </c>
      <c r="G57" s="61" t="n"/>
      <c r="H57" s="174" t="inlineStr">
        <is>
          <t>BR-20548</t>
        </is>
      </c>
      <c r="I57" s="175" t="inlineStr">
        <is>
          <t>工艺步骤时间段_进醪液_酿造_糖化_糖化锅</t>
        </is>
      </c>
      <c r="J57" s="174" t="inlineStr">
        <is>
          <t>DF</t>
        </is>
      </c>
      <c r="K57" s="174" t="inlineStr">
        <is>
          <t>Y</t>
        </is>
      </c>
      <c r="L57" s="174" t="inlineStr">
        <is>
          <t>整数</t>
        </is>
      </c>
      <c r="N57" s="165" t="inlineStr">
        <is>
          <t>Brand</t>
        </is>
      </c>
      <c r="O57" s="165" t="inlineStr">
        <is>
          <t>OG</t>
        </is>
      </c>
      <c r="P57" s="165" t="inlineStr">
        <is>
          <t>BH Line</t>
        </is>
      </c>
    </row>
    <row r="58" ht="25.5" customHeight="1" s="241">
      <c r="A58" s="217" t="n"/>
      <c r="B58" s="217" t="n"/>
      <c r="C58" s="61" t="inlineStr">
        <is>
          <t xml:space="preserve">Mash-In End Temp </t>
        </is>
      </c>
      <c r="D58" s="174" t="inlineStr">
        <is>
          <t>糖化锅投料结束温度</t>
        </is>
      </c>
      <c r="E58" s="69" t="inlineStr">
        <is>
          <t>°C</t>
        </is>
      </c>
      <c r="F58" s="174" t="inlineStr">
        <is>
          <t>顶水结束</t>
        </is>
      </c>
      <c r="G58" s="60" t="inlineStr">
        <is>
          <t>Mash-In Temperature Malt</t>
        </is>
      </c>
      <c r="H58" s="174" t="inlineStr">
        <is>
          <t>BR-20482</t>
        </is>
      </c>
      <c r="I58" s="175" t="inlineStr">
        <is>
          <t>糖化醪温度_进醪液结束_酿造_糖化_糖化锅</t>
        </is>
      </c>
      <c r="J58" s="174" t="inlineStr">
        <is>
          <t>DF</t>
        </is>
      </c>
      <c r="K58" s="174" t="inlineStr">
        <is>
          <t>Y</t>
        </is>
      </c>
      <c r="L58" s="174" t="inlineStr">
        <is>
          <t>数据</t>
        </is>
      </c>
      <c r="N58" s="165" t="inlineStr">
        <is>
          <t>Brand</t>
        </is>
      </c>
      <c r="O58" s="165" t="inlineStr">
        <is>
          <t>OG</t>
        </is>
      </c>
      <c r="P58" s="165" t="inlineStr">
        <is>
          <t>BH Line</t>
        </is>
      </c>
    </row>
    <row r="59" ht="25.5" customHeight="1" s="241">
      <c r="A59" s="217" t="n"/>
      <c r="B59" s="217" t="n"/>
      <c r="C59" s="61" t="inlineStr">
        <is>
          <t>Grist/Water 
Ratio</t>
        </is>
      </c>
      <c r="D59" s="174" t="inlineStr">
        <is>
          <t>糖化锅料水比</t>
        </is>
      </c>
      <c r="E59" s="69" t="n"/>
      <c r="F59" s="174" t="inlineStr">
        <is>
          <t>扣除分料部分</t>
        </is>
      </c>
      <c r="G59" s="61" t="n"/>
      <c r="H59" s="61" t="inlineStr">
        <is>
          <t>BR-20554</t>
        </is>
      </c>
      <c r="I59" s="175" t="inlineStr">
        <is>
          <t>物料和料水比值_进醪液_酿造_糖化_糖化锅</t>
        </is>
      </c>
      <c r="J59" s="61" t="inlineStr">
        <is>
          <t>DF</t>
        </is>
      </c>
      <c r="K59" s="174" t="n"/>
      <c r="L59" s="174" t="inlineStr">
        <is>
          <t>数据</t>
        </is>
      </c>
      <c r="N59" s="165" t="inlineStr">
        <is>
          <t>Brand</t>
        </is>
      </c>
      <c r="O59" s="165" t="inlineStr">
        <is>
          <t>OG</t>
        </is>
      </c>
      <c r="P59" s="165" t="inlineStr">
        <is>
          <t>BH Line</t>
        </is>
      </c>
    </row>
    <row r="60">
      <c r="A60" s="217" t="n"/>
      <c r="B60" s="217" t="n"/>
      <c r="C60" s="61" t="inlineStr">
        <is>
          <t>Protein Rest Temp</t>
        </is>
      </c>
      <c r="D60" s="174" t="inlineStr">
        <is>
          <t>蛋白休止温度</t>
        </is>
      </c>
      <c r="E60" s="69" t="inlineStr">
        <is>
          <t>°C</t>
        </is>
      </c>
      <c r="F60" s="174" t="inlineStr">
        <is>
          <t>见下一页说明</t>
        </is>
      </c>
      <c r="G60" s="61" t="n"/>
      <c r="H60" s="174" t="inlineStr">
        <is>
          <t>BR-20489</t>
        </is>
      </c>
      <c r="I60" s="175" t="inlineStr">
        <is>
          <t>糖化醪5min温度_蛋白休止1_酿造_糖化_糖化锅</t>
        </is>
      </c>
      <c r="J60" s="174" t="inlineStr">
        <is>
          <t>DF</t>
        </is>
      </c>
      <c r="K60" s="174" t="inlineStr">
        <is>
          <t>Y</t>
        </is>
      </c>
      <c r="L60" s="174" t="inlineStr">
        <is>
          <t>数据</t>
        </is>
      </c>
      <c r="N60" s="165" t="inlineStr">
        <is>
          <t>Brand</t>
        </is>
      </c>
      <c r="O60" s="165" t="inlineStr">
        <is>
          <t>OG</t>
        </is>
      </c>
      <c r="P60" s="165" t="inlineStr">
        <is>
          <t>BH Line</t>
        </is>
      </c>
    </row>
    <row r="61">
      <c r="A61" s="217" t="n"/>
      <c r="B61" s="217" t="n"/>
      <c r="C61" s="61" t="inlineStr">
        <is>
          <t>Protein Rest Time</t>
        </is>
      </c>
      <c r="D61" s="174" t="inlineStr">
        <is>
          <t>蛋白休止时间</t>
        </is>
      </c>
      <c r="E61" s="69" t="inlineStr">
        <is>
          <t>min</t>
        </is>
      </c>
      <c r="F61" s="174" t="n"/>
      <c r="G61" s="61" t="n"/>
      <c r="H61" s="174" t="inlineStr">
        <is>
          <t>BR-20488</t>
        </is>
      </c>
      <c r="I61" s="175" t="inlineStr">
        <is>
          <t>工艺步骤时间段_蛋白休止1_酿造_糖化_糖化锅</t>
        </is>
      </c>
      <c r="J61" s="174" t="inlineStr">
        <is>
          <t>DF</t>
        </is>
      </c>
      <c r="K61" s="174" t="inlineStr">
        <is>
          <t>Y</t>
        </is>
      </c>
      <c r="L61" s="174" t="inlineStr">
        <is>
          <t>整数</t>
        </is>
      </c>
      <c r="N61" s="165" t="inlineStr">
        <is>
          <t>Brand</t>
        </is>
      </c>
      <c r="O61" s="165" t="inlineStr">
        <is>
          <t>OG</t>
        </is>
      </c>
      <c r="P61" s="165" t="inlineStr">
        <is>
          <t>BH Line</t>
        </is>
      </c>
    </row>
    <row r="62" ht="38.25" customHeight="1" s="241">
      <c r="A62" s="217" t="n"/>
      <c r="B62" s="217" t="n"/>
      <c r="C62" s="61" t="inlineStr">
        <is>
          <t>Pumpback Temp</t>
        </is>
      </c>
      <c r="D62" s="174" t="inlineStr">
        <is>
          <t>合醪温度</t>
        </is>
      </c>
      <c r="E62" s="69" t="inlineStr">
        <is>
          <t>°C</t>
        </is>
      </c>
      <c r="F62" s="174" t="inlineStr">
        <is>
          <t>默认顶水结束后2min糖化锅温度；如2min内已经加热，则开始加热前温度</t>
        </is>
      </c>
      <c r="G62" s="60" t="inlineStr">
        <is>
          <t>Mash Cooker Pumpback Temperature</t>
        </is>
      </c>
      <c r="H62" s="174" t="inlineStr">
        <is>
          <t>BR-20513</t>
        </is>
      </c>
      <c r="I62" s="175" t="inlineStr">
        <is>
          <t>糖化醪最低温度_糖化休止1_酿造_糖化_糖化锅</t>
        </is>
      </c>
      <c r="J62" s="174" t="inlineStr">
        <is>
          <t>DF</t>
        </is>
      </c>
      <c r="K62" s="174" t="inlineStr">
        <is>
          <t>Y</t>
        </is>
      </c>
      <c r="L62" s="174" t="inlineStr">
        <is>
          <t>数据</t>
        </is>
      </c>
      <c r="N62" s="165" t="inlineStr">
        <is>
          <t>Brand</t>
        </is>
      </c>
      <c r="O62" s="165" t="inlineStr">
        <is>
          <t>OG</t>
        </is>
      </c>
      <c r="P62" s="165" t="inlineStr">
        <is>
          <t>BH Line</t>
        </is>
      </c>
    </row>
    <row r="63" ht="25.5" customHeight="1" s="241">
      <c r="A63" s="217" t="n"/>
      <c r="B63" s="217" t="n"/>
      <c r="C63" s="61" t="inlineStr">
        <is>
          <t>Steam Usage Before Conversion</t>
        </is>
      </c>
      <c r="D63" s="174" t="inlineStr">
        <is>
          <t>糖化休止前蒸汽用量</t>
        </is>
      </c>
      <c r="E63" s="69" t="inlineStr">
        <is>
          <t>Kg</t>
        </is>
      </c>
      <c r="F63" s="174" t="inlineStr">
        <is>
          <t>避免休止前加热</t>
        </is>
      </c>
      <c r="G63" s="61" t="n"/>
      <c r="H63" s="174" t="inlineStr">
        <is>
          <t>BR-20486</t>
        </is>
      </c>
      <c r="I63" s="175" t="inlineStr">
        <is>
          <t>蒸汽用量_升温至蛋白休止1_酿造_糖化_糖化锅</t>
        </is>
      </c>
      <c r="J63" s="174" t="inlineStr">
        <is>
          <t>DF</t>
        </is>
      </c>
      <c r="K63" s="174" t="n"/>
      <c r="L63" s="174" t="inlineStr">
        <is>
          <t>数据</t>
        </is>
      </c>
      <c r="N63" s="165" t="inlineStr">
        <is>
          <t>Brand</t>
        </is>
      </c>
      <c r="O63" s="165" t="inlineStr">
        <is>
          <t>OG</t>
        </is>
      </c>
      <c r="P63" s="165" t="inlineStr">
        <is>
          <t>BH Line</t>
        </is>
      </c>
    </row>
    <row r="64">
      <c r="A64" s="217" t="n"/>
      <c r="B64" s="217" t="n"/>
      <c r="C64" s="61" t="inlineStr">
        <is>
          <t>Conversion Temp</t>
        </is>
      </c>
      <c r="D64" s="174" t="inlineStr">
        <is>
          <t>糖化休止温度</t>
        </is>
      </c>
      <c r="E64" s="69" t="inlineStr">
        <is>
          <t>°C</t>
        </is>
      </c>
      <c r="F64" s="174" t="inlineStr">
        <is>
          <t>见下一页说明</t>
        </is>
      </c>
      <c r="G64" s="61" t="n"/>
      <c r="H64" s="174" t="inlineStr">
        <is>
          <t>BR-20512</t>
        </is>
      </c>
      <c r="I64" s="175" t="inlineStr">
        <is>
          <t>糖化醪5min温度_糖化休止1_酿造_糖化_糖化锅</t>
        </is>
      </c>
      <c r="J64" s="174" t="inlineStr">
        <is>
          <t>DF</t>
        </is>
      </c>
      <c r="K64" s="174" t="n"/>
      <c r="L64" s="174" t="inlineStr">
        <is>
          <t>数据</t>
        </is>
      </c>
      <c r="N64" s="165" t="inlineStr">
        <is>
          <t>Brand</t>
        </is>
      </c>
      <c r="O64" s="165" t="inlineStr">
        <is>
          <t>OG</t>
        </is>
      </c>
      <c r="P64" s="165" t="inlineStr">
        <is>
          <t>BH Line</t>
        </is>
      </c>
    </row>
    <row r="65">
      <c r="A65" s="217" t="n"/>
      <c r="B65" s="217" t="n"/>
      <c r="C65" s="61" t="inlineStr">
        <is>
          <t>Conversion Time</t>
        </is>
      </c>
      <c r="D65" s="174" t="inlineStr">
        <is>
          <t>糖化休止时间</t>
        </is>
      </c>
      <c r="E65" s="69" t="inlineStr">
        <is>
          <t>min</t>
        </is>
      </c>
      <c r="F65" s="174" t="n"/>
      <c r="G65" s="61" t="n"/>
      <c r="H65" s="174" t="inlineStr">
        <is>
          <t>BR-20511</t>
        </is>
      </c>
      <c r="I65" s="175" t="inlineStr">
        <is>
          <t>工艺步骤时间段_糖化休止1_酿造_糖化_糖化锅</t>
        </is>
      </c>
      <c r="J65" s="174" t="inlineStr">
        <is>
          <t>DF</t>
        </is>
      </c>
      <c r="K65" s="174" t="n"/>
      <c r="L65" s="174" t="inlineStr">
        <is>
          <t>整数</t>
        </is>
      </c>
      <c r="N65" s="165" t="inlineStr">
        <is>
          <t>Brand</t>
        </is>
      </c>
      <c r="O65" s="165" t="inlineStr">
        <is>
          <t>OG</t>
        </is>
      </c>
      <c r="P65" s="165" t="inlineStr">
        <is>
          <t>BH Line</t>
        </is>
      </c>
    </row>
    <row r="66">
      <c r="A66" s="217" t="n"/>
      <c r="B66" s="217" t="n"/>
      <c r="C66" s="61" t="inlineStr">
        <is>
          <t>72*C Conversion Time</t>
        </is>
      </c>
      <c r="D66" s="174" t="inlineStr">
        <is>
          <t>72*C休止时间</t>
        </is>
      </c>
      <c r="E66" s="69" t="inlineStr">
        <is>
          <t>min</t>
        </is>
      </c>
      <c r="F66" s="174" t="n"/>
      <c r="G66" s="61" t="n"/>
      <c r="H66" s="174" t="inlineStr">
        <is>
          <t>BR-20521</t>
        </is>
      </c>
      <c r="I66" s="175" t="inlineStr">
        <is>
          <t>工艺步骤时间段_糖化休止2_酿造_糖化_糖化锅</t>
        </is>
      </c>
      <c r="J66" s="174" t="inlineStr">
        <is>
          <t>DF</t>
        </is>
      </c>
      <c r="K66" s="174" t="inlineStr">
        <is>
          <t>Y</t>
        </is>
      </c>
      <c r="L66" s="174" t="inlineStr">
        <is>
          <t>整数</t>
        </is>
      </c>
      <c r="N66" s="165" t="inlineStr">
        <is>
          <t>Brand</t>
        </is>
      </c>
      <c r="O66" s="165" t="inlineStr">
        <is>
          <t>OG</t>
        </is>
      </c>
      <c r="P66" s="165" t="inlineStr">
        <is>
          <t>BH Line</t>
        </is>
      </c>
    </row>
    <row r="67" ht="25.5" customHeight="1" s="241">
      <c r="A67" s="217" t="n"/>
      <c r="B67" s="217" t="n"/>
      <c r="C67" s="61" t="inlineStr">
        <is>
          <t>Highest
Steam Pressue</t>
        </is>
      </c>
      <c r="D67" s="174" t="inlineStr">
        <is>
          <t>糖化锅蒸汽最高压力</t>
        </is>
      </c>
      <c r="E67" s="70" t="inlineStr">
        <is>
          <t>Bar</t>
        </is>
      </c>
      <c r="F67" s="174" t="inlineStr">
        <is>
          <t>见下一页说明</t>
        </is>
      </c>
      <c r="G67" s="61" t="n"/>
      <c r="H67" s="174" t="inlineStr">
        <is>
          <t>BR-20552</t>
        </is>
      </c>
      <c r="I67" s="175" t="inlineStr">
        <is>
          <t>蒸汽最高压力_糖化_酿造_糖化_糖化锅</t>
        </is>
      </c>
      <c r="J67" s="174" t="inlineStr">
        <is>
          <t>DF</t>
        </is>
      </c>
      <c r="K67" s="174" t="n"/>
      <c r="L67" s="174" t="inlineStr">
        <is>
          <t>数据</t>
        </is>
      </c>
      <c r="N67" s="165" t="inlineStr">
        <is>
          <t>Brand</t>
        </is>
      </c>
      <c r="O67" s="165" t="inlineStr">
        <is>
          <t>OG</t>
        </is>
      </c>
      <c r="P67" s="165" t="inlineStr">
        <is>
          <t>BH Line</t>
        </is>
      </c>
    </row>
    <row r="68">
      <c r="A68" s="217" t="n"/>
      <c r="B68" s="217" t="n"/>
      <c r="C68" s="61" t="inlineStr">
        <is>
          <t>Mash off Temp</t>
        </is>
      </c>
      <c r="D68" s="174" t="inlineStr">
        <is>
          <t>糖化锅结束温度</t>
        </is>
      </c>
      <c r="E68" s="69" t="inlineStr">
        <is>
          <t>°C</t>
        </is>
      </c>
      <c r="F68" s="174" t="n"/>
      <c r="G68" s="61" t="n"/>
      <c r="H68" s="174" t="inlineStr">
        <is>
          <t>BR-20550</t>
        </is>
      </c>
      <c r="I68" s="180" t="inlineStr">
        <is>
          <t>糖化醪步骤结束温度_等待醪液转移_酿造_糖化_糖化锅</t>
        </is>
      </c>
      <c r="J68" s="174" t="inlineStr">
        <is>
          <t>DF</t>
        </is>
      </c>
      <c r="K68" s="174" t="inlineStr">
        <is>
          <t>Y</t>
        </is>
      </c>
      <c r="L68" s="174" t="inlineStr">
        <is>
          <t>数据</t>
        </is>
      </c>
      <c r="N68" s="165" t="inlineStr">
        <is>
          <t>Brand</t>
        </is>
      </c>
      <c r="O68" s="165" t="inlineStr">
        <is>
          <t>OG</t>
        </is>
      </c>
      <c r="P68" s="165" t="inlineStr">
        <is>
          <t>BH Line</t>
        </is>
      </c>
    </row>
    <row r="69" ht="51" customHeight="1" s="241">
      <c r="A69" s="217" t="n"/>
      <c r="B69" s="218" t="n"/>
      <c r="C69" s="61" t="inlineStr">
        <is>
          <t>Mash Tun Cycle Time</t>
        </is>
      </c>
      <c r="D69" s="174" t="inlineStr">
        <is>
          <t>糖化锅周期</t>
        </is>
      </c>
      <c r="E69" s="69" t="inlineStr">
        <is>
          <t>min</t>
        </is>
      </c>
      <c r="F69" s="174" t="n"/>
      <c r="G69" s="60" t="inlineStr">
        <is>
          <t>Total Mash Vessel Occupancy Duration</t>
        </is>
      </c>
      <c r="H69" s="174" t="inlineStr">
        <is>
          <t>BR-20461</t>
        </is>
      </c>
      <c r="I69" s="175" t="inlineStr">
        <is>
          <t>生产运行时间段_糖化_酿造_糖化_糖化锅</t>
        </is>
      </c>
      <c r="J69" s="174" t="inlineStr">
        <is>
          <t>DF</t>
        </is>
      </c>
      <c r="K69" s="174" t="inlineStr">
        <is>
          <t>Y</t>
        </is>
      </c>
      <c r="L69" s="174" t="inlineStr">
        <is>
          <t>整数</t>
        </is>
      </c>
      <c r="N69" s="165" t="inlineStr">
        <is>
          <t>Brand</t>
        </is>
      </c>
      <c r="O69" s="165" t="inlineStr">
        <is>
          <t>OG</t>
        </is>
      </c>
      <c r="P69" s="165" t="inlineStr">
        <is>
          <t>BH Line</t>
        </is>
      </c>
    </row>
    <row r="70">
      <c r="A70" s="217" t="n"/>
      <c r="B70" s="222" t="inlineStr">
        <is>
          <t>Lauter Tun</t>
        </is>
      </c>
      <c r="C70" s="61" t="inlineStr">
        <is>
          <t>Vorlauf Duration</t>
        </is>
      </c>
      <c r="D70" s="174" t="inlineStr">
        <is>
          <t>浊循环时间</t>
        </is>
      </c>
      <c r="E70" s="111" t="inlineStr">
        <is>
          <t>min</t>
        </is>
      </c>
      <c r="F70" s="174" t="n"/>
      <c r="G70" s="60" t="inlineStr">
        <is>
          <t>Vorlauf Duration</t>
        </is>
      </c>
      <c r="H70" s="174" t="inlineStr">
        <is>
          <t>BR-20622</t>
        </is>
      </c>
      <c r="I70" s="175" t="inlineStr">
        <is>
          <t>工艺步骤时间段_麦汁浊循环_酿造_糖化_过滤槽</t>
        </is>
      </c>
      <c r="J70" s="174" t="inlineStr">
        <is>
          <t>DF</t>
        </is>
      </c>
      <c r="K70" s="174" t="n"/>
      <c r="L70" s="174" t="inlineStr">
        <is>
          <t>整数</t>
        </is>
      </c>
      <c r="N70" s="165" t="inlineStr">
        <is>
          <t>Brand</t>
        </is>
      </c>
      <c r="O70" s="165" t="inlineStr">
        <is>
          <t>OG</t>
        </is>
      </c>
      <c r="P70" s="165" t="inlineStr">
        <is>
          <t>BH Line</t>
        </is>
      </c>
    </row>
    <row r="71">
      <c r="A71" s="217" t="n"/>
      <c r="B71" s="217" t="n"/>
      <c r="C71" s="61" t="inlineStr">
        <is>
          <t>Turbidity @Start Running</t>
        </is>
      </c>
      <c r="D71" s="174" t="inlineStr">
        <is>
          <t>开始过滤浊度</t>
        </is>
      </c>
      <c r="E71" s="111" t="inlineStr">
        <is>
          <t>EBC</t>
        </is>
      </c>
      <c r="F71" s="174" t="n"/>
      <c r="G71" s="60" t="n"/>
      <c r="H71" s="174" t="inlineStr">
        <is>
          <t>BR-20624</t>
        </is>
      </c>
      <c r="I71" s="175" t="inlineStr">
        <is>
          <t>步骤结束过滤麦汁浊度_麦汁浊循环_酿造_糖化_过滤槽</t>
        </is>
      </c>
      <c r="J71" s="174" t="inlineStr">
        <is>
          <t>DF</t>
        </is>
      </c>
      <c r="K71" s="174" t="inlineStr">
        <is>
          <t>Y</t>
        </is>
      </c>
      <c r="L71" s="174" t="inlineStr">
        <is>
          <t>数据</t>
        </is>
      </c>
      <c r="N71" s="165" t="inlineStr">
        <is>
          <t>Brand</t>
        </is>
      </c>
      <c r="O71" s="165" t="inlineStr">
        <is>
          <t>OG</t>
        </is>
      </c>
      <c r="P71" s="165" t="inlineStr">
        <is>
          <t>BH Line</t>
        </is>
      </c>
    </row>
    <row r="72">
      <c r="A72" s="217" t="n"/>
      <c r="B72" s="217" t="n"/>
      <c r="C72" s="61" t="inlineStr">
        <is>
          <t>First Wort Extract</t>
        </is>
      </c>
      <c r="D72" s="174" t="inlineStr">
        <is>
          <t>头道麦汁原浓</t>
        </is>
      </c>
      <c r="E72" s="70" t="inlineStr">
        <is>
          <t>Plato</t>
        </is>
      </c>
      <c r="F72" s="174" t="n"/>
      <c r="G72" s="60" t="inlineStr">
        <is>
          <t>First Wort Extract</t>
        </is>
      </c>
      <c r="H72" s="174" t="inlineStr">
        <is>
          <t>BR-20646</t>
        </is>
      </c>
      <c r="I72" s="175" t="inlineStr">
        <is>
          <t>头道麦汁平均OG_头道麦汁在线分析_酿造_糖化_过滤槽</t>
        </is>
      </c>
      <c r="J72" s="174" t="inlineStr">
        <is>
          <t>DF</t>
        </is>
      </c>
      <c r="K72" s="174" t="inlineStr">
        <is>
          <t>Y</t>
        </is>
      </c>
      <c r="L72" s="174" t="inlineStr">
        <is>
          <t>数据</t>
        </is>
      </c>
      <c r="N72" s="165" t="inlineStr">
        <is>
          <t>Brand</t>
        </is>
      </c>
      <c r="O72" s="165" t="inlineStr">
        <is>
          <t>OG</t>
        </is>
      </c>
      <c r="P72" s="165" t="inlineStr">
        <is>
          <t>BH Line</t>
        </is>
      </c>
    </row>
    <row r="73" ht="25.5" customHeight="1" s="241">
      <c r="A73" s="217" t="n"/>
      <c r="B73" s="217" t="n"/>
      <c r="C73" s="61" t="inlineStr">
        <is>
          <t>Last Hansel</t>
        </is>
      </c>
      <c r="D73" s="174" t="inlineStr">
        <is>
          <t>满锅残糖</t>
        </is>
      </c>
      <c r="E73" s="70" t="inlineStr">
        <is>
          <t>Plato</t>
        </is>
      </c>
      <c r="F73" s="174" t="n"/>
      <c r="G73" s="61" t="n"/>
      <c r="H73" s="174" t="inlineStr">
        <is>
          <t>BR-20695</t>
        </is>
      </c>
      <c r="I73" s="175" t="inlineStr">
        <is>
          <t>满锅最终麦汁总残糖_最终麦汁在线分析_酿造_糖化_过滤槽</t>
        </is>
      </c>
      <c r="J73" s="174" t="inlineStr">
        <is>
          <t>DF</t>
        </is>
      </c>
      <c r="K73" s="174" t="inlineStr">
        <is>
          <t>Y</t>
        </is>
      </c>
      <c r="L73" s="174" t="inlineStr">
        <is>
          <t>数据</t>
        </is>
      </c>
      <c r="N73" s="165" t="inlineStr">
        <is>
          <t>Brand</t>
        </is>
      </c>
      <c r="O73" s="165" t="inlineStr">
        <is>
          <t>OG</t>
        </is>
      </c>
      <c r="P73" s="165" t="inlineStr">
        <is>
          <t>BH Line</t>
        </is>
      </c>
      <c r="Q73" s="165" t="inlineStr">
        <is>
          <t>LT or MF No.</t>
        </is>
      </c>
    </row>
    <row r="74" ht="38.25" customHeight="1" s="241">
      <c r="A74" s="217" t="n"/>
      <c r="B74" s="217" t="n"/>
      <c r="C74" s="61" t="inlineStr">
        <is>
          <t>Weak Wort Extract (Last Runnings)</t>
        </is>
      </c>
      <c r="D74" s="174" t="inlineStr">
        <is>
          <t>弱麦汁回收结束残糖</t>
        </is>
      </c>
      <c r="E74" s="70" t="inlineStr">
        <is>
          <t>Plato</t>
        </is>
      </c>
      <c r="F74" s="174" t="n"/>
      <c r="G74" s="60" t="inlineStr">
        <is>
          <t>Weak Wort Extract (Last Runnings)</t>
        </is>
      </c>
      <c r="H74" s="174" t="inlineStr">
        <is>
          <t>BR-20720</t>
        </is>
      </c>
      <c r="I74" s="175" t="inlineStr">
        <is>
          <t>弱麦汁总残糖_弱麦汁回收在线分析_酿造_糖化_过滤槽</t>
        </is>
      </c>
      <c r="J74" s="174" t="inlineStr">
        <is>
          <t>DF</t>
        </is>
      </c>
      <c r="K74" s="174" t="inlineStr">
        <is>
          <t>Y</t>
        </is>
      </c>
      <c r="L74" s="174" t="inlineStr">
        <is>
          <t>数据</t>
        </is>
      </c>
      <c r="N74" s="165" t="inlineStr">
        <is>
          <t>Brand</t>
        </is>
      </c>
      <c r="O74" s="165" t="inlineStr">
        <is>
          <t>OG</t>
        </is>
      </c>
      <c r="P74" s="165" t="inlineStr">
        <is>
          <t>BH Line</t>
        </is>
      </c>
    </row>
    <row r="75">
      <c r="A75" s="217" t="n"/>
      <c r="B75" s="217" t="n"/>
      <c r="C75" s="61" t="inlineStr">
        <is>
          <t>Weak Wort  Volume</t>
        </is>
      </c>
      <c r="D75" s="174" t="inlineStr">
        <is>
          <t>弱麦汁回收量</t>
        </is>
      </c>
      <c r="E75" s="69" t="inlineStr">
        <is>
          <t>HL</t>
        </is>
      </c>
      <c r="F75" s="174" t="n"/>
      <c r="G75" s="61" t="n"/>
      <c r="H75" s="174" t="inlineStr">
        <is>
          <t>BR-20712</t>
        </is>
      </c>
      <c r="I75" s="175" t="inlineStr">
        <is>
          <t>弱麦汁回收量_弱麦汁回收_酿造_糖化_过滤槽</t>
        </is>
      </c>
      <c r="J75" s="174" t="inlineStr">
        <is>
          <t>DF</t>
        </is>
      </c>
      <c r="K75" s="174" t="inlineStr">
        <is>
          <t>Y</t>
        </is>
      </c>
      <c r="L75" s="174" t="inlineStr">
        <is>
          <t>数据</t>
        </is>
      </c>
      <c r="N75" s="165" t="inlineStr">
        <is>
          <t>Brand</t>
        </is>
      </c>
      <c r="O75" s="165" t="inlineStr">
        <is>
          <t>OG</t>
        </is>
      </c>
      <c r="P75" s="165" t="inlineStr">
        <is>
          <t>BH Line</t>
        </is>
      </c>
    </row>
    <row r="76">
      <c r="A76" s="217" t="n"/>
      <c r="B76" s="217" t="n"/>
      <c r="C76" s="61" t="inlineStr">
        <is>
          <t xml:space="preserve">Deep Cut </t>
        </is>
      </c>
      <c r="D76" s="174" t="inlineStr">
        <is>
          <t>深耕次数</t>
        </is>
      </c>
      <c r="E76" s="70" t="n"/>
      <c r="F76" s="174" t="n"/>
      <c r="G76" s="61" t="n"/>
      <c r="H76" s="174" t="inlineStr">
        <is>
          <t>BR-20746</t>
        </is>
      </c>
      <c r="I76" s="175" t="inlineStr">
        <is>
          <t>深耕总时间_麦汁过滤_酿造_糖化_过滤槽</t>
        </is>
      </c>
      <c r="J76" s="174" t="inlineStr">
        <is>
          <t>DF</t>
        </is>
      </c>
      <c r="K76" s="174" t="inlineStr">
        <is>
          <t>Y</t>
        </is>
      </c>
      <c r="L76" s="174" t="inlineStr">
        <is>
          <t>数据</t>
        </is>
      </c>
      <c r="N76" s="165" t="inlineStr">
        <is>
          <t>Brand</t>
        </is>
      </c>
      <c r="O76" s="165" t="inlineStr">
        <is>
          <t>OG</t>
        </is>
      </c>
      <c r="P76" s="165" t="inlineStr">
        <is>
          <t>BH Line</t>
        </is>
      </c>
      <c r="Q76" s="165" t="inlineStr">
        <is>
          <t>LT or MF No.</t>
        </is>
      </c>
    </row>
    <row r="77">
      <c r="A77" s="217" t="n"/>
      <c r="B77" s="217" t="n"/>
      <c r="C77" s="61" t="inlineStr">
        <is>
          <t>First Wort Volume</t>
        </is>
      </c>
      <c r="D77" s="174" t="inlineStr">
        <is>
          <t>头道麦汁量</t>
        </is>
      </c>
      <c r="E77" s="70" t="inlineStr">
        <is>
          <t>HL</t>
        </is>
      </c>
      <c r="F77" s="174" t="n"/>
      <c r="G77" s="61" t="n"/>
      <c r="H77" s="174" t="inlineStr">
        <is>
          <t>BR-20642</t>
        </is>
      </c>
      <c r="I77" s="175" t="inlineStr">
        <is>
          <t>头道麦汁量_头道麦汁过滤_酿造_糖化_过滤槽</t>
        </is>
      </c>
      <c r="J77" s="174" t="inlineStr">
        <is>
          <t>DF</t>
        </is>
      </c>
      <c r="K77" s="174" t="n"/>
      <c r="L77" s="174" t="inlineStr">
        <is>
          <t>数据</t>
        </is>
      </c>
      <c r="N77" s="165" t="inlineStr">
        <is>
          <t>Brand</t>
        </is>
      </c>
      <c r="O77" s="165" t="inlineStr">
        <is>
          <t>OG</t>
        </is>
      </c>
      <c r="P77" s="165" t="inlineStr">
        <is>
          <t>BH Line</t>
        </is>
      </c>
    </row>
    <row r="78">
      <c r="A78" s="217" t="n"/>
      <c r="B78" s="217" t="n"/>
      <c r="C78" s="61" t="inlineStr">
        <is>
          <t>Total Run off Volume</t>
        </is>
      </c>
      <c r="D78" s="174" t="inlineStr">
        <is>
          <t>麦汁总过滤量</t>
        </is>
      </c>
      <c r="E78" s="70" t="inlineStr">
        <is>
          <t>HL</t>
        </is>
      </c>
      <c r="F78" s="174" t="n"/>
      <c r="G78" s="61" t="n"/>
      <c r="H78" s="174" t="inlineStr">
        <is>
          <t>BR-20629</t>
        </is>
      </c>
      <c r="I78" s="182" t="inlineStr">
        <is>
          <t>满锅过滤麦汁总量_麦汁过滤_酿造_糖化_过滤槽</t>
        </is>
      </c>
      <c r="J78" s="174" t="inlineStr">
        <is>
          <t>DF</t>
        </is>
      </c>
      <c r="K78" s="174" t="n"/>
      <c r="L78" s="174" t="inlineStr">
        <is>
          <t>数据</t>
        </is>
      </c>
      <c r="N78" s="165" t="inlineStr">
        <is>
          <t>Brand</t>
        </is>
      </c>
      <c r="O78" s="165" t="inlineStr">
        <is>
          <t>OG</t>
        </is>
      </c>
      <c r="P78" s="165" t="inlineStr">
        <is>
          <t>BH Line</t>
        </is>
      </c>
    </row>
    <row r="79">
      <c r="A79" s="217" t="n"/>
      <c r="B79" s="217" t="n"/>
      <c r="C79" s="61" t="inlineStr">
        <is>
          <t>Total Run off OG</t>
        </is>
      </c>
      <c r="D79" s="174" t="inlineStr">
        <is>
          <t>麦汁过滤平均OG</t>
        </is>
      </c>
      <c r="E79" s="70" t="inlineStr">
        <is>
          <t>Plato</t>
        </is>
      </c>
      <c r="F79" s="174" t="n"/>
      <c r="G79" s="61" t="n"/>
      <c r="H79" s="174" t="inlineStr">
        <is>
          <t>BR-20630</t>
        </is>
      </c>
      <c r="I79" s="175" t="inlineStr">
        <is>
          <t>满锅过滤麦汁平均OG_麦汁过滤_酿造_糖化_过滤槽</t>
        </is>
      </c>
      <c r="J79" s="174" t="inlineStr">
        <is>
          <t>DF</t>
        </is>
      </c>
      <c r="K79" s="174" t="n"/>
      <c r="L79" s="174" t="inlineStr">
        <is>
          <t>数据</t>
        </is>
      </c>
      <c r="N79" s="165" t="inlineStr">
        <is>
          <t>Brand</t>
        </is>
      </c>
      <c r="O79" s="165" t="inlineStr">
        <is>
          <t>OG</t>
        </is>
      </c>
      <c r="P79" s="165" t="inlineStr">
        <is>
          <t>BH Line</t>
        </is>
      </c>
    </row>
    <row r="80" ht="25.5" customHeight="1" s="241">
      <c r="A80" s="217" t="n"/>
      <c r="B80" s="217" t="n"/>
      <c r="C80" s="61" t="inlineStr">
        <is>
          <t>First Wort/ Total Water Volume</t>
        </is>
      </c>
      <c r="D80" s="183" t="inlineStr">
        <is>
          <t>头道麦汁占总投入水比值</t>
        </is>
      </c>
      <c r="E80" s="70" t="inlineStr">
        <is>
          <t>%</t>
        </is>
      </c>
      <c r="F80" s="174" t="inlineStr">
        <is>
          <t>总投料水以及锅槽顶水和过滤槽底部铺水</t>
        </is>
      </c>
      <c r="G80" s="61" t="n"/>
      <c r="H80" s="174" t="inlineStr">
        <is>
          <t>BR-20771</t>
        </is>
      </c>
      <c r="I80" s="175" t="inlineStr">
        <is>
          <t>头道麦汁和总醪液比值_麦汁过滤_酿造_糖化_过滤槽</t>
        </is>
      </c>
      <c r="J80" s="174" t="inlineStr">
        <is>
          <t>DF</t>
        </is>
      </c>
      <c r="K80" s="174" t="n"/>
      <c r="L80" s="174" t="inlineStr">
        <is>
          <t>数据</t>
        </is>
      </c>
      <c r="N80" s="165" t="inlineStr">
        <is>
          <t>Brand</t>
        </is>
      </c>
      <c r="O80" s="165" t="inlineStr">
        <is>
          <t>OG</t>
        </is>
      </c>
      <c r="P80" s="165" t="inlineStr">
        <is>
          <t>BH Line</t>
        </is>
      </c>
    </row>
    <row r="81" ht="25.5" customHeight="1" s="241">
      <c r="A81" s="217" t="n"/>
      <c r="B81" s="217" t="n"/>
      <c r="C81" s="168" t="inlineStr">
        <is>
          <t>First Wort/ Total Wort Volume</t>
        </is>
      </c>
      <c r="D81" s="167" t="inlineStr">
        <is>
          <t>头道麦汁占总过滤麦汁比值</t>
        </is>
      </c>
      <c r="E81" s="70" t="inlineStr">
        <is>
          <t>%</t>
        </is>
      </c>
      <c r="F81" s="174" t="n"/>
      <c r="G81" s="61" t="n"/>
      <c r="H81" s="174" t="inlineStr">
        <is>
          <t>BR-20772</t>
        </is>
      </c>
      <c r="I81" s="175" t="inlineStr">
        <is>
          <t>头道麦汁和满锅过滤麦汁比值_麦汁过滤_酿造_糖化_过滤槽</t>
        </is>
      </c>
      <c r="J81" s="174" t="inlineStr">
        <is>
          <t>DF</t>
        </is>
      </c>
      <c r="K81" s="174" t="n"/>
      <c r="L81" s="174" t="inlineStr">
        <is>
          <t>数据</t>
        </is>
      </c>
      <c r="N81" s="165" t="inlineStr">
        <is>
          <t>Brand</t>
        </is>
      </c>
      <c r="O81" s="165" t="inlineStr">
        <is>
          <t>OG</t>
        </is>
      </c>
      <c r="P81" s="165" t="inlineStr">
        <is>
          <t>BH Line</t>
        </is>
      </c>
    </row>
    <row r="82" ht="25.5" customHeight="1" s="241">
      <c r="A82" s="217" t="n"/>
      <c r="B82" s="217" t="n"/>
      <c r="C82" s="61" t="inlineStr">
        <is>
          <t>OG GAP</t>
        </is>
      </c>
      <c r="D82" s="174" t="inlineStr">
        <is>
          <t>各环OG最大差值</t>
        </is>
      </c>
      <c r="E82" s="70" t="inlineStr">
        <is>
          <t>Plato</t>
        </is>
      </c>
      <c r="F82" s="174" t="n"/>
      <c r="G82" s="61" t="n"/>
      <c r="H82" s="174" t="inlineStr">
        <is>
          <t>BR-20773</t>
        </is>
      </c>
      <c r="I82" s="175" t="inlineStr">
        <is>
          <t>满锅过滤麦汁各环糖度最大差值_麦汁过滤_酿造_糖化_过滤槽</t>
        </is>
      </c>
      <c r="J82" s="174" t="inlineStr">
        <is>
          <t>DF</t>
        </is>
      </c>
      <c r="K82" s="174" t="n"/>
      <c r="L82" s="174" t="inlineStr">
        <is>
          <t>数据</t>
        </is>
      </c>
      <c r="N82" s="165" t="inlineStr">
        <is>
          <t>Brand</t>
        </is>
      </c>
      <c r="O82" s="165" t="inlineStr">
        <is>
          <t>OG</t>
        </is>
      </c>
      <c r="P82" s="165" t="inlineStr">
        <is>
          <t>BH Line</t>
        </is>
      </c>
    </row>
    <row r="83">
      <c r="A83" s="217" t="n"/>
      <c r="B83" s="217" t="n"/>
      <c r="C83" s="61" t="inlineStr">
        <is>
          <t>Run off Time</t>
        </is>
      </c>
      <c r="D83" s="174" t="inlineStr">
        <is>
          <t>麦汁总过滤时间</t>
        </is>
      </c>
      <c r="E83" s="69" t="inlineStr">
        <is>
          <t>min</t>
        </is>
      </c>
      <c r="F83" s="174" t="n"/>
      <c r="G83" s="60" t="inlineStr">
        <is>
          <t>Lautering Duration</t>
        </is>
      </c>
      <c r="H83" s="174" t="inlineStr">
        <is>
          <t>BR-20628</t>
        </is>
      </c>
      <c r="I83" s="175" t="inlineStr">
        <is>
          <t>工艺总步骤时间段_麦汁过滤_酿造_糖化_过滤槽</t>
        </is>
      </c>
      <c r="J83" s="174" t="inlineStr">
        <is>
          <t>DF</t>
        </is>
      </c>
      <c r="K83" s="174" t="inlineStr">
        <is>
          <t>Y</t>
        </is>
      </c>
      <c r="L83" s="174" t="inlineStr">
        <is>
          <t>整数</t>
        </is>
      </c>
      <c r="N83" s="165" t="inlineStr">
        <is>
          <t>Brand</t>
        </is>
      </c>
      <c r="O83" s="165" t="inlineStr">
        <is>
          <t>OG</t>
        </is>
      </c>
      <c r="P83" s="165" t="inlineStr">
        <is>
          <t>BH Line</t>
        </is>
      </c>
      <c r="Q83" s="165" t="inlineStr">
        <is>
          <t>LT or MF No.</t>
        </is>
      </c>
    </row>
    <row r="84">
      <c r="A84" s="217" t="n"/>
      <c r="B84" s="217" t="n"/>
      <c r="C84" s="61" t="inlineStr">
        <is>
          <t>Lauter Tun Cycle Time</t>
        </is>
      </c>
      <c r="D84" s="174" t="inlineStr">
        <is>
          <t>过滤槽周期</t>
        </is>
      </c>
      <c r="E84" s="69" t="inlineStr">
        <is>
          <t>min</t>
        </is>
      </c>
      <c r="F84" s="174" t="n"/>
      <c r="G84" s="61" t="n"/>
      <c r="H84" s="174" t="inlineStr">
        <is>
          <t>BR-20573</t>
        </is>
      </c>
      <c r="I84" s="175" t="inlineStr">
        <is>
          <t>生产运行时间段_麦汁过滤_酿造_糖化_过滤槽</t>
        </is>
      </c>
      <c r="J84" s="174" t="inlineStr">
        <is>
          <t>DF</t>
        </is>
      </c>
      <c r="K84" s="174" t="inlineStr">
        <is>
          <t>Y</t>
        </is>
      </c>
      <c r="L84" s="174" t="inlineStr">
        <is>
          <t>整数</t>
        </is>
      </c>
      <c r="N84" s="165" t="inlineStr">
        <is>
          <t>Brand</t>
        </is>
      </c>
      <c r="O84" s="165" t="inlineStr">
        <is>
          <t>OG</t>
        </is>
      </c>
      <c r="P84" s="165" t="inlineStr">
        <is>
          <t>BH Line</t>
        </is>
      </c>
      <c r="Q84" s="165" t="inlineStr">
        <is>
          <t>LT or MF No.</t>
        </is>
      </c>
    </row>
    <row r="85" ht="25.5" customHeight="1" s="241">
      <c r="A85" s="217" t="n"/>
      <c r="B85" s="218" t="n"/>
      <c r="C85" s="61" t="inlineStr">
        <is>
          <t>Sparge Water Temp</t>
        </is>
      </c>
      <c r="D85" s="174" t="inlineStr">
        <is>
          <t>洗糟水温度</t>
        </is>
      </c>
      <c r="E85" s="69" t="inlineStr">
        <is>
          <t>°C</t>
        </is>
      </c>
      <c r="F85" s="174" t="inlineStr">
        <is>
          <t>见下一页说明</t>
        </is>
      </c>
      <c r="G85" s="60" t="inlineStr">
        <is>
          <t>Sparge Water Temperature</t>
        </is>
      </c>
      <c r="H85" s="174" t="inlineStr">
        <is>
          <t>BR-20768</t>
        </is>
      </c>
      <c r="I85" s="175" t="inlineStr">
        <is>
          <t>满锅洗糟水平均温度_麦汁洗糟_酿造_糖化_过滤槽</t>
        </is>
      </c>
      <c r="J85" s="174" t="inlineStr">
        <is>
          <t>DF</t>
        </is>
      </c>
      <c r="K85" s="174" t="inlineStr">
        <is>
          <t>Y</t>
        </is>
      </c>
      <c r="L85" s="174" t="inlineStr">
        <is>
          <t>数据</t>
        </is>
      </c>
      <c r="N85" s="165" t="inlineStr">
        <is>
          <t>Brand</t>
        </is>
      </c>
      <c r="O85" s="165" t="inlineStr">
        <is>
          <t>OG</t>
        </is>
      </c>
      <c r="P85" s="165" t="inlineStr">
        <is>
          <t>BH Line</t>
        </is>
      </c>
    </row>
    <row r="86">
      <c r="A86" s="217" t="n"/>
      <c r="B86" s="223" t="inlineStr">
        <is>
          <t>Mash Filter</t>
        </is>
      </c>
      <c r="C86" s="61" t="inlineStr">
        <is>
          <t>Turbidity @Start Running</t>
        </is>
      </c>
      <c r="D86" s="174" t="inlineStr">
        <is>
          <t>开始过滤浊度</t>
        </is>
      </c>
      <c r="E86" s="111" t="inlineStr">
        <is>
          <t>EBC</t>
        </is>
      </c>
      <c r="F86" s="174" t="n"/>
      <c r="G86" s="60" t="n"/>
      <c r="H86" s="174" t="inlineStr">
        <is>
          <t>BR-20936</t>
        </is>
      </c>
      <c r="I86" s="175" t="inlineStr">
        <is>
          <t>步骤开始头道麦汁浊度_麦汁压滤_酿造_糖化_压滤机</t>
        </is>
      </c>
      <c r="J86" s="174" t="inlineStr">
        <is>
          <t>DF</t>
        </is>
      </c>
      <c r="K86" s="174" t="inlineStr">
        <is>
          <t>Y</t>
        </is>
      </c>
      <c r="L86" s="174" t="inlineStr">
        <is>
          <t>数据</t>
        </is>
      </c>
      <c r="N86" s="165" t="inlineStr">
        <is>
          <t>Brand</t>
        </is>
      </c>
      <c r="O86" s="165" t="inlineStr">
        <is>
          <t>OG</t>
        </is>
      </c>
      <c r="P86" s="165" t="inlineStr">
        <is>
          <t>BH Line</t>
        </is>
      </c>
    </row>
    <row r="87">
      <c r="A87" s="217" t="n"/>
      <c r="B87" s="217" t="n"/>
      <c r="C87" s="61" t="inlineStr">
        <is>
          <t>First Wort Extract</t>
        </is>
      </c>
      <c r="D87" s="174" t="inlineStr">
        <is>
          <t>头道麦汁原浓</t>
        </is>
      </c>
      <c r="E87" s="70" t="inlineStr">
        <is>
          <t>Plato</t>
        </is>
      </c>
      <c r="F87" s="174" t="n"/>
      <c r="G87" s="60" t="inlineStr">
        <is>
          <t>First Wort Extract</t>
        </is>
      </c>
      <c r="H87" s="174" t="inlineStr">
        <is>
          <t>BR-20895</t>
        </is>
      </c>
      <c r="I87" s="175" t="inlineStr">
        <is>
          <t>头道麦汁平均OG_头道麦汁压滤_酿造_糖化_压滤机</t>
        </is>
      </c>
      <c r="J87" s="174" t="inlineStr">
        <is>
          <t>DF</t>
        </is>
      </c>
      <c r="K87" s="174" t="inlineStr">
        <is>
          <t>Y</t>
        </is>
      </c>
      <c r="L87" s="174" t="inlineStr">
        <is>
          <t>数据</t>
        </is>
      </c>
      <c r="N87" s="165" t="inlineStr">
        <is>
          <t>Brand</t>
        </is>
      </c>
      <c r="O87" s="165" t="inlineStr">
        <is>
          <t>OG</t>
        </is>
      </c>
      <c r="P87" s="165" t="inlineStr">
        <is>
          <t>BH Line</t>
        </is>
      </c>
    </row>
    <row r="88">
      <c r="A88" s="217" t="n"/>
      <c r="B88" s="217" t="n"/>
      <c r="C88" s="61" t="inlineStr">
        <is>
          <t>Last Hansel</t>
        </is>
      </c>
      <c r="D88" s="174" t="inlineStr">
        <is>
          <t>满锅残糖</t>
        </is>
      </c>
      <c r="E88" s="70" t="inlineStr">
        <is>
          <t>Plato</t>
        </is>
      </c>
      <c r="F88" s="174" t="n"/>
      <c r="G88" s="61" t="n"/>
      <c r="H88" s="174" t="inlineStr">
        <is>
          <t>BR-20933</t>
        </is>
      </c>
      <c r="I88" s="175" t="inlineStr">
        <is>
          <t>弱麦汁回收前残糖_弱麦汁麦汁回收_酿造_糖化_压滤机</t>
        </is>
      </c>
      <c r="J88" s="174" t="inlineStr">
        <is>
          <t>DF</t>
        </is>
      </c>
      <c r="K88" s="174" t="inlineStr">
        <is>
          <t>Y</t>
        </is>
      </c>
      <c r="L88" s="174" t="inlineStr">
        <is>
          <t>数据</t>
        </is>
      </c>
      <c r="N88" s="165" t="inlineStr">
        <is>
          <t>Brand</t>
        </is>
      </c>
      <c r="O88" s="165" t="inlineStr">
        <is>
          <t>OG</t>
        </is>
      </c>
      <c r="P88" s="165" t="inlineStr">
        <is>
          <t>BH Line</t>
        </is>
      </c>
      <c r="Q88" s="165" t="inlineStr">
        <is>
          <t>LT or MF No.</t>
        </is>
      </c>
    </row>
    <row r="89" ht="38.25" customHeight="1" s="241">
      <c r="A89" s="217" t="n"/>
      <c r="B89" s="217" t="n"/>
      <c r="C89" s="61" t="inlineStr">
        <is>
          <t>Weak Wort Extract (Last Runnings)</t>
        </is>
      </c>
      <c r="D89" s="174" t="inlineStr">
        <is>
          <t>弱麦汁回收结束残糖</t>
        </is>
      </c>
      <c r="E89" s="70" t="inlineStr">
        <is>
          <t>Plato</t>
        </is>
      </c>
      <c r="F89" s="174" t="n"/>
      <c r="G89" s="60" t="inlineStr">
        <is>
          <t>Weak Wort Extract (Last Runnings)</t>
        </is>
      </c>
      <c r="H89" s="174" t="inlineStr">
        <is>
          <t>BR-20934</t>
        </is>
      </c>
      <c r="I89" s="175" t="inlineStr">
        <is>
          <t>弱麦汁回收结束残糖_弱麦汁麦汁回收_酿造_糖化_压滤机</t>
        </is>
      </c>
      <c r="J89" s="174" t="inlineStr">
        <is>
          <t>DF</t>
        </is>
      </c>
      <c r="K89" s="174" t="inlineStr">
        <is>
          <t>Y</t>
        </is>
      </c>
      <c r="L89" s="174" t="inlineStr">
        <is>
          <t>数据</t>
        </is>
      </c>
      <c r="N89" s="165" t="inlineStr">
        <is>
          <t>Brand</t>
        </is>
      </c>
      <c r="O89" s="165" t="inlineStr">
        <is>
          <t>OG</t>
        </is>
      </c>
      <c r="P89" s="165" t="inlineStr">
        <is>
          <t>BH Line</t>
        </is>
      </c>
    </row>
    <row r="90" ht="25.5" customHeight="1" s="241">
      <c r="A90" s="217" t="n"/>
      <c r="B90" s="217" t="n"/>
      <c r="C90" s="61" t="inlineStr">
        <is>
          <t>Weak Wort Recovery Volume</t>
        </is>
      </c>
      <c r="D90" s="174" t="inlineStr">
        <is>
          <t>弱麦汁回收量</t>
        </is>
      </c>
      <c r="E90" s="70" t="inlineStr">
        <is>
          <t>HL</t>
        </is>
      </c>
      <c r="F90" s="174" t="n"/>
      <c r="G90" s="61" t="n"/>
      <c r="H90" s="174" t="inlineStr">
        <is>
          <t>BR-20935</t>
        </is>
      </c>
      <c r="I90" s="175" t="inlineStr">
        <is>
          <t>弱麦汁压滤量_弱麦汁麦汁回收_酿造_糖化_压滤机</t>
        </is>
      </c>
      <c r="J90" s="174" t="inlineStr">
        <is>
          <t>DF</t>
        </is>
      </c>
      <c r="K90" s="174" t="inlineStr">
        <is>
          <t>Y</t>
        </is>
      </c>
      <c r="L90" s="174" t="inlineStr">
        <is>
          <t>数据</t>
        </is>
      </c>
      <c r="N90" s="165" t="inlineStr">
        <is>
          <t>Brand</t>
        </is>
      </c>
      <c r="O90" s="165" t="inlineStr">
        <is>
          <t>OG</t>
        </is>
      </c>
      <c r="P90" s="165" t="inlineStr">
        <is>
          <t>BH Line</t>
        </is>
      </c>
    </row>
    <row r="91">
      <c r="A91" s="217" t="n"/>
      <c r="B91" s="217" t="n"/>
      <c r="C91" s="61" t="inlineStr">
        <is>
          <t>First Wort Volume</t>
        </is>
      </c>
      <c r="D91" s="174" t="inlineStr">
        <is>
          <t>头道麦汁量</t>
        </is>
      </c>
      <c r="E91" s="70" t="inlineStr">
        <is>
          <t>HL</t>
        </is>
      </c>
      <c r="F91" s="174" t="n"/>
      <c r="G91" s="61" t="n"/>
      <c r="H91" s="174" t="inlineStr">
        <is>
          <t>BR-20894</t>
        </is>
      </c>
      <c r="I91" s="175" t="inlineStr">
        <is>
          <t>头道麦汁压滤量_头道麦汁压滤_酿造_糖化_压滤机</t>
        </is>
      </c>
      <c r="J91" s="174" t="inlineStr">
        <is>
          <t>DF</t>
        </is>
      </c>
      <c r="K91" s="174" t="n"/>
      <c r="L91" s="174" t="inlineStr">
        <is>
          <t>数据</t>
        </is>
      </c>
      <c r="N91" s="165" t="inlineStr">
        <is>
          <t>Brand</t>
        </is>
      </c>
      <c r="O91" s="165" t="inlineStr">
        <is>
          <t>OG</t>
        </is>
      </c>
      <c r="P91" s="165" t="inlineStr">
        <is>
          <t>BH Line</t>
        </is>
      </c>
    </row>
    <row r="92">
      <c r="A92" s="217" t="n"/>
      <c r="B92" s="217" t="n"/>
      <c r="C92" s="61" t="inlineStr">
        <is>
          <t>Total Run off Volume</t>
        </is>
      </c>
      <c r="D92" s="174" t="inlineStr">
        <is>
          <t>麦汁总过滤量</t>
        </is>
      </c>
      <c r="E92" s="70" t="inlineStr">
        <is>
          <t>HL</t>
        </is>
      </c>
      <c r="F92" s="174" t="n"/>
      <c r="G92" s="61" t="n"/>
      <c r="H92" s="174" t="inlineStr">
        <is>
          <t>BR-20942</t>
        </is>
      </c>
      <c r="I92" s="175" t="inlineStr">
        <is>
          <t>满锅压滤麦汁量_麦汁压滤_酿造_糖化_压滤机</t>
        </is>
      </c>
      <c r="J92" s="174" t="inlineStr">
        <is>
          <t>DF</t>
        </is>
      </c>
      <c r="K92" s="174" t="n"/>
      <c r="L92" s="174" t="inlineStr">
        <is>
          <t>数据</t>
        </is>
      </c>
      <c r="N92" s="165" t="inlineStr">
        <is>
          <t>Brand</t>
        </is>
      </c>
      <c r="O92" s="165" t="inlineStr">
        <is>
          <t>OG</t>
        </is>
      </c>
      <c r="P92" s="165" t="inlineStr">
        <is>
          <t>BH Line</t>
        </is>
      </c>
    </row>
    <row r="93">
      <c r="A93" s="217" t="n"/>
      <c r="B93" s="217" t="n"/>
      <c r="C93" s="61" t="inlineStr">
        <is>
          <t>Total Run off OG</t>
        </is>
      </c>
      <c r="D93" s="174" t="inlineStr">
        <is>
          <t>麦汁过滤平均OG</t>
        </is>
      </c>
      <c r="E93" s="70" t="inlineStr">
        <is>
          <t>Plato</t>
        </is>
      </c>
      <c r="F93" s="174" t="n"/>
      <c r="G93" s="61" t="n"/>
      <c r="H93" s="174" t="inlineStr">
        <is>
          <t>BR-20943</t>
        </is>
      </c>
      <c r="I93" s="175" t="inlineStr">
        <is>
          <t>满锅压滤麦汁平均OG_麦汁压滤_酿造_糖化_压滤机</t>
        </is>
      </c>
      <c r="J93" s="174" t="inlineStr">
        <is>
          <t>DF</t>
        </is>
      </c>
      <c r="K93" s="174" t="n"/>
      <c r="L93" s="174" t="inlineStr">
        <is>
          <t>数据</t>
        </is>
      </c>
      <c r="N93" s="165" t="inlineStr">
        <is>
          <t>Brand</t>
        </is>
      </c>
      <c r="O93" s="165" t="inlineStr">
        <is>
          <t>OG</t>
        </is>
      </c>
      <c r="P93" s="165" t="inlineStr">
        <is>
          <t>BH Line</t>
        </is>
      </c>
    </row>
    <row r="94" ht="25.5" customHeight="1" s="241">
      <c r="A94" s="217" t="n"/>
      <c r="B94" s="217" t="n"/>
      <c r="C94" s="61" t="inlineStr">
        <is>
          <t>First Wort/ Total Water Volume</t>
        </is>
      </c>
      <c r="D94" s="183" t="inlineStr">
        <is>
          <t>头道麦汁占总投入水比值</t>
        </is>
      </c>
      <c r="E94" s="70" t="inlineStr">
        <is>
          <t>%</t>
        </is>
      </c>
      <c r="F94" s="174" t="inlineStr">
        <is>
          <t>总投料水以及锅槽顶水</t>
        </is>
      </c>
      <c r="G94" s="61" t="n"/>
      <c r="H94" s="174" t="inlineStr">
        <is>
          <t>BR-20944</t>
        </is>
      </c>
      <c r="I94" s="180" t="inlineStr">
        <is>
          <t>头道麦汁量和总醪液量比值_麦汁压滤_酿造_糖化_压滤机</t>
        </is>
      </c>
      <c r="J94" s="174" t="inlineStr">
        <is>
          <t>DF</t>
        </is>
      </c>
      <c r="K94" s="174" t="n"/>
      <c r="L94" s="174" t="inlineStr">
        <is>
          <t>数据</t>
        </is>
      </c>
      <c r="N94" s="165" t="inlineStr">
        <is>
          <t>Brand</t>
        </is>
      </c>
      <c r="O94" s="165" t="inlineStr">
        <is>
          <t>OG</t>
        </is>
      </c>
      <c r="P94" s="165" t="inlineStr">
        <is>
          <t>BH Line</t>
        </is>
      </c>
    </row>
    <row r="95" ht="25.5" customHeight="1" s="241">
      <c r="A95" s="217" t="n"/>
      <c r="B95" s="217" t="n"/>
      <c r="C95" s="168" t="inlineStr">
        <is>
          <t>First Wort/ Total Wort Volume</t>
        </is>
      </c>
      <c r="D95" s="167" t="inlineStr">
        <is>
          <t>头道麦汁占总过滤麦汁比值</t>
        </is>
      </c>
      <c r="E95" s="70" t="inlineStr">
        <is>
          <t>%</t>
        </is>
      </c>
      <c r="F95" s="174" t="n"/>
      <c r="G95" s="61" t="n"/>
      <c r="H95" s="174" t="inlineStr">
        <is>
          <t>BR-20945</t>
        </is>
      </c>
      <c r="I95" s="175" t="inlineStr">
        <is>
          <t>头道麦汁量和满锅压滤麦汁量比值_麦汁压滤_酿造_糖化_压滤机</t>
        </is>
      </c>
      <c r="J95" s="174" t="inlineStr">
        <is>
          <t>DF</t>
        </is>
      </c>
      <c r="K95" s="174" t="n"/>
      <c r="L95" s="174" t="inlineStr">
        <is>
          <t>数据</t>
        </is>
      </c>
      <c r="N95" s="165" t="inlineStr">
        <is>
          <t>Brand</t>
        </is>
      </c>
      <c r="O95" s="165" t="inlineStr">
        <is>
          <t>OG</t>
        </is>
      </c>
      <c r="P95" s="165" t="inlineStr">
        <is>
          <t>BH Line</t>
        </is>
      </c>
    </row>
    <row r="96" ht="25.5" customHeight="1" s="241">
      <c r="A96" s="217" t="n"/>
      <c r="B96" s="217" t="n"/>
      <c r="C96" s="61" t="inlineStr">
        <is>
          <t>Run off Time</t>
        </is>
      </c>
      <c r="D96" s="174" t="inlineStr">
        <is>
          <t>麦汁总过滤时间</t>
        </is>
      </c>
      <c r="E96" s="69" t="inlineStr">
        <is>
          <t>min</t>
        </is>
      </c>
      <c r="F96" s="174" t="n"/>
      <c r="G96" s="60" t="inlineStr">
        <is>
          <t>Total Wort Filtering Duration</t>
        </is>
      </c>
      <c r="H96" s="174" t="inlineStr">
        <is>
          <t>BR-20891</t>
        </is>
      </c>
      <c r="I96" s="175" t="inlineStr">
        <is>
          <t>工艺步骤时间段_麦汁压滤_酿造_糖化_压滤机</t>
        </is>
      </c>
      <c r="J96" s="174" t="inlineStr">
        <is>
          <t>DF</t>
        </is>
      </c>
      <c r="K96" s="174" t="inlineStr">
        <is>
          <t>Y</t>
        </is>
      </c>
      <c r="L96" s="174" t="inlineStr">
        <is>
          <t>整数</t>
        </is>
      </c>
      <c r="N96" s="165" t="inlineStr">
        <is>
          <t>Brand</t>
        </is>
      </c>
      <c r="O96" s="165" t="inlineStr">
        <is>
          <t>OG</t>
        </is>
      </c>
      <c r="P96" s="165" t="inlineStr">
        <is>
          <t>BH Line</t>
        </is>
      </c>
      <c r="Q96" s="165" t="inlineStr">
        <is>
          <t>LT or MF No.</t>
        </is>
      </c>
    </row>
    <row r="97">
      <c r="A97" s="217" t="n"/>
      <c r="B97" s="217" t="n"/>
      <c r="C97" s="61" t="inlineStr">
        <is>
          <t>Mash Filter Cycle time</t>
        </is>
      </c>
      <c r="D97" s="174" t="inlineStr">
        <is>
          <t>压滤机周期</t>
        </is>
      </c>
      <c r="E97" s="69" t="inlineStr">
        <is>
          <t>min</t>
        </is>
      </c>
      <c r="F97" s="174" t="n"/>
      <c r="G97" s="61" t="n"/>
      <c r="H97" s="174" t="inlineStr">
        <is>
          <t>BR-20889</t>
        </is>
      </c>
      <c r="I97" s="175" t="inlineStr">
        <is>
          <t>生产运行时间段_麦汁压滤_酿造_糖化_压滤机</t>
        </is>
      </c>
      <c r="J97" s="174" t="inlineStr">
        <is>
          <t>DF</t>
        </is>
      </c>
      <c r="K97" s="174" t="inlineStr">
        <is>
          <t>Y</t>
        </is>
      </c>
      <c r="L97" s="174" t="inlineStr">
        <is>
          <t>整数</t>
        </is>
      </c>
      <c r="N97" s="165" t="inlineStr">
        <is>
          <t>Brand</t>
        </is>
      </c>
      <c r="O97" s="165" t="inlineStr">
        <is>
          <t>OG</t>
        </is>
      </c>
      <c r="P97" s="165" t="inlineStr">
        <is>
          <t>BH Line</t>
        </is>
      </c>
      <c r="Q97" s="165" t="inlineStr">
        <is>
          <t>LT or MF No.</t>
        </is>
      </c>
    </row>
    <row r="98" ht="25.5" customHeight="1" s="241">
      <c r="A98" s="217" t="n"/>
      <c r="B98" s="218" t="n"/>
      <c r="C98" s="61" t="inlineStr">
        <is>
          <t>Sparge Water Temp</t>
        </is>
      </c>
      <c r="D98" s="174" t="inlineStr">
        <is>
          <t>洗糟水温度</t>
        </is>
      </c>
      <c r="E98" s="69" t="inlineStr">
        <is>
          <t>°C</t>
        </is>
      </c>
      <c r="F98" s="174" t="inlineStr">
        <is>
          <t>见下一页说明</t>
        </is>
      </c>
      <c r="G98" s="60" t="inlineStr">
        <is>
          <t>Sparge Water Temperature</t>
        </is>
      </c>
      <c r="H98" s="174" t="inlineStr">
        <is>
          <t>BR-20940</t>
        </is>
      </c>
      <c r="I98" s="175" t="inlineStr">
        <is>
          <t>洗糟水平均温度_压滤机洗糟_酿造_糖化_压滤机</t>
        </is>
      </c>
      <c r="J98" s="174" t="inlineStr">
        <is>
          <t>DF</t>
        </is>
      </c>
      <c r="K98" s="174" t="inlineStr">
        <is>
          <t>Y</t>
        </is>
      </c>
      <c r="L98" s="174" t="inlineStr">
        <is>
          <t>数据</t>
        </is>
      </c>
      <c r="N98" s="165" t="inlineStr">
        <is>
          <t>Brand</t>
        </is>
      </c>
      <c r="O98" s="165" t="inlineStr">
        <is>
          <t>OG</t>
        </is>
      </c>
      <c r="P98" s="165" t="inlineStr">
        <is>
          <t>BH Line</t>
        </is>
      </c>
    </row>
    <row r="99" ht="29.1" customHeight="1" s="241">
      <c r="A99" s="217" t="n"/>
      <c r="B99" s="222" t="inlineStr">
        <is>
          <t>Kettle</t>
        </is>
      </c>
      <c r="C99" s="61" t="inlineStr">
        <is>
          <t>Boiling Before or After KF?</t>
        </is>
      </c>
      <c r="D99" s="174" t="inlineStr">
        <is>
          <t>满锅前/后煮沸？</t>
        </is>
      </c>
      <c r="E99" s="69" t="n"/>
      <c r="F99" s="174" t="n"/>
      <c r="G99" s="61" t="n"/>
      <c r="H99" s="174" t="n"/>
      <c r="I99" s="175" t="n"/>
      <c r="J99" s="174" t="inlineStr">
        <is>
          <t>SSS人工录入</t>
        </is>
      </c>
      <c r="K99" s="174" t="n"/>
      <c r="L99" s="174" t="inlineStr">
        <is>
          <t>数据</t>
        </is>
      </c>
      <c r="N99" s="165" t="inlineStr">
        <is>
          <t>Brand</t>
        </is>
      </c>
      <c r="O99" s="165" t="inlineStr">
        <is>
          <t>OG</t>
        </is>
      </c>
      <c r="P99" s="165" t="inlineStr">
        <is>
          <t>BH Line</t>
        </is>
      </c>
    </row>
    <row r="100" ht="29.1" customHeight="1" s="241">
      <c r="A100" s="217" t="n"/>
      <c r="B100" s="217" t="n"/>
      <c r="C100" s="61" t="inlineStr">
        <is>
          <t>Boiling Type</t>
        </is>
      </c>
      <c r="D100" s="174" t="inlineStr">
        <is>
          <t>煮沸方式</t>
        </is>
      </c>
      <c r="E100" s="69" t="n"/>
      <c r="F100" s="174" t="n"/>
      <c r="G100" s="61" t="n"/>
      <c r="H100" s="174" t="n"/>
      <c r="I100" s="175" t="n"/>
      <c r="J100" s="174" t="inlineStr">
        <is>
          <t>SSS人工录入</t>
        </is>
      </c>
      <c r="K100" s="174" t="n"/>
      <c r="L100" s="174" t="inlineStr">
        <is>
          <t>数据</t>
        </is>
      </c>
      <c r="N100" s="165" t="inlineStr">
        <is>
          <t>Brand</t>
        </is>
      </c>
      <c r="O100" s="165" t="inlineStr">
        <is>
          <t>OG</t>
        </is>
      </c>
      <c r="P100" s="165" t="inlineStr">
        <is>
          <t>BH Line</t>
        </is>
      </c>
    </row>
    <row r="101" ht="14.45" customHeight="1" s="241">
      <c r="A101" s="217" t="n"/>
      <c r="B101" s="217" t="n"/>
      <c r="C101" s="61" t="inlineStr">
        <is>
          <t>SOB Volume</t>
        </is>
      </c>
      <c r="D101" s="174" t="inlineStr">
        <is>
          <t>SOB体积</t>
        </is>
      </c>
      <c r="E101" s="70" t="inlineStr">
        <is>
          <t>HL</t>
        </is>
      </c>
      <c r="F101" s="174" t="n"/>
      <c r="G101" s="61" t="n"/>
      <c r="H101" s="174" t="inlineStr">
        <is>
          <t>BR-21003</t>
        </is>
      </c>
      <c r="I101" s="175" t="inlineStr">
        <is>
          <t>过滤麦汁量_进麦汁和升温到SOB_酿造_糖化_煮沸锅</t>
        </is>
      </c>
      <c r="J101" s="174" t="inlineStr">
        <is>
          <t>DF</t>
        </is>
      </c>
      <c r="K101" s="174" t="inlineStr">
        <is>
          <t>Y</t>
        </is>
      </c>
      <c r="L101" s="174" t="inlineStr">
        <is>
          <t>数据</t>
        </is>
      </c>
      <c r="N101" s="165" t="inlineStr">
        <is>
          <t>Brand</t>
        </is>
      </c>
      <c r="O101" s="165" t="inlineStr">
        <is>
          <t>OG</t>
        </is>
      </c>
      <c r="P101" s="165" t="inlineStr">
        <is>
          <t>BH Line</t>
        </is>
      </c>
      <c r="Q101" s="165" t="inlineStr">
        <is>
          <t>Kettle No.</t>
        </is>
      </c>
    </row>
    <row r="102" ht="41.45" customHeight="1" s="241">
      <c r="A102" s="217" t="n"/>
      <c r="B102" s="217" t="n"/>
      <c r="C102" s="61" t="inlineStr">
        <is>
          <t>Filling Temp@
Before SOB</t>
        </is>
      </c>
      <c r="D102" s="174" t="inlineStr">
        <is>
          <t>SOB前麦汁进锅平均温度</t>
        </is>
      </c>
      <c r="E102" s="69" t="inlineStr">
        <is>
          <t>°C</t>
        </is>
      </c>
      <c r="F102" s="184" t="inlineStr">
        <is>
          <t>用麦汁预热器出口温度和流量来积分（影响SOB体积）-很重要</t>
        </is>
      </c>
      <c r="G102" s="61" t="n"/>
      <c r="H102" s="174" t="inlineStr">
        <is>
          <t>BR-21070</t>
        </is>
      </c>
      <c r="I102" s="175" t="inlineStr">
        <is>
          <t>过滤麦汁平均温度_进麦汁和升温到SOB_酿造_糖化_煮沸锅</t>
        </is>
      </c>
      <c r="J102" s="174" t="inlineStr">
        <is>
          <t>DF</t>
        </is>
      </c>
      <c r="K102" s="174" t="n"/>
      <c r="L102" s="174" t="inlineStr">
        <is>
          <t>数据</t>
        </is>
      </c>
      <c r="N102" s="165" t="inlineStr">
        <is>
          <t>Brand</t>
        </is>
      </c>
      <c r="O102" s="165" t="inlineStr">
        <is>
          <t>OG</t>
        </is>
      </c>
      <c r="P102" s="165" t="inlineStr">
        <is>
          <t>BH Line</t>
        </is>
      </c>
    </row>
    <row r="103" ht="43.5" customHeight="1" s="241">
      <c r="A103" s="217" t="n"/>
      <c r="B103" s="217" t="n"/>
      <c r="C103" s="61" t="inlineStr">
        <is>
          <t>Filling Temp@
SOB-KF</t>
        </is>
      </c>
      <c r="D103" s="174" t="inlineStr">
        <is>
          <t>SOB后麦汁进锅平均温度</t>
        </is>
      </c>
      <c r="E103" s="69" t="inlineStr">
        <is>
          <t>°C</t>
        </is>
      </c>
      <c r="F103" s="184" t="inlineStr">
        <is>
          <t>用麦汁预热器出口温度和流量来积分（参与蒸发率计算）-很重要</t>
        </is>
      </c>
      <c r="G103" s="61" t="n"/>
      <c r="H103" s="174" t="inlineStr">
        <is>
          <t>BR-21071</t>
        </is>
      </c>
      <c r="I103" s="175" t="inlineStr">
        <is>
          <t>SOB-KF过滤麦汁平均温度_进麦汁和升温到SOB_酿造_糖化_煮沸锅</t>
        </is>
      </c>
      <c r="J103" s="174" t="inlineStr">
        <is>
          <t>DF</t>
        </is>
      </c>
      <c r="K103" s="174" t="inlineStr">
        <is>
          <t>Y</t>
        </is>
      </c>
      <c r="L103" s="174" t="inlineStr">
        <is>
          <t>数据</t>
        </is>
      </c>
      <c r="N103" s="165" t="inlineStr">
        <is>
          <t>Brand</t>
        </is>
      </c>
      <c r="O103" s="165" t="inlineStr">
        <is>
          <t>OG</t>
        </is>
      </c>
      <c r="P103" s="165" t="inlineStr">
        <is>
          <t>BH Line</t>
        </is>
      </c>
    </row>
    <row r="104" ht="25.5" customHeight="1" s="241">
      <c r="A104" s="217" t="n"/>
      <c r="B104" s="217" t="n"/>
      <c r="C104" s="61" t="inlineStr">
        <is>
          <t>Kettle Full Volume</t>
        </is>
      </c>
      <c r="D104" s="174" t="inlineStr">
        <is>
          <t>煮沸锅满锅体积</t>
        </is>
      </c>
      <c r="E104" s="69" t="inlineStr">
        <is>
          <t>HL</t>
        </is>
      </c>
      <c r="F104" s="174" t="n"/>
      <c r="G104" s="60" t="inlineStr">
        <is>
          <t>Kettle Full Volume</t>
        </is>
      </c>
      <c r="H104" s="174" t="inlineStr">
        <is>
          <t>BR-21028</t>
        </is>
      </c>
      <c r="I104" s="175" t="inlineStr">
        <is>
          <t>煮沸麦汁满锅体积_满锅煮沸_酿造_糖化_煮沸锅</t>
        </is>
      </c>
      <c r="J104" s="174" t="inlineStr">
        <is>
          <t>DF</t>
        </is>
      </c>
      <c r="K104" s="174" t="n"/>
      <c r="L104" s="174" t="inlineStr">
        <is>
          <t>数据</t>
        </is>
      </c>
      <c r="N104" s="165" t="inlineStr">
        <is>
          <t>Brand</t>
        </is>
      </c>
      <c r="O104" s="165" t="inlineStr">
        <is>
          <t>OG</t>
        </is>
      </c>
      <c r="P104" s="165" t="inlineStr">
        <is>
          <t>BH Line</t>
        </is>
      </c>
    </row>
    <row r="105" ht="25.5" customHeight="1" s="241">
      <c r="A105" s="217" t="n"/>
      <c r="B105" s="217" t="n"/>
      <c r="C105" s="61" t="inlineStr">
        <is>
          <t>Kettle Full Temp</t>
        </is>
      </c>
      <c r="D105" s="174" t="inlineStr">
        <is>
          <t>煮沸锅满锅温度</t>
        </is>
      </c>
      <c r="E105" s="69" t="inlineStr">
        <is>
          <t>°C</t>
        </is>
      </c>
      <c r="F105" s="174" t="n"/>
      <c r="G105" s="60" t="inlineStr">
        <is>
          <t>Kettle Full Temperature</t>
        </is>
      </c>
      <c r="H105" s="174" t="inlineStr">
        <is>
          <t>BR-21072</t>
        </is>
      </c>
      <c r="I105" s="175" t="inlineStr">
        <is>
          <t>煮沸麦汁满锅温度_满锅煮沸_酿造_糖化_煮沸锅</t>
        </is>
      </c>
      <c r="J105" s="174" t="inlineStr">
        <is>
          <t>DF</t>
        </is>
      </c>
      <c r="K105" s="174" t="n"/>
      <c r="L105" s="174" t="inlineStr">
        <is>
          <t>数据</t>
        </is>
      </c>
      <c r="N105" s="165" t="inlineStr">
        <is>
          <t>Brand</t>
        </is>
      </c>
      <c r="O105" s="165" t="inlineStr">
        <is>
          <t>OG</t>
        </is>
      </c>
      <c r="P105" s="165" t="inlineStr">
        <is>
          <t>BH Line</t>
        </is>
      </c>
    </row>
    <row r="106" ht="25.5" customHeight="1" s="241">
      <c r="A106" s="217" t="n"/>
      <c r="B106" s="217" t="n"/>
      <c r="C106" s="61" t="inlineStr">
        <is>
          <t>Tap to Start of Boil Time</t>
        </is>
      </c>
      <c r="D106" s="174" t="inlineStr">
        <is>
          <t>开始加热到SOB时间</t>
        </is>
      </c>
      <c r="E106" s="69" t="inlineStr">
        <is>
          <t>min</t>
        </is>
      </c>
      <c r="F106" s="174" t="n"/>
      <c r="G106" s="60" t="inlineStr">
        <is>
          <t>Tap to Start of Boil Duration</t>
        </is>
      </c>
      <c r="H106" s="174" t="inlineStr">
        <is>
          <t>BR-21067</t>
        </is>
      </c>
      <c r="I106" s="175" t="inlineStr">
        <is>
          <t>工艺步骤时间段_进麦汁和升温到SOB_酿造_糖化_煮沸锅</t>
        </is>
      </c>
      <c r="J106" s="174" t="inlineStr">
        <is>
          <t>DF</t>
        </is>
      </c>
      <c r="K106" s="174" t="inlineStr">
        <is>
          <t>Y</t>
        </is>
      </c>
      <c r="L106" s="174" t="inlineStr">
        <is>
          <t>整数</t>
        </is>
      </c>
      <c r="N106" s="165" t="inlineStr">
        <is>
          <t>Brand</t>
        </is>
      </c>
      <c r="O106" s="165" t="inlineStr">
        <is>
          <t>OG</t>
        </is>
      </c>
      <c r="P106" s="165" t="inlineStr">
        <is>
          <t>BH Line</t>
        </is>
      </c>
      <c r="Q106" s="165" t="inlineStr">
        <is>
          <t>Kettle No.</t>
        </is>
      </c>
    </row>
    <row r="107" ht="24.95" customHeight="1" s="241">
      <c r="A107" s="217" t="n"/>
      <c r="B107" s="217" t="n"/>
      <c r="C107" s="61" t="inlineStr">
        <is>
          <t>Boiling Time Before KF</t>
        </is>
      </c>
      <c r="D107" s="174" t="inlineStr">
        <is>
          <t>满锅前煮沸时间</t>
        </is>
      </c>
      <c r="E107" s="69" t="inlineStr">
        <is>
          <t>min</t>
        </is>
      </c>
      <c r="F107" s="174" t="n"/>
      <c r="G107" s="61" t="n"/>
      <c r="H107" s="174" t="inlineStr">
        <is>
          <t>BR-21006</t>
        </is>
      </c>
      <c r="I107" s="180" t="inlineStr">
        <is>
          <t>SOB-KF煮沸工艺步骤时间段_预煮沸_酿造_糖化_煮沸锅</t>
        </is>
      </c>
      <c r="J107" s="174" t="inlineStr">
        <is>
          <t>DF</t>
        </is>
      </c>
      <c r="K107" s="174" t="inlineStr">
        <is>
          <t>Y</t>
        </is>
      </c>
      <c r="L107" s="174" t="inlineStr">
        <is>
          <t>整数</t>
        </is>
      </c>
      <c r="N107" s="165" t="inlineStr">
        <is>
          <t>Brand</t>
        </is>
      </c>
      <c r="O107" s="165" t="inlineStr">
        <is>
          <t>OG</t>
        </is>
      </c>
      <c r="P107" s="165" t="inlineStr">
        <is>
          <t>BH Line</t>
        </is>
      </c>
      <c r="Q107" s="165" t="inlineStr">
        <is>
          <t>Kettle No.</t>
        </is>
      </c>
    </row>
    <row r="108" ht="25.5" customHeight="1" s="241">
      <c r="A108" s="217" t="n"/>
      <c r="B108" s="217" t="n"/>
      <c r="C108" s="61" t="inlineStr">
        <is>
          <t>Boiling Time After KF</t>
        </is>
      </c>
      <c r="D108" s="174" t="inlineStr">
        <is>
          <t>满锅后煮沸时间</t>
        </is>
      </c>
      <c r="E108" s="69" t="inlineStr">
        <is>
          <t>min</t>
        </is>
      </c>
      <c r="F108" s="174" t="n"/>
      <c r="G108" s="60" t="inlineStr">
        <is>
          <t>Kettle Full Boil Duration</t>
        </is>
      </c>
      <c r="H108" s="174" t="inlineStr">
        <is>
          <t>BR-21025</t>
        </is>
      </c>
      <c r="I108" s="175" t="inlineStr">
        <is>
          <t>KF-KO煮沸工艺步骤时间段_满锅煮沸_酿造_糖化_煮沸锅</t>
        </is>
      </c>
      <c r="J108" s="174" t="inlineStr">
        <is>
          <t>DF</t>
        </is>
      </c>
      <c r="K108" s="174" t="inlineStr">
        <is>
          <t>Y</t>
        </is>
      </c>
      <c r="L108" s="174" t="inlineStr">
        <is>
          <t>整数</t>
        </is>
      </c>
      <c r="N108" s="165" t="inlineStr">
        <is>
          <t>Brand</t>
        </is>
      </c>
      <c r="O108" s="165" t="inlineStr">
        <is>
          <t>OG</t>
        </is>
      </c>
      <c r="P108" s="165" t="inlineStr">
        <is>
          <t>BH Line</t>
        </is>
      </c>
      <c r="Q108" s="165" t="inlineStr">
        <is>
          <t>Kettle No.</t>
        </is>
      </c>
    </row>
    <row r="109" ht="25.5" customHeight="1" s="241">
      <c r="A109" s="217" t="n"/>
      <c r="B109" s="217" t="n"/>
      <c r="C109" s="61" t="inlineStr">
        <is>
          <t>Total Boiling Time</t>
        </is>
      </c>
      <c r="D109" s="174" t="inlineStr">
        <is>
          <t>总煮沸时间</t>
        </is>
      </c>
      <c r="E109" s="69" t="inlineStr">
        <is>
          <t>min</t>
        </is>
      </c>
      <c r="F109" s="174" t="n"/>
      <c r="G109" s="60" t="inlineStr">
        <is>
          <t>Total Boiling Time (Duration)</t>
        </is>
      </c>
      <c r="H109" s="174" t="inlineStr">
        <is>
          <t>BR-20994</t>
        </is>
      </c>
      <c r="I109" s="175" t="inlineStr">
        <is>
          <t>SOB-KO煮沸工艺步骤时间段_麦汁煮沸_酿造_糖化_煮沸锅</t>
        </is>
      </c>
      <c r="J109" s="174" t="inlineStr">
        <is>
          <t>DF</t>
        </is>
      </c>
      <c r="K109" s="174" t="inlineStr">
        <is>
          <t>Y</t>
        </is>
      </c>
      <c r="L109" s="174" t="inlineStr">
        <is>
          <t>整数</t>
        </is>
      </c>
      <c r="N109" s="165" t="inlineStr">
        <is>
          <t>Brand</t>
        </is>
      </c>
      <c r="O109" s="165" t="inlineStr">
        <is>
          <t>OG</t>
        </is>
      </c>
      <c r="P109" s="165" t="inlineStr">
        <is>
          <t>BH Line</t>
        </is>
      </c>
      <c r="Q109" s="165" t="inlineStr">
        <is>
          <t>Kettle No.</t>
        </is>
      </c>
    </row>
    <row r="110" ht="50.45" customHeight="1" s="241">
      <c r="A110" s="217" t="n"/>
      <c r="B110" s="217" t="n"/>
      <c r="C110" s="61" t="inlineStr">
        <is>
          <t xml:space="preserve">Over Boiling Time </t>
        </is>
      </c>
      <c r="D110" s="174" t="inlineStr">
        <is>
          <t>过煮沸时间</t>
        </is>
      </c>
      <c r="E110" s="69" t="inlineStr">
        <is>
          <t>min</t>
        </is>
      </c>
      <c r="F110" s="174" t="n"/>
      <c r="G110" s="61" t="n"/>
      <c r="H110" s="174" t="n"/>
      <c r="I110" s="175" t="n"/>
      <c r="J110" s="174" t="inlineStr">
        <is>
          <t>SSS系统范围，实际值和标准计算</t>
        </is>
      </c>
      <c r="K110" s="174" t="inlineStr">
        <is>
          <t>Y</t>
        </is>
      </c>
      <c r="L110" s="174" t="inlineStr">
        <is>
          <t>整数</t>
        </is>
      </c>
      <c r="N110" s="165" t="inlineStr">
        <is>
          <t>Brand</t>
        </is>
      </c>
      <c r="O110" s="165" t="inlineStr">
        <is>
          <t>OG</t>
        </is>
      </c>
      <c r="P110" s="165" t="inlineStr">
        <is>
          <t>BH Line</t>
        </is>
      </c>
    </row>
    <row r="111" ht="24.95" customHeight="1" s="241">
      <c r="A111" s="217" t="n"/>
      <c r="B111" s="217" t="n"/>
      <c r="C111" s="61" t="inlineStr">
        <is>
          <t>Syrup Dose
Volume</t>
        </is>
      </c>
      <c r="D111" s="174" t="inlineStr">
        <is>
          <t>糖浆添加量</t>
        </is>
      </c>
      <c r="E111" s="69" t="inlineStr">
        <is>
          <t>HL</t>
        </is>
      </c>
      <c r="F111" s="174" t="n"/>
      <c r="G111" s="61" t="n"/>
      <c r="H111" s="174" t="inlineStr">
        <is>
          <t>BR-21036</t>
        </is>
      </c>
      <c r="I111" s="175" t="inlineStr">
        <is>
          <t>糖浆体积_添加糖浆_酿造_糖化_煮沸锅</t>
        </is>
      </c>
      <c r="J111" s="174" t="inlineStr">
        <is>
          <t>DF</t>
        </is>
      </c>
      <c r="K111" s="174" t="n"/>
      <c r="L111" s="174" t="inlineStr">
        <is>
          <t>数据</t>
        </is>
      </c>
      <c r="N111" s="165" t="inlineStr">
        <is>
          <t>Brand</t>
        </is>
      </c>
      <c r="O111" s="165" t="inlineStr">
        <is>
          <t>OG</t>
        </is>
      </c>
      <c r="P111" s="165" t="inlineStr">
        <is>
          <t>BH Line</t>
        </is>
      </c>
    </row>
    <row r="112" ht="38.25" customHeight="1" s="241">
      <c r="A112" s="217" t="n"/>
      <c r="B112" s="217" t="n"/>
      <c r="C112" s="61" t="inlineStr">
        <is>
          <t>External Calandria 
Exit Temp</t>
        </is>
      </c>
      <c r="D112" s="174" t="inlineStr">
        <is>
          <t>外加热器出口温度</t>
        </is>
      </c>
      <c r="E112" s="69" t="inlineStr">
        <is>
          <t>°C</t>
        </is>
      </c>
      <c r="F112" s="174" t="inlineStr">
        <is>
          <t>见下一页说明</t>
        </is>
      </c>
      <c r="G112" s="60" t="inlineStr">
        <is>
          <t>External Calandria Exit Temperature</t>
        </is>
      </c>
      <c r="H112" s="174" t="n"/>
      <c r="I112" s="175" t="n"/>
      <c r="J112" s="174" t="inlineStr">
        <is>
          <t>暂时不适用</t>
        </is>
      </c>
      <c r="K112" s="174" t="n"/>
      <c r="L112" s="174" t="inlineStr">
        <is>
          <t>数据</t>
        </is>
      </c>
      <c r="N112" s="165" t="inlineStr">
        <is>
          <t>Brand</t>
        </is>
      </c>
      <c r="O112" s="165" t="inlineStr">
        <is>
          <t>OG</t>
        </is>
      </c>
      <c r="P112" s="165" t="inlineStr">
        <is>
          <t>BH Line</t>
        </is>
      </c>
    </row>
    <row r="113" ht="38.25" customHeight="1" s="241">
      <c r="A113" s="217" t="n"/>
      <c r="B113" s="217" t="n"/>
      <c r="C113" s="61" t="inlineStr">
        <is>
          <t>1st Hops Addition - Time Before SOB</t>
        </is>
      </c>
      <c r="D113" s="174" t="inlineStr">
        <is>
          <t>SOB前多少分钟添加一次酒花</t>
        </is>
      </c>
      <c r="E113" s="70" t="inlineStr">
        <is>
          <t>min</t>
        </is>
      </c>
      <c r="F113" s="174" t="inlineStr">
        <is>
          <t>填实际数据，不要理论值</t>
        </is>
      </c>
      <c r="G113" s="60" t="inlineStr">
        <is>
          <t>1st Hops Addition - Time After Start of Boil</t>
        </is>
      </c>
      <c r="H113" s="174" t="inlineStr">
        <is>
          <t>BR-21068</t>
        </is>
      </c>
      <c r="I113" s="175" t="inlineStr">
        <is>
          <t>酒花添加至SOB工艺步骤时间段_进麦汁和升温到SOB_酿造_糖化_煮沸锅</t>
        </is>
      </c>
      <c r="J113" s="174" t="inlineStr">
        <is>
          <t>DF</t>
        </is>
      </c>
      <c r="K113" s="174" t="n"/>
      <c r="L113" s="174" t="inlineStr">
        <is>
          <t>整数</t>
        </is>
      </c>
      <c r="N113" s="165" t="inlineStr">
        <is>
          <t>Brand</t>
        </is>
      </c>
      <c r="O113" s="165" t="inlineStr">
        <is>
          <t>OG</t>
        </is>
      </c>
      <c r="P113" s="165" t="inlineStr">
        <is>
          <t>BH Line</t>
        </is>
      </c>
    </row>
    <row r="114" ht="29.1" customHeight="1" s="241">
      <c r="A114" s="217" t="n"/>
      <c r="B114" s="217" t="n"/>
      <c r="C114" s="61" t="inlineStr">
        <is>
          <t>2n Hops Addition - Time Before EOB</t>
        </is>
      </c>
      <c r="D114" s="174" t="inlineStr">
        <is>
          <t>煮沸结束前多少分钟添加二次酒花</t>
        </is>
      </c>
      <c r="E114" s="70" t="inlineStr">
        <is>
          <t>min</t>
        </is>
      </c>
      <c r="F114" s="174" t="inlineStr">
        <is>
          <t>填实际数据，不要理论值</t>
        </is>
      </c>
      <c r="G114" s="61" t="n"/>
      <c r="H114" s="174" t="inlineStr">
        <is>
          <t>BR-21073</t>
        </is>
      </c>
      <c r="I114" s="175" t="inlineStr">
        <is>
          <t>酒花添加至KO工艺步骤时间段_满锅煮沸_酿造_糖化_煮沸锅</t>
        </is>
      </c>
      <c r="J114" s="174" t="inlineStr">
        <is>
          <t>DF</t>
        </is>
      </c>
      <c r="K114" s="174" t="n"/>
      <c r="L114" s="174" t="inlineStr">
        <is>
          <t>整数</t>
        </is>
      </c>
      <c r="N114" s="165" t="inlineStr">
        <is>
          <t>Brand</t>
        </is>
      </c>
      <c r="O114" s="165" t="inlineStr">
        <is>
          <t>OG</t>
        </is>
      </c>
      <c r="P114" s="165" t="inlineStr">
        <is>
          <t>BH Line</t>
        </is>
      </c>
    </row>
    <row r="115" ht="27.95" customHeight="1" s="241">
      <c r="A115" s="217" t="n"/>
      <c r="B115" s="217" t="n"/>
      <c r="C115" s="168" t="inlineStr">
        <is>
          <t>Evap % - SOB to KF</t>
        </is>
      </c>
      <c r="D115" s="167" t="inlineStr">
        <is>
          <t>满锅前蒸发率</t>
        </is>
      </c>
      <c r="E115" s="70" t="inlineStr">
        <is>
          <t>%</t>
        </is>
      </c>
      <c r="F115" s="174" t="inlineStr">
        <is>
          <t>蒸汽计算，下一页说明</t>
        </is>
      </c>
      <c r="G115" s="61" t="n"/>
      <c r="H115" s="179" t="inlineStr">
        <is>
          <t>BR-21008</t>
        </is>
      </c>
      <c r="I115" s="180" t="inlineStr">
        <is>
          <t>SOB-KF煮沸蒸发率_预煮沸_酿造_糖化_煮沸锅</t>
        </is>
      </c>
      <c r="J115" s="179" t="inlineStr">
        <is>
          <t>DF</t>
        </is>
      </c>
      <c r="K115" s="174" t="inlineStr">
        <is>
          <t>Y</t>
        </is>
      </c>
      <c r="L115" s="174" t="inlineStr">
        <is>
          <t>数据</t>
        </is>
      </c>
      <c r="N115" s="165" t="inlineStr">
        <is>
          <t>Brand</t>
        </is>
      </c>
      <c r="O115" s="165" t="inlineStr">
        <is>
          <t>OG</t>
        </is>
      </c>
      <c r="P115" s="165" t="inlineStr">
        <is>
          <t>BH Line</t>
        </is>
      </c>
      <c r="Q115" s="165" t="inlineStr">
        <is>
          <t>Kettle No.</t>
        </is>
      </c>
    </row>
    <row r="116" ht="38.25" customHeight="1" s="241">
      <c r="A116" s="217" t="n"/>
      <c r="B116" s="217" t="n"/>
      <c r="C116" s="168" t="inlineStr">
        <is>
          <t>Evap % - KF to KO</t>
        </is>
      </c>
      <c r="D116" s="167" t="inlineStr">
        <is>
          <t>满锅后蒸发率</t>
        </is>
      </c>
      <c r="E116" s="70" t="inlineStr">
        <is>
          <t>%</t>
        </is>
      </c>
      <c r="F116" s="174" t="inlineStr">
        <is>
          <t>蒸汽计算，下一页说明</t>
        </is>
      </c>
      <c r="G116" s="60" t="inlineStr">
        <is>
          <t>Evaporation - Kettle Full to Empty</t>
        </is>
      </c>
      <c r="H116" s="174" t="inlineStr">
        <is>
          <t>BR-21027</t>
        </is>
      </c>
      <c r="I116" s="175" t="inlineStr">
        <is>
          <t>KF-KO煮沸蒸发率_满锅煮沸_酿造_糖化_煮沸锅</t>
        </is>
      </c>
      <c r="J116" s="174" t="inlineStr">
        <is>
          <t>DF</t>
        </is>
      </c>
      <c r="K116" s="174" t="inlineStr">
        <is>
          <t>Y</t>
        </is>
      </c>
      <c r="L116" s="174" t="inlineStr">
        <is>
          <t>数据</t>
        </is>
      </c>
      <c r="N116" s="165" t="inlineStr">
        <is>
          <t>Brand</t>
        </is>
      </c>
      <c r="O116" s="165" t="inlineStr">
        <is>
          <t>OG</t>
        </is>
      </c>
      <c r="P116" s="165" t="inlineStr">
        <is>
          <t>BH Line</t>
        </is>
      </c>
      <c r="Q116" s="165" t="inlineStr">
        <is>
          <t>Kettle No.</t>
        </is>
      </c>
    </row>
    <row r="117" ht="72.59999999999999" customHeight="1" s="241">
      <c r="A117" s="217" t="n"/>
      <c r="B117" s="217" t="n"/>
      <c r="C117" s="61" t="inlineStr">
        <is>
          <t>Evap % - KF to KO
Deviation</t>
        </is>
      </c>
      <c r="D117" s="174" t="inlineStr">
        <is>
          <t>满锅后蒸发率偏离</t>
        </is>
      </c>
      <c r="E117" s="70" t="inlineStr">
        <is>
          <t>%</t>
        </is>
      </c>
      <c r="F117" s="174" t="n"/>
      <c r="G117" s="61" t="n"/>
      <c r="H117" s="174" t="n"/>
      <c r="I117" s="175" t="n"/>
      <c r="J117" s="174" t="inlineStr">
        <is>
          <t>SSS系统范围，实际值和标准计算</t>
        </is>
      </c>
      <c r="K117" s="174" t="n"/>
      <c r="L117" s="174" t="inlineStr">
        <is>
          <t>数据</t>
        </is>
      </c>
      <c r="N117" s="165" t="inlineStr">
        <is>
          <t>Brand</t>
        </is>
      </c>
      <c r="O117" s="165" t="inlineStr">
        <is>
          <t>OG</t>
        </is>
      </c>
      <c r="P117" s="165" t="inlineStr">
        <is>
          <t>BH Line</t>
        </is>
      </c>
    </row>
    <row r="118" ht="38.25" customHeight="1" s="241">
      <c r="A118" s="217" t="n"/>
      <c r="B118" s="217" t="n"/>
      <c r="C118" s="168" t="inlineStr">
        <is>
          <t>Evap % - SOB to KO</t>
        </is>
      </c>
      <c r="D118" s="167" t="inlineStr">
        <is>
          <t>总蒸发率</t>
        </is>
      </c>
      <c r="E118" s="70" t="inlineStr">
        <is>
          <t>%</t>
        </is>
      </c>
      <c r="F118" s="174" t="inlineStr">
        <is>
          <t>蒸汽计算，下一页说明</t>
        </is>
      </c>
      <c r="G118" s="60" t="inlineStr">
        <is>
          <t>Evaporation - SOB to Kettle Empty</t>
        </is>
      </c>
      <c r="H118" s="174" t="inlineStr">
        <is>
          <t>BR-20996</t>
        </is>
      </c>
      <c r="I118" s="175" t="inlineStr">
        <is>
          <t>SOB-KO煮沸蒸发率_麦汁煮沸_酿造_糖化_煮沸锅</t>
        </is>
      </c>
      <c r="J118" s="174" t="inlineStr">
        <is>
          <t>DF</t>
        </is>
      </c>
      <c r="K118" s="174" t="inlineStr">
        <is>
          <t>Y</t>
        </is>
      </c>
      <c r="L118" s="174" t="inlineStr">
        <is>
          <t>数据</t>
        </is>
      </c>
      <c r="N118" s="165" t="inlineStr">
        <is>
          <t>Brand</t>
        </is>
      </c>
      <c r="O118" s="165" t="inlineStr">
        <is>
          <t>OG</t>
        </is>
      </c>
      <c r="P118" s="165" t="inlineStr">
        <is>
          <t>BH Line</t>
        </is>
      </c>
      <c r="Q118" s="165" t="inlineStr">
        <is>
          <t>Kettle No.</t>
        </is>
      </c>
    </row>
    <row r="119" ht="38.25" customHeight="1" s="241">
      <c r="A119" s="217" t="n"/>
      <c r="B119" s="217" t="n"/>
      <c r="C119" s="61" t="inlineStr">
        <is>
          <t>Total Evap %  - Conventional Boiling</t>
        </is>
      </c>
      <c r="D119" s="174" t="inlineStr">
        <is>
          <t>总蒸发率-常规煮沸</t>
        </is>
      </c>
      <c r="E119" s="70" t="inlineStr">
        <is>
          <t>%</t>
        </is>
      </c>
      <c r="F119" s="174" t="inlineStr">
        <is>
          <t>如煮沸方式选常规煮沸，则该项等于上行，</t>
        </is>
      </c>
      <c r="G119" s="60" t="inlineStr">
        <is>
          <t>Total Evaporation  - Conventional Boiling</t>
        </is>
      </c>
      <c r="H119" s="174" t="inlineStr">
        <is>
          <t>BR-20996</t>
        </is>
      </c>
      <c r="I119" s="175" t="inlineStr">
        <is>
          <t>SOB-KO煮沸蒸发率_麦汁煮沸_酿造_糖化_煮沸锅</t>
        </is>
      </c>
      <c r="J119" s="174" t="inlineStr">
        <is>
          <t>DF</t>
        </is>
      </c>
      <c r="K119" s="174" t="n"/>
      <c r="L119" s="174" t="inlineStr">
        <is>
          <t>数据</t>
        </is>
      </c>
      <c r="N119" s="165" t="inlineStr">
        <is>
          <t>Brand</t>
        </is>
      </c>
      <c r="O119" s="165" t="inlineStr">
        <is>
          <t>OG</t>
        </is>
      </c>
      <c r="P119" s="165" t="inlineStr">
        <is>
          <t>BH Line</t>
        </is>
      </c>
    </row>
    <row r="120" ht="38.25" customHeight="1" s="241">
      <c r="A120" s="217" t="n"/>
      <c r="B120" s="217" t="n"/>
      <c r="C120" s="61" t="inlineStr">
        <is>
          <t>Total Evap % - MSB</t>
        </is>
      </c>
      <c r="D120" s="174" t="inlineStr">
        <is>
          <t>总蒸发率-间歇煮沸</t>
        </is>
      </c>
      <c r="E120" s="70" t="inlineStr">
        <is>
          <t>%</t>
        </is>
      </c>
      <c r="F120" s="174" t="inlineStr">
        <is>
          <t>如煮沸方式选间歇煮沸，则该项等于上上行，</t>
        </is>
      </c>
      <c r="G120" s="60" t="inlineStr">
        <is>
          <t>Total Evaporation - Multiple Step Boiling</t>
        </is>
      </c>
      <c r="H120" s="174" t="inlineStr">
        <is>
          <t>BR-20996</t>
        </is>
      </c>
      <c r="I120" s="175" t="inlineStr">
        <is>
          <t>SOB-KO煮沸蒸发率_麦汁煮沸_酿造_糖化_煮沸锅</t>
        </is>
      </c>
      <c r="J120" s="174" t="inlineStr">
        <is>
          <t>DF</t>
        </is>
      </c>
      <c r="K120" s="174" t="n"/>
      <c r="L120" s="174" t="inlineStr">
        <is>
          <t>数据</t>
        </is>
      </c>
      <c r="N120" s="165" t="inlineStr">
        <is>
          <t>Brand</t>
        </is>
      </c>
      <c r="O120" s="165" t="inlineStr">
        <is>
          <t>OG</t>
        </is>
      </c>
      <c r="P120" s="165" t="inlineStr">
        <is>
          <t>BH Line</t>
        </is>
      </c>
    </row>
    <row r="121" ht="14.45" customHeight="1" s="241">
      <c r="A121" s="217" t="n"/>
      <c r="B121" s="217" t="n"/>
      <c r="C121" s="61" t="inlineStr">
        <is>
          <t xml:space="preserve"> Overfoaming times</t>
        </is>
      </c>
      <c r="D121" s="174" t="inlineStr">
        <is>
          <t>起泡次数</t>
        </is>
      </c>
      <c r="E121" s="70" t="n"/>
      <c r="F121" s="174" t="inlineStr">
        <is>
          <t>见下一页说明</t>
        </is>
      </c>
      <c r="G121" s="61" t="n"/>
      <c r="H121" s="174" t="inlineStr">
        <is>
          <t>BR-21066</t>
        </is>
      </c>
      <c r="I121" s="175" t="inlineStr">
        <is>
          <t>SOB-KO煮沸起泡次数_麦汁煮沸_酿造_糖化_煮沸锅</t>
        </is>
      </c>
      <c r="J121" s="174" t="inlineStr">
        <is>
          <t>DF</t>
        </is>
      </c>
      <c r="K121" s="174" t="inlineStr">
        <is>
          <t>Y</t>
        </is>
      </c>
      <c r="L121" s="174" t="inlineStr">
        <is>
          <t>数据</t>
        </is>
      </c>
      <c r="N121" s="165" t="inlineStr">
        <is>
          <t>Brand</t>
        </is>
      </c>
      <c r="O121" s="165" t="inlineStr">
        <is>
          <t>OG</t>
        </is>
      </c>
      <c r="P121" s="165" t="inlineStr">
        <is>
          <t>BH Line</t>
        </is>
      </c>
      <c r="Q121" s="165" t="inlineStr">
        <is>
          <t>Kettle No.</t>
        </is>
      </c>
    </row>
    <row r="122" ht="14.45" customHeight="1" s="241">
      <c r="A122" s="217" t="n"/>
      <c r="B122" s="217" t="n"/>
      <c r="C122" s="61" t="inlineStr">
        <is>
          <t>Highest Temp</t>
        </is>
      </c>
      <c r="D122" s="174" t="inlineStr">
        <is>
          <t>煮沸锅最高温度</t>
        </is>
      </c>
      <c r="E122" s="69" t="inlineStr">
        <is>
          <t>°C</t>
        </is>
      </c>
      <c r="F122" s="174" t="inlineStr">
        <is>
          <t>见下一页说明</t>
        </is>
      </c>
      <c r="G122" s="61" t="n"/>
      <c r="H122" s="174" t="inlineStr">
        <is>
          <t>BR-21032</t>
        </is>
      </c>
      <c r="I122" s="175" t="inlineStr">
        <is>
          <t>煮沸麦汁最高温度_满锅煮沸_酿造_糖化_煮沸锅</t>
        </is>
      </c>
      <c r="J122" s="174" t="inlineStr">
        <is>
          <t>DF</t>
        </is>
      </c>
      <c r="K122" s="174" t="inlineStr">
        <is>
          <t>Y</t>
        </is>
      </c>
      <c r="L122" s="174" t="inlineStr">
        <is>
          <t>数据</t>
        </is>
      </c>
      <c r="N122" s="165" t="inlineStr">
        <is>
          <t>Brand</t>
        </is>
      </c>
      <c r="O122" s="165" t="inlineStr">
        <is>
          <t>OG</t>
        </is>
      </c>
      <c r="P122" s="165" t="inlineStr">
        <is>
          <t>BH Line</t>
        </is>
      </c>
      <c r="Q122" s="165" t="inlineStr">
        <is>
          <t>Kettle No.</t>
        </is>
      </c>
    </row>
    <row r="123" ht="14.45" customHeight="1" s="241">
      <c r="A123" s="217" t="n"/>
      <c r="B123" s="217" t="n"/>
      <c r="C123" s="61" t="inlineStr">
        <is>
          <t>Highest Pressure</t>
        </is>
      </c>
      <c r="D123" s="174" t="inlineStr">
        <is>
          <t>煮沸锅锅内最高压力</t>
        </is>
      </c>
      <c r="E123" s="70" t="inlineStr">
        <is>
          <t>mBar</t>
        </is>
      </c>
      <c r="F123" s="174" t="inlineStr">
        <is>
          <t>见下一页说明</t>
        </is>
      </c>
      <c r="G123" s="61" t="n"/>
      <c r="H123" s="174" t="inlineStr">
        <is>
          <t>BR-21034</t>
        </is>
      </c>
      <c r="I123" s="175" t="inlineStr">
        <is>
          <t>煮沸麦汁最高压力_满锅煮沸_酿造_糖化_煮沸锅</t>
        </is>
      </c>
      <c r="J123" s="174" t="inlineStr">
        <is>
          <t>DF</t>
        </is>
      </c>
      <c r="K123" s="174" t="inlineStr">
        <is>
          <t>Y</t>
        </is>
      </c>
      <c r="L123" s="174" t="inlineStr">
        <is>
          <t>数据</t>
        </is>
      </c>
      <c r="N123" s="165" t="inlineStr">
        <is>
          <t>Brand</t>
        </is>
      </c>
      <c r="O123" s="165" t="inlineStr">
        <is>
          <t>OG</t>
        </is>
      </c>
      <c r="P123" s="165" t="inlineStr">
        <is>
          <t>BH Line</t>
        </is>
      </c>
      <c r="Q123" s="165" t="inlineStr">
        <is>
          <t>Kettle No.</t>
        </is>
      </c>
    </row>
    <row r="124" ht="29.1" customHeight="1" s="241">
      <c r="A124" s="217" t="n"/>
      <c r="B124" s="217" t="n"/>
      <c r="C124" s="61" t="inlineStr">
        <is>
          <t>Highest Steam Pressure -Upper Calandria</t>
        </is>
      </c>
      <c r="D124" s="174" t="inlineStr">
        <is>
          <t>上加热器蒸汽最高压力</t>
        </is>
      </c>
      <c r="E124" s="70" t="inlineStr">
        <is>
          <t>Bar</t>
        </is>
      </c>
      <c r="F124" s="174" t="inlineStr">
        <is>
          <t>见下一页说明</t>
        </is>
      </c>
      <c r="G124" s="61" t="n"/>
      <c r="H124" s="174" t="n"/>
      <c r="I124" s="175" t="n"/>
      <c r="J124" s="174" t="inlineStr">
        <is>
          <t>DF</t>
        </is>
      </c>
      <c r="K124" s="174" t="n"/>
      <c r="L124" s="174" t="inlineStr">
        <is>
          <t>数据</t>
        </is>
      </c>
      <c r="N124" s="165" t="inlineStr">
        <is>
          <t>Brand</t>
        </is>
      </c>
      <c r="O124" s="165" t="inlineStr">
        <is>
          <t>OG</t>
        </is>
      </c>
      <c r="P124" s="165" t="inlineStr">
        <is>
          <t>BH Line</t>
        </is>
      </c>
      <c r="Q124" s="165" t="inlineStr">
        <is>
          <t>Kettle No.</t>
        </is>
      </c>
    </row>
    <row r="125" ht="27" customHeight="1" s="241">
      <c r="A125" s="217" t="n"/>
      <c r="B125" s="217" t="n"/>
      <c r="C125" s="61" t="inlineStr">
        <is>
          <t>Highest Steam  Pressure -Lower Calandria</t>
        </is>
      </c>
      <c r="D125" s="174" t="inlineStr">
        <is>
          <t>下加热器蒸汽最高压力</t>
        </is>
      </c>
      <c r="E125" s="70" t="inlineStr">
        <is>
          <t>Bar</t>
        </is>
      </c>
      <c r="F125" s="174" t="inlineStr">
        <is>
          <t>见下一页说明</t>
        </is>
      </c>
      <c r="G125" s="61" t="n"/>
      <c r="H125" s="174" t="n"/>
      <c r="I125" s="175" t="n"/>
      <c r="J125" s="174" t="inlineStr">
        <is>
          <t>DF</t>
        </is>
      </c>
      <c r="K125" s="174" t="n"/>
      <c r="L125" s="174" t="inlineStr">
        <is>
          <t>数据</t>
        </is>
      </c>
      <c r="N125" s="165" t="inlineStr">
        <is>
          <t>Brand</t>
        </is>
      </c>
      <c r="O125" s="165" t="inlineStr">
        <is>
          <t>OG</t>
        </is>
      </c>
      <c r="P125" s="165" t="inlineStr">
        <is>
          <t>BH Line</t>
        </is>
      </c>
      <c r="Q125" s="165" t="inlineStr">
        <is>
          <t>Kettle No.</t>
        </is>
      </c>
    </row>
    <row r="126" ht="24.95" customHeight="1" s="241">
      <c r="A126" s="217" t="n"/>
      <c r="B126" s="217" t="n"/>
      <c r="C126" s="61" t="inlineStr">
        <is>
          <t>Steam Used - 
KF-KO</t>
        </is>
      </c>
      <c r="D126" s="174" t="inlineStr">
        <is>
          <t>蒸汽用量-满锅后煮沸</t>
        </is>
      </c>
      <c r="E126" s="70" t="inlineStr">
        <is>
          <t>Kg</t>
        </is>
      </c>
      <c r="F126" s="174" t="n"/>
      <c r="G126" s="61" t="n"/>
      <c r="H126" s="174" t="inlineStr">
        <is>
          <t>BR-21026</t>
        </is>
      </c>
      <c r="I126" s="175" t="inlineStr">
        <is>
          <t>KF-KO煮沸蒸汽用量_满锅煮沸_酿造_糖化_煮沸锅</t>
        </is>
      </c>
      <c r="J126" s="174" t="inlineStr">
        <is>
          <t>DF</t>
        </is>
      </c>
      <c r="K126" s="174" t="n"/>
      <c r="L126" s="174" t="inlineStr">
        <is>
          <t>数据</t>
        </is>
      </c>
      <c r="N126" s="165" t="inlineStr">
        <is>
          <t>Brand</t>
        </is>
      </c>
      <c r="O126" s="165" t="inlineStr">
        <is>
          <t>OG</t>
        </is>
      </c>
      <c r="P126" s="165" t="inlineStr">
        <is>
          <t>BH Line</t>
        </is>
      </c>
      <c r="Q126" s="165" t="inlineStr">
        <is>
          <t>Kettle No.</t>
        </is>
      </c>
    </row>
    <row r="127" ht="25.5" customHeight="1" s="241">
      <c r="A127" s="217" t="n"/>
      <c r="B127" s="217" t="n"/>
      <c r="C127" s="61" t="inlineStr">
        <is>
          <t>Steam Used - SOB-KO</t>
        </is>
      </c>
      <c r="D127" s="174" t="inlineStr">
        <is>
          <t>蒸汽用量-煮沸过程</t>
        </is>
      </c>
      <c r="E127" s="70" t="inlineStr">
        <is>
          <t>Kg</t>
        </is>
      </c>
      <c r="F127" s="174" t="n"/>
      <c r="G127" s="60" t="inlineStr">
        <is>
          <t>Total Steam Used - Total per Brew</t>
        </is>
      </c>
      <c r="H127" s="174" t="inlineStr">
        <is>
          <t>BR-21007</t>
        </is>
      </c>
      <c r="I127" s="175" t="inlineStr">
        <is>
          <t>SOB-KF煮沸蒸汽用量_预煮沸_酿造_糖化_煮沸锅</t>
        </is>
      </c>
      <c r="J127" s="174" t="inlineStr">
        <is>
          <t>DF</t>
        </is>
      </c>
      <c r="K127" s="174" t="inlineStr">
        <is>
          <t>Y</t>
        </is>
      </c>
      <c r="L127" s="174" t="inlineStr">
        <is>
          <t>数据</t>
        </is>
      </c>
      <c r="N127" s="165" t="inlineStr">
        <is>
          <t>Brand</t>
        </is>
      </c>
      <c r="O127" s="165" t="inlineStr">
        <is>
          <t>OG</t>
        </is>
      </c>
      <c r="P127" s="165" t="inlineStr">
        <is>
          <t>BH Line</t>
        </is>
      </c>
      <c r="Q127" s="165" t="inlineStr">
        <is>
          <t>Kettle No.</t>
        </is>
      </c>
    </row>
    <row r="128" ht="25.5" customHeight="1" s="241">
      <c r="A128" s="217" t="n"/>
      <c r="B128" s="217" t="n"/>
      <c r="C128" s="61" t="inlineStr">
        <is>
          <t>KO Extract</t>
        </is>
      </c>
      <c r="D128" s="174" t="inlineStr">
        <is>
          <t>煮沸结束麦汁原浓</t>
        </is>
      </c>
      <c r="E128" s="70" t="inlineStr">
        <is>
          <t>Plato</t>
        </is>
      </c>
      <c r="F128" s="174" t="inlineStr">
        <is>
          <t>有在线或实际有检测的填写</t>
        </is>
      </c>
      <c r="G128" s="60" t="inlineStr">
        <is>
          <t>Knockout Extract</t>
        </is>
      </c>
      <c r="H128" s="174" t="inlineStr">
        <is>
          <t>BR-21031</t>
        </is>
      </c>
      <c r="I128" s="175" t="inlineStr">
        <is>
          <t>煮沸麦汁40minOG_满锅煮沸_酿造_糖化_煮沸锅</t>
        </is>
      </c>
      <c r="J128" s="174" t="inlineStr">
        <is>
          <t>DF</t>
        </is>
      </c>
      <c r="K128" s="174" t="n"/>
      <c r="L128" s="174" t="inlineStr">
        <is>
          <t>数据</t>
        </is>
      </c>
      <c r="N128" s="165" t="inlineStr">
        <is>
          <t>Brand</t>
        </is>
      </c>
      <c r="O128" s="165" t="inlineStr">
        <is>
          <t>OG</t>
        </is>
      </c>
      <c r="P128" s="165" t="inlineStr">
        <is>
          <t>BH Line</t>
        </is>
      </c>
    </row>
    <row r="129" ht="25.5" customHeight="1" s="241">
      <c r="A129" s="217" t="n"/>
      <c r="B129" s="218" t="n"/>
      <c r="C129" s="61" t="inlineStr">
        <is>
          <t>KO Time</t>
        </is>
      </c>
      <c r="D129" s="174" t="inlineStr">
        <is>
          <t>打回旋时间</t>
        </is>
      </c>
      <c r="E129" s="70" t="inlineStr">
        <is>
          <t>min</t>
        </is>
      </c>
      <c r="F129" s="174" t="n"/>
      <c r="G129" s="60" t="inlineStr">
        <is>
          <t>Kettle Knockout Duration</t>
        </is>
      </c>
      <c r="H129" s="174" t="inlineStr">
        <is>
          <t>BR-21058</t>
        </is>
      </c>
      <c r="I129" s="175" t="inlineStr">
        <is>
          <t>工艺步骤时间段_麦汁进回旋沉淀槽_酿造_糖化_煮沸锅</t>
        </is>
      </c>
      <c r="J129" s="174" t="inlineStr">
        <is>
          <t>DF</t>
        </is>
      </c>
      <c r="K129" s="174" t="inlineStr">
        <is>
          <t>Y</t>
        </is>
      </c>
      <c r="L129" s="174" t="inlineStr">
        <is>
          <t>整数</t>
        </is>
      </c>
      <c r="N129" s="165" t="inlineStr">
        <is>
          <t>Brand</t>
        </is>
      </c>
      <c r="O129" s="165" t="inlineStr">
        <is>
          <t>OG</t>
        </is>
      </c>
      <c r="P129" s="165" t="inlineStr">
        <is>
          <t>BH Line</t>
        </is>
      </c>
    </row>
    <row r="130" ht="25.5" customHeight="1" s="241">
      <c r="A130" s="217" t="n"/>
      <c r="B130" s="223" t="inlineStr">
        <is>
          <t>Whirlpool</t>
        </is>
      </c>
      <c r="C130" s="61" t="inlineStr">
        <is>
          <t>Settling Time</t>
        </is>
      </c>
      <c r="D130" s="174" t="inlineStr">
        <is>
          <t>旋沉时间</t>
        </is>
      </c>
      <c r="E130" s="70" t="inlineStr">
        <is>
          <t>min</t>
        </is>
      </c>
      <c r="F130" s="174" t="n"/>
      <c r="G130" s="60" t="inlineStr">
        <is>
          <t>Hot Wort Settling Duration</t>
        </is>
      </c>
      <c r="H130" s="174" t="inlineStr">
        <is>
          <t>BR-21179</t>
        </is>
      </c>
      <c r="I130" s="175" t="inlineStr">
        <is>
          <t>回旋澄清麦汁5min体积_麦汁澄清_酿造_糖化_麦汁充氧系统</t>
        </is>
      </c>
      <c r="J130" s="174" t="inlineStr">
        <is>
          <t>DF</t>
        </is>
      </c>
      <c r="K130" s="174" t="inlineStr">
        <is>
          <t>Y</t>
        </is>
      </c>
      <c r="L130" s="174" t="inlineStr">
        <is>
          <t>整数</t>
        </is>
      </c>
      <c r="N130" s="165" t="inlineStr">
        <is>
          <t>Brand</t>
        </is>
      </c>
      <c r="O130" s="165" t="inlineStr">
        <is>
          <t>OG</t>
        </is>
      </c>
      <c r="P130" s="165" t="inlineStr">
        <is>
          <t>BH Line</t>
        </is>
      </c>
    </row>
    <row r="131" ht="51" customHeight="1" s="241">
      <c r="A131" s="217" t="n"/>
      <c r="B131" s="217" t="n"/>
      <c r="C131" s="61" t="inlineStr">
        <is>
          <t xml:space="preserve"> Settling Overtime</t>
        </is>
      </c>
      <c r="D131" s="174" t="inlineStr">
        <is>
          <t>旋沉超时时间</t>
        </is>
      </c>
      <c r="E131" s="70" t="inlineStr">
        <is>
          <t>min</t>
        </is>
      </c>
      <c r="F131" s="174" t="n"/>
      <c r="G131" s="61" t="n"/>
      <c r="H131" s="174" t="n"/>
      <c r="I131" s="175" t="n"/>
      <c r="J131" s="174" t="inlineStr">
        <is>
          <t>SSS完成：实际值和标准计算</t>
        </is>
      </c>
      <c r="K131" s="174" t="inlineStr">
        <is>
          <t>Y</t>
        </is>
      </c>
      <c r="L131" s="174" t="inlineStr">
        <is>
          <t>整数</t>
        </is>
      </c>
      <c r="N131" s="165" t="inlineStr">
        <is>
          <t>Brand</t>
        </is>
      </c>
      <c r="O131" s="165" t="inlineStr">
        <is>
          <t>OG</t>
        </is>
      </c>
      <c r="P131" s="165" t="inlineStr">
        <is>
          <t>BH Line</t>
        </is>
      </c>
    </row>
    <row r="132" ht="38.25" customHeight="1" s="241">
      <c r="A132" s="217" t="n"/>
      <c r="B132" s="217" t="n"/>
      <c r="C132" s="61" t="inlineStr">
        <is>
          <t>Wort Stripper Outlet Temp</t>
        </is>
      </c>
      <c r="D132" s="174" t="inlineStr">
        <is>
          <t>麦汁处理器出口温度</t>
        </is>
      </c>
      <c r="E132" s="69" t="inlineStr">
        <is>
          <t>°C</t>
        </is>
      </c>
      <c r="F132" s="174" t="inlineStr">
        <is>
          <t>见下一页说明</t>
        </is>
      </c>
      <c r="G132" s="60" t="inlineStr">
        <is>
          <t>Wort Stripper Outlet Temperature</t>
        </is>
      </c>
      <c r="H132" s="174" t="n"/>
      <c r="I132" s="175" t="n"/>
      <c r="J132" s="174" t="inlineStr">
        <is>
          <t>暂时不适用</t>
        </is>
      </c>
      <c r="K132" s="174" t="n"/>
      <c r="L132" s="174" t="inlineStr">
        <is>
          <t>数据</t>
        </is>
      </c>
      <c r="N132" s="165" t="inlineStr">
        <is>
          <t>Brand</t>
        </is>
      </c>
      <c r="O132" s="165" t="inlineStr">
        <is>
          <t>OG</t>
        </is>
      </c>
      <c r="P132" s="165" t="inlineStr">
        <is>
          <t>BH Line</t>
        </is>
      </c>
    </row>
    <row r="133" ht="25.5" customHeight="1" s="241">
      <c r="A133" s="217" t="n"/>
      <c r="B133" s="217" t="n"/>
      <c r="C133" s="61" t="inlineStr">
        <is>
          <t>Wort Zinc</t>
        </is>
      </c>
      <c r="D133" s="174" t="inlineStr">
        <is>
          <t>麦汁锌</t>
        </is>
      </c>
      <c r="E133" s="70" t="inlineStr">
        <is>
          <t>g/HL</t>
        </is>
      </c>
      <c r="F133" s="174" t="inlineStr">
        <is>
          <t>折算到每hl麦汁加了多少g锌</t>
        </is>
      </c>
      <c r="G133" s="60" t="inlineStr">
        <is>
          <t>Wort Zinc</t>
        </is>
      </c>
      <c r="H133" s="174" t="inlineStr">
        <is>
          <t>QA-05060</t>
        </is>
      </c>
      <c r="I133" s="175" t="inlineStr">
        <is>
          <t>锌_冷麦汁_麦汁澄清和冷却_酿造_糖化_麦汁充氧系统_麦汁管路</t>
        </is>
      </c>
      <c r="J133" s="185" t="inlineStr">
        <is>
          <t>DF</t>
        </is>
      </c>
      <c r="K133" s="174" t="n"/>
      <c r="L133" s="174" t="inlineStr">
        <is>
          <t>数据</t>
        </is>
      </c>
      <c r="N133" s="165" t="inlineStr">
        <is>
          <t>Brand</t>
        </is>
      </c>
      <c r="O133" s="165" t="inlineStr">
        <is>
          <t>OG</t>
        </is>
      </c>
      <c r="P133" s="165" t="inlineStr">
        <is>
          <t>BH Line</t>
        </is>
      </c>
    </row>
    <row r="134">
      <c r="A134" s="217" t="n"/>
      <c r="B134" s="217" t="n"/>
      <c r="C134" s="61" t="inlineStr">
        <is>
          <t>Cooling Time</t>
        </is>
      </c>
      <c r="D134" s="174" t="inlineStr">
        <is>
          <t>麦汁冷却时间</t>
        </is>
      </c>
      <c r="E134" s="70" t="inlineStr">
        <is>
          <t>min</t>
        </is>
      </c>
      <c r="F134" s="174" t="inlineStr">
        <is>
          <t>不含顶水</t>
        </is>
      </c>
      <c r="G134" s="60" t="inlineStr">
        <is>
          <t>Cooling Duration</t>
        </is>
      </c>
      <c r="H134" s="174" t="inlineStr">
        <is>
          <t>BR-21214</t>
        </is>
      </c>
      <c r="I134" s="175" t="inlineStr">
        <is>
          <t>工艺步骤时间段_麦汁冷却_酿造_糖化_麦汁冷却系统</t>
        </is>
      </c>
      <c r="J134" s="174" t="inlineStr">
        <is>
          <t>DF</t>
        </is>
      </c>
      <c r="K134" s="174" t="inlineStr">
        <is>
          <t>Y</t>
        </is>
      </c>
      <c r="L134" s="174" t="inlineStr">
        <is>
          <t>整数</t>
        </is>
      </c>
      <c r="N134" s="165" t="inlineStr">
        <is>
          <t>Brand</t>
        </is>
      </c>
      <c r="O134" s="165" t="inlineStr">
        <is>
          <t>OG</t>
        </is>
      </c>
      <c r="P134" s="165" t="inlineStr">
        <is>
          <t>BH Line</t>
        </is>
      </c>
    </row>
    <row r="135" ht="25.5" customHeight="1" s="241">
      <c r="A135" s="217" t="n"/>
      <c r="B135" s="217" t="n"/>
      <c r="C135" s="61" t="inlineStr">
        <is>
          <t>Cold Wort Temp</t>
        </is>
      </c>
      <c r="D135" s="174" t="inlineStr">
        <is>
          <t>麦汁冷却温度</t>
        </is>
      </c>
      <c r="E135" s="69" t="inlineStr">
        <is>
          <t>°C</t>
        </is>
      </c>
      <c r="F135" s="174" t="inlineStr">
        <is>
          <t>见下一页说明</t>
        </is>
      </c>
      <c r="G135" s="60" t="inlineStr">
        <is>
          <t>Cold Wort Temperature</t>
        </is>
      </c>
      <c r="H135" s="174" t="inlineStr">
        <is>
          <t>BR-21219</t>
        </is>
      </c>
      <c r="I135" s="175" t="inlineStr">
        <is>
          <t>冷麦汁平均温度_麦汁冷却在线分析_酿造_糖化_麦汁冷却系统</t>
        </is>
      </c>
      <c r="J135" s="174" t="inlineStr">
        <is>
          <t>DF</t>
        </is>
      </c>
      <c r="K135" s="174" t="n"/>
      <c r="L135" s="174" t="inlineStr">
        <is>
          <t>数据</t>
        </is>
      </c>
      <c r="N135" s="165" t="inlineStr">
        <is>
          <t>Brand</t>
        </is>
      </c>
      <c r="O135" s="165" t="inlineStr">
        <is>
          <t>OG</t>
        </is>
      </c>
      <c r="P135" s="165" t="inlineStr">
        <is>
          <t>BH Line</t>
        </is>
      </c>
    </row>
    <row r="136">
      <c r="A136" s="217" t="n"/>
      <c r="B136" s="217" t="n"/>
      <c r="C136" s="61" t="inlineStr">
        <is>
          <t>Air Injection</t>
        </is>
      </c>
      <c r="D136" s="174" t="inlineStr">
        <is>
          <t>每锅次充氧量</t>
        </is>
      </c>
      <c r="E136" s="70" t="inlineStr">
        <is>
          <t>Kg/Brew</t>
        </is>
      </c>
      <c r="F136" s="174" t="n"/>
      <c r="G136" s="61" t="n"/>
      <c r="H136" s="174" t="inlineStr">
        <is>
          <t>BR-21245</t>
        </is>
      </c>
      <c r="I136" s="186" t="inlineStr">
        <is>
          <t>冷麦汁充氧量(kg)_麦汁充氧_酿造_糖化_麦汁充氧系统</t>
        </is>
      </c>
      <c r="J136" s="174" t="inlineStr">
        <is>
          <t>DF</t>
        </is>
      </c>
      <c r="K136" s="174" t="n"/>
      <c r="L136" s="174" t="inlineStr">
        <is>
          <t>数据</t>
        </is>
      </c>
      <c r="N136" s="165" t="inlineStr">
        <is>
          <t>Brand</t>
        </is>
      </c>
      <c r="O136" s="165" t="inlineStr">
        <is>
          <t>OG</t>
        </is>
      </c>
      <c r="P136" s="165" t="inlineStr">
        <is>
          <t>BH Line</t>
        </is>
      </c>
    </row>
    <row r="137" ht="25.5" customHeight="1" s="241">
      <c r="A137" s="217" t="n"/>
      <c r="B137" s="217" t="n"/>
      <c r="C137" s="187" t="inlineStr">
        <is>
          <t>Wort Aeration Mass Flow Rate</t>
        </is>
      </c>
      <c r="D137" s="188" t="inlineStr">
        <is>
          <t>充氧流量</t>
        </is>
      </c>
      <c r="E137" s="70" t="inlineStr">
        <is>
          <t>g/HL</t>
        </is>
      </c>
      <c r="F137" s="189" t="inlineStr">
        <is>
          <t>见下一页说明</t>
        </is>
      </c>
      <c r="G137" s="119" t="inlineStr">
        <is>
          <t>Wort Aeration Mass Flow Rate</t>
        </is>
      </c>
      <c r="H137" s="174" t="inlineStr">
        <is>
          <t>BR-21226</t>
        </is>
      </c>
      <c r="I137" s="186" t="inlineStr">
        <is>
          <t>冷麦汁充氧量（g/hl）_麦汁充氧在线分析_酿造_糖化_麦汁充氧系统</t>
        </is>
      </c>
      <c r="J137" s="174" t="inlineStr">
        <is>
          <t>DF</t>
        </is>
      </c>
      <c r="K137" s="174" t="inlineStr">
        <is>
          <t>Y</t>
        </is>
      </c>
      <c r="L137" s="174" t="inlineStr">
        <is>
          <t>数据</t>
        </is>
      </c>
      <c r="N137" s="165" t="inlineStr">
        <is>
          <t>Brand</t>
        </is>
      </c>
      <c r="O137" s="165" t="inlineStr">
        <is>
          <t>OG</t>
        </is>
      </c>
      <c r="P137" s="165" t="inlineStr">
        <is>
          <t>BH Line</t>
        </is>
      </c>
    </row>
    <row r="138" ht="25.5" customHeight="1" s="241">
      <c r="A138" s="217" t="n"/>
      <c r="B138" s="217" t="n"/>
      <c r="C138" s="123" t="inlineStr">
        <is>
          <t>Double Mass Flow  Rate Deviation</t>
        </is>
      </c>
      <c r="D138" s="189" t="inlineStr">
        <is>
          <t>双质量流量计充氧流量偏离</t>
        </is>
      </c>
      <c r="E138" s="129" t="inlineStr">
        <is>
          <t>%</t>
        </is>
      </c>
      <c r="F138" s="189" t="n"/>
      <c r="G138" s="61" t="n"/>
      <c r="H138" s="174" t="inlineStr">
        <is>
          <t>BR-21228</t>
        </is>
      </c>
      <c r="I138" s="186" t="inlineStr">
        <is>
          <t>主和次流量计偏差率_麦汁充氧_酿造_糖化_麦汁充氧系统</t>
        </is>
      </c>
      <c r="J138" s="174" t="n"/>
      <c r="K138" s="174" t="n"/>
      <c r="L138" s="174" t="inlineStr">
        <is>
          <t>数据</t>
        </is>
      </c>
      <c r="N138" s="165" t="inlineStr">
        <is>
          <t>Brand</t>
        </is>
      </c>
      <c r="O138" s="165" t="inlineStr">
        <is>
          <t>OG</t>
        </is>
      </c>
      <c r="P138" s="165" t="inlineStr">
        <is>
          <t>BH Line</t>
        </is>
      </c>
    </row>
    <row r="139">
      <c r="A139" s="217" t="n"/>
      <c r="B139" s="217" t="n"/>
      <c r="C139" s="61" t="inlineStr">
        <is>
          <t>Cold Wort Volume</t>
        </is>
      </c>
      <c r="D139" s="174" t="inlineStr">
        <is>
          <t>冷麦汁体积</t>
        </is>
      </c>
      <c r="E139" s="70" t="inlineStr">
        <is>
          <t>HL</t>
        </is>
      </c>
      <c r="F139" s="174" t="n"/>
      <c r="G139" s="61" t="n"/>
      <c r="H139" s="174" t="inlineStr">
        <is>
          <t>BR-21216</t>
        </is>
      </c>
      <c r="I139" s="175" t="inlineStr">
        <is>
          <t>冷麦汁量_麦汁冷却_酿造_糖化_麦汁冷却系统</t>
        </is>
      </c>
      <c r="J139" s="174" t="inlineStr">
        <is>
          <t>DF</t>
        </is>
      </c>
      <c r="K139" s="174" t="inlineStr">
        <is>
          <t>Y</t>
        </is>
      </c>
      <c r="L139" s="174" t="inlineStr">
        <is>
          <t>数据</t>
        </is>
      </c>
      <c r="N139" s="165" t="inlineStr">
        <is>
          <t>Brand</t>
        </is>
      </c>
      <c r="O139" s="165" t="inlineStr">
        <is>
          <t>OG</t>
        </is>
      </c>
      <c r="P139" s="165" t="inlineStr">
        <is>
          <t>BH Line</t>
        </is>
      </c>
    </row>
    <row r="140" ht="25.5" customHeight="1" s="241">
      <c r="A140" s="217" t="n"/>
      <c r="B140" s="217" t="n"/>
      <c r="C140" s="61" t="inlineStr">
        <is>
          <t>Brewhouse Hot time</t>
        </is>
      </c>
      <c r="D140" s="174" t="inlineStr">
        <is>
          <t>糖化热时间</t>
        </is>
      </c>
      <c r="E140" s="70" t="inlineStr">
        <is>
          <t>min</t>
        </is>
      </c>
      <c r="F140" s="174" t="inlineStr">
        <is>
          <t>不含麦汁冷却后顶水时间</t>
        </is>
      </c>
      <c r="G140" s="60" t="inlineStr">
        <is>
          <t>Brewhouse Hot time</t>
        </is>
      </c>
      <c r="H140" s="174" t="inlineStr">
        <is>
          <t>BR-02005</t>
        </is>
      </c>
      <c r="I140" s="175" t="inlineStr">
        <is>
          <t>糖化单锅次热时间_糖化_酿造_糖化</t>
        </is>
      </c>
      <c r="J140" s="174" t="inlineStr">
        <is>
          <t>DF</t>
        </is>
      </c>
      <c r="K140" s="174" t="inlineStr">
        <is>
          <t>Y</t>
        </is>
      </c>
      <c r="L140" s="174" t="inlineStr">
        <is>
          <t>整数</t>
        </is>
      </c>
      <c r="N140" s="165" t="inlineStr">
        <is>
          <t>Brand</t>
        </is>
      </c>
      <c r="O140" s="165" t="inlineStr">
        <is>
          <t>OG</t>
        </is>
      </c>
      <c r="P140" s="165" t="inlineStr">
        <is>
          <t>BH Line</t>
        </is>
      </c>
    </row>
    <row r="141" ht="51" customHeight="1" s="241">
      <c r="A141" s="217" t="n"/>
      <c r="B141" s="217" t="n"/>
      <c r="C141" s="61" t="inlineStr">
        <is>
          <t>Brewhouse Hot time
Deviation</t>
        </is>
      </c>
      <c r="D141" s="174" t="inlineStr">
        <is>
          <t>糖化热时间偏离</t>
        </is>
      </c>
      <c r="E141" s="70" t="inlineStr">
        <is>
          <t>min</t>
        </is>
      </c>
      <c r="F141" s="174" t="n"/>
      <c r="G141" s="61" t="n"/>
      <c r="H141" s="174" t="n"/>
      <c r="I141" s="175" t="n"/>
      <c r="J141" s="174" t="inlineStr">
        <is>
          <t>SSS完成：实际值和标准计算</t>
        </is>
      </c>
      <c r="K141" s="174" t="n"/>
      <c r="L141" s="174" t="inlineStr">
        <is>
          <t>整数</t>
        </is>
      </c>
      <c r="N141" s="165" t="inlineStr">
        <is>
          <t>Brand</t>
        </is>
      </c>
      <c r="O141" s="165" t="inlineStr">
        <is>
          <t>OG</t>
        </is>
      </c>
      <c r="P141" s="165" t="inlineStr">
        <is>
          <t>BH Line</t>
        </is>
      </c>
    </row>
    <row r="142" ht="25.5" customHeight="1" s="241">
      <c r="A142" s="217" t="n"/>
      <c r="B142" s="217" t="n"/>
      <c r="C142" s="61" t="inlineStr">
        <is>
          <t>Total  Brewhouse cyle time</t>
        </is>
      </c>
      <c r="D142" s="174" t="inlineStr">
        <is>
          <t>糖化周期</t>
        </is>
      </c>
      <c r="E142" s="70" t="inlineStr">
        <is>
          <t>min</t>
        </is>
      </c>
      <c r="F142" s="174" t="inlineStr">
        <is>
          <t>不含麦汁冷却后顶水时间</t>
        </is>
      </c>
      <c r="G142" s="60" t="inlineStr">
        <is>
          <t>Total  Brewhouse cyle time</t>
        </is>
      </c>
      <c r="H142" s="174" t="inlineStr">
        <is>
          <t>BR-02007</t>
        </is>
      </c>
      <c r="I142" s="175" t="inlineStr">
        <is>
          <t>糖化单锅次周期_糖化_酿造_糖化</t>
        </is>
      </c>
      <c r="J142" s="174" t="inlineStr">
        <is>
          <t>DF</t>
        </is>
      </c>
      <c r="K142" s="174" t="inlineStr">
        <is>
          <t>Y</t>
        </is>
      </c>
      <c r="L142" s="174" t="inlineStr">
        <is>
          <t>整数</t>
        </is>
      </c>
      <c r="N142" s="165" t="inlineStr">
        <is>
          <t>Brand</t>
        </is>
      </c>
      <c r="O142" s="165" t="inlineStr">
        <is>
          <t>OG</t>
        </is>
      </c>
      <c r="P142" s="165" t="inlineStr">
        <is>
          <t>BH Line</t>
        </is>
      </c>
    </row>
    <row r="143" ht="51" customHeight="1" s="241">
      <c r="A143" s="217" t="n"/>
      <c r="B143" s="217" t="n"/>
      <c r="C143" s="61" t="inlineStr">
        <is>
          <t>Brewhouse cyle time
Deviation</t>
        </is>
      </c>
      <c r="D143" s="174" t="inlineStr">
        <is>
          <t>糖化周期偏离</t>
        </is>
      </c>
      <c r="E143" s="70" t="inlineStr">
        <is>
          <t>min</t>
        </is>
      </c>
      <c r="F143" s="174" t="n"/>
      <c r="G143" s="61" t="n"/>
      <c r="H143" s="174" t="n"/>
      <c r="I143" s="175" t="n"/>
      <c r="J143" s="174" t="inlineStr">
        <is>
          <t>SSS完成：实际值和标准计算</t>
        </is>
      </c>
      <c r="K143" s="174" t="n"/>
      <c r="L143" s="174" t="inlineStr">
        <is>
          <t>整数</t>
        </is>
      </c>
      <c r="N143" s="165" t="inlineStr">
        <is>
          <t>Brand</t>
        </is>
      </c>
      <c r="O143" s="165" t="inlineStr">
        <is>
          <t>OG</t>
        </is>
      </c>
      <c r="P143" s="165" t="inlineStr">
        <is>
          <t>BH Line</t>
        </is>
      </c>
    </row>
    <row r="144">
      <c r="A144" s="217" t="n"/>
      <c r="B144" s="217" t="n"/>
      <c r="C144" s="168" t="inlineStr">
        <is>
          <t xml:space="preserve">Hot Severity Index </t>
        </is>
      </c>
      <c r="D144" s="167" t="inlineStr">
        <is>
          <t>糖化热效应指数</t>
        </is>
      </c>
      <c r="E144" s="70" t="n"/>
      <c r="F144" s="174" t="n"/>
      <c r="G144" s="61" t="n"/>
      <c r="H144" s="174" t="inlineStr">
        <is>
          <t>BR-02006</t>
        </is>
      </c>
      <c r="I144" s="175" t="inlineStr">
        <is>
          <t>糖化单锅次HSI_糖化_酿造_糖化</t>
        </is>
      </c>
      <c r="J144" s="174" t="inlineStr">
        <is>
          <t>DF</t>
        </is>
      </c>
      <c r="K144" s="174" t="inlineStr">
        <is>
          <t>Y</t>
        </is>
      </c>
      <c r="L144" s="174" t="inlineStr">
        <is>
          <t>数据</t>
        </is>
      </c>
      <c r="N144" s="165" t="inlineStr">
        <is>
          <t>Brand</t>
        </is>
      </c>
      <c r="O144" s="165" t="inlineStr">
        <is>
          <t>OG</t>
        </is>
      </c>
      <c r="P144" s="165" t="inlineStr">
        <is>
          <t>BH Line</t>
        </is>
      </c>
    </row>
    <row r="145" ht="25.5" customHeight="1" s="241">
      <c r="A145" s="217" t="n"/>
      <c r="B145" s="217" t="n"/>
      <c r="C145" s="61" t="inlineStr">
        <is>
          <t>OG -
In Line</t>
        </is>
      </c>
      <c r="D145" s="174" t="inlineStr">
        <is>
          <t>冷麦汁OG-在线</t>
        </is>
      </c>
      <c r="E145" s="70" t="inlineStr">
        <is>
          <t>Plato</t>
        </is>
      </c>
      <c r="F145" s="174" t="n"/>
      <c r="G145" s="61" t="n"/>
      <c r="H145" s="174" t="inlineStr">
        <is>
          <t>BR-21218</t>
        </is>
      </c>
      <c r="I145" s="175" t="inlineStr">
        <is>
          <t>冷麦汁平均OG_麦汁冷却在线分析_酿造_糖化_麦汁冷却系统</t>
        </is>
      </c>
      <c r="J145" s="172" t="inlineStr">
        <is>
          <t>DF</t>
        </is>
      </c>
      <c r="K145" s="174" t="inlineStr">
        <is>
          <t>Y</t>
        </is>
      </c>
      <c r="L145" s="174" t="inlineStr">
        <is>
          <t>数据</t>
        </is>
      </c>
      <c r="N145" s="165" t="inlineStr">
        <is>
          <t>Brand</t>
        </is>
      </c>
      <c r="O145" s="165" t="inlineStr">
        <is>
          <t>OG</t>
        </is>
      </c>
      <c r="P145" s="165" t="inlineStr">
        <is>
          <t>BH Line</t>
        </is>
      </c>
    </row>
    <row r="146" ht="25.5" customHeight="1" s="241">
      <c r="A146" s="217" t="n"/>
      <c r="B146" s="218" t="n"/>
      <c r="C146" s="61" t="inlineStr">
        <is>
          <t>pH - 
In Line</t>
        </is>
      </c>
      <c r="D146" s="174" t="inlineStr">
        <is>
          <t>冷麦汁pH-在线</t>
        </is>
      </c>
      <c r="E146" s="70" t="inlineStr">
        <is>
          <t>Plato</t>
        </is>
      </c>
      <c r="F146" s="174" t="n"/>
      <c r="G146" s="61" t="n"/>
      <c r="H146" s="174" t="inlineStr">
        <is>
          <t>BR-21220</t>
        </is>
      </c>
      <c r="I146" s="175" t="inlineStr">
        <is>
          <t>冷麦汁平均PH值_麦汁冷却在线分析_酿造_糖化_麦汁冷却系统</t>
        </is>
      </c>
      <c r="J146" s="172" t="inlineStr">
        <is>
          <t>DF</t>
        </is>
      </c>
      <c r="K146" s="174" t="inlineStr">
        <is>
          <t>Y</t>
        </is>
      </c>
      <c r="L146" s="174" t="inlineStr">
        <is>
          <t>数据</t>
        </is>
      </c>
      <c r="N146" s="165" t="inlineStr">
        <is>
          <t>Brand</t>
        </is>
      </c>
      <c r="O146" s="165" t="inlineStr">
        <is>
          <t>OG</t>
        </is>
      </c>
      <c r="P146" s="165" t="inlineStr">
        <is>
          <t>BH Line</t>
        </is>
      </c>
    </row>
    <row r="147" ht="25.5" customHeight="1" s="241">
      <c r="A147" s="217" t="n"/>
      <c r="B147" s="226" t="inlineStr">
        <is>
          <t>Cold Wort</t>
        </is>
      </c>
      <c r="C147" s="61" t="inlineStr">
        <is>
          <t>OG</t>
        </is>
      </c>
      <c r="D147" s="174" t="inlineStr">
        <is>
          <t>OG</t>
        </is>
      </c>
      <c r="E147" s="70" t="inlineStr">
        <is>
          <t>Plato</t>
        </is>
      </c>
      <c r="F147" s="174" t="n"/>
      <c r="G147" s="60" t="inlineStr">
        <is>
          <t>Wort Original Gravity</t>
        </is>
      </c>
      <c r="H147" s="174" t="n"/>
      <c r="I147" s="175" t="n"/>
      <c r="J147" s="172" t="inlineStr">
        <is>
          <t>LIMS</t>
        </is>
      </c>
      <c r="K147" s="174" t="inlineStr">
        <is>
          <t>Y</t>
        </is>
      </c>
      <c r="L147" s="174" t="inlineStr">
        <is>
          <t>数据</t>
        </is>
      </c>
      <c r="N147" s="165" t="inlineStr">
        <is>
          <t>Brand</t>
        </is>
      </c>
      <c r="O147" s="165" t="inlineStr">
        <is>
          <t>OG</t>
        </is>
      </c>
    </row>
    <row r="148">
      <c r="A148" s="217" t="n"/>
      <c r="B148" s="217" t="n"/>
      <c r="C148" s="61" t="inlineStr">
        <is>
          <t>pH</t>
        </is>
      </c>
      <c r="D148" s="174" t="inlineStr">
        <is>
          <t>pH</t>
        </is>
      </c>
      <c r="E148" s="70" t="n"/>
      <c r="F148" s="174" t="n"/>
      <c r="G148" s="60" t="inlineStr">
        <is>
          <t>Wort pH</t>
        </is>
      </c>
      <c r="H148" s="174" t="n"/>
      <c r="I148" s="175" t="n"/>
      <c r="J148" s="172" t="inlineStr">
        <is>
          <t>LIMS</t>
        </is>
      </c>
      <c r="K148" s="174" t="inlineStr">
        <is>
          <t>Y</t>
        </is>
      </c>
      <c r="L148" s="174" t="inlineStr">
        <is>
          <t>数据</t>
        </is>
      </c>
      <c r="N148" s="165" t="inlineStr">
        <is>
          <t>Brand</t>
        </is>
      </c>
      <c r="O148" s="165" t="inlineStr">
        <is>
          <t>OG</t>
        </is>
      </c>
    </row>
    <row r="149" ht="25.5" customHeight="1" s="241">
      <c r="A149" s="217" t="n"/>
      <c r="B149" s="217" t="n"/>
      <c r="C149" s="61" t="inlineStr">
        <is>
          <t>Color</t>
        </is>
      </c>
      <c r="D149" s="174" t="inlineStr">
        <is>
          <t>色度</t>
        </is>
      </c>
      <c r="E149" s="111" t="inlineStr">
        <is>
          <t>EBC</t>
        </is>
      </c>
      <c r="F149" s="174" t="n"/>
      <c r="G149" s="60" t="inlineStr">
        <is>
          <t>Wort 
Color</t>
        </is>
      </c>
      <c r="H149" s="174" t="inlineStr">
        <is>
          <t>QA-05054</t>
        </is>
      </c>
      <c r="I149" s="175" t="inlineStr">
        <is>
          <t>色度_冷麦汁_麦汁澄清和冷却_酿造_糖化_麦汁充氧系统_麦汁管路</t>
        </is>
      </c>
      <c r="J149" s="174" t="inlineStr">
        <is>
          <t>LIMS</t>
        </is>
      </c>
      <c r="K149" s="174" t="n"/>
      <c r="L149" s="174" t="inlineStr">
        <is>
          <t>数据</t>
        </is>
      </c>
      <c r="N149" s="165" t="inlineStr">
        <is>
          <t>Brand</t>
        </is>
      </c>
      <c r="O149" s="165" t="inlineStr">
        <is>
          <t>OG</t>
        </is>
      </c>
    </row>
    <row r="150" ht="25.5" customHeight="1" s="241">
      <c r="A150" s="217" t="n"/>
      <c r="B150" s="217" t="n"/>
      <c r="C150" s="61" t="inlineStr">
        <is>
          <t>Calcium</t>
        </is>
      </c>
      <c r="D150" s="174" t="inlineStr">
        <is>
          <t>钙</t>
        </is>
      </c>
      <c r="E150" s="111" t="inlineStr">
        <is>
          <t>ppm</t>
        </is>
      </c>
      <c r="F150" s="174" t="n"/>
      <c r="G150" s="60" t="inlineStr">
        <is>
          <t>Wort Calcium</t>
        </is>
      </c>
      <c r="H150" s="174" t="inlineStr">
        <is>
          <t>QA-05055</t>
        </is>
      </c>
      <c r="I150" s="175" t="inlineStr">
        <is>
          <t>钙_冷麦汁_麦汁澄清和冷却_酿造_糖化_麦汁充氧系统_麦汁管路</t>
        </is>
      </c>
      <c r="J150" s="174" t="inlineStr">
        <is>
          <t>LIMS</t>
        </is>
      </c>
      <c r="K150" s="174" t="inlineStr">
        <is>
          <t>Y</t>
        </is>
      </c>
      <c r="L150" s="174" t="inlineStr">
        <is>
          <t>数据</t>
        </is>
      </c>
      <c r="N150" s="165" t="inlineStr">
        <is>
          <t>Brand</t>
        </is>
      </c>
      <c r="O150" s="165" t="inlineStr">
        <is>
          <t>OG</t>
        </is>
      </c>
    </row>
    <row r="151" ht="25.5" customHeight="1" s="241">
      <c r="A151" s="217" t="n"/>
      <c r="B151" s="217" t="n"/>
      <c r="C151" s="61" t="inlineStr">
        <is>
          <t>FAN</t>
        </is>
      </c>
      <c r="D151" s="174" t="inlineStr">
        <is>
          <t>FAN</t>
        </is>
      </c>
      <c r="E151" s="111" t="inlineStr">
        <is>
          <t>ppm</t>
        </is>
      </c>
      <c r="F151" s="174" t="n"/>
      <c r="G151" s="60" t="inlineStr">
        <is>
          <t>Wort 
FAN</t>
        </is>
      </c>
      <c r="H151" s="174" t="inlineStr">
        <is>
          <t>QA-05057</t>
        </is>
      </c>
      <c r="I151" s="175" t="inlineStr">
        <is>
          <t>FAN_冷麦汁_麦汁澄清和冷却_酿造_糖化_麦汁充氧系统_麦汁管路</t>
        </is>
      </c>
      <c r="J151" s="174" t="inlineStr">
        <is>
          <t>LIMS</t>
        </is>
      </c>
      <c r="K151" s="174" t="n"/>
      <c r="L151" s="174" t="inlineStr">
        <is>
          <t>数据</t>
        </is>
      </c>
      <c r="N151" s="165" t="inlineStr">
        <is>
          <t>Brand</t>
        </is>
      </c>
      <c r="O151" s="165" t="inlineStr">
        <is>
          <t>OG</t>
        </is>
      </c>
    </row>
    <row r="152" ht="25.5" customHeight="1" s="241">
      <c r="A152" s="217" t="n"/>
      <c r="B152" s="217" t="n"/>
      <c r="C152" s="61" t="inlineStr">
        <is>
          <t>Bitterness</t>
        </is>
      </c>
      <c r="D152" s="174" t="inlineStr">
        <is>
          <t>苦味质</t>
        </is>
      </c>
      <c r="E152" s="111" t="n"/>
      <c r="F152" s="174" t="n"/>
      <c r="G152" s="60" t="inlineStr">
        <is>
          <t>Wort Bitterness</t>
        </is>
      </c>
      <c r="H152" s="174" t="inlineStr">
        <is>
          <t>QA-05058</t>
        </is>
      </c>
      <c r="I152" s="175" t="inlineStr">
        <is>
          <t>IBU_冷麦汁_麦汁澄清和冷却_酿造_糖化_麦汁充氧系统_麦汁管路</t>
        </is>
      </c>
      <c r="J152" s="174" t="inlineStr">
        <is>
          <t>LIMS</t>
        </is>
      </c>
      <c r="K152" s="174" t="n"/>
      <c r="L152" s="174" t="inlineStr">
        <is>
          <t>数据</t>
        </is>
      </c>
      <c r="N152" s="165" t="inlineStr">
        <is>
          <t>Brand</t>
        </is>
      </c>
      <c r="O152" s="165" t="inlineStr">
        <is>
          <t>OG</t>
        </is>
      </c>
    </row>
    <row r="153" ht="25.5" customHeight="1" s="241">
      <c r="A153" s="217" t="n"/>
      <c r="B153" s="217" t="n"/>
      <c r="C153" s="61" t="inlineStr">
        <is>
          <t>Sodium</t>
        </is>
      </c>
      <c r="D153" s="174" t="inlineStr">
        <is>
          <t>钠</t>
        </is>
      </c>
      <c r="E153" s="111" t="inlineStr">
        <is>
          <t>ppm</t>
        </is>
      </c>
      <c r="F153" s="174" t="n"/>
      <c r="G153" s="61" t="n"/>
      <c r="H153" s="174" t="inlineStr">
        <is>
          <t>QA-05056</t>
        </is>
      </c>
      <c r="I153" s="175" t="inlineStr">
        <is>
          <t>钠_冷麦汁_麦汁澄清和冷却_酿造_糖化_麦汁充氧系统_麦汁管路</t>
        </is>
      </c>
      <c r="J153" s="174" t="inlineStr">
        <is>
          <t>LIMS</t>
        </is>
      </c>
      <c r="K153" s="174" t="n"/>
      <c r="L153" s="174" t="inlineStr">
        <is>
          <t>数据</t>
        </is>
      </c>
      <c r="N153" s="165" t="inlineStr">
        <is>
          <t>Brand</t>
        </is>
      </c>
      <c r="O153" s="165" t="inlineStr">
        <is>
          <t>OG</t>
        </is>
      </c>
    </row>
    <row r="154" ht="25.5" customHeight="1" s="241">
      <c r="A154" s="217" t="n"/>
      <c r="B154" s="217" t="n"/>
      <c r="C154" s="61" t="inlineStr">
        <is>
          <t>Total Acid</t>
        </is>
      </c>
      <c r="D154" s="174" t="inlineStr">
        <is>
          <t>冷麦汁总酸</t>
        </is>
      </c>
      <c r="E154" s="70" t="inlineStr">
        <is>
          <t>g/100ml</t>
        </is>
      </c>
      <c r="F154" s="174" t="n"/>
      <c r="G154" s="61" t="n"/>
      <c r="H154" s="174" t="inlineStr">
        <is>
          <t>QA-05059</t>
        </is>
      </c>
      <c r="I154" s="175" t="inlineStr">
        <is>
          <t>总酸_冷麦汁_麦汁澄清和冷却_酿造_糖化_麦汁充氧系统_麦汁管路</t>
        </is>
      </c>
      <c r="J154" s="174" t="inlineStr">
        <is>
          <t>LIMS</t>
        </is>
      </c>
      <c r="K154" s="174" t="n"/>
      <c r="L154" s="174" t="inlineStr">
        <is>
          <t>数据</t>
        </is>
      </c>
      <c r="N154" s="165" t="inlineStr">
        <is>
          <t>Brand</t>
        </is>
      </c>
      <c r="O154" s="165" t="inlineStr">
        <is>
          <t>OG</t>
        </is>
      </c>
    </row>
    <row r="155">
      <c r="A155" s="217" t="n"/>
      <c r="B155" s="217" t="n"/>
      <c r="C155" s="61" t="inlineStr">
        <is>
          <t>DMS</t>
        </is>
      </c>
      <c r="D155" s="174" t="inlineStr">
        <is>
          <t>DMS</t>
        </is>
      </c>
      <c r="E155" s="111" t="inlineStr">
        <is>
          <t>ppm</t>
        </is>
      </c>
      <c r="F155" s="174" t="n"/>
      <c r="G155" s="60" t="inlineStr">
        <is>
          <t>Wort DMS</t>
        </is>
      </c>
      <c r="H155" s="174" t="n"/>
      <c r="I155" s="175" t="n"/>
      <c r="J155" s="174" t="inlineStr">
        <is>
          <t>手动</t>
        </is>
      </c>
      <c r="K155" s="174" t="n"/>
      <c r="L155" s="174" t="inlineStr">
        <is>
          <t>数据</t>
        </is>
      </c>
      <c r="N155" s="165" t="inlineStr">
        <is>
          <t>Brand</t>
        </is>
      </c>
      <c r="O155" s="165" t="inlineStr">
        <is>
          <t>OG</t>
        </is>
      </c>
    </row>
    <row r="156">
      <c r="A156" s="218" t="n"/>
      <c r="B156" s="218" t="n"/>
      <c r="C156" s="61" t="inlineStr">
        <is>
          <t>Polyphenols</t>
        </is>
      </c>
      <c r="D156" s="174" t="inlineStr">
        <is>
          <t>多酚</t>
        </is>
      </c>
      <c r="E156" s="111" t="inlineStr">
        <is>
          <t>ppm</t>
        </is>
      </c>
      <c r="F156" s="174" t="n"/>
      <c r="G156" s="60" t="inlineStr">
        <is>
          <t>Total Polyphenols</t>
        </is>
      </c>
      <c r="H156" s="174" t="n"/>
      <c r="I156" s="175" t="n"/>
      <c r="J156" s="174" t="inlineStr">
        <is>
          <t>手动</t>
        </is>
      </c>
      <c r="K156" s="174" t="n"/>
      <c r="L156" s="174" t="inlineStr">
        <is>
          <t>数据</t>
        </is>
      </c>
      <c r="N156" s="165" t="inlineStr">
        <is>
          <t>Brand</t>
        </is>
      </c>
      <c r="O156" s="165" t="inlineStr">
        <is>
          <t>OG</t>
        </is>
      </c>
    </row>
    <row r="157" ht="25.5" customHeight="1" s="241">
      <c r="A157" s="222" t="inlineStr">
        <is>
          <t>Fermentation</t>
        </is>
      </c>
      <c r="B157" s="222" t="inlineStr">
        <is>
          <t>Yeast</t>
        </is>
      </c>
      <c r="C157" s="61" t="inlineStr">
        <is>
          <t>Generation</t>
        </is>
      </c>
      <c r="D157" s="61" t="inlineStr">
        <is>
          <t>酵母代数</t>
        </is>
      </c>
      <c r="E157" s="69" t="n"/>
      <c r="F157" s="61" t="n"/>
      <c r="G157" s="61" t="n"/>
      <c r="H157" s="174" t="inlineStr">
        <is>
          <t>QA-05143</t>
        </is>
      </c>
      <c r="I157" s="175" t="inlineStr">
        <is>
          <t>代数_生产酵母_生产酵母存储_酿造_酵母工序_酵母存储罐</t>
        </is>
      </c>
      <c r="J157" s="174" t="inlineStr">
        <is>
          <t>LIMS</t>
        </is>
      </c>
      <c r="K157" s="174" t="n"/>
      <c r="L157" s="174" t="inlineStr">
        <is>
          <t>数据</t>
        </is>
      </c>
      <c r="N157" s="165" t="inlineStr">
        <is>
          <t>Brand</t>
        </is>
      </c>
    </row>
    <row r="158" ht="25.5" customHeight="1" s="241">
      <c r="A158" s="217" t="n"/>
      <c r="B158" s="217" t="n"/>
      <c r="C158" s="61" t="inlineStr">
        <is>
          <t xml:space="preserve"> Recovery Temp</t>
        </is>
      </c>
      <c r="D158" s="61" t="inlineStr">
        <is>
          <t>酵母回收温度</t>
        </is>
      </c>
      <c r="E158" s="69" t="inlineStr">
        <is>
          <t>°C</t>
        </is>
      </c>
      <c r="F158" s="61" t="n"/>
      <c r="G158" s="60" t="inlineStr">
        <is>
          <t>Temperature at Yeast Drawoff</t>
        </is>
      </c>
      <c r="H158" s="174" t="inlineStr">
        <is>
          <t>BR-40202</t>
        </is>
      </c>
      <c r="I158" s="175" t="inlineStr">
        <is>
          <t>生产酵母回收结束实际温度_生产酵母存储_酿造_酵母工序_酵母存储罐</t>
        </is>
      </c>
      <c r="J158" s="174" t="inlineStr">
        <is>
          <t>DF</t>
        </is>
      </c>
      <c r="K158" s="174" t="inlineStr">
        <is>
          <t>Y</t>
        </is>
      </c>
      <c r="L158" s="174" t="inlineStr">
        <is>
          <t>数据</t>
        </is>
      </c>
      <c r="N158" s="165" t="inlineStr">
        <is>
          <t>Brand</t>
        </is>
      </c>
    </row>
    <row r="159" ht="25.5" customHeight="1" s="241">
      <c r="A159" s="217" t="n"/>
      <c r="B159" s="217" t="n"/>
      <c r="C159" s="61" t="inlineStr">
        <is>
          <t>24h Temp</t>
        </is>
      </c>
      <c r="D159" s="61" t="inlineStr">
        <is>
          <t>24h后温度</t>
        </is>
      </c>
      <c r="E159" s="69" t="inlineStr">
        <is>
          <t>°C</t>
        </is>
      </c>
      <c r="F159" s="61" t="inlineStr">
        <is>
          <t>酵母罐满罐24h后温度</t>
        </is>
      </c>
      <c r="G159" s="61" t="n"/>
      <c r="H159" s="174" t="inlineStr">
        <is>
          <t>BR-40204</t>
        </is>
      </c>
      <c r="I159" s="175" t="inlineStr">
        <is>
          <t>生产酵母满罐24小时实际温度_生产酵母存储_酿造_酵母工序_酵母存储罐</t>
        </is>
      </c>
      <c r="J159" s="174" t="inlineStr">
        <is>
          <t>DF</t>
        </is>
      </c>
      <c r="K159" s="174" t="inlineStr">
        <is>
          <t>Y</t>
        </is>
      </c>
      <c r="L159" s="174" t="inlineStr">
        <is>
          <t>数据</t>
        </is>
      </c>
      <c r="N159" s="165" t="inlineStr">
        <is>
          <t>Brand</t>
        </is>
      </c>
    </row>
    <row r="160" ht="25.5" customHeight="1" s="241">
      <c r="A160" s="217" t="n"/>
      <c r="B160" s="217" t="n"/>
      <c r="C160" s="61" t="inlineStr">
        <is>
          <t>Solids</t>
        </is>
      </c>
      <c r="D160" s="61" t="inlineStr">
        <is>
          <t>浓度</t>
        </is>
      </c>
      <c r="E160" s="70" t="inlineStr">
        <is>
          <t>%</t>
        </is>
      </c>
      <c r="F160" s="61" t="n"/>
      <c r="G160" s="60" t="inlineStr">
        <is>
          <t>Solids</t>
        </is>
      </c>
      <c r="H160" s="174" t="inlineStr">
        <is>
          <t>QA-05142</t>
        </is>
      </c>
      <c r="I160" s="175" t="inlineStr">
        <is>
          <t>浓度_生产酵母_生产酵母存储_酿造_酵母工序_酵母存储罐</t>
        </is>
      </c>
      <c r="J160" s="174" t="inlineStr">
        <is>
          <t>LIMS</t>
        </is>
      </c>
      <c r="K160" s="174" t="inlineStr">
        <is>
          <t>Y</t>
        </is>
      </c>
      <c r="L160" s="174" t="inlineStr">
        <is>
          <t>数据</t>
        </is>
      </c>
      <c r="N160" s="165" t="inlineStr">
        <is>
          <t>Brand</t>
        </is>
      </c>
    </row>
    <row r="161" ht="25.5" customHeight="1" s="241">
      <c r="A161" s="217" t="n"/>
      <c r="B161" s="217" t="n"/>
      <c r="C161" s="61" t="inlineStr">
        <is>
          <t>Intracellular zinc</t>
        </is>
      </c>
      <c r="D161" s="61" t="inlineStr">
        <is>
          <t>酵母锌</t>
        </is>
      </c>
      <c r="E161" s="70" t="inlineStr">
        <is>
          <t>ppm</t>
        </is>
      </c>
      <c r="F161" s="61" t="n"/>
      <c r="G161" s="60" t="inlineStr">
        <is>
          <t>Intracellular zinc</t>
        </is>
      </c>
      <c r="H161" s="174" t="inlineStr">
        <is>
          <t>QA-05145</t>
        </is>
      </c>
      <c r="I161" s="175" t="inlineStr">
        <is>
          <t>锌_生产酵母_生产酵母存储_酿造_酵母工序_酵母存储罐</t>
        </is>
      </c>
      <c r="J161" s="174" t="inlineStr">
        <is>
          <t>手动</t>
        </is>
      </c>
      <c r="K161" s="174" t="n"/>
      <c r="L161" s="174" t="inlineStr">
        <is>
          <t>数据</t>
        </is>
      </c>
      <c r="N161" s="165" t="inlineStr">
        <is>
          <t>Brand</t>
        </is>
      </c>
    </row>
    <row r="162" ht="25.5" customHeight="1" s="241">
      <c r="A162" s="217" t="n"/>
      <c r="B162" s="217" t="n"/>
      <c r="C162" s="61" t="inlineStr">
        <is>
          <t>Yeast Death Rate</t>
        </is>
      </c>
      <c r="D162" s="61" t="inlineStr">
        <is>
          <t>死亡率</t>
        </is>
      </c>
      <c r="E162" s="70" t="inlineStr">
        <is>
          <t>%</t>
        </is>
      </c>
      <c r="F162" s="61" t="n"/>
      <c r="G162" s="61" t="n"/>
      <c r="H162" s="174" t="inlineStr">
        <is>
          <t>QA-05141</t>
        </is>
      </c>
      <c r="I162" s="175" t="inlineStr">
        <is>
          <t>死亡率_生产酵母_生产酵母存储_酿造_酵母工序_酵母存储罐</t>
        </is>
      </c>
      <c r="J162" s="174" t="inlineStr">
        <is>
          <t>LIMS</t>
        </is>
      </c>
      <c r="K162" s="174" t="inlineStr">
        <is>
          <t>Y</t>
        </is>
      </c>
      <c r="L162" s="174" t="inlineStr">
        <is>
          <t>数据</t>
        </is>
      </c>
      <c r="N162" s="165" t="inlineStr">
        <is>
          <t>Brand</t>
        </is>
      </c>
    </row>
    <row r="163">
      <c r="A163" s="217" t="n"/>
      <c r="B163" s="218" t="n"/>
      <c r="C163" s="61" t="inlineStr">
        <is>
          <t>Viability</t>
        </is>
      </c>
      <c r="D163" s="61" t="inlineStr">
        <is>
          <t>活力=（1-死亡率）</t>
        </is>
      </c>
      <c r="E163" s="70" t="inlineStr">
        <is>
          <t>%</t>
        </is>
      </c>
      <c r="F163" s="61" t="n"/>
      <c r="G163" s="60" t="inlineStr">
        <is>
          <t>Viability</t>
        </is>
      </c>
      <c r="H163" s="174" t="n"/>
      <c r="I163" s="175" t="n"/>
      <c r="J163" s="174" t="inlineStr">
        <is>
          <t>LIMS</t>
        </is>
      </c>
      <c r="K163" s="174" t="n"/>
      <c r="L163" s="174" t="inlineStr">
        <is>
          <t>数据</t>
        </is>
      </c>
      <c r="N163" s="165" t="inlineStr">
        <is>
          <t>Brand</t>
        </is>
      </c>
    </row>
    <row r="164" ht="25.5" customHeight="1" s="241">
      <c r="A164" s="217" t="n"/>
      <c r="B164" s="222" t="inlineStr">
        <is>
          <t>Yeast Propagation</t>
        </is>
      </c>
      <c r="C164" s="61" t="inlineStr">
        <is>
          <t>Yeast Slurry % Dead - Receiving</t>
        </is>
      </c>
      <c r="D164" s="174" t="inlineStr">
        <is>
          <t>酵母泥死亡率</t>
        </is>
      </c>
      <c r="E164" s="69" t="inlineStr">
        <is>
          <t>%</t>
        </is>
      </c>
      <c r="F164" s="174" t="n"/>
      <c r="G164" s="60" t="inlineStr">
        <is>
          <t>Yeast Slurry % Dead - Receiving</t>
        </is>
      </c>
      <c r="H164" s="174" t="n"/>
      <c r="I164" s="175" t="n"/>
      <c r="J164" s="174" t="inlineStr">
        <is>
          <t>手动</t>
        </is>
      </c>
      <c r="K164" s="174" t="inlineStr">
        <is>
          <t>Y</t>
        </is>
      </c>
      <c r="L164" s="174" t="inlineStr">
        <is>
          <t>数据</t>
        </is>
      </c>
      <c r="N164" s="165" t="inlineStr">
        <is>
          <t>Brand</t>
        </is>
      </c>
    </row>
    <row r="165" ht="25.5" customHeight="1" s="241">
      <c r="A165" s="217" t="n"/>
      <c r="B165" s="217" t="n"/>
      <c r="C165" s="61" t="inlineStr">
        <is>
          <t>Yeast  
% Death - Lab End</t>
        </is>
      </c>
      <c r="D165" s="174" t="inlineStr">
        <is>
          <t>实验室扩培结束酵母死亡率</t>
        </is>
      </c>
      <c r="E165" s="69" t="inlineStr">
        <is>
          <t>%</t>
        </is>
      </c>
      <c r="F165" s="174" t="n"/>
      <c r="G165" s="60" t="inlineStr">
        <is>
          <t>Yeast Slurry % Dead - Receiving</t>
        </is>
      </c>
      <c r="H165" s="174" t="inlineStr">
        <is>
          <t>BR-40413</t>
        </is>
      </c>
      <c r="I165" s="175" t="inlineStr">
        <is>
          <t>卡氏罐扩培酵母死亡率_卡氏罐扩培_酿造_酵母工序</t>
        </is>
      </c>
      <c r="J165" s="174" t="inlineStr">
        <is>
          <t>DF-TSM</t>
        </is>
      </c>
      <c r="K165" s="174" t="inlineStr">
        <is>
          <t>Y</t>
        </is>
      </c>
      <c r="L165" s="174" t="inlineStr">
        <is>
          <t>数据</t>
        </is>
      </c>
      <c r="N165" s="165" t="inlineStr">
        <is>
          <t>Brand</t>
        </is>
      </c>
    </row>
    <row r="166" ht="25.5" customHeight="1" s="241">
      <c r="A166" s="217" t="n"/>
      <c r="B166" s="217" t="n"/>
      <c r="C166" s="61" t="inlineStr">
        <is>
          <t xml:space="preserve">TK1
Yeast Propagation Hours </t>
        </is>
      </c>
      <c r="D166" s="174" t="inlineStr">
        <is>
          <t>TK1扩培时间</t>
        </is>
      </c>
      <c r="E166" s="69" t="inlineStr">
        <is>
          <t>Hours</t>
        </is>
      </c>
      <c r="F166" s="174" t="n"/>
      <c r="G166" s="223" t="n"/>
      <c r="H166" s="174" t="inlineStr">
        <is>
          <t>BR-40385</t>
        </is>
      </c>
      <c r="I166" s="175" t="inlineStr">
        <is>
          <t>工艺步骤时间段_现场一级扩培_酿造_酵母工序_扩培罐</t>
        </is>
      </c>
      <c r="J166" s="174" t="inlineStr">
        <is>
          <t>DF</t>
        </is>
      </c>
      <c r="K166" s="174" t="inlineStr">
        <is>
          <t>Y</t>
        </is>
      </c>
      <c r="L166" s="174" t="inlineStr">
        <is>
          <t>数据</t>
        </is>
      </c>
      <c r="N166" s="165" t="inlineStr">
        <is>
          <t>Brand</t>
        </is>
      </c>
      <c r="O166" s="165" t="inlineStr">
        <is>
          <t>Propagation Line</t>
        </is>
      </c>
    </row>
    <row r="167" ht="25.5" customHeight="1" s="241">
      <c r="A167" s="217" t="n"/>
      <c r="B167" s="217" t="n"/>
      <c r="C167" s="61" t="inlineStr">
        <is>
          <t>TK1
Yeast Propagation Temp</t>
        </is>
      </c>
      <c r="D167" s="174" t="inlineStr">
        <is>
          <t>TK1扩培温度</t>
        </is>
      </c>
      <c r="E167" s="69" t="inlineStr">
        <is>
          <t>°C</t>
        </is>
      </c>
      <c r="F167" s="174" t="n"/>
      <c r="G167" s="223" t="n"/>
      <c r="H167" s="174" t="inlineStr">
        <is>
          <t>BR-40381</t>
        </is>
      </c>
      <c r="I167" s="175" t="inlineStr">
        <is>
          <t>一级扩培酵母温度_现场一级扩培_酿造_酵母工序_扩培罐</t>
        </is>
      </c>
      <c r="J167" s="174" t="inlineStr">
        <is>
          <t>DF</t>
        </is>
      </c>
      <c r="K167" s="174" t="n"/>
      <c r="L167" s="174" t="inlineStr">
        <is>
          <t>数据</t>
        </is>
      </c>
      <c r="N167" s="165" t="inlineStr">
        <is>
          <t>Brand</t>
        </is>
      </c>
      <c r="O167" s="165" t="inlineStr">
        <is>
          <t>Propagation Line</t>
        </is>
      </c>
    </row>
    <row r="168" ht="38.25" customHeight="1" s="241">
      <c r="A168" s="217" t="n"/>
      <c r="B168" s="217" t="n"/>
      <c r="C168" s="61" t="inlineStr">
        <is>
          <t>TK1
Yeast Propagation YCC before tranfer</t>
        </is>
      </c>
      <c r="D168" s="174" t="inlineStr">
        <is>
          <t>TK1转移前YCC</t>
        </is>
      </c>
      <c r="E168" s="70" t="inlineStr">
        <is>
          <t>MM/ml</t>
        </is>
      </c>
      <c r="F168" s="174" t="n"/>
      <c r="G168" s="223" t="n"/>
      <c r="H168" s="174" t="inlineStr">
        <is>
          <t>BR-40404</t>
        </is>
      </c>
      <c r="I168" s="175" t="inlineStr">
        <is>
          <t>一级级扩培酵母转移前YCC_现场一级扩培_酿造_酵母工序_扩培罐</t>
        </is>
      </c>
      <c r="J168" s="174" t="inlineStr">
        <is>
          <t>DF-TSM</t>
        </is>
      </c>
      <c r="K168" s="174" t="n"/>
      <c r="L168" s="174" t="inlineStr">
        <is>
          <t>数据</t>
        </is>
      </c>
      <c r="N168" s="165" t="inlineStr">
        <is>
          <t>Brand</t>
        </is>
      </c>
      <c r="O168" s="165" t="inlineStr">
        <is>
          <t>Propagation Line</t>
        </is>
      </c>
    </row>
    <row r="169" ht="38.25" customHeight="1" s="241">
      <c r="A169" s="217" t="n"/>
      <c r="B169" s="217" t="n"/>
      <c r="C169" s="61" t="inlineStr">
        <is>
          <t>TK1
Yeast Propagation RDF before tranfer</t>
        </is>
      </c>
      <c r="D169" s="174" t="inlineStr">
        <is>
          <t>TK1转移前RDF</t>
        </is>
      </c>
      <c r="E169" s="70" t="inlineStr">
        <is>
          <t>%</t>
        </is>
      </c>
      <c r="F169" s="174" t="n"/>
      <c r="G169" s="223" t="n"/>
      <c r="H169" s="174" t="inlineStr">
        <is>
          <t>BR-40384</t>
        </is>
      </c>
      <c r="I169" s="175" t="inlineStr">
        <is>
          <t>一级扩培酵母RDF_现场一级扩培_酿造_酵母工序_扩培罐</t>
        </is>
      </c>
      <c r="J169" s="174" t="inlineStr">
        <is>
          <t>DF-TSM</t>
        </is>
      </c>
      <c r="K169" s="174" t="n"/>
      <c r="L169" s="174" t="inlineStr">
        <is>
          <t>数据</t>
        </is>
      </c>
      <c r="N169" s="165" t="inlineStr">
        <is>
          <t>Brand</t>
        </is>
      </c>
      <c r="O169" s="165" t="inlineStr">
        <is>
          <t>Propagation Line</t>
        </is>
      </c>
    </row>
    <row r="170" ht="51" customHeight="1" s="241">
      <c r="A170" s="217" t="n"/>
      <c r="B170" s="217" t="n"/>
      <c r="C170" s="61" t="inlineStr">
        <is>
          <t>TK1
Yeast Propagation Death Rate</t>
        </is>
      </c>
      <c r="D170" s="174" t="inlineStr">
        <is>
          <t>TK1转移前酵母死亡率</t>
        </is>
      </c>
      <c r="E170" s="70" t="inlineStr">
        <is>
          <t>%</t>
        </is>
      </c>
      <c r="F170" s="174" t="n"/>
      <c r="G170" s="60" t="inlineStr">
        <is>
          <t>Yeast Propagation Death Rate - Phase I</t>
        </is>
      </c>
      <c r="H170" s="174" t="inlineStr">
        <is>
          <t>BR-40405</t>
        </is>
      </c>
      <c r="I170" s="175" t="inlineStr">
        <is>
          <t>一级级扩培酵母转移前死亡率_现场一级扩培_酿造_酵母工序_扩培罐</t>
        </is>
      </c>
      <c r="J170" s="174" t="inlineStr">
        <is>
          <t>DF-TSM</t>
        </is>
      </c>
      <c r="K170" s="174" t="inlineStr">
        <is>
          <t>Y</t>
        </is>
      </c>
      <c r="L170" s="174" t="inlineStr">
        <is>
          <t>数据</t>
        </is>
      </c>
      <c r="N170" s="165" t="inlineStr">
        <is>
          <t>Brand</t>
        </is>
      </c>
      <c r="O170" s="165" t="inlineStr">
        <is>
          <t>Propagation Line</t>
        </is>
      </c>
    </row>
    <row r="171" ht="25.5" customHeight="1" s="241">
      <c r="A171" s="217" t="n"/>
      <c r="B171" s="217" t="n"/>
      <c r="C171" s="61" t="inlineStr">
        <is>
          <t xml:space="preserve">TK2
Yeast Propagation Hours </t>
        </is>
      </c>
      <c r="D171" s="174" t="inlineStr">
        <is>
          <t>TK2扩培时间</t>
        </is>
      </c>
      <c r="E171" s="69" t="inlineStr">
        <is>
          <t>Hours</t>
        </is>
      </c>
      <c r="F171" s="174" t="n"/>
      <c r="G171" s="223" t="n"/>
      <c r="H171" s="174" t="inlineStr">
        <is>
          <t>BR-40391</t>
        </is>
      </c>
      <c r="I171" s="175" t="inlineStr">
        <is>
          <t>工艺步骤时间段_现场二级扩培_酿造_酵母工序_扩培罐</t>
        </is>
      </c>
      <c r="J171" s="174" t="inlineStr">
        <is>
          <t>DF-TSM</t>
        </is>
      </c>
      <c r="K171" s="174" t="inlineStr">
        <is>
          <t>Y</t>
        </is>
      </c>
      <c r="L171" s="174" t="inlineStr">
        <is>
          <t>数据</t>
        </is>
      </c>
      <c r="N171" s="165" t="inlineStr">
        <is>
          <t>Brand</t>
        </is>
      </c>
      <c r="O171" s="165" t="inlineStr">
        <is>
          <t>Propagation Line</t>
        </is>
      </c>
    </row>
    <row r="172" ht="25.5" customHeight="1" s="241">
      <c r="A172" s="217" t="n"/>
      <c r="B172" s="217" t="n"/>
      <c r="C172" s="61" t="inlineStr">
        <is>
          <t>TK2
Yeast Propagation Temp</t>
        </is>
      </c>
      <c r="D172" s="174" t="inlineStr">
        <is>
          <t>TK2扩培温度</t>
        </is>
      </c>
      <c r="E172" s="69" t="inlineStr">
        <is>
          <t>°C</t>
        </is>
      </c>
      <c r="F172" s="174" t="n"/>
      <c r="G172" s="223" t="n"/>
      <c r="H172" s="174" t="inlineStr">
        <is>
          <t>BR-40387</t>
        </is>
      </c>
      <c r="I172" s="175" t="inlineStr">
        <is>
          <t>二级扩培酵母温度_现场二级扩培_酿造_酵母工序_扩培罐</t>
        </is>
      </c>
      <c r="J172" s="174" t="inlineStr">
        <is>
          <t>DF-TSM</t>
        </is>
      </c>
      <c r="K172" s="174" t="n"/>
      <c r="L172" s="174" t="inlineStr">
        <is>
          <t>数据</t>
        </is>
      </c>
      <c r="N172" s="165" t="inlineStr">
        <is>
          <t>Brand</t>
        </is>
      </c>
      <c r="O172" s="165" t="inlineStr">
        <is>
          <t>Propagation Line</t>
        </is>
      </c>
    </row>
    <row r="173" ht="38.25" customHeight="1" s="241">
      <c r="A173" s="217" t="n"/>
      <c r="B173" s="217" t="n"/>
      <c r="C173" s="61" t="inlineStr">
        <is>
          <t>TK2
Yeast Propagation YCC before tranfer</t>
        </is>
      </c>
      <c r="D173" s="174" t="inlineStr">
        <is>
          <t>TK2转移前YCC</t>
        </is>
      </c>
      <c r="E173" s="70" t="inlineStr">
        <is>
          <t>MM/ml</t>
        </is>
      </c>
      <c r="F173" s="174" t="n"/>
      <c r="G173" s="223" t="n"/>
      <c r="H173" s="174" t="inlineStr">
        <is>
          <t>BR-40406</t>
        </is>
      </c>
      <c r="I173" s="175" t="inlineStr">
        <is>
          <t>二级扩培酵母转移前YCC_现场二级扩培_酿造_酵母工序_扩培罐</t>
        </is>
      </c>
      <c r="J173" s="174" t="inlineStr">
        <is>
          <t>DF-TSM</t>
        </is>
      </c>
      <c r="K173" s="174" t="n"/>
      <c r="L173" s="174" t="inlineStr">
        <is>
          <t>数据</t>
        </is>
      </c>
      <c r="N173" s="165" t="inlineStr">
        <is>
          <t>Brand</t>
        </is>
      </c>
      <c r="O173" s="165" t="inlineStr">
        <is>
          <t>Propagation Line</t>
        </is>
      </c>
    </row>
    <row r="174" ht="38.25" customHeight="1" s="241">
      <c r="A174" s="217" t="n"/>
      <c r="B174" s="217" t="n"/>
      <c r="C174" s="61" t="inlineStr">
        <is>
          <t>TK2
Yeast Propagation RDF before tranfer</t>
        </is>
      </c>
      <c r="D174" s="174" t="inlineStr">
        <is>
          <t>TK2转移前RDF</t>
        </is>
      </c>
      <c r="E174" s="70" t="inlineStr">
        <is>
          <t>%</t>
        </is>
      </c>
      <c r="F174" s="174" t="n"/>
      <c r="G174" s="223" t="n"/>
      <c r="H174" s="174" t="inlineStr">
        <is>
          <t>BR-40390</t>
        </is>
      </c>
      <c r="I174" s="175" t="inlineStr">
        <is>
          <t>二级扩培酵母RDF_现场二级扩培_酿造_酵母工序_扩培罐</t>
        </is>
      </c>
      <c r="J174" s="174" t="inlineStr">
        <is>
          <t>DF-TSM</t>
        </is>
      </c>
      <c r="K174" s="174" t="n"/>
      <c r="L174" s="174" t="inlineStr">
        <is>
          <t>数据</t>
        </is>
      </c>
      <c r="N174" s="165" t="inlineStr">
        <is>
          <t>Brand</t>
        </is>
      </c>
      <c r="O174" s="165" t="inlineStr">
        <is>
          <t>Propagation Line</t>
        </is>
      </c>
    </row>
    <row r="175" ht="51" customHeight="1" s="241">
      <c r="A175" s="217" t="n"/>
      <c r="B175" s="217" t="n"/>
      <c r="C175" s="61" t="inlineStr">
        <is>
          <t>TK2
Yeast Propagation Death Rate</t>
        </is>
      </c>
      <c r="D175" s="174" t="inlineStr">
        <is>
          <t>TK2转移前酵母死亡率</t>
        </is>
      </c>
      <c r="E175" s="70" t="inlineStr">
        <is>
          <t>%</t>
        </is>
      </c>
      <c r="F175" s="174" t="n"/>
      <c r="G175" s="60" t="inlineStr">
        <is>
          <t>Yeast Propagation Death Rate - Phase II</t>
        </is>
      </c>
      <c r="H175" s="174" t="inlineStr">
        <is>
          <t>BR-40407</t>
        </is>
      </c>
      <c r="I175" s="175" t="inlineStr">
        <is>
          <t>二级扩培酵母转移前死亡率_现场二级扩培_酿造_酵母工序_扩培罐</t>
        </is>
      </c>
      <c r="J175" s="174" t="inlineStr">
        <is>
          <t>DF-TSM</t>
        </is>
      </c>
      <c r="K175" s="174" t="inlineStr">
        <is>
          <t>Y</t>
        </is>
      </c>
      <c r="L175" s="174" t="inlineStr">
        <is>
          <t>数据</t>
        </is>
      </c>
      <c r="N175" s="165" t="inlineStr">
        <is>
          <t>Brand</t>
        </is>
      </c>
      <c r="O175" s="165" t="inlineStr">
        <is>
          <t>Propagation Line</t>
        </is>
      </c>
    </row>
    <row r="176" ht="25.5" customHeight="1" s="241">
      <c r="A176" s="217" t="n"/>
      <c r="B176" s="217" t="n"/>
      <c r="C176" s="61" t="inlineStr">
        <is>
          <t xml:space="preserve">TK3
Yeast Propagation Hours </t>
        </is>
      </c>
      <c r="D176" s="174" t="inlineStr">
        <is>
          <t>扩培时间</t>
        </is>
      </c>
      <c r="E176" s="69" t="inlineStr">
        <is>
          <t>Hours</t>
        </is>
      </c>
      <c r="F176" s="174" t="n"/>
      <c r="G176" s="223" t="n"/>
      <c r="H176" s="174" t="inlineStr">
        <is>
          <t>BR-40397</t>
        </is>
      </c>
      <c r="I176" s="175" t="inlineStr">
        <is>
          <t>工艺步骤时间段_现场三级扩培_酿造_酵母工序_扩培罐</t>
        </is>
      </c>
      <c r="J176" s="174" t="inlineStr">
        <is>
          <t>DF-TSM</t>
        </is>
      </c>
      <c r="K176" s="174" t="inlineStr">
        <is>
          <t>Y</t>
        </is>
      </c>
      <c r="L176" s="174" t="inlineStr">
        <is>
          <t>数据</t>
        </is>
      </c>
      <c r="N176" s="165" t="inlineStr">
        <is>
          <t>Brand</t>
        </is>
      </c>
      <c r="O176" s="165" t="inlineStr">
        <is>
          <t>Propagation Line</t>
        </is>
      </c>
    </row>
    <row r="177" ht="25.5" customHeight="1" s="241">
      <c r="A177" s="217" t="n"/>
      <c r="B177" s="217" t="n"/>
      <c r="C177" s="61" t="inlineStr">
        <is>
          <t>TK3
Yeast Propagation Temp</t>
        </is>
      </c>
      <c r="D177" s="174" t="inlineStr">
        <is>
          <t>扩培温度</t>
        </is>
      </c>
      <c r="E177" s="69" t="inlineStr">
        <is>
          <t>°C</t>
        </is>
      </c>
      <c r="F177" s="174" t="n"/>
      <c r="G177" s="223" t="n"/>
      <c r="H177" s="174" t="inlineStr">
        <is>
          <t>BR-40393</t>
        </is>
      </c>
      <c r="I177" s="175" t="inlineStr">
        <is>
          <t>三级扩培酵母温度_现场三级扩培_酿造_酵母工序_扩培罐</t>
        </is>
      </c>
      <c r="J177" s="174" t="inlineStr">
        <is>
          <t>DF-TSM</t>
        </is>
      </c>
      <c r="K177" s="174" t="n"/>
      <c r="L177" s="174" t="inlineStr">
        <is>
          <t>数据</t>
        </is>
      </c>
      <c r="N177" s="165" t="inlineStr">
        <is>
          <t>Brand</t>
        </is>
      </c>
      <c r="O177" s="165" t="inlineStr">
        <is>
          <t>Propagation Line</t>
        </is>
      </c>
    </row>
    <row r="178" ht="38.25" customHeight="1" s="241">
      <c r="A178" s="217" t="n"/>
      <c r="B178" s="217" t="n"/>
      <c r="C178" s="61" t="inlineStr">
        <is>
          <t>TK3
Yeast Propagation YCC before tranfer</t>
        </is>
      </c>
      <c r="D178" s="174" t="inlineStr">
        <is>
          <t>转移前YCC</t>
        </is>
      </c>
      <c r="E178" s="70" t="inlineStr">
        <is>
          <t>MM/ml</t>
        </is>
      </c>
      <c r="F178" s="174" t="n"/>
      <c r="G178" s="223" t="n"/>
      <c r="H178" s="174" t="inlineStr">
        <is>
          <t>BR-40408</t>
        </is>
      </c>
      <c r="I178" s="175" t="inlineStr">
        <is>
          <t>三级扩培酵母RDF_现场三级扩培_酿造_酵母工序_扩培罐</t>
        </is>
      </c>
      <c r="J178" s="174" t="inlineStr">
        <is>
          <t>DF-TSM</t>
        </is>
      </c>
      <c r="K178" s="174" t="n"/>
      <c r="L178" s="174" t="inlineStr">
        <is>
          <t>数据</t>
        </is>
      </c>
      <c r="N178" s="165" t="inlineStr">
        <is>
          <t>Brand</t>
        </is>
      </c>
      <c r="O178" s="165" t="inlineStr">
        <is>
          <t>Propagation Line</t>
        </is>
      </c>
    </row>
    <row r="179" ht="38.25" customHeight="1" s="241">
      <c r="A179" s="217" t="n"/>
      <c r="B179" s="217" t="n"/>
      <c r="C179" s="61" t="inlineStr">
        <is>
          <t>TK3
Yeast Propagation RDF before tranfer</t>
        </is>
      </c>
      <c r="D179" s="174" t="inlineStr">
        <is>
          <t>转移前RDF</t>
        </is>
      </c>
      <c r="E179" s="70" t="inlineStr">
        <is>
          <t>%</t>
        </is>
      </c>
      <c r="F179" s="174" t="n"/>
      <c r="G179" s="223" t="n"/>
      <c r="H179" s="174" t="inlineStr">
        <is>
          <t>BR-40396</t>
        </is>
      </c>
      <c r="I179" s="175" t="inlineStr">
        <is>
          <t>三级扩培酵母RDF_现场三级扩培_酿造_酵母工序_扩培罐</t>
        </is>
      </c>
      <c r="J179" s="174" t="inlineStr">
        <is>
          <t>DF-TSM</t>
        </is>
      </c>
      <c r="K179" s="174" t="n"/>
      <c r="L179" s="174" t="inlineStr">
        <is>
          <t>数据</t>
        </is>
      </c>
      <c r="N179" s="165" t="inlineStr">
        <is>
          <t>Brand</t>
        </is>
      </c>
      <c r="O179" s="165" t="inlineStr">
        <is>
          <t>Propagation Line</t>
        </is>
      </c>
    </row>
    <row r="180" ht="38.25" customHeight="1" s="241">
      <c r="A180" s="217" t="n"/>
      <c r="B180" s="217" t="n"/>
      <c r="C180" s="61" t="inlineStr">
        <is>
          <t>TK3
Propagation Death Rate</t>
        </is>
      </c>
      <c r="D180" s="174" t="inlineStr">
        <is>
          <t>转移前酵母死亡率</t>
        </is>
      </c>
      <c r="E180" s="70" t="inlineStr">
        <is>
          <t>%</t>
        </is>
      </c>
      <c r="F180" s="174" t="n"/>
      <c r="G180" s="60" t="inlineStr">
        <is>
          <t>Propagation Death Rate - Phase III</t>
        </is>
      </c>
      <c r="H180" s="174" t="inlineStr">
        <is>
          <t>BR-40409</t>
        </is>
      </c>
      <c r="I180" s="175" t="inlineStr">
        <is>
          <t>三级扩培酵母转移前死亡率_现场三级扩培_酿造_酵母工序_扩培罐</t>
        </is>
      </c>
      <c r="J180" s="174" t="inlineStr">
        <is>
          <t>DF-TSM</t>
        </is>
      </c>
      <c r="K180" s="174" t="inlineStr">
        <is>
          <t>Y</t>
        </is>
      </c>
      <c r="L180" s="174" t="inlineStr">
        <is>
          <t>数据</t>
        </is>
      </c>
      <c r="N180" s="165" t="inlineStr">
        <is>
          <t>Brand</t>
        </is>
      </c>
      <c r="O180" s="165" t="inlineStr">
        <is>
          <t>Propagation Line</t>
        </is>
      </c>
    </row>
    <row r="181" ht="25.5" customHeight="1" s="241">
      <c r="A181" s="217" t="n"/>
      <c r="B181" s="218" t="n"/>
      <c r="C181" s="168" t="inlineStr">
        <is>
          <t>Total Yeast Propagation Hours</t>
        </is>
      </c>
      <c r="D181" s="167" t="inlineStr">
        <is>
          <t>总扩培时间</t>
        </is>
      </c>
      <c r="E181" s="69" t="inlineStr">
        <is>
          <t>Hours</t>
        </is>
      </c>
      <c r="F181" s="174" t="n"/>
      <c r="G181" s="223" t="n"/>
      <c r="H181" s="174" t="inlineStr">
        <is>
          <t>BR-40414</t>
        </is>
      </c>
      <c r="I181" s="175" t="inlineStr">
        <is>
          <t>扩培酵母总工艺步骤时间段_酵母扩培_酿造_酵母工序</t>
        </is>
      </c>
      <c r="J181" s="174" t="inlineStr">
        <is>
          <t>DF-TSM</t>
        </is>
      </c>
      <c r="K181" s="174" t="inlineStr">
        <is>
          <t>Y</t>
        </is>
      </c>
      <c r="L181" s="174" t="inlineStr">
        <is>
          <t>数据</t>
        </is>
      </c>
      <c r="N181" s="165" t="inlineStr">
        <is>
          <t>Brand</t>
        </is>
      </c>
      <c r="O181" s="165" t="inlineStr">
        <is>
          <t>Propagation Line</t>
        </is>
      </c>
    </row>
    <row r="182" ht="25.5" customHeight="1" s="241">
      <c r="A182" s="217" t="n"/>
      <c r="B182" s="222" t="inlineStr">
        <is>
          <t>Fermentor Fill</t>
        </is>
      </c>
      <c r="C182" s="61" t="inlineStr">
        <is>
          <t>Yeast Generation</t>
        </is>
      </c>
      <c r="D182" s="61" t="inlineStr">
        <is>
          <t>酵母代数</t>
        </is>
      </c>
      <c r="E182" s="69" t="n"/>
      <c r="F182" s="61" t="n"/>
      <c r="G182" s="60" t="inlineStr">
        <is>
          <t>Yeast Generation</t>
        </is>
      </c>
      <c r="H182" s="61" t="inlineStr">
        <is>
          <t>QA-05143</t>
        </is>
      </c>
      <c r="I182" s="182" t="inlineStr">
        <is>
          <t>代数_生产酵母_生产酵母存储_酿造_酵母工序_酵母存储罐</t>
        </is>
      </c>
      <c r="J182" s="61" t="inlineStr">
        <is>
          <t>LIMS</t>
        </is>
      </c>
      <c r="K182" s="174" t="inlineStr">
        <is>
          <t>Y</t>
        </is>
      </c>
      <c r="L182" s="174" t="inlineStr">
        <is>
          <t>整数</t>
        </is>
      </c>
      <c r="N182" s="165" t="inlineStr">
        <is>
          <t>Brand</t>
        </is>
      </c>
      <c r="O182" s="165" t="inlineStr">
        <is>
          <t>OG</t>
        </is>
      </c>
    </row>
    <row r="183" ht="25.5" customHeight="1" s="241">
      <c r="A183" s="217" t="n"/>
      <c r="B183" s="217" t="n"/>
      <c r="C183" s="61" t="inlineStr">
        <is>
          <t>Volume -Wort</t>
        </is>
      </c>
      <c r="D183" s="61" t="inlineStr">
        <is>
          <t>满罐麦汁量</t>
        </is>
      </c>
      <c r="E183" s="69" t="inlineStr">
        <is>
          <t>HL</t>
        </is>
      </c>
      <c r="F183" s="61" t="n"/>
      <c r="G183" s="60" t="n"/>
      <c r="H183" s="61" t="inlineStr">
        <is>
          <t>BR-40023</t>
        </is>
      </c>
      <c r="I183" s="182" t="inlineStr">
        <is>
          <t>满罐发酵液量_麦汁满罐_酿造_发酵_发酵罐</t>
        </is>
      </c>
      <c r="J183" s="61" t="inlineStr">
        <is>
          <t>DF</t>
        </is>
      </c>
      <c r="K183" s="174" t="n"/>
      <c r="L183" s="174" t="inlineStr">
        <is>
          <t>数据</t>
        </is>
      </c>
      <c r="N183" s="165" t="inlineStr">
        <is>
          <t>Brand</t>
        </is>
      </c>
      <c r="O183" s="165" t="inlineStr">
        <is>
          <t>OG</t>
        </is>
      </c>
    </row>
    <row r="184" ht="25.5" customHeight="1" s="241">
      <c r="A184" s="217" t="n"/>
      <c r="B184" s="217" t="n"/>
      <c r="C184" s="61" t="inlineStr">
        <is>
          <t>Water Push Volume</t>
        </is>
      </c>
      <c r="D184" s="61" t="inlineStr">
        <is>
          <t>顶水量</t>
        </is>
      </c>
      <c r="E184" s="69" t="inlineStr">
        <is>
          <t>HL</t>
        </is>
      </c>
      <c r="F184" s="61" t="inlineStr">
        <is>
          <t>所有锅次顶水量相加</t>
        </is>
      </c>
      <c r="G184" s="60" t="n"/>
      <c r="H184" s="61" t="inlineStr">
        <is>
          <t>BR-40022</t>
        </is>
      </c>
      <c r="I184" s="182" t="inlineStr">
        <is>
          <t>发酵罐进入水量_麦汁满罐_酿造_发酵_发酵罐</t>
        </is>
      </c>
      <c r="J184" s="61" t="inlineStr">
        <is>
          <t>DF</t>
        </is>
      </c>
      <c r="K184" s="174" t="n"/>
      <c r="L184" s="174" t="inlineStr">
        <is>
          <t>数据</t>
        </is>
      </c>
      <c r="N184" s="165" t="inlineStr">
        <is>
          <t>Brand</t>
        </is>
      </c>
      <c r="O184" s="165" t="inlineStr">
        <is>
          <t>OG</t>
        </is>
      </c>
    </row>
    <row r="185" ht="25.5" customHeight="1" s="241">
      <c r="A185" s="217" t="n"/>
      <c r="B185" s="217" t="n"/>
      <c r="C185" s="168" t="inlineStr">
        <is>
          <t>Total Volume</t>
        </is>
      </c>
      <c r="D185" s="168" t="inlineStr">
        <is>
          <t>满罐总量</t>
        </is>
      </c>
      <c r="E185" s="69" t="inlineStr">
        <is>
          <t>HL</t>
        </is>
      </c>
      <c r="F185" s="61" t="n"/>
      <c r="G185" s="60" t="n"/>
      <c r="H185" s="61" t="inlineStr">
        <is>
          <t>BR-40036</t>
        </is>
      </c>
      <c r="I185" s="182" t="inlineStr">
        <is>
          <t>满罐发酵液总量_麦汁满罐_酿造_发酵_发酵罐</t>
        </is>
      </c>
      <c r="J185" s="61" t="inlineStr">
        <is>
          <t>DF</t>
        </is>
      </c>
      <c r="K185" s="174" t="n"/>
      <c r="L185" s="174" t="inlineStr">
        <is>
          <t>数据</t>
        </is>
      </c>
      <c r="N185" s="165" t="inlineStr">
        <is>
          <t>Brand</t>
        </is>
      </c>
      <c r="O185" s="165" t="inlineStr">
        <is>
          <t>OG</t>
        </is>
      </c>
    </row>
    <row r="186" ht="25.5" customHeight="1" s="241">
      <c r="A186" s="217" t="n"/>
      <c r="B186" s="217" t="n"/>
      <c r="C186" s="61" t="inlineStr">
        <is>
          <t>Yeast Dosage Volume</t>
        </is>
      </c>
      <c r="D186" s="61" t="inlineStr">
        <is>
          <t>酵母添加量</t>
        </is>
      </c>
      <c r="E186" s="69" t="inlineStr">
        <is>
          <t>HL</t>
        </is>
      </c>
      <c r="F186" s="61" t="n"/>
      <c r="G186" s="60" t="n"/>
      <c r="H186" s="61" t="inlineStr">
        <is>
          <t>BR-40037</t>
        </is>
      </c>
      <c r="I186" s="182" t="inlineStr">
        <is>
          <t>生产酵母添加量_麦汁满罐_酿造_发酵_发酵罐</t>
        </is>
      </c>
      <c r="J186" s="61" t="inlineStr">
        <is>
          <t>DF</t>
        </is>
      </c>
      <c r="K186" s="174" t="n"/>
      <c r="L186" s="174" t="inlineStr">
        <is>
          <t>数据</t>
        </is>
      </c>
      <c r="N186" s="165" t="inlineStr">
        <is>
          <t>Brand</t>
        </is>
      </c>
      <c r="O186" s="165" t="inlineStr">
        <is>
          <t>OG</t>
        </is>
      </c>
    </row>
    <row r="187" ht="25.5" customHeight="1" s="241">
      <c r="A187" s="217" t="n"/>
      <c r="B187" s="217" t="n"/>
      <c r="C187" s="61" t="inlineStr">
        <is>
          <t>Yeast Storage Time</t>
        </is>
      </c>
      <c r="D187" s="61" t="inlineStr">
        <is>
          <t>从快速降温到再次使用时间</t>
        </is>
      </c>
      <c r="E187" s="69" t="inlineStr">
        <is>
          <t>Hours</t>
        </is>
      </c>
      <c r="F187" s="61" t="n"/>
      <c r="G187" s="60" t="inlineStr">
        <is>
          <t>Storage Time</t>
        </is>
      </c>
      <c r="H187" s="61" t="inlineStr">
        <is>
          <t>BR-40027</t>
        </is>
      </c>
      <c r="I187" s="182" t="inlineStr">
        <is>
          <t>生产酵母存储工艺步骤时间段_麦汁满罐_酿造_发酵_发酵罐</t>
        </is>
      </c>
      <c r="J187" s="61" t="inlineStr">
        <is>
          <t>DF</t>
        </is>
      </c>
      <c r="K187" s="174" t="inlineStr">
        <is>
          <t>Y</t>
        </is>
      </c>
      <c r="L187" s="174" t="inlineStr">
        <is>
          <t>数据</t>
        </is>
      </c>
      <c r="N187" s="165" t="inlineStr">
        <is>
          <t>Brand</t>
        </is>
      </c>
      <c r="O187" s="165" t="inlineStr">
        <is>
          <t>OG</t>
        </is>
      </c>
    </row>
    <row r="188" ht="25.5" customHeight="1" s="241">
      <c r="A188" s="217" t="n"/>
      <c r="B188" s="217" t="n"/>
      <c r="C188" s="61" t="inlineStr">
        <is>
          <t>Yeast Storage Temp</t>
        </is>
      </c>
      <c r="D188" s="61" t="inlineStr">
        <is>
          <t>酵母储存温度</t>
        </is>
      </c>
      <c r="E188" s="111" t="inlineStr">
        <is>
          <t>*C</t>
        </is>
      </c>
      <c r="F188" s="61" t="n"/>
      <c r="G188" s="60" t="inlineStr">
        <is>
          <t>Temperature (at storage)</t>
        </is>
      </c>
      <c r="H188" s="61" t="inlineStr">
        <is>
          <t>BR-40028</t>
        </is>
      </c>
      <c r="I188" s="182" t="inlineStr">
        <is>
          <t>生产酵母存储温度_麦汁满罐_酿造_发酵_发酵罐</t>
        </is>
      </c>
      <c r="J188" s="61" t="inlineStr">
        <is>
          <t>DF</t>
        </is>
      </c>
      <c r="K188" s="174" t="inlineStr">
        <is>
          <t>Y</t>
        </is>
      </c>
      <c r="L188" s="174" t="inlineStr">
        <is>
          <t>数据</t>
        </is>
      </c>
      <c r="N188" s="165" t="inlineStr">
        <is>
          <t>Brand</t>
        </is>
      </c>
      <c r="O188" s="165" t="inlineStr">
        <is>
          <t>OG</t>
        </is>
      </c>
    </row>
    <row r="189" ht="25.5" customHeight="1" s="241">
      <c r="A189" s="217" t="n"/>
      <c r="B189" s="217" t="n"/>
      <c r="C189" s="61" t="inlineStr">
        <is>
          <t>Pitching Rate</t>
        </is>
      </c>
      <c r="D189" s="61" t="inlineStr">
        <is>
          <t>酵母接种量</t>
        </is>
      </c>
      <c r="E189" s="111" t="inlineStr">
        <is>
          <t>MM/ml</t>
        </is>
      </c>
      <c r="F189" s="61" t="n"/>
      <c r="G189" s="60" t="inlineStr">
        <is>
          <t>Yeast Pitching Rate</t>
        </is>
      </c>
      <c r="H189" s="61" t="inlineStr">
        <is>
          <t>BR-40030</t>
        </is>
      </c>
      <c r="I189" s="182" t="inlineStr">
        <is>
          <t>满罐发酵液YCC_麦汁满罐在线分析_酿造_发酵_发酵罐</t>
        </is>
      </c>
      <c r="J189" s="61" t="inlineStr">
        <is>
          <t>DF</t>
        </is>
      </c>
      <c r="K189" s="174" t="inlineStr">
        <is>
          <t>Y</t>
        </is>
      </c>
      <c r="L189" s="174" t="inlineStr">
        <is>
          <t>数据</t>
        </is>
      </c>
      <c r="N189" s="165" t="inlineStr">
        <is>
          <t>Brand</t>
        </is>
      </c>
      <c r="O189" s="165" t="inlineStr">
        <is>
          <t>OG</t>
        </is>
      </c>
    </row>
    <row r="190" ht="25.5" customHeight="1" s="241">
      <c r="A190" s="217" t="n"/>
      <c r="B190" s="217" t="n"/>
      <c r="C190" s="61" t="inlineStr">
        <is>
          <t>Pitching Rate - LAB audit</t>
        </is>
      </c>
      <c r="D190" s="61" t="inlineStr">
        <is>
          <t>酵母接种量-实验室验证</t>
        </is>
      </c>
      <c r="E190" s="111" t="inlineStr">
        <is>
          <t>MM/ml</t>
        </is>
      </c>
      <c r="F190" s="61" t="n"/>
      <c r="G190" s="60" t="n"/>
      <c r="H190" s="61" t="inlineStr">
        <is>
          <t>QA-05105</t>
        </is>
      </c>
      <c r="I190" s="182" t="inlineStr">
        <is>
          <t>YCC_满罐发酵液_麦汁满罐_酿造_发酵_发酵罐</t>
        </is>
      </c>
      <c r="J190" s="61" t="inlineStr">
        <is>
          <t>LIMS</t>
        </is>
      </c>
      <c r="K190" s="174" t="inlineStr">
        <is>
          <t>Y</t>
        </is>
      </c>
      <c r="L190" s="174" t="inlineStr">
        <is>
          <t>数据</t>
        </is>
      </c>
      <c r="N190" s="165" t="inlineStr">
        <is>
          <t>Brand</t>
        </is>
      </c>
      <c r="O190" s="165" t="inlineStr">
        <is>
          <t>OG</t>
        </is>
      </c>
    </row>
    <row r="191" ht="16.5" customHeight="1" s="241">
      <c r="A191" s="217" t="n"/>
      <c r="B191" s="217" t="n"/>
      <c r="C191" s="61" t="inlineStr">
        <is>
          <t>Pitching Death Rate</t>
        </is>
      </c>
      <c r="D191" s="106" t="inlineStr">
        <is>
          <t>酵母接种量死亡率</t>
        </is>
      </c>
      <c r="E191" s="111" t="inlineStr">
        <is>
          <t>%</t>
        </is>
      </c>
      <c r="F191" s="106" t="n"/>
      <c r="G191" s="60" t="n"/>
      <c r="H191" s="174" t="n"/>
      <c r="I191" s="175" t="n"/>
      <c r="J191" s="61" t="inlineStr">
        <is>
          <t>DF-TSM</t>
        </is>
      </c>
      <c r="K191" s="174" t="n"/>
      <c r="L191" s="174" t="inlineStr">
        <is>
          <t>数据</t>
        </is>
      </c>
      <c r="N191" s="165" t="inlineStr">
        <is>
          <t>Brand</t>
        </is>
      </c>
      <c r="O191" s="165" t="inlineStr">
        <is>
          <t>OG</t>
        </is>
      </c>
    </row>
    <row r="192" ht="25.5" customHeight="1" s="241">
      <c r="A192" s="217" t="n"/>
      <c r="B192" s="217" t="n"/>
      <c r="C192" s="61" t="inlineStr">
        <is>
          <t>YACT</t>
        </is>
      </c>
      <c r="D192" s="61" t="inlineStr">
        <is>
          <t>YACT</t>
        </is>
      </c>
      <c r="E192" s="69" t="inlineStr">
        <is>
          <t>Hours</t>
        </is>
      </c>
      <c r="F192" s="61" t="n"/>
      <c r="G192" s="60" t="inlineStr">
        <is>
          <t>Yeast Pitching Rate</t>
        </is>
      </c>
      <c r="H192" s="61" t="inlineStr">
        <is>
          <t>BR-40029</t>
        </is>
      </c>
      <c r="I192" s="182" t="inlineStr">
        <is>
          <t>生产酵母与氧接触工艺步骤时间段_麦汁满罐_酿造_发酵_发酵罐</t>
        </is>
      </c>
      <c r="J192" s="61" t="inlineStr">
        <is>
          <t>DF</t>
        </is>
      </c>
      <c r="K192" s="174" t="inlineStr">
        <is>
          <t>Y</t>
        </is>
      </c>
      <c r="L192" s="174" t="inlineStr">
        <is>
          <t>数据</t>
        </is>
      </c>
      <c r="N192" s="165" t="inlineStr">
        <is>
          <t>Brand</t>
        </is>
      </c>
      <c r="O192" s="165" t="inlineStr">
        <is>
          <t>OG</t>
        </is>
      </c>
    </row>
    <row r="193" ht="25.5" customHeight="1" s="241">
      <c r="A193" s="217" t="n"/>
      <c r="B193" s="217" t="n"/>
      <c r="C193" s="61" t="inlineStr">
        <is>
          <t>DYA</t>
        </is>
      </c>
      <c r="D193" s="61" t="inlineStr">
        <is>
          <t>持续充氧总时间</t>
        </is>
      </c>
      <c r="E193" s="69" t="inlineStr">
        <is>
          <t>Hours</t>
        </is>
      </c>
      <c r="F193" s="61" t="n"/>
      <c r="G193" s="60" t="inlineStr">
        <is>
          <t>Yeast Pitching Rate</t>
        </is>
      </c>
      <c r="H193" s="61" t="inlineStr">
        <is>
          <t>BR-40035</t>
        </is>
      </c>
      <c r="I193" s="182" t="inlineStr">
        <is>
          <t>充氧时间段_麦汁满罐在线分析_酿造_发酵_发酵罐</t>
        </is>
      </c>
      <c r="J193" s="61" t="inlineStr">
        <is>
          <t>DF</t>
        </is>
      </c>
      <c r="K193" s="174" t="n"/>
      <c r="L193" s="174" t="inlineStr">
        <is>
          <t>数据</t>
        </is>
      </c>
      <c r="N193" s="165" t="inlineStr">
        <is>
          <t>Brand</t>
        </is>
      </c>
      <c r="O193" s="165" t="inlineStr">
        <is>
          <t>OG</t>
        </is>
      </c>
    </row>
    <row r="194" ht="25.5" customHeight="1" s="241">
      <c r="A194" s="217" t="n"/>
      <c r="B194" s="217" t="n"/>
      <c r="C194" s="61" t="inlineStr">
        <is>
          <t>Air injection</t>
        </is>
      </c>
      <c r="D194" s="61" t="inlineStr">
        <is>
          <t>充氧量</t>
        </is>
      </c>
      <c r="E194" s="70" t="inlineStr">
        <is>
          <t>g/HL</t>
        </is>
      </c>
      <c r="F194" s="61" t="inlineStr">
        <is>
          <t>则算到每hl麦汁充了多少g空气</t>
        </is>
      </c>
      <c r="G194" s="60" t="n"/>
      <c r="H194" s="61" t="inlineStr">
        <is>
          <t>BR-40033</t>
        </is>
      </c>
      <c r="I194" s="182" t="inlineStr">
        <is>
          <t>满罐发酵液充氧量（g/hl）_麦汁满罐在线分析_酿造_发酵_发酵罐</t>
        </is>
      </c>
      <c r="J194" s="61" t="inlineStr">
        <is>
          <t>DF</t>
        </is>
      </c>
      <c r="K194" s="174" t="inlineStr">
        <is>
          <t>Y</t>
        </is>
      </c>
      <c r="L194" s="174" t="inlineStr">
        <is>
          <t>数据</t>
        </is>
      </c>
      <c r="N194" s="165" t="inlineStr">
        <is>
          <t>Brand</t>
        </is>
      </c>
      <c r="O194" s="165" t="inlineStr">
        <is>
          <t>OG</t>
        </is>
      </c>
    </row>
    <row r="195" ht="25.5" customHeight="1" s="241">
      <c r="A195" s="217" t="n"/>
      <c r="B195" s="217" t="n"/>
      <c r="C195" s="61" t="inlineStr">
        <is>
          <t>Air injection Deviation</t>
        </is>
      </c>
      <c r="D195" s="61" t="inlineStr">
        <is>
          <t>充氧量偏离</t>
        </is>
      </c>
      <c r="E195" s="70" t="inlineStr">
        <is>
          <t>%</t>
        </is>
      </c>
      <c r="F195" s="61" t="n"/>
      <c r="G195" s="60" t="n"/>
      <c r="H195" s="61" t="inlineStr">
        <is>
          <t>BR-40034</t>
        </is>
      </c>
      <c r="I195" s="182" t="inlineStr">
        <is>
          <t>主和次流量计偏差率_麦汁满罐在线分析_酿造_发酵_发酵罐</t>
        </is>
      </c>
      <c r="J195" s="61" t="n"/>
      <c r="K195" s="174" t="n"/>
      <c r="L195" s="174" t="inlineStr">
        <is>
          <t>数据</t>
        </is>
      </c>
      <c r="N195" s="165" t="inlineStr">
        <is>
          <t>Brand</t>
        </is>
      </c>
      <c r="O195" s="165" t="inlineStr">
        <is>
          <t>OG</t>
        </is>
      </c>
    </row>
    <row r="196" ht="25.5" customHeight="1" s="241">
      <c r="A196" s="217" t="n"/>
      <c r="B196" s="217" t="n"/>
      <c r="C196" s="61" t="inlineStr">
        <is>
          <t xml:space="preserve"> Temp</t>
        </is>
      </c>
      <c r="D196" s="61" t="inlineStr">
        <is>
          <t>满罐温度</t>
        </is>
      </c>
      <c r="E196" s="69" t="inlineStr">
        <is>
          <t>°C</t>
        </is>
      </c>
      <c r="F196" s="61" t="n"/>
      <c r="G196" s="60" t="inlineStr">
        <is>
          <t>Fermentor Fill temperature</t>
        </is>
      </c>
      <c r="H196" s="61" t="inlineStr">
        <is>
          <t>BR-40026</t>
        </is>
      </c>
      <c r="I196" s="182" t="inlineStr">
        <is>
          <t>满罐发酵液温度_麦汁满罐_酿造_发酵_发酵罐</t>
        </is>
      </c>
      <c r="J196" s="61" t="inlineStr">
        <is>
          <t>DF</t>
        </is>
      </c>
      <c r="K196" s="174" t="inlineStr">
        <is>
          <t>Y</t>
        </is>
      </c>
      <c r="L196" s="174" t="inlineStr">
        <is>
          <t>数据</t>
        </is>
      </c>
      <c r="N196" s="165" t="inlineStr">
        <is>
          <t>Brand</t>
        </is>
      </c>
      <c r="O196" s="165" t="inlineStr">
        <is>
          <t>OG</t>
        </is>
      </c>
    </row>
    <row r="197" ht="25.5" customHeight="1" s="241">
      <c r="A197" s="217" t="n"/>
      <c r="B197" s="217" t="n"/>
      <c r="C197" s="61" t="inlineStr">
        <is>
          <t>OG</t>
        </is>
      </c>
      <c r="D197" s="61" t="inlineStr">
        <is>
          <t>满罐OG</t>
        </is>
      </c>
      <c r="E197" s="70" t="inlineStr">
        <is>
          <t>Plato</t>
        </is>
      </c>
      <c r="F197" s="61" t="n"/>
      <c r="G197" s="60" t="n"/>
      <c r="H197" s="61" t="inlineStr">
        <is>
          <t>QA-05103</t>
        </is>
      </c>
      <c r="I197" s="182" t="inlineStr">
        <is>
          <t>OG_满罐发酵液_麦汁满罐_酿造_发酵_发酵罐</t>
        </is>
      </c>
      <c r="J197" s="61" t="inlineStr">
        <is>
          <t>LIMS</t>
        </is>
      </c>
      <c r="K197" s="174" t="inlineStr">
        <is>
          <t>Y</t>
        </is>
      </c>
      <c r="L197" s="174" t="inlineStr">
        <is>
          <t>数据</t>
        </is>
      </c>
      <c r="N197" s="165" t="inlineStr">
        <is>
          <t>Brand</t>
        </is>
      </c>
      <c r="O197" s="165" t="inlineStr">
        <is>
          <t>OG</t>
        </is>
      </c>
    </row>
    <row r="198" ht="25.5" customHeight="1" s="241">
      <c r="A198" s="217" t="n"/>
      <c r="B198" s="217" t="n"/>
      <c r="C198" s="61" t="inlineStr">
        <is>
          <t>pH</t>
        </is>
      </c>
      <c r="D198" s="61" t="inlineStr">
        <is>
          <t>进罐pH</t>
        </is>
      </c>
      <c r="E198" s="70" t="n"/>
      <c r="F198" s="61" t="n"/>
      <c r="G198" s="60" t="n"/>
      <c r="H198" s="61" t="inlineStr">
        <is>
          <t>QA-05102</t>
        </is>
      </c>
      <c r="I198" s="182" t="inlineStr">
        <is>
          <t>pH_满罐发酵液_麦汁满罐_酿造_发酵_发酵罐</t>
        </is>
      </c>
      <c r="J198" s="61" t="inlineStr">
        <is>
          <t>LIMS</t>
        </is>
      </c>
      <c r="K198" s="174" t="inlineStr">
        <is>
          <t>Y</t>
        </is>
      </c>
      <c r="L198" s="174" t="inlineStr">
        <is>
          <t>数据</t>
        </is>
      </c>
      <c r="N198" s="165" t="inlineStr">
        <is>
          <t>Brand</t>
        </is>
      </c>
      <c r="O198" s="165" t="inlineStr">
        <is>
          <t>OG</t>
        </is>
      </c>
    </row>
    <row r="199" ht="25.5" customHeight="1" s="241">
      <c r="A199" s="217" t="n"/>
      <c r="B199" s="217" t="n"/>
      <c r="C199" s="61" t="inlineStr">
        <is>
          <t>FAN</t>
        </is>
      </c>
      <c r="D199" s="61" t="inlineStr">
        <is>
          <t>满罐FAN</t>
        </is>
      </c>
      <c r="E199" s="70" t="inlineStr">
        <is>
          <t>ppm</t>
        </is>
      </c>
      <c r="F199" s="61" t="n"/>
      <c r="G199" s="60" t="n"/>
      <c r="H199" s="61" t="inlineStr">
        <is>
          <t>QA-05107</t>
        </is>
      </c>
      <c r="I199" s="182" t="inlineStr">
        <is>
          <t>FAN_满罐发酵液_麦汁满罐_酿造_发酵_发酵罐</t>
        </is>
      </c>
      <c r="J199" s="61" t="inlineStr">
        <is>
          <t>LIMS</t>
        </is>
      </c>
      <c r="K199" s="174" t="inlineStr">
        <is>
          <t>Y</t>
        </is>
      </c>
      <c r="L199" s="174" t="inlineStr">
        <is>
          <t>数据</t>
        </is>
      </c>
      <c r="N199" s="165" t="inlineStr">
        <is>
          <t>Brand</t>
        </is>
      </c>
      <c r="O199" s="165" t="inlineStr">
        <is>
          <t>OG</t>
        </is>
      </c>
    </row>
    <row r="200" ht="25.5" customHeight="1" s="241">
      <c r="A200" s="217" t="n"/>
      <c r="B200" s="217" t="n"/>
      <c r="C200" s="61" t="inlineStr">
        <is>
          <t>IBU</t>
        </is>
      </c>
      <c r="D200" s="61" t="inlineStr">
        <is>
          <t>满罐IBU</t>
        </is>
      </c>
      <c r="E200" s="70" t="n"/>
      <c r="F200" s="61" t="n"/>
      <c r="G200" s="60" t="n"/>
      <c r="H200" s="61" t="inlineStr">
        <is>
          <t>QA-05108</t>
        </is>
      </c>
      <c r="I200" s="182" t="inlineStr">
        <is>
          <t>IBU_满罐发酵液_麦汁满罐_酿造_发酵_发酵罐</t>
        </is>
      </c>
      <c r="J200" s="61" t="inlineStr">
        <is>
          <t>LIMS</t>
        </is>
      </c>
      <c r="K200" s="174" t="inlineStr">
        <is>
          <t>Y</t>
        </is>
      </c>
      <c r="L200" s="174" t="inlineStr">
        <is>
          <t>数据</t>
        </is>
      </c>
      <c r="N200" s="165" t="inlineStr">
        <is>
          <t>Brand</t>
        </is>
      </c>
      <c r="O200" s="165" t="inlineStr">
        <is>
          <t>OG</t>
        </is>
      </c>
    </row>
    <row r="201">
      <c r="A201" s="217" t="n"/>
      <c r="B201" s="217" t="n"/>
      <c r="C201" s="61" t="inlineStr">
        <is>
          <t>Color</t>
        </is>
      </c>
      <c r="D201" s="61" t="inlineStr">
        <is>
          <t>色度</t>
        </is>
      </c>
      <c r="E201" s="70" t="inlineStr">
        <is>
          <t>EBC</t>
        </is>
      </c>
      <c r="F201" s="61" t="n"/>
      <c r="G201" s="60" t="n"/>
      <c r="H201" s="61" t="n"/>
      <c r="I201" s="182" t="n"/>
      <c r="J201" s="61" t="inlineStr">
        <is>
          <t>LIMS</t>
        </is>
      </c>
      <c r="K201" s="174" t="n"/>
      <c r="L201" s="174" t="inlineStr">
        <is>
          <t>数据</t>
        </is>
      </c>
      <c r="N201" s="165" t="inlineStr">
        <is>
          <t>Brand</t>
        </is>
      </c>
      <c r="O201" s="165" t="inlineStr">
        <is>
          <t>OG</t>
        </is>
      </c>
    </row>
    <row r="202" ht="25.5" customHeight="1" s="241">
      <c r="A202" s="217" t="n"/>
      <c r="B202" s="217" t="n"/>
      <c r="C202" s="61" t="inlineStr">
        <is>
          <t>Wort Limit RDF</t>
        </is>
      </c>
      <c r="D202" s="61" t="inlineStr">
        <is>
          <t>极限RDF</t>
        </is>
      </c>
      <c r="E202" s="70" t="inlineStr">
        <is>
          <t>%</t>
        </is>
      </c>
      <c r="F202" s="61" t="n"/>
      <c r="G202" s="60" t="inlineStr">
        <is>
          <t>Wort RDF</t>
        </is>
      </c>
      <c r="H202" s="61" t="inlineStr">
        <is>
          <t>QA-05100</t>
        </is>
      </c>
      <c r="I202" s="182" t="inlineStr">
        <is>
          <t>极限发酵度_满罐发酵液_麦汁满罐_酿造_发酵_发酵罐</t>
        </is>
      </c>
      <c r="J202" s="61" t="inlineStr">
        <is>
          <t>LIMS</t>
        </is>
      </c>
      <c r="K202" s="174" t="inlineStr">
        <is>
          <t>Y</t>
        </is>
      </c>
      <c r="L202" s="174" t="inlineStr">
        <is>
          <t>数据</t>
        </is>
      </c>
      <c r="N202" s="165" t="inlineStr">
        <is>
          <t>Brand</t>
        </is>
      </c>
      <c r="O202" s="165" t="inlineStr">
        <is>
          <t>OG</t>
        </is>
      </c>
    </row>
    <row r="203" ht="25.5" customHeight="1" s="241">
      <c r="A203" s="217" t="n"/>
      <c r="B203" s="218" t="n"/>
      <c r="C203" s="61" t="inlineStr">
        <is>
          <t>Wort Limit Extract</t>
        </is>
      </c>
      <c r="D203" s="61" t="inlineStr">
        <is>
          <t>极限AE</t>
        </is>
      </c>
      <c r="E203" s="70" t="inlineStr">
        <is>
          <t>Plato</t>
        </is>
      </c>
      <c r="F203" s="61" t="n"/>
      <c r="G203" s="60" t="inlineStr">
        <is>
          <t>Wort Limit Extract</t>
        </is>
      </c>
      <c r="H203" s="61" t="inlineStr">
        <is>
          <t>QA-05101</t>
        </is>
      </c>
      <c r="I203" s="182" t="inlineStr">
        <is>
          <t>AE_满罐发酵液_麦汁满罐_酿造_发酵_发酵罐</t>
        </is>
      </c>
      <c r="J203" s="61" t="inlineStr">
        <is>
          <t>LIMS</t>
        </is>
      </c>
      <c r="K203" s="174" t="inlineStr">
        <is>
          <t>Y</t>
        </is>
      </c>
      <c r="L203" s="174" t="inlineStr">
        <is>
          <t>数据</t>
        </is>
      </c>
      <c r="N203" s="165" t="inlineStr">
        <is>
          <t>Brand</t>
        </is>
      </c>
      <c r="O203" s="165" t="inlineStr">
        <is>
          <t>OG</t>
        </is>
      </c>
    </row>
    <row r="204" ht="25.5" customHeight="1" s="241">
      <c r="A204" s="217" t="n"/>
      <c r="B204" s="224" t="inlineStr">
        <is>
          <t>Alpha Fermentation</t>
        </is>
      </c>
      <c r="C204" s="61" t="inlineStr">
        <is>
          <t>Attemporation Temperature</t>
        </is>
      </c>
      <c r="D204" s="61" t="inlineStr">
        <is>
          <t>主酵温度
（平均）</t>
        </is>
      </c>
      <c r="E204" s="69" t="inlineStr">
        <is>
          <t>°C</t>
        </is>
      </c>
      <c r="F204" s="61" t="inlineStr">
        <is>
          <t>见下一页说明</t>
        </is>
      </c>
      <c r="G204" s="60" t="inlineStr">
        <is>
          <t>Attemporation Temperature</t>
        </is>
      </c>
      <c r="H204" s="61" t="inlineStr">
        <is>
          <t>BR-40187</t>
        </is>
      </c>
      <c r="I204" s="182" t="inlineStr">
        <is>
          <t>发酵液平均温度_主酵控制_酿造_发酵_发酵罐</t>
        </is>
      </c>
      <c r="J204" s="61" t="inlineStr">
        <is>
          <t>DF</t>
        </is>
      </c>
      <c r="K204" s="174" t="inlineStr">
        <is>
          <t>Y</t>
        </is>
      </c>
      <c r="L204" s="174" t="inlineStr">
        <is>
          <t>数据</t>
        </is>
      </c>
      <c r="N204" s="165" t="inlineStr">
        <is>
          <t>Brand</t>
        </is>
      </c>
      <c r="O204" s="165" t="inlineStr">
        <is>
          <t>OG</t>
        </is>
      </c>
    </row>
    <row r="205" ht="38.25" customHeight="1" s="241">
      <c r="A205" s="217" t="n"/>
      <c r="B205" s="217" t="n"/>
      <c r="C205" s="61" t="inlineStr">
        <is>
          <t>Attemporation Temperature
Max</t>
        </is>
      </c>
      <c r="D205" s="106" t="inlineStr">
        <is>
          <t>主酵最高温度</t>
        </is>
      </c>
      <c r="E205" s="69" t="inlineStr">
        <is>
          <t>°C</t>
        </is>
      </c>
      <c r="F205" s="61" t="inlineStr">
        <is>
          <t>见下一页说明</t>
        </is>
      </c>
      <c r="G205" s="60" t="n"/>
      <c r="H205" s="61" t="inlineStr">
        <is>
          <t>BR-40208</t>
        </is>
      </c>
      <c r="I205" s="182" t="inlineStr">
        <is>
          <t>发酵液最高温度_主酵控制_酿造_发酵_发酵罐</t>
        </is>
      </c>
      <c r="J205" s="61" t="inlineStr">
        <is>
          <t>DF</t>
        </is>
      </c>
      <c r="K205" s="174" t="n"/>
      <c r="L205" s="174" t="inlineStr">
        <is>
          <t>数据</t>
        </is>
      </c>
      <c r="N205" s="165" t="inlineStr">
        <is>
          <t>Brand</t>
        </is>
      </c>
      <c r="O205" s="165" t="inlineStr">
        <is>
          <t>OG</t>
        </is>
      </c>
    </row>
    <row r="206" ht="38.25" customHeight="1" s="241">
      <c r="A206" s="217" t="n"/>
      <c r="B206" s="217" t="n"/>
      <c r="C206" s="61" t="inlineStr">
        <is>
          <t>Attemporation Temperature
Min</t>
        </is>
      </c>
      <c r="D206" s="106" t="inlineStr">
        <is>
          <t>主酵最低温度</t>
        </is>
      </c>
      <c r="E206" s="69" t="inlineStr">
        <is>
          <t>°C</t>
        </is>
      </c>
      <c r="F206" s="61" t="inlineStr">
        <is>
          <t>见下一页说明</t>
        </is>
      </c>
      <c r="G206" s="60" t="n"/>
      <c r="H206" s="61" t="inlineStr">
        <is>
          <t>BR-40209</t>
        </is>
      </c>
      <c r="I206" s="182" t="inlineStr">
        <is>
          <t>发酵液最低温度_主酵控制_酿造_发酵_发酵罐</t>
        </is>
      </c>
      <c r="J206" s="61" t="inlineStr">
        <is>
          <t>DF</t>
        </is>
      </c>
      <c r="K206" s="174" t="n"/>
      <c r="L206" s="174" t="inlineStr">
        <is>
          <t>数据</t>
        </is>
      </c>
      <c r="N206" s="165" t="inlineStr">
        <is>
          <t>Brand</t>
        </is>
      </c>
      <c r="O206" s="165" t="inlineStr">
        <is>
          <t>OG</t>
        </is>
      </c>
    </row>
    <row r="207" ht="43.5" customHeight="1" s="241">
      <c r="A207" s="217" t="n"/>
      <c r="B207" s="217" t="n"/>
      <c r="C207" s="61" t="inlineStr">
        <is>
          <t>Attemporation Temperature
Deviation Time</t>
        </is>
      </c>
      <c r="D207" s="106" t="inlineStr">
        <is>
          <t>主酵温度
偏离时间段</t>
        </is>
      </c>
      <c r="E207" s="69" t="inlineStr">
        <is>
          <t>Hours</t>
        </is>
      </c>
      <c r="F207" s="106" t="n"/>
      <c r="G207" s="60" t="n"/>
      <c r="H207" s="61" t="inlineStr">
        <is>
          <t>BR-40210</t>
        </is>
      </c>
      <c r="I207" s="182" t="inlineStr">
        <is>
          <t>发酵液温度偏离时间段_主酵控制_酿造_发酵_发酵罐</t>
        </is>
      </c>
      <c r="J207" s="61" t="inlineStr">
        <is>
          <t>DF</t>
        </is>
      </c>
      <c r="K207" s="174" t="n"/>
      <c r="L207" s="174" t="inlineStr">
        <is>
          <t>数据</t>
        </is>
      </c>
      <c r="N207" s="165" t="inlineStr">
        <is>
          <t>Brand</t>
        </is>
      </c>
      <c r="O207" s="165" t="inlineStr">
        <is>
          <t>OG</t>
        </is>
      </c>
    </row>
    <row r="208" ht="25.5" customHeight="1" s="241">
      <c r="A208" s="217" t="n"/>
      <c r="B208" s="217" t="n"/>
      <c r="C208" s="61" t="inlineStr">
        <is>
          <t>Time to attemporation</t>
        </is>
      </c>
      <c r="D208" s="61" t="inlineStr">
        <is>
          <t>自由升温时间</t>
        </is>
      </c>
      <c r="E208" s="69" t="inlineStr">
        <is>
          <t>Hours</t>
        </is>
      </c>
      <c r="F208" s="61" t="n"/>
      <c r="G208" s="60" t="inlineStr">
        <is>
          <t>Time to attemporation</t>
        </is>
      </c>
      <c r="H208" s="61" t="inlineStr">
        <is>
          <t>BR-40183</t>
        </is>
      </c>
      <c r="I208" s="182" t="inlineStr">
        <is>
          <t>工艺步骤时间段_自由升温1_酿造_发酵_发酵罐</t>
        </is>
      </c>
      <c r="J208" s="61" t="inlineStr">
        <is>
          <t>DF</t>
        </is>
      </c>
      <c r="K208" s="174" t="inlineStr">
        <is>
          <t>Y</t>
        </is>
      </c>
      <c r="L208" s="174" t="inlineStr">
        <is>
          <t>数据</t>
        </is>
      </c>
      <c r="N208" s="165" t="inlineStr">
        <is>
          <t>Brand</t>
        </is>
      </c>
      <c r="O208" s="165" t="inlineStr">
        <is>
          <t>OG</t>
        </is>
      </c>
    </row>
    <row r="209" ht="25.5" customHeight="1" s="241">
      <c r="A209" s="217" t="n"/>
      <c r="B209" s="217" t="n"/>
      <c r="C209" s="61" t="inlineStr">
        <is>
          <t>Extract to start  2nd phase</t>
        </is>
      </c>
      <c r="D209" s="61" t="inlineStr">
        <is>
          <t>二段升温开始糖度</t>
        </is>
      </c>
      <c r="E209" s="70" t="inlineStr">
        <is>
          <t>Plato</t>
        </is>
      </c>
      <c r="F209" s="61" t="n"/>
      <c r="G209" s="60" t="inlineStr">
        <is>
          <t>Extract to start  2nd phase</t>
        </is>
      </c>
      <c r="H209" s="174" t="inlineStr">
        <is>
          <t>BR-40220</t>
        </is>
      </c>
      <c r="I209" s="175" t="inlineStr">
        <is>
          <t>发酵液AE_主酵控制1_酿造_发酵_发酵罐</t>
        </is>
      </c>
      <c r="J209" s="61" t="inlineStr">
        <is>
          <t>DF-TSM</t>
        </is>
      </c>
      <c r="K209" s="174" t="n"/>
      <c r="L209" s="174" t="inlineStr">
        <is>
          <t>数据</t>
        </is>
      </c>
      <c r="N209" s="165" t="inlineStr">
        <is>
          <t>Brand</t>
        </is>
      </c>
      <c r="O209" s="165" t="inlineStr">
        <is>
          <t>OG</t>
        </is>
      </c>
    </row>
    <row r="210" ht="25.5" customHeight="1" s="241">
      <c r="A210" s="217" t="n"/>
      <c r="B210" s="217" t="n"/>
      <c r="C210" s="61" t="inlineStr">
        <is>
          <t>2nd Stage Temperature</t>
        </is>
      </c>
      <c r="D210" s="61" t="inlineStr">
        <is>
          <t>二段温度</t>
        </is>
      </c>
      <c r="E210" s="69" t="inlineStr">
        <is>
          <t>°C</t>
        </is>
      </c>
      <c r="F210" s="61" t="n"/>
      <c r="G210" s="60" t="inlineStr">
        <is>
          <t>2nd Stage Temperature</t>
        </is>
      </c>
      <c r="H210" s="61" t="inlineStr">
        <is>
          <t>BR-40218</t>
        </is>
      </c>
      <c r="I210" s="182" t="inlineStr">
        <is>
          <t>发酵液平均温度_主酵控制2_酿造_发酵_发酵罐</t>
        </is>
      </c>
      <c r="J210" s="61" t="inlineStr">
        <is>
          <t>DF</t>
        </is>
      </c>
      <c r="K210" s="174" t="n"/>
      <c r="L210" s="174" t="inlineStr">
        <is>
          <t>数据</t>
        </is>
      </c>
      <c r="N210" s="165" t="inlineStr">
        <is>
          <t>Brand</t>
        </is>
      </c>
      <c r="O210" s="165" t="inlineStr">
        <is>
          <t>OG</t>
        </is>
      </c>
    </row>
    <row r="211" ht="38.25" customHeight="1" s="241">
      <c r="A211" s="217" t="n"/>
      <c r="B211" s="217" t="n"/>
      <c r="C211" s="61" t="inlineStr">
        <is>
          <t>Time to reach 2nd stage rise temperature</t>
        </is>
      </c>
      <c r="D211" s="61" t="inlineStr">
        <is>
          <t>二段升温时间</t>
        </is>
      </c>
      <c r="E211" s="69" t="inlineStr">
        <is>
          <t>Hours</t>
        </is>
      </c>
      <c r="F211" s="61" t="n"/>
      <c r="G211" s="60" t="inlineStr">
        <is>
          <t>Time to reach 2nd stage rise temperature</t>
        </is>
      </c>
      <c r="H211" s="61" t="inlineStr">
        <is>
          <t>BR-40216</t>
        </is>
      </c>
      <c r="I211" s="182" t="inlineStr">
        <is>
          <t>工艺步骤时间段_自由升温2_酿造_发酵_发酵罐</t>
        </is>
      </c>
      <c r="J211" s="61" t="inlineStr">
        <is>
          <t>DF</t>
        </is>
      </c>
      <c r="K211" s="174" t="n"/>
      <c r="L211" s="174" t="inlineStr">
        <is>
          <t>数据</t>
        </is>
      </c>
      <c r="N211" s="165" t="inlineStr">
        <is>
          <t>Brand</t>
        </is>
      </c>
      <c r="O211" s="165" t="inlineStr">
        <is>
          <t>OG</t>
        </is>
      </c>
    </row>
    <row r="212" ht="24.95" customHeight="1" s="241">
      <c r="A212" s="217" t="n"/>
      <c r="B212" s="217" t="n"/>
      <c r="C212" s="61" t="inlineStr">
        <is>
          <t>72h AE</t>
        </is>
      </c>
      <c r="D212" s="61" t="inlineStr">
        <is>
          <t>72h 外观糖度</t>
        </is>
      </c>
      <c r="E212" s="70" t="inlineStr">
        <is>
          <t>Plato</t>
        </is>
      </c>
      <c r="F212" s="61" t="n"/>
      <c r="G212" s="60" t="n"/>
      <c r="H212" s="61" t="n"/>
      <c r="I212" s="182" t="n"/>
      <c r="J212" s="61" t="inlineStr">
        <is>
          <t>LIMS</t>
        </is>
      </c>
      <c r="K212" s="174" t="inlineStr">
        <is>
          <t>Y</t>
        </is>
      </c>
      <c r="L212" s="174" t="inlineStr">
        <is>
          <t>数据</t>
        </is>
      </c>
      <c r="N212" s="165" t="inlineStr">
        <is>
          <t>Brand</t>
        </is>
      </c>
      <c r="O212" s="165" t="inlineStr">
        <is>
          <t>OG</t>
        </is>
      </c>
    </row>
    <row r="213" ht="24.95" customHeight="1" s="241">
      <c r="A213" s="217" t="n"/>
      <c r="B213" s="217" t="n"/>
      <c r="C213" s="61" t="inlineStr">
        <is>
          <t>Peak YCC</t>
        </is>
      </c>
      <c r="D213" s="61" t="inlineStr">
        <is>
          <t>峰值酵母数</t>
        </is>
      </c>
      <c r="E213" s="70" t="inlineStr">
        <is>
          <t>MM/ml</t>
        </is>
      </c>
      <c r="F213" s="61" t="n"/>
      <c r="G213" s="60" t="inlineStr">
        <is>
          <t>Cells in suspension</t>
        </is>
      </c>
      <c r="H213" s="61" t="n"/>
      <c r="I213" s="182" t="n"/>
      <c r="J213" s="61" t="inlineStr">
        <is>
          <t>LIMS</t>
        </is>
      </c>
      <c r="K213" s="174" t="inlineStr">
        <is>
          <t>Y</t>
        </is>
      </c>
      <c r="L213" s="174" t="inlineStr">
        <is>
          <t>数据</t>
        </is>
      </c>
      <c r="N213" s="165" t="inlineStr">
        <is>
          <t>Brand</t>
        </is>
      </c>
      <c r="O213" s="165" t="inlineStr">
        <is>
          <t>OG</t>
        </is>
      </c>
    </row>
    <row r="214" ht="25.5" customHeight="1" s="241">
      <c r="A214" s="217" t="n"/>
      <c r="B214" s="217" t="n"/>
      <c r="C214" s="61" t="inlineStr">
        <is>
          <t>Fermentation Velocity</t>
        </is>
      </c>
      <c r="D214" s="61" t="inlineStr">
        <is>
          <t>主酵时间</t>
        </is>
      </c>
      <c r="E214" s="69" t="inlineStr">
        <is>
          <t>Hours</t>
        </is>
      </c>
      <c r="F214" s="61" t="n"/>
      <c r="G214" s="60" t="inlineStr">
        <is>
          <t>Time to Cool</t>
        </is>
      </c>
      <c r="H214" s="61" t="inlineStr">
        <is>
          <t>BR-40195</t>
        </is>
      </c>
      <c r="I214" s="182" t="inlineStr">
        <is>
          <t>发酵液主酵时间_满罐至快速降温开始时间监控_酿造_发酵_发酵罐</t>
        </is>
      </c>
      <c r="J214" s="61" t="n"/>
      <c r="K214" s="174" t="inlineStr">
        <is>
          <t>Y</t>
        </is>
      </c>
      <c r="L214" s="174" t="inlineStr">
        <is>
          <t>数据</t>
        </is>
      </c>
      <c r="N214" s="165" t="inlineStr">
        <is>
          <t>Brand</t>
        </is>
      </c>
      <c r="O214" s="165" t="inlineStr">
        <is>
          <t>OG</t>
        </is>
      </c>
    </row>
    <row r="215" ht="25.5" customHeight="1" s="241">
      <c r="A215" s="217" t="n"/>
      <c r="B215" s="217" t="n"/>
      <c r="C215" s="61" t="inlineStr">
        <is>
          <t>Extract to start Full Cooling</t>
        </is>
      </c>
      <c r="D215" s="61" t="inlineStr">
        <is>
          <t>AE+2</t>
        </is>
      </c>
      <c r="E215" s="70" t="inlineStr">
        <is>
          <t>Plato</t>
        </is>
      </c>
      <c r="F215" s="61" t="n"/>
      <c r="G215" s="60" t="inlineStr">
        <is>
          <t>Extract to start Full Cooling</t>
        </is>
      </c>
      <c r="H215" s="61" t="inlineStr">
        <is>
          <t>BR-40221</t>
        </is>
      </c>
      <c r="I215" s="182" t="inlineStr">
        <is>
          <t>发酵液AE_快速降温控制_酿造_发酵_发酵罐</t>
        </is>
      </c>
      <c r="J215" s="61" t="inlineStr">
        <is>
          <t>DF-TSM</t>
        </is>
      </c>
      <c r="K215" s="174" t="inlineStr">
        <is>
          <t>Y</t>
        </is>
      </c>
      <c r="L215" s="174" t="inlineStr">
        <is>
          <t>数据</t>
        </is>
      </c>
      <c r="N215" s="165" t="inlineStr">
        <is>
          <t>Brand</t>
        </is>
      </c>
      <c r="O215" s="165" t="inlineStr">
        <is>
          <t>OG</t>
        </is>
      </c>
    </row>
    <row r="216" ht="25.5" customHeight="1" s="241">
      <c r="A216" s="217" t="n"/>
      <c r="B216" s="217" t="n"/>
      <c r="C216" s="61" t="inlineStr">
        <is>
          <t>Time to harvest - fermentor age</t>
        </is>
      </c>
      <c r="D216" s="61" t="inlineStr">
        <is>
          <t>开始回收酵母时间</t>
        </is>
      </c>
      <c r="E216" s="69" t="inlineStr">
        <is>
          <t>Hours</t>
        </is>
      </c>
      <c r="F216" s="61" t="inlineStr">
        <is>
          <t>从满罐开始算</t>
        </is>
      </c>
      <c r="G216" s="60" t="inlineStr">
        <is>
          <t>Time to harvest - fermentor age</t>
        </is>
      </c>
      <c r="H216" s="61" t="inlineStr">
        <is>
          <t>BR-40219</t>
        </is>
      </c>
      <c r="I216" s="182" t="inlineStr">
        <is>
          <t>工艺步骤时间段_满罐至酵母开始回收时间监控_酿造_发酵_发酵罐</t>
        </is>
      </c>
      <c r="J216" s="61" t="inlineStr">
        <is>
          <t>DF</t>
        </is>
      </c>
      <c r="K216" s="174" t="inlineStr">
        <is>
          <t>Y</t>
        </is>
      </c>
      <c r="L216" s="174" t="inlineStr">
        <is>
          <t>数据</t>
        </is>
      </c>
      <c r="N216" s="165" t="inlineStr">
        <is>
          <t>Brand</t>
        </is>
      </c>
      <c r="O216" s="165" t="inlineStr">
        <is>
          <t>OG</t>
        </is>
      </c>
    </row>
    <row r="217" ht="37.5" customHeight="1" s="241">
      <c r="A217" s="217" t="n"/>
      <c r="B217" s="217" t="n"/>
      <c r="C217" s="61" t="inlineStr">
        <is>
          <t>EOF to Yeast Harvest</t>
        </is>
      </c>
      <c r="D217" s="61" t="inlineStr">
        <is>
          <t>主酵结束到开始回收时间</t>
        </is>
      </c>
      <c r="E217" s="69" t="inlineStr">
        <is>
          <t>Hours</t>
        </is>
      </c>
      <c r="F217" s="61" t="n"/>
      <c r="G217" s="60" t="n"/>
      <c r="H217" s="61" t="inlineStr">
        <is>
          <t>BR-40196</t>
        </is>
      </c>
      <c r="I217" s="182" t="inlineStr">
        <is>
          <t>工艺步骤时间段_主酵结束至酵母开始回收时间监控_酿造_发酵_发酵罐</t>
        </is>
      </c>
      <c r="J217" s="61" t="inlineStr">
        <is>
          <t>DF</t>
        </is>
      </c>
      <c r="K217" s="174" t="inlineStr">
        <is>
          <t>Y</t>
        </is>
      </c>
      <c r="L217" s="174" t="inlineStr">
        <is>
          <t>数据</t>
        </is>
      </c>
      <c r="N217" s="165" t="inlineStr">
        <is>
          <t>Brand</t>
        </is>
      </c>
      <c r="O217" s="165" t="inlineStr">
        <is>
          <t>OG</t>
        </is>
      </c>
    </row>
    <row r="218" ht="25.5" customHeight="1" s="241">
      <c r="A218" s="217" t="n"/>
      <c r="B218" s="217" t="n"/>
      <c r="C218" s="61" t="inlineStr">
        <is>
          <t>Drop FAN</t>
        </is>
      </c>
      <c r="D218" s="61" t="inlineStr">
        <is>
          <t>主酵结束FAN</t>
        </is>
      </c>
      <c r="E218" s="70" t="inlineStr">
        <is>
          <t>ppm</t>
        </is>
      </c>
      <c r="F218" s="61" t="n"/>
      <c r="G218" s="60" t="inlineStr">
        <is>
          <t>FAN (EOF)</t>
        </is>
      </c>
      <c r="H218" s="61" t="inlineStr">
        <is>
          <t>QA-05349</t>
        </is>
      </c>
      <c r="I218" s="182" t="inlineStr">
        <is>
          <t>FAN_主酵结束发酵液_主酵_酿造_发酵_发酵罐</t>
        </is>
      </c>
      <c r="J218" s="61" t="inlineStr">
        <is>
          <t>LIMS</t>
        </is>
      </c>
      <c r="K218" s="174" t="inlineStr">
        <is>
          <t>Y</t>
        </is>
      </c>
      <c r="L218" s="174" t="inlineStr">
        <is>
          <t>数据</t>
        </is>
      </c>
      <c r="N218" s="165" t="inlineStr">
        <is>
          <t>Brand</t>
        </is>
      </c>
      <c r="O218" s="165" t="inlineStr">
        <is>
          <t>OG</t>
        </is>
      </c>
    </row>
    <row r="219" ht="25.5" customHeight="1" s="241">
      <c r="A219" s="217" t="n"/>
      <c r="B219" s="217" t="n"/>
      <c r="C219" s="168" t="inlineStr">
        <is>
          <t>FAN uptake</t>
        </is>
      </c>
      <c r="D219" s="168" t="inlineStr">
        <is>
          <t>FAN uptake</t>
        </is>
      </c>
      <c r="E219" s="70" t="inlineStr">
        <is>
          <t>ppm</t>
        </is>
      </c>
      <c r="F219" s="61" t="inlineStr">
        <is>
          <t>计算</t>
        </is>
      </c>
      <c r="G219" s="60" t="inlineStr">
        <is>
          <t>FAN uptake</t>
        </is>
      </c>
      <c r="H219" s="61" t="inlineStr">
        <is>
          <t>QA-05167</t>
        </is>
      </c>
      <c r="I219" s="182" t="inlineStr">
        <is>
          <t>FAN uptake_主酵结束发酵液_主酵_酿造_发酵_发酵罐</t>
        </is>
      </c>
      <c r="J219" s="61" t="inlineStr">
        <is>
          <t>LIMS</t>
        </is>
      </c>
      <c r="K219" s="174" t="inlineStr">
        <is>
          <t>Y</t>
        </is>
      </c>
      <c r="L219" s="174" t="inlineStr">
        <is>
          <t>数据</t>
        </is>
      </c>
      <c r="N219" s="165" t="inlineStr">
        <is>
          <t>Brand</t>
        </is>
      </c>
      <c r="O219" s="165" t="inlineStr">
        <is>
          <t>OG</t>
        </is>
      </c>
    </row>
    <row r="220" ht="25.5" customHeight="1" s="241">
      <c r="A220" s="217" t="n"/>
      <c r="B220" s="217" t="n"/>
      <c r="C220" s="61" t="inlineStr">
        <is>
          <t>Drop IBU</t>
        </is>
      </c>
      <c r="D220" s="61" t="inlineStr">
        <is>
          <t>主酵结束IBU</t>
        </is>
      </c>
      <c r="E220" s="69" t="n"/>
      <c r="F220" s="61" t="n"/>
      <c r="G220" s="60" t="inlineStr">
        <is>
          <t>Bitterness  (EOF)</t>
        </is>
      </c>
      <c r="H220" s="61" t="inlineStr">
        <is>
          <t>QA-05168</t>
        </is>
      </c>
      <c r="I220" s="182" t="inlineStr">
        <is>
          <t>IBU Drop_主酵结束发酵液_主酵_酿造_发酵_发酵罐</t>
        </is>
      </c>
      <c r="J220" s="61" t="inlineStr">
        <is>
          <t>LIMS</t>
        </is>
      </c>
      <c r="K220" s="174" t="inlineStr">
        <is>
          <t>Y</t>
        </is>
      </c>
      <c r="L220" s="174" t="inlineStr">
        <is>
          <t>数据</t>
        </is>
      </c>
      <c r="N220" s="165" t="inlineStr">
        <is>
          <t>Brand</t>
        </is>
      </c>
      <c r="O220" s="165" t="inlineStr">
        <is>
          <t>OG</t>
        </is>
      </c>
    </row>
    <row r="221" ht="25.5" customHeight="1" s="241">
      <c r="A221" s="217" t="n"/>
      <c r="B221" s="217" t="n"/>
      <c r="C221" s="168" t="inlineStr">
        <is>
          <t>IBU Loss</t>
        </is>
      </c>
      <c r="D221" s="168" t="inlineStr">
        <is>
          <t>IBU损失</t>
        </is>
      </c>
      <c r="E221" s="69" t="n"/>
      <c r="F221" s="61" t="inlineStr">
        <is>
          <t>计算</t>
        </is>
      </c>
      <c r="G221" s="60" t="n"/>
      <c r="H221" s="61" t="inlineStr">
        <is>
          <t>QA-05120</t>
        </is>
      </c>
      <c r="I221" s="182" t="inlineStr">
        <is>
          <t>YCC_ 主酵发酵液跟踪样_主酵控制_酿造_发酵_发酵罐</t>
        </is>
      </c>
      <c r="J221" s="61" t="inlineStr">
        <is>
          <t>LIMS</t>
        </is>
      </c>
      <c r="K221" s="174" t="inlineStr">
        <is>
          <t>Y</t>
        </is>
      </c>
      <c r="L221" s="174" t="inlineStr">
        <is>
          <t>数据</t>
        </is>
      </c>
      <c r="N221" s="165" t="inlineStr">
        <is>
          <t>Brand</t>
        </is>
      </c>
      <c r="O221" s="165" t="inlineStr">
        <is>
          <t>OG</t>
        </is>
      </c>
    </row>
    <row r="222" ht="25.5" customHeight="1" s="241">
      <c r="A222" s="217" t="n"/>
      <c r="B222" s="217" t="n"/>
      <c r="C222" s="61" t="inlineStr">
        <is>
          <t>SO2  (EOF)</t>
        </is>
      </c>
      <c r="D222" s="61" t="inlineStr">
        <is>
          <t>主酵结束SO2</t>
        </is>
      </c>
      <c r="E222" s="69" t="inlineStr">
        <is>
          <t>ppm</t>
        </is>
      </c>
      <c r="F222" s="61" t="inlineStr">
        <is>
          <t>折算到成品标准OG</t>
        </is>
      </c>
      <c r="G222" s="60" t="inlineStr">
        <is>
          <t>SO2  (EOF)</t>
        </is>
      </c>
      <c r="H222" s="61" t="inlineStr">
        <is>
          <t>QA-05120</t>
        </is>
      </c>
      <c r="I222" s="182" t="n"/>
      <c r="J222" s="61" t="inlineStr">
        <is>
          <t>LIMS</t>
        </is>
      </c>
      <c r="K222" s="174" t="inlineStr">
        <is>
          <t>Y</t>
        </is>
      </c>
      <c r="L222" s="174" t="inlineStr">
        <is>
          <t>数据</t>
        </is>
      </c>
      <c r="N222" s="165" t="inlineStr">
        <is>
          <t>Brand</t>
        </is>
      </c>
      <c r="O222" s="165" t="inlineStr">
        <is>
          <t>OG</t>
        </is>
      </c>
    </row>
    <row r="223" ht="24.95" customHeight="1" s="241">
      <c r="A223" s="217" t="n"/>
      <c r="B223" s="217" t="n"/>
      <c r="C223" s="61" t="inlineStr">
        <is>
          <t>pH  (EOF)</t>
        </is>
      </c>
      <c r="D223" s="61" t="inlineStr">
        <is>
          <t>主酵结束pH</t>
        </is>
      </c>
      <c r="E223" s="69" t="n"/>
      <c r="F223" s="61" t="n"/>
      <c r="G223" s="60" t="inlineStr">
        <is>
          <t>pH  (EOF)</t>
        </is>
      </c>
      <c r="H223" s="61" t="n"/>
      <c r="I223" s="182" t="n"/>
      <c r="J223" s="105" t="inlineStr">
        <is>
          <t>手动</t>
        </is>
      </c>
      <c r="K223" s="174" t="n"/>
      <c r="L223" s="174" t="inlineStr">
        <is>
          <t>数据</t>
        </is>
      </c>
      <c r="N223" s="165" t="inlineStr">
        <is>
          <t>Brand</t>
        </is>
      </c>
      <c r="O223" s="165" t="inlineStr">
        <is>
          <t>OG</t>
        </is>
      </c>
    </row>
    <row r="224" ht="25.5" customHeight="1" s="241">
      <c r="A224" s="217" t="n"/>
      <c r="B224" s="218" t="n"/>
      <c r="C224" s="61" t="inlineStr">
        <is>
          <t>Yeast Zinc Calculation</t>
        </is>
      </c>
      <c r="D224" s="61" t="inlineStr">
        <is>
          <t>酵母锌理论计算</t>
        </is>
      </c>
      <c r="E224" s="69" t="inlineStr">
        <is>
          <t>ppm</t>
        </is>
      </c>
      <c r="F224" s="61" t="n"/>
      <c r="G224" s="60" t="n"/>
      <c r="H224" s="61" t="inlineStr">
        <is>
          <t>QA-05120</t>
        </is>
      </c>
      <c r="I224" s="182" t="n"/>
      <c r="J224" s="61" t="inlineStr">
        <is>
          <t>DF</t>
        </is>
      </c>
      <c r="K224" s="174" t="n"/>
      <c r="L224" s="174" t="inlineStr">
        <is>
          <t>数据</t>
        </is>
      </c>
      <c r="N224" s="165" t="inlineStr">
        <is>
          <t>Brand</t>
        </is>
      </c>
      <c r="O224" s="165" t="inlineStr">
        <is>
          <t>OG</t>
        </is>
      </c>
    </row>
    <row r="225" ht="25.5" customHeight="1" s="241">
      <c r="A225" s="217" t="n"/>
      <c r="B225" s="222" t="inlineStr">
        <is>
          <t>Warm Maturation</t>
        </is>
      </c>
      <c r="C225" s="61" t="inlineStr">
        <is>
          <t>Yeast Beer Dosage Volume</t>
        </is>
      </c>
      <c r="D225" s="61" t="inlineStr">
        <is>
          <t>酵母酒添加量</t>
        </is>
      </c>
      <c r="E225" s="69" t="inlineStr">
        <is>
          <t>HL</t>
        </is>
      </c>
      <c r="F225" s="61" t="n"/>
      <c r="G225" s="60" t="n"/>
      <c r="H225" s="61" t="inlineStr">
        <is>
          <t>BR-40323</t>
        </is>
      </c>
      <c r="I225" s="182" t="inlineStr">
        <is>
          <t>错流酒液量_错流酒添加_酿造_发酵_发酵罐</t>
        </is>
      </c>
      <c r="J225" s="61" t="inlineStr">
        <is>
          <t>DF</t>
        </is>
      </c>
      <c r="K225" s="174" t="n"/>
      <c r="L225" s="174" t="inlineStr">
        <is>
          <t>数据</t>
        </is>
      </c>
      <c r="N225" s="165" t="inlineStr">
        <is>
          <t>Brand</t>
        </is>
      </c>
      <c r="O225" s="165" t="inlineStr">
        <is>
          <t>OG</t>
        </is>
      </c>
    </row>
    <row r="226" ht="25.5" customHeight="1" s="241">
      <c r="A226" s="217" t="n"/>
      <c r="B226" s="217" t="n"/>
      <c r="C226" s="61" t="inlineStr">
        <is>
          <t>Yeast Beer Dosage Ratio</t>
        </is>
      </c>
      <c r="D226" s="61" t="inlineStr">
        <is>
          <t>酵母酒添加比例</t>
        </is>
      </c>
      <c r="E226" s="69" t="inlineStr">
        <is>
          <t>%</t>
        </is>
      </c>
      <c r="F226" s="61" t="inlineStr">
        <is>
          <t>计算</t>
        </is>
      </c>
      <c r="G226" s="60" t="n"/>
      <c r="H226" s="61" t="inlineStr">
        <is>
          <t>BR-40404</t>
        </is>
      </c>
      <c r="I226" s="182" t="inlineStr">
        <is>
          <t>错流酒液和满罐发酵液位总量比值_错流酒添加_酿造_发酵_发酵罐</t>
        </is>
      </c>
      <c r="J226" s="61" t="inlineStr">
        <is>
          <t>DF</t>
        </is>
      </c>
      <c r="K226" s="174" t="inlineStr">
        <is>
          <t>Y</t>
        </is>
      </c>
      <c r="L226" s="174" t="inlineStr">
        <is>
          <t>数据</t>
        </is>
      </c>
      <c r="N226" s="165" t="inlineStr">
        <is>
          <t>Brand</t>
        </is>
      </c>
      <c r="O226" s="165" t="inlineStr">
        <is>
          <t>OG</t>
        </is>
      </c>
    </row>
    <row r="227" ht="25.5" customHeight="1" s="241">
      <c r="A227" s="217" t="n"/>
      <c r="B227" s="217" t="n"/>
      <c r="C227" s="61" t="inlineStr">
        <is>
          <t>0H YCC</t>
        </is>
      </c>
      <c r="D227" s="61" t="inlineStr">
        <is>
          <t>0h YCC</t>
        </is>
      </c>
      <c r="E227" s="70" t="inlineStr">
        <is>
          <t>MM/ml</t>
        </is>
      </c>
      <c r="F227" s="61" t="n"/>
      <c r="G227" s="60" t="inlineStr">
        <is>
          <t>0 Hr  Cell Count</t>
        </is>
      </c>
      <c r="H227" s="61" t="inlineStr">
        <is>
          <t>QA-05160</t>
        </is>
      </c>
      <c r="I227" s="182" t="inlineStr">
        <is>
          <t>YCC_零小时发酵液_后酵_酿造_发酵_发酵罐</t>
        </is>
      </c>
      <c r="J227" s="61" t="inlineStr">
        <is>
          <t>LIMS</t>
        </is>
      </c>
      <c r="K227" s="174" t="inlineStr">
        <is>
          <t>Y</t>
        </is>
      </c>
      <c r="L227" s="174" t="inlineStr">
        <is>
          <t>数据</t>
        </is>
      </c>
      <c r="N227" s="165" t="inlineStr">
        <is>
          <t>Brand</t>
        </is>
      </c>
      <c r="O227" s="165" t="inlineStr">
        <is>
          <t>OG</t>
        </is>
      </c>
    </row>
    <row r="228" ht="38.25" customHeight="1" s="241">
      <c r="A228" s="217" t="n"/>
      <c r="B228" s="217" t="n"/>
      <c r="C228" s="61" t="inlineStr">
        <is>
          <t>Mid Point YCC</t>
        </is>
      </c>
      <c r="D228" s="61" t="inlineStr">
        <is>
          <t>中间点YCC</t>
        </is>
      </c>
      <c r="E228" s="70" t="inlineStr">
        <is>
          <t>MM/ml</t>
        </is>
      </c>
      <c r="F228" s="61" t="n"/>
      <c r="G228" s="60" t="inlineStr">
        <is>
          <t>Cell Count Mid Point Warm Maturation</t>
        </is>
      </c>
      <c r="H228" s="61" t="inlineStr">
        <is>
          <t>QA-05175</t>
        </is>
      </c>
      <c r="I228" s="182" t="inlineStr">
        <is>
          <t>YCC_中间点发酵液_后酵_酿造_发酵_发酵罐</t>
        </is>
      </c>
      <c r="J228" s="61" t="inlineStr">
        <is>
          <t>LIMS</t>
        </is>
      </c>
      <c r="K228" s="174" t="inlineStr">
        <is>
          <t>Y</t>
        </is>
      </c>
      <c r="L228" s="174" t="inlineStr">
        <is>
          <t>数据</t>
        </is>
      </c>
      <c r="N228" s="165" t="inlineStr">
        <is>
          <t>Brand</t>
        </is>
      </c>
      <c r="O228" s="165" t="inlineStr">
        <is>
          <t>OG</t>
        </is>
      </c>
    </row>
    <row r="229">
      <c r="A229" s="217" t="n"/>
      <c r="B229" s="217" t="n"/>
      <c r="C229" s="61" t="inlineStr">
        <is>
          <t>EOC YCC</t>
        </is>
      </c>
      <c r="D229" s="61" t="inlineStr">
        <is>
          <t>EOC YCC</t>
        </is>
      </c>
      <c r="E229" s="70" t="inlineStr">
        <is>
          <t>MM/ml</t>
        </is>
      </c>
      <c r="F229" s="61" t="n"/>
      <c r="G229" s="61" t="n"/>
      <c r="H229" s="61" t="n"/>
      <c r="I229" s="182" t="n"/>
      <c r="J229" s="61" t="inlineStr">
        <is>
          <t>LIMS</t>
        </is>
      </c>
      <c r="K229" s="174" t="inlineStr">
        <is>
          <t>Y</t>
        </is>
      </c>
      <c r="L229" s="174" t="inlineStr">
        <is>
          <t>数据</t>
        </is>
      </c>
      <c r="N229" s="165" t="inlineStr">
        <is>
          <t>Brand</t>
        </is>
      </c>
      <c r="O229" s="165" t="inlineStr">
        <is>
          <t>OG</t>
        </is>
      </c>
    </row>
    <row r="230" ht="25.5" customHeight="1" s="241">
      <c r="A230" s="217" t="n"/>
      <c r="B230" s="217" t="n"/>
      <c r="C230" s="61" t="inlineStr">
        <is>
          <t>Temperature Maturation tank</t>
        </is>
      </c>
      <c r="D230" s="105" t="inlineStr">
        <is>
          <t>后酵温度
(平均值）</t>
        </is>
      </c>
      <c r="E230" s="69" t="inlineStr">
        <is>
          <t>°C</t>
        </is>
      </c>
      <c r="F230" s="105" t="inlineStr">
        <is>
          <t>见下一页说明</t>
        </is>
      </c>
      <c r="G230" s="60" t="inlineStr">
        <is>
          <t>Temperature Maturation tank</t>
        </is>
      </c>
      <c r="H230" s="61" t="inlineStr">
        <is>
          <t>BR-40326</t>
        </is>
      </c>
      <c r="I230" s="182" t="inlineStr">
        <is>
          <t>后酵发酵液温度_后酵2熟化控制_酿造_发酵_发酵罐</t>
        </is>
      </c>
      <c r="J230" s="61" t="inlineStr">
        <is>
          <t>DF</t>
        </is>
      </c>
      <c r="K230" s="174" t="inlineStr">
        <is>
          <t>Y</t>
        </is>
      </c>
      <c r="L230" s="174" t="inlineStr">
        <is>
          <t>数据</t>
        </is>
      </c>
      <c r="N230" s="165" t="inlineStr">
        <is>
          <t>Brand</t>
        </is>
      </c>
      <c r="O230" s="165" t="inlineStr">
        <is>
          <t>OG</t>
        </is>
      </c>
    </row>
    <row r="231" ht="25.5" customHeight="1" s="241">
      <c r="A231" s="217" t="n"/>
      <c r="B231" s="217" t="n"/>
      <c r="C231" s="61" t="inlineStr">
        <is>
          <t>Counter Pressure Maturation tank</t>
        </is>
      </c>
      <c r="D231" s="105" t="inlineStr">
        <is>
          <t>后酵压力</t>
        </is>
      </c>
      <c r="E231" s="69" t="inlineStr">
        <is>
          <t>Bar</t>
        </is>
      </c>
      <c r="F231" s="105" t="n"/>
      <c r="G231" s="60" t="inlineStr">
        <is>
          <t>Counter Pressure Maturation tank</t>
        </is>
      </c>
      <c r="H231" s="61" t="inlineStr">
        <is>
          <t>BR-40325</t>
        </is>
      </c>
      <c r="I231" s="182" t="inlineStr">
        <is>
          <t>后酵发酵液压力_后酵2熟化控制_酿造_发酵_发酵罐</t>
        </is>
      </c>
      <c r="J231" s="61" t="inlineStr">
        <is>
          <t>DF</t>
        </is>
      </c>
      <c r="K231" s="174" t="n"/>
      <c r="L231" s="174" t="inlineStr">
        <is>
          <t>数据</t>
        </is>
      </c>
      <c r="N231" s="165" t="inlineStr">
        <is>
          <t>Brand</t>
        </is>
      </c>
      <c r="O231" s="165" t="inlineStr">
        <is>
          <t>OG</t>
        </is>
      </c>
    </row>
    <row r="232" ht="38.25" customHeight="1" s="241">
      <c r="A232" s="217" t="n"/>
      <c r="B232" s="217" t="n"/>
      <c r="C232" s="61" t="inlineStr">
        <is>
          <t>Time in maturation at transfer</t>
        </is>
      </c>
      <c r="D232" s="105" t="inlineStr">
        <is>
          <t>后酵时间段</t>
        </is>
      </c>
      <c r="E232" s="70" t="inlineStr">
        <is>
          <t>Day</t>
        </is>
      </c>
      <c r="F232" s="105" t="inlineStr">
        <is>
          <t>从酵母回收结束到成熟点</t>
        </is>
      </c>
      <c r="G232" s="60" t="inlineStr">
        <is>
          <t>Time in maturation at transfer</t>
        </is>
      </c>
      <c r="H232" s="61" t="inlineStr">
        <is>
          <t>BR-40324</t>
        </is>
      </c>
      <c r="I232" s="182" t="inlineStr">
        <is>
          <t>工艺步骤时间段_后酵2熟化控制_酿造_发酵_发酵罐</t>
        </is>
      </c>
      <c r="J232" s="61" t="inlineStr">
        <is>
          <t>DF</t>
        </is>
      </c>
      <c r="K232" s="174" t="inlineStr">
        <is>
          <t>Y</t>
        </is>
      </c>
      <c r="L232" s="174" t="inlineStr">
        <is>
          <t>数据</t>
        </is>
      </c>
      <c r="N232" s="165" t="inlineStr">
        <is>
          <t>Brand</t>
        </is>
      </c>
      <c r="O232" s="165" t="inlineStr">
        <is>
          <t>OG</t>
        </is>
      </c>
    </row>
    <row r="233" ht="25.5" customHeight="1" s="241">
      <c r="A233" s="217" t="n"/>
      <c r="B233" s="217" t="n"/>
      <c r="C233" s="61" t="inlineStr">
        <is>
          <t>Fermentation cycle time</t>
        </is>
      </c>
      <c r="D233" s="105" t="inlineStr">
        <is>
          <t>发酵周期</t>
        </is>
      </c>
      <c r="E233" s="70" t="inlineStr">
        <is>
          <t>Day</t>
        </is>
      </c>
      <c r="F233" s="105" t="n"/>
      <c r="G233" s="60" t="inlineStr">
        <is>
          <t>Fermentation Cycle Time</t>
        </is>
      </c>
      <c r="H233" s="61" t="inlineStr">
        <is>
          <t>BR-04003</t>
        </is>
      </c>
      <c r="I233" s="182" t="inlineStr">
        <is>
          <t>发酵单罐次成熟周期_发酵_酿造_发酵</t>
        </is>
      </c>
      <c r="J233" s="61" t="inlineStr">
        <is>
          <t>DF</t>
        </is>
      </c>
      <c r="K233" s="174" t="inlineStr">
        <is>
          <t>Y</t>
        </is>
      </c>
      <c r="L233" s="174" t="inlineStr">
        <is>
          <t>数据</t>
        </is>
      </c>
      <c r="N233" s="165" t="inlineStr">
        <is>
          <t>Brand</t>
        </is>
      </c>
      <c r="O233" s="165" t="inlineStr">
        <is>
          <t>OG</t>
        </is>
      </c>
    </row>
    <row r="234" ht="25.5" customHeight="1" s="241">
      <c r="A234" s="217" t="n"/>
      <c r="B234" s="217" t="n"/>
      <c r="C234" s="61" t="inlineStr">
        <is>
          <t>Temperature at transfer</t>
        </is>
      </c>
      <c r="D234" s="105" t="inlineStr">
        <is>
          <t>发酵罐开始出酒温度</t>
        </is>
      </c>
      <c r="E234" s="69" t="inlineStr">
        <is>
          <t>°C</t>
        </is>
      </c>
      <c r="F234" s="105" t="n"/>
      <c r="G234" s="60" t="inlineStr">
        <is>
          <t>Temperature at transfer</t>
        </is>
      </c>
      <c r="H234" s="61" t="inlineStr">
        <is>
          <t>BR-40350</t>
        </is>
      </c>
      <c r="I234" s="182" t="inlineStr">
        <is>
          <t>步骤开始冷储发酵液中层温度_嫩啤酒出罐_酿造_发酵_发酵罐</t>
        </is>
      </c>
      <c r="J234" s="61" t="inlineStr">
        <is>
          <t>DF</t>
        </is>
      </c>
      <c r="K234" s="174" t="inlineStr">
        <is>
          <t>Y</t>
        </is>
      </c>
      <c r="L234" s="174" t="inlineStr">
        <is>
          <t>数据</t>
        </is>
      </c>
      <c r="N234" s="165" t="inlineStr">
        <is>
          <t>Brand</t>
        </is>
      </c>
      <c r="O234" s="165" t="inlineStr">
        <is>
          <t>OG</t>
        </is>
      </c>
    </row>
    <row r="235" ht="25.5" customHeight="1" s="241">
      <c r="A235" s="217" t="n"/>
      <c r="B235" s="217" t="n"/>
      <c r="C235" s="61" t="inlineStr">
        <is>
          <t>Total beer Age</t>
        </is>
      </c>
      <c r="D235" s="105" t="inlineStr">
        <is>
          <t>总酒龄</t>
        </is>
      </c>
      <c r="E235" s="70" t="inlineStr">
        <is>
          <t>Day</t>
        </is>
      </c>
      <c r="F235" s="105" t="inlineStr">
        <is>
          <t>从满罐到开始离心或出酒</t>
        </is>
      </c>
      <c r="G235" s="60" t="n"/>
      <c r="H235" s="61" t="inlineStr">
        <is>
          <t>BR-04004</t>
        </is>
      </c>
      <c r="I235" s="182" t="inlineStr">
        <is>
          <t>发酵单罐次占用天数_发酵_酿造_发酵</t>
        </is>
      </c>
      <c r="J235" s="61" t="inlineStr">
        <is>
          <t>DF</t>
        </is>
      </c>
      <c r="K235" s="174" t="inlineStr">
        <is>
          <t>Y</t>
        </is>
      </c>
      <c r="L235" s="174" t="inlineStr">
        <is>
          <t>数据</t>
        </is>
      </c>
      <c r="N235" s="165" t="inlineStr">
        <is>
          <t>Brand</t>
        </is>
      </c>
      <c r="O235" s="165" t="inlineStr">
        <is>
          <t>OG</t>
        </is>
      </c>
    </row>
    <row r="236" ht="25.5" customHeight="1" s="241">
      <c r="A236" s="217" t="n"/>
      <c r="B236" s="218" t="n"/>
      <c r="C236" s="61" t="inlineStr">
        <is>
          <t>Empty Time</t>
        </is>
      </c>
      <c r="D236" s="105" t="inlineStr">
        <is>
          <t>空罐时间</t>
        </is>
      </c>
      <c r="E236" s="69" t="inlineStr">
        <is>
          <t>Hours</t>
        </is>
      </c>
      <c r="F236" s="105" t="n"/>
      <c r="G236" s="60" t="n"/>
      <c r="H236" s="61" t="inlineStr">
        <is>
          <t>BR-04005</t>
        </is>
      </c>
      <c r="I236" s="182" t="inlineStr">
        <is>
          <t>发酵单罐次酒液存储天数_发酵_酿造_发酵</t>
        </is>
      </c>
      <c r="J236" s="61" t="inlineStr">
        <is>
          <t>DF</t>
        </is>
      </c>
      <c r="K236" s="174" t="n"/>
      <c r="L236" s="174" t="inlineStr">
        <is>
          <t>数据</t>
        </is>
      </c>
      <c r="N236" s="165" t="inlineStr">
        <is>
          <t>Brand</t>
        </is>
      </c>
      <c r="O236" s="165" t="inlineStr">
        <is>
          <t>OG</t>
        </is>
      </c>
    </row>
    <row r="237" ht="25.5" customHeight="1" s="241">
      <c r="A237" s="217" t="n"/>
      <c r="B237" s="222" t="inlineStr">
        <is>
          <t>EOC</t>
        </is>
      </c>
      <c r="C237" s="61" t="inlineStr">
        <is>
          <t xml:space="preserve">Diacetyl </t>
        </is>
      </c>
      <c r="D237" s="61" t="inlineStr">
        <is>
          <t>EOC 双乙酰</t>
        </is>
      </c>
      <c r="E237" s="70" t="inlineStr">
        <is>
          <t>Plato</t>
        </is>
      </c>
      <c r="F237" s="61" t="inlineStr">
        <is>
          <t>EOC点检测</t>
        </is>
      </c>
      <c r="G237" s="60" t="inlineStr">
        <is>
          <t>Diacetyl (EOM)</t>
        </is>
      </c>
      <c r="H237" s="61" t="inlineStr">
        <is>
          <t>QA-05193</t>
        </is>
      </c>
      <c r="I237" s="182" t="inlineStr">
        <is>
          <t>总P_EOC发酵液_后酵控制_酿造_发酵_发酵罐</t>
        </is>
      </c>
      <c r="J237" s="61" t="inlineStr">
        <is>
          <t>LIMS</t>
        </is>
      </c>
      <c r="K237" s="174" t="inlineStr">
        <is>
          <t>Y</t>
        </is>
      </c>
      <c r="L237" s="174" t="inlineStr">
        <is>
          <t>数据</t>
        </is>
      </c>
      <c r="N237" s="165" t="inlineStr">
        <is>
          <t>Brand</t>
        </is>
      </c>
      <c r="O237" s="165" t="inlineStr">
        <is>
          <t>OG</t>
        </is>
      </c>
    </row>
    <row r="238" ht="25.5" customHeight="1" s="241">
      <c r="A238" s="217" t="n"/>
      <c r="B238" s="217" t="n"/>
      <c r="C238" s="61" t="inlineStr">
        <is>
          <t xml:space="preserve">Pentanedione </t>
        </is>
      </c>
      <c r="D238" s="61" t="inlineStr">
        <is>
          <t>EOC 戊二酮</t>
        </is>
      </c>
      <c r="E238" s="70" t="inlineStr">
        <is>
          <t>pH</t>
        </is>
      </c>
      <c r="F238" s="61" t="inlineStr">
        <is>
          <t>EOC点检测</t>
        </is>
      </c>
      <c r="G238" s="60" t="inlineStr">
        <is>
          <t>Pentanedione (EOM)</t>
        </is>
      </c>
      <c r="H238" s="61" t="inlineStr">
        <is>
          <t>QA-05191</t>
        </is>
      </c>
      <c r="I238" s="182" t="inlineStr">
        <is>
          <t>总D_EOC发酵液_后酵控制_酿造_发酵_发酵罐</t>
        </is>
      </c>
      <c r="J238" s="61" t="inlineStr">
        <is>
          <t>LIMS</t>
        </is>
      </c>
      <c r="K238" s="174" t="inlineStr">
        <is>
          <t>Y</t>
        </is>
      </c>
      <c r="L238" s="174" t="inlineStr">
        <is>
          <t>数据</t>
        </is>
      </c>
      <c r="N238" s="165" t="inlineStr">
        <is>
          <t>Brand</t>
        </is>
      </c>
      <c r="O238" s="165" t="inlineStr">
        <is>
          <t>OG</t>
        </is>
      </c>
    </row>
    <row r="239" ht="25.5" customHeight="1" s="241">
      <c r="A239" s="217" t="n"/>
      <c r="B239" s="217" t="n"/>
      <c r="C239" s="61" t="inlineStr">
        <is>
          <t>AA</t>
        </is>
      </c>
      <c r="D239" s="61" t="inlineStr">
        <is>
          <t xml:space="preserve">EOC AA </t>
        </is>
      </c>
      <c r="E239" s="70" t="inlineStr">
        <is>
          <t>ppm</t>
        </is>
      </c>
      <c r="F239" s="61" t="inlineStr">
        <is>
          <t>EOC点检测</t>
        </is>
      </c>
      <c r="G239" s="60" t="inlineStr">
        <is>
          <t>Acetaldehyde (EOM)</t>
        </is>
      </c>
      <c r="H239" s="61" t="inlineStr">
        <is>
          <t>QA-05194</t>
        </is>
      </c>
      <c r="I239" s="182" t="inlineStr">
        <is>
          <t>AA_EOC发酵液_后酵控制_酿造_发酵_发酵罐</t>
        </is>
      </c>
      <c r="J239" s="61" t="inlineStr">
        <is>
          <t>LIMS</t>
        </is>
      </c>
      <c r="K239" s="174" t="inlineStr">
        <is>
          <t>Y</t>
        </is>
      </c>
      <c r="L239" s="174" t="inlineStr">
        <is>
          <t>数据</t>
        </is>
      </c>
      <c r="N239" s="165" t="inlineStr">
        <is>
          <t>Brand</t>
        </is>
      </c>
      <c r="O239" s="165" t="inlineStr">
        <is>
          <t>OG</t>
        </is>
      </c>
    </row>
    <row r="240" ht="25.5" customHeight="1" s="241">
      <c r="A240" s="217" t="n"/>
      <c r="B240" s="217" t="n"/>
      <c r="C240" s="61" t="inlineStr">
        <is>
          <t xml:space="preserve">Release Diacetyl </t>
        </is>
      </c>
      <c r="D240" s="61" t="inlineStr">
        <is>
          <t>放行 双乙酰</t>
        </is>
      </c>
      <c r="E240" s="70" t="inlineStr">
        <is>
          <t>ppb</t>
        </is>
      </c>
      <c r="F240" s="61" t="inlineStr">
        <is>
          <t>如EOC已经成熟，该数据和EOC默认相同</t>
        </is>
      </c>
      <c r="G240" s="60" t="n"/>
      <c r="H240" s="61" t="inlineStr">
        <is>
          <t>QA-05193</t>
        </is>
      </c>
      <c r="I240" s="182" t="n"/>
      <c r="J240" s="61" t="inlineStr">
        <is>
          <t>LIMS</t>
        </is>
      </c>
      <c r="K240" s="174" t="inlineStr">
        <is>
          <t>Y</t>
        </is>
      </c>
      <c r="L240" s="174" t="inlineStr">
        <is>
          <t>数据</t>
        </is>
      </c>
      <c r="N240" s="165" t="inlineStr">
        <is>
          <t>Brand</t>
        </is>
      </c>
      <c r="O240" s="165" t="inlineStr">
        <is>
          <t>OG</t>
        </is>
      </c>
    </row>
    <row r="241" ht="25.5" customHeight="1" s="241">
      <c r="A241" s="217" t="n"/>
      <c r="B241" s="217" t="n"/>
      <c r="C241" s="61" t="inlineStr">
        <is>
          <t xml:space="preserve">Release
Pentanedione </t>
        </is>
      </c>
      <c r="D241" s="61" t="inlineStr">
        <is>
          <t>放行 戊二酮</t>
        </is>
      </c>
      <c r="E241" s="70" t="inlineStr">
        <is>
          <t>ppb</t>
        </is>
      </c>
      <c r="F241" s="61" t="inlineStr">
        <is>
          <t>如EOC已经成熟，该数据和EOC默认相同</t>
        </is>
      </c>
      <c r="G241" s="60" t="n"/>
      <c r="H241" s="61" t="inlineStr">
        <is>
          <t>QA-05191</t>
        </is>
      </c>
      <c r="I241" s="182" t="n"/>
      <c r="J241" s="61" t="inlineStr">
        <is>
          <t>LIMS</t>
        </is>
      </c>
      <c r="K241" s="174" t="inlineStr">
        <is>
          <t>Y</t>
        </is>
      </c>
      <c r="L241" s="174" t="inlineStr">
        <is>
          <t>数据</t>
        </is>
      </c>
      <c r="N241" s="165" t="inlineStr">
        <is>
          <t>Brand</t>
        </is>
      </c>
      <c r="O241" s="165" t="inlineStr">
        <is>
          <t>OG</t>
        </is>
      </c>
    </row>
    <row r="242" ht="25.5" customHeight="1" s="241">
      <c r="A242" s="217" t="n"/>
      <c r="B242" s="217" t="n"/>
      <c r="C242" s="61" t="inlineStr">
        <is>
          <t>Release
AA</t>
        </is>
      </c>
      <c r="D242" s="61" t="inlineStr">
        <is>
          <t xml:space="preserve">放行 AA </t>
        </is>
      </c>
      <c r="E242" s="70" t="inlineStr">
        <is>
          <t>ppm</t>
        </is>
      </c>
      <c r="F242" s="61" t="inlineStr">
        <is>
          <t>如EOC已经成熟，该数据和EOC默认相同</t>
        </is>
      </c>
      <c r="G242" s="60" t="n"/>
      <c r="H242" s="61" t="inlineStr">
        <is>
          <t>QA-05194</t>
        </is>
      </c>
      <c r="I242" s="182" t="n"/>
      <c r="J242" s="61" t="inlineStr">
        <is>
          <t>LIMS</t>
        </is>
      </c>
      <c r="K242" s="174" t="inlineStr">
        <is>
          <t>Y</t>
        </is>
      </c>
      <c r="L242" s="174" t="inlineStr">
        <is>
          <t>数据</t>
        </is>
      </c>
      <c r="N242" s="165" t="inlineStr">
        <is>
          <t>Brand</t>
        </is>
      </c>
      <c r="O242" s="165" t="inlineStr">
        <is>
          <t>OG</t>
        </is>
      </c>
    </row>
    <row r="243" ht="25.5" customHeight="1" s="241">
      <c r="A243" s="217" t="n"/>
      <c r="B243" s="217" t="n"/>
      <c r="C243" s="61" t="inlineStr">
        <is>
          <t>OG</t>
        </is>
      </c>
      <c r="D243" s="61" t="inlineStr">
        <is>
          <t>原浓</t>
        </is>
      </c>
      <c r="E243" s="70" t="inlineStr">
        <is>
          <t>Plato</t>
        </is>
      </c>
      <c r="F243" s="61" t="n"/>
      <c r="G243" s="60" t="n"/>
      <c r="H243" s="61" t="inlineStr">
        <is>
          <t>QA-05197</t>
        </is>
      </c>
      <c r="I243" s="182" t="inlineStr">
        <is>
          <t>OG_EOC发酵液_后酵控制_酿造_发酵_发酵罐</t>
        </is>
      </c>
      <c r="J243" s="61" t="inlineStr">
        <is>
          <t>LIMS</t>
        </is>
      </c>
      <c r="K243" s="174" t="n"/>
      <c r="L243" s="174" t="inlineStr">
        <is>
          <t>数据</t>
        </is>
      </c>
      <c r="N243" s="165" t="inlineStr">
        <is>
          <t>Brand</t>
        </is>
      </c>
      <c r="O243" s="165" t="inlineStr">
        <is>
          <t>OG</t>
        </is>
      </c>
    </row>
    <row r="244" ht="25.5" customHeight="1" s="241">
      <c r="A244" s="217" t="n"/>
      <c r="B244" s="217" t="n"/>
      <c r="C244" s="61" t="inlineStr">
        <is>
          <t>AE</t>
        </is>
      </c>
      <c r="D244" s="61" t="inlineStr">
        <is>
          <t>外观糖度</t>
        </is>
      </c>
      <c r="E244" s="70" t="inlineStr">
        <is>
          <t>Plato</t>
        </is>
      </c>
      <c r="F244" s="61" t="n"/>
      <c r="G244" s="60" t="inlineStr">
        <is>
          <t>Apparent extract</t>
        </is>
      </c>
      <c r="H244" s="61" t="inlineStr">
        <is>
          <t>QA-05199</t>
        </is>
      </c>
      <c r="I244" s="182" t="inlineStr">
        <is>
          <t>AE_EOC发酵液_后酵控制_酿造_发酵_发酵罐</t>
        </is>
      </c>
      <c r="J244" s="61" t="inlineStr">
        <is>
          <t>LIMS</t>
        </is>
      </c>
      <c r="K244" s="174" t="n"/>
      <c r="L244" s="174" t="inlineStr">
        <is>
          <t>数据</t>
        </is>
      </c>
      <c r="N244" s="165" t="inlineStr">
        <is>
          <t>Brand</t>
        </is>
      </c>
      <c r="O244" s="165" t="inlineStr">
        <is>
          <t>OG</t>
        </is>
      </c>
    </row>
    <row r="245" ht="25.5" customHeight="1" s="241">
      <c r="A245" s="217" t="n"/>
      <c r="B245" s="217" t="n"/>
      <c r="C245" s="61" t="inlineStr">
        <is>
          <t>RDF</t>
        </is>
      </c>
      <c r="D245" s="61" t="inlineStr">
        <is>
          <t>发酵度</t>
        </is>
      </c>
      <c r="E245" s="70" t="inlineStr">
        <is>
          <t>%</t>
        </is>
      </c>
      <c r="F245" s="61" t="n"/>
      <c r="G245" s="60" t="n"/>
      <c r="H245" s="61" t="inlineStr">
        <is>
          <t>QA-05198</t>
        </is>
      </c>
      <c r="I245" s="182" t="inlineStr">
        <is>
          <t>发酵度_EOC发酵液_后酵控制_酿造_发酵_发酵罐</t>
        </is>
      </c>
      <c r="J245" s="61" t="inlineStr">
        <is>
          <t>LIMS</t>
        </is>
      </c>
      <c r="K245" s="174" t="inlineStr">
        <is>
          <t>Y</t>
        </is>
      </c>
      <c r="L245" s="174" t="inlineStr">
        <is>
          <t>数据</t>
        </is>
      </c>
      <c r="N245" s="165" t="inlineStr">
        <is>
          <t>Brand</t>
        </is>
      </c>
      <c r="O245" s="165" t="inlineStr">
        <is>
          <t>OG</t>
        </is>
      </c>
    </row>
    <row r="246">
      <c r="A246" s="217" t="n"/>
      <c r="B246" s="217" t="n"/>
      <c r="C246" s="168" t="inlineStr">
        <is>
          <t>Wort RDF - EOC RDF</t>
        </is>
      </c>
      <c r="D246" s="168" t="inlineStr">
        <is>
          <t>发酵度之差</t>
        </is>
      </c>
      <c r="E246" s="70" t="inlineStr">
        <is>
          <t>%</t>
        </is>
      </c>
      <c r="F246" s="61" t="inlineStr">
        <is>
          <t>计算</t>
        </is>
      </c>
      <c r="G246" s="60" t="n"/>
      <c r="H246" s="61" t="n"/>
      <c r="I246" s="182" t="n"/>
      <c r="J246" s="61" t="inlineStr">
        <is>
          <t>LIMS</t>
        </is>
      </c>
      <c r="K246" s="174" t="inlineStr">
        <is>
          <t>Y</t>
        </is>
      </c>
      <c r="L246" s="174" t="inlineStr">
        <is>
          <t>数据</t>
        </is>
      </c>
      <c r="N246" s="165" t="inlineStr">
        <is>
          <t>Brand</t>
        </is>
      </c>
      <c r="O246" s="165" t="inlineStr">
        <is>
          <t>OG</t>
        </is>
      </c>
    </row>
    <row r="247">
      <c r="A247" s="217" t="n"/>
      <c r="B247" s="217" t="n"/>
      <c r="C247" s="168" t="inlineStr">
        <is>
          <t xml:space="preserve">EOC AE - Limit AE </t>
        </is>
      </c>
      <c r="D247" s="168" t="inlineStr">
        <is>
          <t>EOC AE - Limit AE</t>
        </is>
      </c>
      <c r="E247" s="70" t="inlineStr">
        <is>
          <t>Plato</t>
        </is>
      </c>
      <c r="F247" s="61" t="inlineStr">
        <is>
          <t>计算</t>
        </is>
      </c>
      <c r="G247" s="60" t="n"/>
      <c r="H247" s="61" t="n"/>
      <c r="I247" s="182" t="n"/>
      <c r="J247" s="61" t="inlineStr">
        <is>
          <t>LIMS</t>
        </is>
      </c>
      <c r="K247" s="174" t="inlineStr">
        <is>
          <t>Y</t>
        </is>
      </c>
      <c r="L247" s="174" t="inlineStr">
        <is>
          <t>数据</t>
        </is>
      </c>
      <c r="N247" s="165" t="inlineStr">
        <is>
          <t>Brand</t>
        </is>
      </c>
      <c r="O247" s="165" t="inlineStr">
        <is>
          <t>OG</t>
        </is>
      </c>
    </row>
    <row r="248" ht="25.5" customHeight="1" s="241">
      <c r="A248" s="217" t="n"/>
      <c r="B248" s="217" t="n"/>
      <c r="C248" s="61" t="inlineStr">
        <is>
          <t>pH</t>
        </is>
      </c>
      <c r="D248" s="61" t="inlineStr">
        <is>
          <t>pH</t>
        </is>
      </c>
      <c r="E248" s="69" t="n"/>
      <c r="F248" s="61" t="n"/>
      <c r="G248" s="60" t="inlineStr">
        <is>
          <t>pH (EOF)-Warm</t>
        </is>
      </c>
      <c r="H248" s="61" t="inlineStr">
        <is>
          <t>QA-05201</t>
        </is>
      </c>
      <c r="I248" s="182" t="inlineStr">
        <is>
          <t>pH_EOC发酵液_后酵控制_酿造_发酵_发酵罐</t>
        </is>
      </c>
      <c r="J248" s="61" t="inlineStr">
        <is>
          <t>LIMS</t>
        </is>
      </c>
      <c r="K248" s="174" t="inlineStr">
        <is>
          <t>Y</t>
        </is>
      </c>
      <c r="L248" s="174" t="inlineStr">
        <is>
          <t>数据</t>
        </is>
      </c>
      <c r="N248" s="165" t="inlineStr">
        <is>
          <t>Brand</t>
        </is>
      </c>
      <c r="O248" s="165" t="inlineStr">
        <is>
          <t>OG</t>
        </is>
      </c>
    </row>
    <row r="249" ht="25.5" customHeight="1" s="241">
      <c r="A249" s="217" t="n"/>
      <c r="B249" s="217" t="n"/>
      <c r="C249" s="61" t="inlineStr">
        <is>
          <t>Color</t>
        </is>
      </c>
      <c r="D249" s="61" t="inlineStr">
        <is>
          <t>色度</t>
        </is>
      </c>
      <c r="E249" s="70" t="inlineStr">
        <is>
          <t>EBC</t>
        </is>
      </c>
      <c r="F249" s="61" t="n"/>
      <c r="G249" s="60" t="inlineStr">
        <is>
          <t>Color</t>
        </is>
      </c>
      <c r="H249" s="61" t="inlineStr">
        <is>
          <t>QA-05206</t>
        </is>
      </c>
      <c r="I249" s="182" t="inlineStr">
        <is>
          <t>色度_EOC发酵液_后酵控制_酿造_发酵_发酵罐</t>
        </is>
      </c>
      <c r="J249" s="61" t="inlineStr">
        <is>
          <t>LIMS</t>
        </is>
      </c>
      <c r="K249" s="174" t="n"/>
      <c r="L249" s="174" t="inlineStr">
        <is>
          <t>数据</t>
        </is>
      </c>
      <c r="N249" s="165" t="inlineStr">
        <is>
          <t>Brand</t>
        </is>
      </c>
      <c r="O249" s="165" t="inlineStr">
        <is>
          <t>OG</t>
        </is>
      </c>
    </row>
    <row r="250">
      <c r="A250" s="217" t="n"/>
      <c r="B250" s="217" t="n"/>
      <c r="C250" s="61" t="inlineStr">
        <is>
          <t>DO</t>
        </is>
      </c>
      <c r="D250" s="61" t="inlineStr">
        <is>
          <t>DO</t>
        </is>
      </c>
      <c r="E250" s="70" t="inlineStr">
        <is>
          <t>ppb</t>
        </is>
      </c>
      <c r="F250" s="61" t="n"/>
      <c r="G250" s="60" t="n"/>
      <c r="H250" s="61" t="n"/>
      <c r="I250" s="182" t="n"/>
      <c r="J250" s="61" t="inlineStr">
        <is>
          <t>手动</t>
        </is>
      </c>
      <c r="K250" s="174" t="n"/>
      <c r="L250" s="174" t="inlineStr">
        <is>
          <t>数据</t>
        </is>
      </c>
      <c r="N250" s="165" t="inlineStr">
        <is>
          <t>Brand</t>
        </is>
      </c>
      <c r="O250" s="165" t="inlineStr">
        <is>
          <t>OG</t>
        </is>
      </c>
    </row>
    <row r="251">
      <c r="A251" s="217" t="n"/>
      <c r="B251" s="217" t="n"/>
      <c r="C251" s="61" t="inlineStr">
        <is>
          <t>CO2</t>
        </is>
      </c>
      <c r="D251" s="61" t="inlineStr">
        <is>
          <t>CO2</t>
        </is>
      </c>
      <c r="E251" s="70" t="inlineStr">
        <is>
          <t>g/L</t>
        </is>
      </c>
      <c r="F251" s="61" t="n"/>
      <c r="G251" s="60" t="n"/>
      <c r="H251" s="61" t="n"/>
      <c r="I251" s="182" t="n"/>
      <c r="J251" s="105" t="inlineStr">
        <is>
          <t>手动</t>
        </is>
      </c>
      <c r="K251" s="174" t="inlineStr">
        <is>
          <t>Y</t>
        </is>
      </c>
      <c r="L251" s="174" t="inlineStr">
        <is>
          <t>数据</t>
        </is>
      </c>
      <c r="N251" s="165" t="inlineStr">
        <is>
          <t>Brand</t>
        </is>
      </c>
      <c r="O251" s="165" t="inlineStr">
        <is>
          <t>OG</t>
        </is>
      </c>
    </row>
    <row r="252" ht="25.5" customHeight="1" s="241">
      <c r="A252" s="217" t="n"/>
      <c r="B252" s="218" t="n"/>
      <c r="C252" s="61" t="inlineStr">
        <is>
          <t>IBU</t>
        </is>
      </c>
      <c r="D252" s="61" t="inlineStr">
        <is>
          <t>苦味质</t>
        </is>
      </c>
      <c r="E252" s="70" t="n"/>
      <c r="F252" s="61" t="n"/>
      <c r="G252" s="60" t="n"/>
      <c r="H252" s="61" t="inlineStr">
        <is>
          <t>QA-05203</t>
        </is>
      </c>
      <c r="I252" s="182" t="inlineStr">
        <is>
          <t>IBU_EOC发酵液_后酵控制_酿造_发酵_发酵罐</t>
        </is>
      </c>
      <c r="J252" s="61" t="inlineStr">
        <is>
          <t>LIMS</t>
        </is>
      </c>
      <c r="K252" s="174" t="n"/>
      <c r="L252" s="174" t="inlineStr">
        <is>
          <t>数据</t>
        </is>
      </c>
      <c r="N252" s="165" t="inlineStr">
        <is>
          <t>Brand</t>
        </is>
      </c>
      <c r="O252" s="165" t="inlineStr">
        <is>
          <t>OG</t>
        </is>
      </c>
    </row>
    <row r="253" ht="25.5" customHeight="1" s="241">
      <c r="A253" s="217" t="n"/>
      <c r="B253" s="223" t="inlineStr">
        <is>
          <t>Cold Aging</t>
        </is>
      </c>
      <c r="C253" s="61" t="inlineStr">
        <is>
          <t>Integrated DO</t>
        </is>
      </c>
      <c r="D253" s="61" t="inlineStr">
        <is>
          <t>冷储DO</t>
        </is>
      </c>
      <c r="E253" s="69" t="inlineStr">
        <is>
          <t>ppb</t>
        </is>
      </c>
      <c r="F253" s="61" t="inlineStr">
        <is>
          <t>见下一页说明</t>
        </is>
      </c>
      <c r="G253" s="60" t="inlineStr">
        <is>
          <t>Dissolved Oxygen (DO)</t>
        </is>
      </c>
      <c r="H253" s="61" t="inlineStr">
        <is>
          <t>QA-05255</t>
        </is>
      </c>
      <c r="I253" s="182" t="inlineStr">
        <is>
          <t>溶解氧_冷储酒液_嫩啤酒冷储_酿造_过滤_CPT罐</t>
        </is>
      </c>
      <c r="J253" s="61" t="inlineStr">
        <is>
          <t>LIMS</t>
        </is>
      </c>
      <c r="K253" s="174" t="inlineStr">
        <is>
          <t>Y</t>
        </is>
      </c>
      <c r="L253" s="174" t="inlineStr">
        <is>
          <t>数据</t>
        </is>
      </c>
      <c r="N253" s="165" t="inlineStr">
        <is>
          <t>Brand</t>
        </is>
      </c>
      <c r="O253" s="165" t="inlineStr">
        <is>
          <t>OG</t>
        </is>
      </c>
    </row>
    <row r="254">
      <c r="A254" s="217" t="n"/>
      <c r="B254" s="217" t="n"/>
      <c r="C254" s="61" t="inlineStr">
        <is>
          <t>DO-Manual</t>
        </is>
      </c>
      <c r="D254" s="61" t="inlineStr">
        <is>
          <t>冷储-手持</t>
        </is>
      </c>
      <c r="E254" s="69" t="inlineStr">
        <is>
          <t>ppb</t>
        </is>
      </c>
      <c r="F254" s="61" t="n"/>
      <c r="G254" s="60" t="n"/>
      <c r="H254" s="61" t="n"/>
      <c r="I254" s="182" t="n"/>
      <c r="J254" s="61" t="inlineStr">
        <is>
          <t>DF</t>
        </is>
      </c>
      <c r="K254" s="174" t="n"/>
      <c r="L254" s="174" t="inlineStr">
        <is>
          <t>数据</t>
        </is>
      </c>
      <c r="N254" s="165" t="inlineStr">
        <is>
          <t>Brand</t>
        </is>
      </c>
      <c r="O254" s="165" t="inlineStr">
        <is>
          <t>OG</t>
        </is>
      </c>
    </row>
    <row r="255" ht="38.25" customHeight="1" s="241">
      <c r="A255" s="217" t="n"/>
      <c r="B255" s="217" t="n"/>
      <c r="C255" s="61" t="inlineStr">
        <is>
          <t>Temperature at fill Cold Maturation Tank</t>
        </is>
      </c>
      <c r="D255" s="105" t="inlineStr">
        <is>
          <t>满罐高浓酒温度</t>
        </is>
      </c>
      <c r="E255" s="69" t="inlineStr">
        <is>
          <t>°C</t>
        </is>
      </c>
      <c r="F255" s="105" t="n"/>
      <c r="G255" s="60" t="inlineStr">
        <is>
          <t>Temperature at fill Cold Maturation Tank</t>
        </is>
      </c>
      <c r="H255" s="61" t="inlineStr">
        <is>
          <t>BR-60138</t>
        </is>
      </c>
      <c r="I255" s="182" t="inlineStr">
        <is>
          <t>步骤开始满罐高浓酒温度_嫩啤酒满罐_酿造_过滤_CPT罐</t>
        </is>
      </c>
      <c r="J255" s="61" t="inlineStr">
        <is>
          <t>DF</t>
        </is>
      </c>
      <c r="K255" s="174" t="n"/>
      <c r="L255" s="174" t="inlineStr">
        <is>
          <t>数据</t>
        </is>
      </c>
      <c r="N255" s="165" t="inlineStr">
        <is>
          <t>Brand</t>
        </is>
      </c>
      <c r="O255" s="165" t="inlineStr">
        <is>
          <t>OG</t>
        </is>
      </c>
    </row>
    <row r="256" ht="25.5" customHeight="1" s="241">
      <c r="A256" s="217" t="n"/>
      <c r="B256" s="217" t="n"/>
      <c r="C256" s="61" t="inlineStr">
        <is>
          <t>Temperature Maturation tank</t>
        </is>
      </c>
      <c r="D256" s="105" t="inlineStr">
        <is>
          <t>CPT 冷储温度</t>
        </is>
      </c>
      <c r="E256" s="69" t="inlineStr">
        <is>
          <t>°C</t>
        </is>
      </c>
      <c r="F256" s="61" t="inlineStr">
        <is>
          <t>见下一页说明</t>
        </is>
      </c>
      <c r="G256" s="60" t="inlineStr">
        <is>
          <t>Temperature Maturation tank</t>
        </is>
      </c>
      <c r="H256" s="61" t="inlineStr">
        <is>
          <t>BR-60139</t>
        </is>
      </c>
      <c r="I256" s="182" t="inlineStr">
        <is>
          <t>CPT冷储酒液温度_嫩啤酒冷储(每小时监控)_酿造_过滤_CPT罐</t>
        </is>
      </c>
      <c r="J256" s="61" t="inlineStr">
        <is>
          <t>DF</t>
        </is>
      </c>
      <c r="K256" s="174" t="inlineStr">
        <is>
          <t>Y</t>
        </is>
      </c>
      <c r="L256" s="174" t="inlineStr">
        <is>
          <t>数据</t>
        </is>
      </c>
      <c r="N256" s="165" t="inlineStr">
        <is>
          <t>Brand</t>
        </is>
      </c>
      <c r="O256" s="165" t="inlineStr">
        <is>
          <t>OG</t>
        </is>
      </c>
    </row>
    <row r="257" ht="25.5" customHeight="1" s="241">
      <c r="A257" s="217" t="n"/>
      <c r="B257" s="217" t="n"/>
      <c r="C257" s="61" t="inlineStr">
        <is>
          <t>pH (EOM)</t>
        </is>
      </c>
      <c r="D257" s="61" t="inlineStr">
        <is>
          <t>冷储pH</t>
        </is>
      </c>
      <c r="E257" s="69" t="inlineStr">
        <is>
          <t>pH</t>
        </is>
      </c>
      <c r="F257" s="61" t="n"/>
      <c r="G257" s="60" t="inlineStr">
        <is>
          <t>pH (EOF)</t>
        </is>
      </c>
      <c r="H257" s="61" t="inlineStr">
        <is>
          <t>QA-05259</t>
        </is>
      </c>
      <c r="I257" s="182" t="inlineStr">
        <is>
          <t>pH_冷储酒液_嫩啤酒冷储_酿造_过滤_CPT罐</t>
        </is>
      </c>
      <c r="J257" s="61" t="inlineStr">
        <is>
          <t>LIMS</t>
        </is>
      </c>
      <c r="K257" s="174" t="n"/>
      <c r="L257" s="174" t="inlineStr">
        <is>
          <t>数据</t>
        </is>
      </c>
      <c r="N257" s="165" t="inlineStr">
        <is>
          <t>Brand</t>
        </is>
      </c>
      <c r="O257" s="165" t="inlineStr">
        <is>
          <t>OG</t>
        </is>
      </c>
    </row>
    <row r="258" ht="36" customHeight="1" s="241">
      <c r="A258" s="217" t="n"/>
      <c r="B258" s="218" t="n"/>
      <c r="C258" s="61" t="inlineStr">
        <is>
          <t>Time in Cold Maturation tank</t>
        </is>
      </c>
      <c r="D258" s="105" t="inlineStr">
        <is>
          <t>冷储时间段</t>
        </is>
      </c>
      <c r="E258" s="69" t="inlineStr">
        <is>
          <t>Hours</t>
        </is>
      </c>
      <c r="F258" s="105" t="inlineStr">
        <is>
          <t>有冷储工艺的从冷储达到时间点开始算；没有冷储工艺的从发酵罐开始降温算</t>
        </is>
      </c>
      <c r="G258" s="60" t="inlineStr">
        <is>
          <t>Time in Cold Maturation tank</t>
        </is>
      </c>
      <c r="H258" s="61" t="inlineStr">
        <is>
          <t>BR-60144</t>
        </is>
      </c>
      <c r="I258" s="182" t="inlineStr">
        <is>
          <t>工艺步骤时间段_嫩啤酒冷储_酿造_过滤_CPT罐</t>
        </is>
      </c>
      <c r="J258" s="61" t="inlineStr">
        <is>
          <t>LIMS</t>
        </is>
      </c>
      <c r="K258" s="174" t="inlineStr">
        <is>
          <t>Y</t>
        </is>
      </c>
      <c r="L258" s="174" t="inlineStr">
        <is>
          <t>数据</t>
        </is>
      </c>
      <c r="N258" s="165" t="inlineStr">
        <is>
          <t>Brand</t>
        </is>
      </c>
      <c r="O258" s="165" t="inlineStr">
        <is>
          <t>OG</t>
        </is>
      </c>
    </row>
    <row r="259" ht="25.5" customHeight="1" s="241">
      <c r="A259" s="217" t="n"/>
      <c r="B259" s="222" t="inlineStr">
        <is>
          <t>Kareusen</t>
        </is>
      </c>
      <c r="C259" s="61" t="inlineStr">
        <is>
          <t>Kraeusen Tank Age</t>
        </is>
      </c>
      <c r="D259" s="61" t="inlineStr">
        <is>
          <t>高泡酒酒龄</t>
        </is>
      </c>
      <c r="E259" s="69" t="inlineStr">
        <is>
          <t>Hours</t>
        </is>
      </c>
      <c r="F259" s="61" t="n"/>
      <c r="G259" s="60" t="inlineStr">
        <is>
          <t>Kraeusen Tank Age</t>
        </is>
      </c>
      <c r="H259" s="61" t="n"/>
      <c r="I259" s="182" t="n"/>
      <c r="J259" s="105" t="inlineStr">
        <is>
          <t>TSM</t>
        </is>
      </c>
      <c r="K259" s="174" t="n"/>
      <c r="L259" s="174" t="inlineStr">
        <is>
          <t>数据</t>
        </is>
      </c>
      <c r="N259" s="165" t="inlineStr">
        <is>
          <t>Brand</t>
        </is>
      </c>
      <c r="O259" s="165" t="inlineStr">
        <is>
          <t>OG</t>
        </is>
      </c>
    </row>
    <row r="260" ht="25.5" customHeight="1" s="241">
      <c r="A260" s="217" t="n"/>
      <c r="B260" s="217" t="n"/>
      <c r="C260" s="61" t="inlineStr">
        <is>
          <t>Kraeusen 
AE</t>
        </is>
      </c>
      <c r="D260" s="61" t="inlineStr">
        <is>
          <t>高泡酒外观糖度</t>
        </is>
      </c>
      <c r="E260" s="70" t="inlineStr">
        <is>
          <t>Plato</t>
        </is>
      </c>
      <c r="F260" s="61" t="n"/>
      <c r="G260" s="61" t="n"/>
      <c r="H260" s="61" t="n"/>
      <c r="I260" s="182" t="n"/>
      <c r="J260" s="105" t="inlineStr">
        <is>
          <t>TSM</t>
        </is>
      </c>
      <c r="K260" s="174" t="n"/>
      <c r="L260" s="174" t="inlineStr">
        <is>
          <t>数据</t>
        </is>
      </c>
      <c r="N260" s="165" t="inlineStr">
        <is>
          <t>Brand</t>
        </is>
      </c>
      <c r="O260" s="165" t="inlineStr">
        <is>
          <t>OG</t>
        </is>
      </c>
    </row>
    <row r="261" ht="25.5" customHeight="1" s="241">
      <c r="A261" s="217" t="n"/>
      <c r="B261" s="217" t="n"/>
      <c r="C261" s="61" t="inlineStr">
        <is>
          <t>Kraeusen YCC</t>
        </is>
      </c>
      <c r="D261" s="61" t="inlineStr">
        <is>
          <t>高泡酒酵母数</t>
        </is>
      </c>
      <c r="E261" s="70" t="inlineStr">
        <is>
          <t>MM/ml</t>
        </is>
      </c>
      <c r="F261" s="61" t="n"/>
      <c r="G261" s="60" t="inlineStr">
        <is>
          <t>Kraeusen Pitch Rate</t>
        </is>
      </c>
      <c r="H261" s="61" t="n"/>
      <c r="I261" s="182" t="n"/>
      <c r="J261" s="105" t="inlineStr">
        <is>
          <t>TSM</t>
        </is>
      </c>
      <c r="K261" s="174" t="n"/>
      <c r="L261" s="174" t="inlineStr">
        <is>
          <t>数据</t>
        </is>
      </c>
      <c r="N261" s="165" t="inlineStr">
        <is>
          <t>Brand</t>
        </is>
      </c>
      <c r="O261" s="165" t="inlineStr">
        <is>
          <t>OG</t>
        </is>
      </c>
    </row>
    <row r="262" ht="25.5" customHeight="1" s="241">
      <c r="A262" s="217" t="n"/>
      <c r="B262" s="217" t="n"/>
      <c r="C262" s="61" t="inlineStr">
        <is>
          <t>Krausening volume addition</t>
        </is>
      </c>
      <c r="D262" s="61" t="inlineStr">
        <is>
          <t>高泡酒添加量</t>
        </is>
      </c>
      <c r="E262" s="70" t="inlineStr">
        <is>
          <t>HL</t>
        </is>
      </c>
      <c r="F262" s="61" t="n"/>
      <c r="G262" s="60" t="inlineStr">
        <is>
          <t>Krausening volume addition</t>
        </is>
      </c>
      <c r="H262" s="61" t="n"/>
      <c r="I262" s="182" t="n"/>
      <c r="J262" s="105" t="inlineStr">
        <is>
          <t>TSM</t>
        </is>
      </c>
      <c r="K262" s="174" t="n"/>
      <c r="L262" s="174" t="inlineStr">
        <is>
          <t>数据</t>
        </is>
      </c>
      <c r="N262" s="165" t="inlineStr">
        <is>
          <t>Brand</t>
        </is>
      </c>
      <c r="O262" s="165" t="inlineStr">
        <is>
          <t>OG</t>
        </is>
      </c>
    </row>
    <row r="263" ht="25.5" customHeight="1" s="241">
      <c r="A263" s="217" t="n"/>
      <c r="B263" s="218" t="n"/>
      <c r="C263" s="61" t="inlineStr">
        <is>
          <t>Krausening volume addition Ratio</t>
        </is>
      </c>
      <c r="D263" s="61" t="inlineStr">
        <is>
          <t>高泡酒添加比例</t>
        </is>
      </c>
      <c r="E263" s="70" t="inlineStr">
        <is>
          <t>%</t>
        </is>
      </c>
      <c r="F263" s="61" t="inlineStr">
        <is>
          <t>计算</t>
        </is>
      </c>
      <c r="G263" s="61" t="n"/>
      <c r="H263" s="61" t="n"/>
      <c r="I263" s="182" t="n"/>
      <c r="J263" s="105" t="inlineStr">
        <is>
          <t>TSM</t>
        </is>
      </c>
      <c r="K263" s="174" t="n"/>
      <c r="L263" s="174" t="inlineStr">
        <is>
          <t>数据</t>
        </is>
      </c>
      <c r="N263" s="165" t="inlineStr">
        <is>
          <t>Brand</t>
        </is>
      </c>
      <c r="O263" s="165" t="inlineStr">
        <is>
          <t>OG</t>
        </is>
      </c>
    </row>
    <row r="264" ht="25.5" customHeight="1" s="241">
      <c r="A264" s="217" t="n"/>
      <c r="B264" s="222" t="inlineStr">
        <is>
          <t>Recovered Beer</t>
        </is>
      </c>
      <c r="C264" s="61" t="inlineStr">
        <is>
          <t>Spent Yeast Storage Temp</t>
        </is>
      </c>
      <c r="D264" s="61" t="inlineStr">
        <is>
          <t>废酵母储存温度</t>
        </is>
      </c>
      <c r="E264" s="69" t="inlineStr">
        <is>
          <t>°C</t>
        </is>
      </c>
      <c r="F264" s="61" t="inlineStr">
        <is>
          <t>开始错流、压榨时酵母罐温度</t>
        </is>
      </c>
      <c r="G264" s="60" t="inlineStr">
        <is>
          <t>Yeast Storage Temperature</t>
        </is>
      </c>
      <c r="H264" s="174" t="inlineStr">
        <is>
          <t>BR-40519</t>
        </is>
      </c>
      <c r="I264" s="175" t="inlineStr">
        <is>
          <t>错流酵母温度_错流酵母存储_酿造_错流工序_酵母存储罐</t>
        </is>
      </c>
      <c r="J264" s="174" t="inlineStr">
        <is>
          <t>DF</t>
        </is>
      </c>
      <c r="K264" s="174" t="inlineStr">
        <is>
          <t>Y</t>
        </is>
      </c>
      <c r="L264" s="174" t="inlineStr">
        <is>
          <t>数据</t>
        </is>
      </c>
      <c r="N264" s="165" t="inlineStr">
        <is>
          <t>Brand</t>
        </is>
      </c>
    </row>
    <row r="265" ht="25.5" customHeight="1" s="241">
      <c r="A265" s="217" t="n"/>
      <c r="B265" s="217" t="n"/>
      <c r="C265" s="61" t="inlineStr">
        <is>
          <t>Spent Yeast Storage Time</t>
        </is>
      </c>
      <c r="D265" s="61" t="inlineStr">
        <is>
          <t>废酵母储存时间</t>
        </is>
      </c>
      <c r="E265" s="69" t="inlineStr">
        <is>
          <t>Hours</t>
        </is>
      </c>
      <c r="F265" s="61" t="n"/>
      <c r="G265" s="60" t="inlineStr">
        <is>
          <t>Yeast Storage Duration</t>
        </is>
      </c>
      <c r="H265" s="174" t="inlineStr">
        <is>
          <t>BR-40518</t>
        </is>
      </c>
      <c r="I265" s="175" t="inlineStr">
        <is>
          <t>工艺步骤时间段_错流酵母存储_酿造_错流工序_酵母存储罐</t>
        </is>
      </c>
      <c r="J265" s="174" t="inlineStr">
        <is>
          <t>DF</t>
        </is>
      </c>
      <c r="K265" s="174" t="inlineStr">
        <is>
          <t>Y</t>
        </is>
      </c>
      <c r="L265" s="174" t="inlineStr">
        <is>
          <t>数据</t>
        </is>
      </c>
      <c r="N265" s="165" t="inlineStr">
        <is>
          <t>Brand</t>
        </is>
      </c>
    </row>
    <row r="266" ht="38.25" customHeight="1" s="241">
      <c r="A266" s="217" t="n"/>
      <c r="B266" s="217" t="n"/>
      <c r="C266" s="61" t="inlineStr">
        <is>
          <t>Recovered beer storage Temp</t>
        </is>
      </c>
      <c r="D266" s="61" t="inlineStr">
        <is>
          <t>废酵母酒储存温度</t>
        </is>
      </c>
      <c r="E266" s="69" t="inlineStr">
        <is>
          <t>°C</t>
        </is>
      </c>
      <c r="F266" s="61" t="inlineStr">
        <is>
          <t>从满罐到添加平均温度</t>
        </is>
      </c>
      <c r="G266" s="60" t="inlineStr">
        <is>
          <t>Recovered beer storage temperature</t>
        </is>
      </c>
      <c r="H266" s="174" t="inlineStr">
        <is>
          <t>BR-40524</t>
        </is>
      </c>
      <c r="I266" s="175" t="inlineStr">
        <is>
          <t>错流酵母体积_错流酒液存储_酿造_错流工序_回收酒罐</t>
        </is>
      </c>
      <c r="J266" s="174" t="inlineStr">
        <is>
          <t>DF</t>
        </is>
      </c>
      <c r="K266" s="174" t="inlineStr">
        <is>
          <t>Y</t>
        </is>
      </c>
      <c r="L266" s="174" t="inlineStr">
        <is>
          <t>数据</t>
        </is>
      </c>
      <c r="N266" s="165" t="inlineStr">
        <is>
          <t>Brand</t>
        </is>
      </c>
    </row>
    <row r="267" ht="25.5" customHeight="1" s="241">
      <c r="A267" s="217" t="n"/>
      <c r="B267" s="218" t="n"/>
      <c r="C267" s="61" t="inlineStr">
        <is>
          <t>Recovered beer storage Time</t>
        </is>
      </c>
      <c r="D267" s="61" t="inlineStr">
        <is>
          <t>酵母酒储存时间</t>
        </is>
      </c>
      <c r="E267" s="69" t="inlineStr">
        <is>
          <t>Hours</t>
        </is>
      </c>
      <c r="F267" s="61" t="n"/>
      <c r="G267" s="60" t="inlineStr">
        <is>
          <t>Recovered beer storage duration</t>
        </is>
      </c>
      <c r="H267" s="174" t="inlineStr">
        <is>
          <t>BR-40523</t>
        </is>
      </c>
      <c r="I267" s="175" t="inlineStr">
        <is>
          <t>错流酵母温度_错流酒液存储_酿造_错流工序_回收酒罐</t>
        </is>
      </c>
      <c r="J267" s="174" t="inlineStr">
        <is>
          <t>DF</t>
        </is>
      </c>
      <c r="K267" s="174" t="inlineStr">
        <is>
          <t>Y</t>
        </is>
      </c>
      <c r="L267" s="174" t="inlineStr">
        <is>
          <t>数据</t>
        </is>
      </c>
      <c r="N267" s="165" t="inlineStr">
        <is>
          <t>Brand</t>
        </is>
      </c>
    </row>
    <row r="268" ht="25.5" customHeight="1" s="241">
      <c r="A268" s="217" t="n"/>
      <c r="B268" s="222" t="inlineStr">
        <is>
          <t xml:space="preserve">Cross Flow </t>
        </is>
      </c>
      <c r="C268" s="61" t="inlineStr">
        <is>
          <t>Recovered beer Fill  Temp</t>
        </is>
      </c>
      <c r="D268" s="61" t="inlineStr">
        <is>
          <t>酵母酒满罐温度</t>
        </is>
      </c>
      <c r="E268" s="69" t="inlineStr">
        <is>
          <t>°C</t>
        </is>
      </c>
      <c r="F268" s="61" t="n"/>
      <c r="G268" s="61" t="n"/>
      <c r="H268" s="174" t="n"/>
      <c r="I268" s="175" t="n"/>
      <c r="J268" s="174" t="inlineStr">
        <is>
          <t>手动</t>
        </is>
      </c>
      <c r="K268" s="174" t="n"/>
      <c r="L268" s="174" t="inlineStr">
        <is>
          <t>数据</t>
        </is>
      </c>
      <c r="N268" s="165" t="inlineStr">
        <is>
          <t>Brand</t>
        </is>
      </c>
    </row>
    <row r="269" ht="25.5" customHeight="1" s="241">
      <c r="A269" s="217" t="n"/>
      <c r="B269" s="217" t="n"/>
      <c r="C269" s="61" t="inlineStr">
        <is>
          <t>Recovered beer pH</t>
        </is>
      </c>
      <c r="D269" s="61" t="inlineStr">
        <is>
          <t>酵母酒pH</t>
        </is>
      </c>
      <c r="E269" s="70" t="n"/>
      <c r="F269" s="61" t="n"/>
      <c r="G269" s="61" t="n"/>
      <c r="H269" s="174" t="inlineStr">
        <is>
          <t>QA-05154</t>
        </is>
      </c>
      <c r="I269" s="175" t="inlineStr">
        <is>
          <t>pH_错流回收酒_错流酒液存储_酿造_错流工序_回收酒罐</t>
        </is>
      </c>
      <c r="J269" s="174" t="inlineStr">
        <is>
          <t>LIMS</t>
        </is>
      </c>
      <c r="K269" s="174" t="inlineStr">
        <is>
          <t>Y</t>
        </is>
      </c>
      <c r="L269" s="174" t="inlineStr">
        <is>
          <t>数据</t>
        </is>
      </c>
      <c r="N269" s="165" t="inlineStr">
        <is>
          <t>Brand</t>
        </is>
      </c>
    </row>
    <row r="270" ht="25.5" customHeight="1" s="241">
      <c r="A270" s="217" t="n"/>
      <c r="B270" s="217" t="n"/>
      <c r="C270" s="61" t="inlineStr">
        <is>
          <t>Recovered beer Haze @ 90°</t>
        </is>
      </c>
      <c r="D270" s="61" t="inlineStr">
        <is>
          <t>酵母酒浊度</t>
        </is>
      </c>
      <c r="E270" s="70" t="inlineStr">
        <is>
          <t>EBC</t>
        </is>
      </c>
      <c r="F270" s="61" t="n"/>
      <c r="G270" s="61" t="n"/>
      <c r="H270" s="174" t="inlineStr">
        <is>
          <t>QA-05153</t>
        </is>
      </c>
      <c r="I270" s="175" t="inlineStr">
        <is>
          <t>浊度_错流回收酒_错流酒液存储_酿造_错流工序_回收酒罐</t>
        </is>
      </c>
      <c r="J270" s="174" t="inlineStr">
        <is>
          <t>LIMS</t>
        </is>
      </c>
      <c r="K270" s="174" t="inlineStr">
        <is>
          <t>Y</t>
        </is>
      </c>
      <c r="L270" s="174" t="inlineStr">
        <is>
          <t>数据</t>
        </is>
      </c>
      <c r="N270" s="165" t="inlineStr">
        <is>
          <t>Brand</t>
        </is>
      </c>
    </row>
    <row r="271" ht="25.5" customHeight="1" s="241">
      <c r="A271" s="217" t="n"/>
      <c r="B271" s="217" t="n"/>
      <c r="C271" s="61" t="inlineStr">
        <is>
          <t>Recovered beer Total Acid</t>
        </is>
      </c>
      <c r="D271" s="61" t="inlineStr">
        <is>
          <t>酵母酒总酸</t>
        </is>
      </c>
      <c r="E271" s="70" t="inlineStr">
        <is>
          <t>g/100ml</t>
        </is>
      </c>
      <c r="F271" s="61" t="n"/>
      <c r="G271" s="61" t="n"/>
      <c r="H271" s="174" t="n"/>
      <c r="I271" s="175" t="n"/>
      <c r="J271" s="174" t="inlineStr">
        <is>
          <t>LIMS</t>
        </is>
      </c>
      <c r="K271" s="174" t="n"/>
      <c r="L271" s="174" t="inlineStr">
        <is>
          <t>数据</t>
        </is>
      </c>
      <c r="N271" s="165" t="inlineStr">
        <is>
          <t>Brand</t>
        </is>
      </c>
    </row>
    <row r="272">
      <c r="A272" s="217" t="n"/>
      <c r="B272" s="217" t="n"/>
      <c r="C272" s="61" t="inlineStr">
        <is>
          <t>Recovered beer Diacetyl</t>
        </is>
      </c>
      <c r="D272" s="61" t="inlineStr">
        <is>
          <t>酵母酒双乙酰</t>
        </is>
      </c>
      <c r="E272" s="70" t="inlineStr">
        <is>
          <t>ppb</t>
        </is>
      </c>
      <c r="F272" s="61" t="n"/>
      <c r="G272" s="61" t="n"/>
      <c r="H272" s="174" t="n"/>
      <c r="I272" s="175" t="n"/>
      <c r="J272" s="174" t="inlineStr">
        <is>
          <t>LIMS</t>
        </is>
      </c>
      <c r="K272" s="174" t="n"/>
      <c r="L272" s="174" t="inlineStr">
        <is>
          <t>数据</t>
        </is>
      </c>
      <c r="N272" s="165" t="inlineStr">
        <is>
          <t>Brand</t>
        </is>
      </c>
    </row>
    <row r="273">
      <c r="A273" s="217" t="n"/>
      <c r="B273" s="217" t="n"/>
      <c r="C273" s="61" t="inlineStr">
        <is>
          <t>Recovered beer OG</t>
        </is>
      </c>
      <c r="D273" s="61" t="inlineStr">
        <is>
          <t>酵母酒原浓</t>
        </is>
      </c>
      <c r="E273" s="70" t="inlineStr">
        <is>
          <t>Plato</t>
        </is>
      </c>
      <c r="F273" s="61" t="n"/>
      <c r="G273" s="61" t="n"/>
      <c r="H273" s="174" t="n"/>
      <c r="I273" s="175" t="n"/>
      <c r="J273" s="174" t="inlineStr">
        <is>
          <t>LIMS</t>
        </is>
      </c>
      <c r="K273" s="174" t="n"/>
      <c r="L273" s="174" t="inlineStr">
        <is>
          <t>数据</t>
        </is>
      </c>
      <c r="N273" s="165" t="inlineStr">
        <is>
          <t>Brand</t>
        </is>
      </c>
    </row>
    <row r="274">
      <c r="A274" s="217" t="n"/>
      <c r="B274" s="218" t="n"/>
      <c r="C274" s="61" t="inlineStr">
        <is>
          <t>Recovered beer Fe</t>
        </is>
      </c>
      <c r="D274" s="61" t="inlineStr">
        <is>
          <t>酵母酒铁</t>
        </is>
      </c>
      <c r="E274" s="70" t="inlineStr">
        <is>
          <t>ppm</t>
        </is>
      </c>
      <c r="F274" s="61" t="n"/>
      <c r="G274" s="61" t="n"/>
      <c r="H274" s="174" t="n"/>
      <c r="I274" s="175" t="n"/>
      <c r="J274" s="174" t="inlineStr">
        <is>
          <t>LIMS</t>
        </is>
      </c>
      <c r="K274" s="174" t="n"/>
      <c r="L274" s="174" t="inlineStr">
        <is>
          <t>数据</t>
        </is>
      </c>
      <c r="N274" s="165" t="inlineStr">
        <is>
          <t>Brand</t>
        </is>
      </c>
    </row>
    <row r="275" ht="28.5" customHeight="1" s="241">
      <c r="A275" s="217" t="n"/>
      <c r="B275" s="222" t="inlineStr">
        <is>
          <t>Centrifuge</t>
        </is>
      </c>
      <c r="C275" s="61" t="inlineStr">
        <is>
          <t>Inlet DO</t>
        </is>
      </c>
      <c r="D275" s="61" t="inlineStr">
        <is>
          <t>离心进口DO
（平均值）</t>
        </is>
      </c>
      <c r="E275" s="69" t="inlineStr">
        <is>
          <t>ppb</t>
        </is>
      </c>
      <c r="F275" s="61" t="inlineStr">
        <is>
          <t>见下一页说明</t>
        </is>
      </c>
      <c r="G275" s="60" t="n"/>
      <c r="H275" s="174" t="inlineStr">
        <is>
          <t>BR-60070</t>
        </is>
      </c>
      <c r="I275" s="175" t="inlineStr">
        <is>
          <t>离心进口酒平均DO_嫩啤酒出罐在线分析(每小时监控)_酿造_过滤_离心机</t>
        </is>
      </c>
      <c r="J275" s="174" t="inlineStr">
        <is>
          <t>DF</t>
        </is>
      </c>
      <c r="K275" s="174" t="n"/>
      <c r="L275" s="174" t="inlineStr">
        <is>
          <t>数据</t>
        </is>
      </c>
      <c r="N275" s="165" t="inlineStr">
        <is>
          <t>Brand</t>
        </is>
      </c>
      <c r="O275" s="165" t="inlineStr">
        <is>
          <t>OG</t>
        </is>
      </c>
      <c r="P275" s="165" t="inlineStr">
        <is>
          <t>Centrifuge Line</t>
        </is>
      </c>
    </row>
    <row r="276" ht="25.5" customHeight="1" s="241">
      <c r="A276" s="217" t="n"/>
      <c r="B276" s="217" t="n"/>
      <c r="C276" s="61" t="inlineStr">
        <is>
          <t>DO - Peak Transfer</t>
        </is>
      </c>
      <c r="D276" s="61" t="inlineStr">
        <is>
          <t>离心出口DO（最大值）</t>
        </is>
      </c>
      <c r="E276" s="69" t="inlineStr">
        <is>
          <t>ppb</t>
        </is>
      </c>
      <c r="F276" s="61" t="inlineStr">
        <is>
          <t>见下一页说明</t>
        </is>
      </c>
      <c r="G276" s="60" t="inlineStr">
        <is>
          <t>Dissolved Oxygen - Peak Transfer</t>
        </is>
      </c>
      <c r="H276" s="174" t="inlineStr">
        <is>
          <t>BR-60099</t>
        </is>
      </c>
      <c r="I276" s="175" t="inlineStr">
        <is>
          <t>离心出口酒液最高DO_嫩啤酒出罐在线分析(每小时监控)_酿造_过滤_离心机</t>
        </is>
      </c>
      <c r="J276" s="174" t="inlineStr">
        <is>
          <t>DF</t>
        </is>
      </c>
      <c r="K276" s="174" t="n"/>
      <c r="L276" s="174" t="inlineStr">
        <is>
          <t>数据</t>
        </is>
      </c>
      <c r="N276" s="165" t="inlineStr">
        <is>
          <t>Brand</t>
        </is>
      </c>
      <c r="O276" s="165" t="inlineStr">
        <is>
          <t>OG</t>
        </is>
      </c>
      <c r="P276" s="165" t="inlineStr">
        <is>
          <t>Centrifuge Line</t>
        </is>
      </c>
    </row>
    <row r="277" ht="33" customHeight="1" s="241">
      <c r="A277" s="217" t="n"/>
      <c r="B277" s="217" t="n"/>
      <c r="C277" s="61" t="inlineStr">
        <is>
          <t>DO - Transfer Average</t>
        </is>
      </c>
      <c r="D277" s="61" t="inlineStr">
        <is>
          <t>离心出口DO（平均值）</t>
        </is>
      </c>
      <c r="E277" s="69" t="inlineStr">
        <is>
          <t>ppb</t>
        </is>
      </c>
      <c r="F277" s="61" t="inlineStr">
        <is>
          <t>见下一页说明</t>
        </is>
      </c>
      <c r="G277" s="60" t="inlineStr">
        <is>
          <t>Dissolved Oxygen - Transfer Average</t>
        </is>
      </c>
      <c r="H277" s="174" t="inlineStr">
        <is>
          <t>BR-60075</t>
        </is>
      </c>
      <c r="I277" s="175" t="inlineStr">
        <is>
          <t>离心出口酒液平均DO_嫩啤酒出罐在线分析(每小时监控)_酿造_过滤_离心机</t>
        </is>
      </c>
      <c r="J277" s="174" t="inlineStr">
        <is>
          <t>DF</t>
        </is>
      </c>
      <c r="K277" s="174" t="inlineStr">
        <is>
          <t>Y</t>
        </is>
      </c>
      <c r="L277" s="174" t="inlineStr">
        <is>
          <t>数据</t>
        </is>
      </c>
      <c r="N277" s="165" t="inlineStr">
        <is>
          <t>Brand</t>
        </is>
      </c>
      <c r="O277" s="165" t="inlineStr">
        <is>
          <t>OG</t>
        </is>
      </c>
      <c r="P277" s="165" t="inlineStr">
        <is>
          <t>Centrifuge Line</t>
        </is>
      </c>
    </row>
    <row r="278" ht="25.5" customHeight="1" s="241">
      <c r="A278" s="217" t="n"/>
      <c r="B278" s="217" t="n"/>
      <c r="C278" s="61" t="inlineStr">
        <is>
          <t>DO Pick up</t>
        </is>
      </c>
      <c r="D278" s="61" t="inlineStr">
        <is>
          <t>离心增氧（平均值）</t>
        </is>
      </c>
      <c r="E278" s="69" t="inlineStr">
        <is>
          <t>ppb</t>
        </is>
      </c>
      <c r="F278" s="61" t="n"/>
      <c r="G278" s="60" t="n"/>
      <c r="H278" s="174" t="inlineStr">
        <is>
          <t>BR-60100</t>
        </is>
      </c>
      <c r="I278" s="175" t="inlineStr">
        <is>
          <t>离心酒液平均增DO_嫩啤酒出罐在线分析(每小时监控)_酿造_过滤_离心机</t>
        </is>
      </c>
      <c r="J278" s="174" t="inlineStr">
        <is>
          <t>DF</t>
        </is>
      </c>
      <c r="K278" s="174" t="inlineStr">
        <is>
          <t>Y</t>
        </is>
      </c>
      <c r="L278" s="174" t="inlineStr">
        <is>
          <t>数据</t>
        </is>
      </c>
      <c r="N278" s="165" t="inlineStr">
        <is>
          <t>Brand</t>
        </is>
      </c>
      <c r="O278" s="165" t="inlineStr">
        <is>
          <t>OG</t>
        </is>
      </c>
      <c r="P278" s="165" t="inlineStr">
        <is>
          <t>Centrifuge Line</t>
        </is>
      </c>
    </row>
    <row r="279" ht="25.5" customHeight="1" s="241">
      <c r="A279" s="217" t="n"/>
      <c r="B279" s="217" t="n"/>
      <c r="C279" s="61" t="inlineStr">
        <is>
          <t>Inlet Turbidity</t>
        </is>
      </c>
      <c r="D279" s="61" t="inlineStr">
        <is>
          <t>离心入口
浊度</t>
        </is>
      </c>
      <c r="E279" s="69" t="inlineStr">
        <is>
          <t>EBC</t>
        </is>
      </c>
      <c r="F279" s="61" t="inlineStr">
        <is>
          <t>见下一页说明</t>
        </is>
      </c>
      <c r="G279" s="60" t="n"/>
      <c r="H279" s="174" t="inlineStr">
        <is>
          <t>BR-60069</t>
        </is>
      </c>
      <c r="I279" s="175" t="inlineStr">
        <is>
          <t>离心进口酒液平均浊度_嫩啤酒出罐在线分析(每小时监控)_酿造_过滤_离心机</t>
        </is>
      </c>
      <c r="J279" s="174" t="inlineStr">
        <is>
          <t>DF</t>
        </is>
      </c>
      <c r="K279" s="174" t="n"/>
      <c r="L279" s="174" t="inlineStr">
        <is>
          <t>数据</t>
        </is>
      </c>
      <c r="N279" s="165" t="inlineStr">
        <is>
          <t>Brand</t>
        </is>
      </c>
      <c r="O279" s="165" t="inlineStr">
        <is>
          <t>OG</t>
        </is>
      </c>
      <c r="P279" s="165" t="inlineStr">
        <is>
          <t>Centrifuge Line</t>
        </is>
      </c>
    </row>
    <row r="280" ht="25.5" customHeight="1" s="241">
      <c r="A280" s="217" t="n"/>
      <c r="B280" s="217" t="n"/>
      <c r="C280" s="61" t="inlineStr">
        <is>
          <t>Outlet Turbidity</t>
        </is>
      </c>
      <c r="D280" s="61" t="inlineStr">
        <is>
          <t>离心出口
浊度</t>
        </is>
      </c>
      <c r="E280" s="69" t="inlineStr">
        <is>
          <t>EBC</t>
        </is>
      </c>
      <c r="F280" s="61" t="inlineStr">
        <is>
          <t>见下一页说明</t>
        </is>
      </c>
      <c r="G280" s="60" t="inlineStr">
        <is>
          <t>Outlet Turbidity</t>
        </is>
      </c>
      <c r="H280" s="174" t="inlineStr">
        <is>
          <t>BR-60074</t>
        </is>
      </c>
      <c r="I280" s="175" t="inlineStr">
        <is>
          <t>离心出口酒液平均浊度_嫩啤酒出罐在线分析(每小时监控)_酿造_过滤_离心机</t>
        </is>
      </c>
      <c r="J280" s="174" t="inlineStr">
        <is>
          <t>DF</t>
        </is>
      </c>
      <c r="K280" s="174" t="n"/>
      <c r="L280" s="174" t="inlineStr">
        <is>
          <t>数据</t>
        </is>
      </c>
      <c r="N280" s="165" t="inlineStr">
        <is>
          <t>Brand</t>
        </is>
      </c>
      <c r="O280" s="165" t="inlineStr">
        <is>
          <t>OG</t>
        </is>
      </c>
      <c r="P280" s="165" t="inlineStr">
        <is>
          <t>Centrifuge Line</t>
        </is>
      </c>
    </row>
    <row r="281" ht="25.5" customHeight="1" s="241">
      <c r="A281" s="217" t="n"/>
      <c r="B281" s="218" t="n"/>
      <c r="C281" s="61" t="inlineStr">
        <is>
          <t>Outlet YCC</t>
        </is>
      </c>
      <c r="D281" s="61" t="inlineStr">
        <is>
          <t>离心出口
YCC</t>
        </is>
      </c>
      <c r="E281" s="69" t="inlineStr">
        <is>
          <t>MM/ml</t>
        </is>
      </c>
      <c r="F281" s="61" t="n"/>
      <c r="G281" s="60" t="inlineStr">
        <is>
          <t>Cells in suspension Outlet</t>
        </is>
      </c>
      <c r="H281" s="174" t="inlineStr">
        <is>
          <t>QA-05245</t>
        </is>
      </c>
      <c r="I281" s="175" t="inlineStr">
        <is>
          <t>YCC_离心机出口酒液_嫩啤酒冷储_酿造_过滤_离心机</t>
        </is>
      </c>
      <c r="J281" s="174" t="inlineStr">
        <is>
          <t>手动</t>
        </is>
      </c>
      <c r="K281" s="174" t="inlineStr">
        <is>
          <t>Y</t>
        </is>
      </c>
      <c r="L281" s="174" t="inlineStr">
        <is>
          <t>数据</t>
        </is>
      </c>
      <c r="N281" s="165" t="inlineStr">
        <is>
          <t>Brand</t>
        </is>
      </c>
      <c r="O281" s="165" t="inlineStr">
        <is>
          <t>OG</t>
        </is>
      </c>
      <c r="P281" s="165" t="inlineStr">
        <is>
          <t>Centrifuge Line</t>
        </is>
      </c>
    </row>
    <row r="282" ht="25.5" customHeight="1" s="241">
      <c r="A282" s="217" t="n"/>
      <c r="B282" s="223" t="inlineStr">
        <is>
          <t>Chilling</t>
        </is>
      </c>
      <c r="C282" s="61" t="inlineStr">
        <is>
          <t>Pre Chiller Temperature</t>
        </is>
      </c>
      <c r="D282" s="61" t="inlineStr">
        <is>
          <t>激冷薄板进口温度
（平均值）</t>
        </is>
      </c>
      <c r="E282" s="69" t="inlineStr">
        <is>
          <t>°C</t>
        </is>
      </c>
      <c r="F282" s="61" t="inlineStr">
        <is>
          <t>见下一页说明</t>
        </is>
      </c>
      <c r="G282" s="60" t="inlineStr">
        <is>
          <t>Pre Chiller Temperature</t>
        </is>
      </c>
      <c r="H282" s="174" t="inlineStr">
        <is>
          <t>BR-60043</t>
        </is>
      </c>
      <c r="I282" s="175" t="inlineStr">
        <is>
          <t>前冷却出口酒液平均温度_嫩啤酒前冷却(每小时监控)_酿造_过滤_啤酒冷却系统</t>
        </is>
      </c>
      <c r="J282" s="174" t="inlineStr">
        <is>
          <t>DF</t>
        </is>
      </c>
      <c r="K282" s="174" t="n"/>
      <c r="L282" s="174" t="inlineStr">
        <is>
          <t>数据</t>
        </is>
      </c>
      <c r="N282" s="165" t="inlineStr">
        <is>
          <t>Brand</t>
        </is>
      </c>
      <c r="O282" s="165" t="inlineStr">
        <is>
          <t>OG</t>
        </is>
      </c>
      <c r="P282" s="165" t="inlineStr">
        <is>
          <t>Centrifuge Line</t>
        </is>
      </c>
    </row>
    <row r="283" ht="38.25" customHeight="1" s="241">
      <c r="A283" s="217" t="n"/>
      <c r="B283" s="217" t="n"/>
      <c r="C283" s="61" t="inlineStr">
        <is>
          <t>Pre Chiller Highest Temp</t>
        </is>
      </c>
      <c r="D283" s="61" t="inlineStr">
        <is>
          <t>激冷薄板进口
温度
（最大值）</t>
        </is>
      </c>
      <c r="E283" s="69" t="inlineStr">
        <is>
          <t>°C</t>
        </is>
      </c>
      <c r="F283" s="61" t="inlineStr">
        <is>
          <t>见下一页说明</t>
        </is>
      </c>
      <c r="G283" s="60" t="n"/>
      <c r="H283" s="174" t="inlineStr">
        <is>
          <t>BR-60101</t>
        </is>
      </c>
      <c r="I283" s="175" t="inlineStr">
        <is>
          <t>前冷却出口酒液最高温度_嫩啤酒前冷却（每小时监控）_酿造_过滤_啤酒冷却系统</t>
        </is>
      </c>
      <c r="J283" s="174" t="inlineStr">
        <is>
          <t>DF</t>
        </is>
      </c>
      <c r="K283" s="174" t="n"/>
      <c r="L283" s="174" t="inlineStr">
        <is>
          <t>数据</t>
        </is>
      </c>
      <c r="N283" s="165" t="inlineStr">
        <is>
          <t>Brand</t>
        </is>
      </c>
      <c r="O283" s="165" t="inlineStr">
        <is>
          <t>OG</t>
        </is>
      </c>
      <c r="P283" s="165" t="inlineStr">
        <is>
          <t>Centrifuge Line</t>
        </is>
      </c>
    </row>
    <row r="284" ht="38.25" customHeight="1" s="241">
      <c r="A284" s="217" t="n"/>
      <c r="B284" s="217" t="n"/>
      <c r="C284" s="61" t="inlineStr">
        <is>
          <t>Post Chiller Temp</t>
        </is>
      </c>
      <c r="D284" s="61" t="inlineStr">
        <is>
          <t>激冷薄板出口
温度
（平均值）</t>
        </is>
      </c>
      <c r="E284" s="69" t="inlineStr">
        <is>
          <t>°C</t>
        </is>
      </c>
      <c r="F284" s="61" t="inlineStr">
        <is>
          <t>见下一页说明</t>
        </is>
      </c>
      <c r="G284" s="60" t="inlineStr">
        <is>
          <t>Post Chiller Temperature</t>
        </is>
      </c>
      <c r="H284" s="174" t="inlineStr">
        <is>
          <t>BR-60092</t>
        </is>
      </c>
      <c r="I284" s="175" t="inlineStr">
        <is>
          <t>后冷却出口酒液平均温度_嫩啤酒后冷却(每小时监控)_酿造_过滤_啤酒冷却系统</t>
        </is>
      </c>
      <c r="J284" s="174" t="inlineStr">
        <is>
          <t>DF</t>
        </is>
      </c>
      <c r="K284" s="174" t="inlineStr">
        <is>
          <t>Y</t>
        </is>
      </c>
      <c r="L284" s="174" t="inlineStr">
        <is>
          <t>数据</t>
        </is>
      </c>
      <c r="N284" s="165" t="inlineStr">
        <is>
          <t>Brand</t>
        </is>
      </c>
      <c r="O284" s="165" t="inlineStr">
        <is>
          <t>OG</t>
        </is>
      </c>
      <c r="P284" s="165" t="inlineStr">
        <is>
          <t>Centrifuge Line</t>
        </is>
      </c>
    </row>
    <row r="285" ht="38.25" customHeight="1" s="241">
      <c r="A285" s="217" t="n"/>
      <c r="B285" s="218" t="n"/>
      <c r="C285" s="61" t="inlineStr">
        <is>
          <t>Post Chiller Highest Temp</t>
        </is>
      </c>
      <c r="D285" s="61" t="inlineStr">
        <is>
          <t>激冷薄板出口
温度
（最大值）</t>
        </is>
      </c>
      <c r="E285" s="69" t="inlineStr">
        <is>
          <t>°C</t>
        </is>
      </c>
      <c r="F285" s="61" t="inlineStr">
        <is>
          <t>见下一页说明</t>
        </is>
      </c>
      <c r="G285" s="60" t="n"/>
      <c r="H285" s="174" t="inlineStr">
        <is>
          <t>BR-60102</t>
        </is>
      </c>
      <c r="I285" s="175" t="inlineStr">
        <is>
          <t>后冷却出口酒液最高温度_嫩啤酒后冷却（每小时监控）_酿造_过滤_啤酒冷却系统</t>
        </is>
      </c>
      <c r="J285" s="174" t="inlineStr">
        <is>
          <t>DF</t>
        </is>
      </c>
      <c r="K285" s="174" t="inlineStr">
        <is>
          <t>Y</t>
        </is>
      </c>
      <c r="L285" s="174" t="inlineStr">
        <is>
          <t>数据</t>
        </is>
      </c>
      <c r="N285" s="165" t="inlineStr">
        <is>
          <t>Brand</t>
        </is>
      </c>
      <c r="O285" s="165" t="inlineStr">
        <is>
          <t>OG</t>
        </is>
      </c>
      <c r="P285" s="165" t="inlineStr">
        <is>
          <t>Centrifuge Line</t>
        </is>
      </c>
    </row>
    <row r="286" ht="38.25" customHeight="1" s="241">
      <c r="A286" s="217" t="n"/>
      <c r="B286" s="222" t="inlineStr">
        <is>
          <t>Filtration</t>
        </is>
      </c>
      <c r="C286" s="61" t="inlineStr">
        <is>
          <t>DO  - Filtration Inlet</t>
        </is>
      </c>
      <c r="D286" s="61" t="inlineStr">
        <is>
          <t>过滤机进口
DO
（平均值）</t>
        </is>
      </c>
      <c r="E286" s="69" t="inlineStr">
        <is>
          <t>ppb</t>
        </is>
      </c>
      <c r="F286" s="61" t="inlineStr">
        <is>
          <t>见下一页说明</t>
        </is>
      </c>
      <c r="G286" s="60" t="inlineStr">
        <is>
          <t>Dissolved oxygen  - Filtration Inlet</t>
        </is>
      </c>
      <c r="H286" s="174" t="inlineStr">
        <is>
          <t>BR-60216</t>
        </is>
      </c>
      <c r="I286" s="175" t="inlineStr">
        <is>
          <t>前缓冲罐酒液平均DO_走酒(每小时监控)_酿造_过滤_啤酒前缓冲系统</t>
        </is>
      </c>
      <c r="J286" s="174" t="inlineStr">
        <is>
          <t>DF</t>
        </is>
      </c>
      <c r="K286" s="174" t="n"/>
      <c r="L286" s="174" t="inlineStr">
        <is>
          <t>数据</t>
        </is>
      </c>
      <c r="N286" s="165" t="inlineStr">
        <is>
          <t>Brand</t>
        </is>
      </c>
      <c r="O286" s="165" t="inlineStr">
        <is>
          <t>OG</t>
        </is>
      </c>
      <c r="P286" s="165" t="inlineStr">
        <is>
          <t>Filtration Line</t>
        </is>
      </c>
    </row>
    <row r="287" ht="38.25" customHeight="1" s="241">
      <c r="A287" s="217" t="n"/>
      <c r="B287" s="217" t="n"/>
      <c r="C287" s="61" t="inlineStr">
        <is>
          <t>Beer Temp – Filtration Inlet</t>
        </is>
      </c>
      <c r="D287" s="61" t="inlineStr">
        <is>
          <t>过滤机入口
温度
（平均值）</t>
        </is>
      </c>
      <c r="E287" s="69" t="inlineStr">
        <is>
          <t>°C</t>
        </is>
      </c>
      <c r="F287" s="61" t="inlineStr">
        <is>
          <t>见下一页说明</t>
        </is>
      </c>
      <c r="G287" s="60" t="inlineStr">
        <is>
          <t>Beer Temperature – Immediately Prior to Filtration</t>
        </is>
      </c>
      <c r="H287" s="174" t="inlineStr">
        <is>
          <t>BR-60296</t>
        </is>
      </c>
      <c r="I287" s="175" t="inlineStr">
        <is>
          <t>KGF进口酒液平均温度_KGF过滤(每小时监控)_酿造_过滤_硅藻土过滤</t>
        </is>
      </c>
      <c r="J287" s="174" t="inlineStr">
        <is>
          <t>DF</t>
        </is>
      </c>
      <c r="K287" s="174" t="inlineStr">
        <is>
          <t>Y</t>
        </is>
      </c>
      <c r="L287" s="174" t="inlineStr">
        <is>
          <t>数据</t>
        </is>
      </c>
      <c r="N287" s="165" t="inlineStr">
        <is>
          <t>Brand</t>
        </is>
      </c>
      <c r="O287" s="165" t="inlineStr">
        <is>
          <t>OG</t>
        </is>
      </c>
      <c r="P287" s="165" t="inlineStr">
        <is>
          <t>Filtration Line</t>
        </is>
      </c>
    </row>
    <row r="288" ht="38.25" customHeight="1" s="241">
      <c r="A288" s="217" t="n"/>
      <c r="B288" s="217" t="n"/>
      <c r="C288" s="61" t="inlineStr">
        <is>
          <t>Beer Highest Temp – Filtration Inlet</t>
        </is>
      </c>
      <c r="D288" s="61" t="inlineStr">
        <is>
          <t>过滤机入口
温度
（最大值）</t>
        </is>
      </c>
      <c r="E288" s="69" t="inlineStr">
        <is>
          <t>°C</t>
        </is>
      </c>
      <c r="F288" s="61" t="inlineStr">
        <is>
          <t>见下一页说明</t>
        </is>
      </c>
      <c r="G288" s="60" t="n"/>
      <c r="H288" s="174" t="inlineStr">
        <is>
          <t>BR-60368</t>
        </is>
      </c>
      <c r="I288" s="175" t="inlineStr">
        <is>
          <t>KGF进口酒液最高温度_KGF过滤(每小时监控)_酿造_过滤_硅藻土过滤</t>
        </is>
      </c>
      <c r="J288" s="174" t="inlineStr">
        <is>
          <t>DF</t>
        </is>
      </c>
      <c r="K288" s="174" t="inlineStr">
        <is>
          <t>Y</t>
        </is>
      </c>
      <c r="L288" s="174" t="inlineStr">
        <is>
          <t>数据</t>
        </is>
      </c>
      <c r="N288" s="165" t="inlineStr">
        <is>
          <t>Brand</t>
        </is>
      </c>
      <c r="O288" s="165" t="inlineStr">
        <is>
          <t>OG</t>
        </is>
      </c>
      <c r="P288" s="165" t="inlineStr">
        <is>
          <t>Filtration Line</t>
        </is>
      </c>
    </row>
    <row r="289" ht="25.5" customHeight="1" s="241">
      <c r="A289" s="217" t="n"/>
      <c r="B289" s="217" t="n"/>
      <c r="C289" s="61" t="inlineStr">
        <is>
          <t>Start-up Peak D.O.</t>
        </is>
      </c>
      <c r="D289" s="61" t="inlineStr">
        <is>
          <t>启动过滤最大DO</t>
        </is>
      </c>
      <c r="E289" s="69" t="inlineStr">
        <is>
          <t>ppb</t>
        </is>
      </c>
      <c r="F289" s="61" t="inlineStr">
        <is>
          <t>见下一页说明</t>
        </is>
      </c>
      <c r="G289" s="60" t="inlineStr">
        <is>
          <t>Filter Start-up Peak D.O.</t>
        </is>
      </c>
      <c r="H289" s="174" t="inlineStr">
        <is>
          <t>BR-60319</t>
        </is>
      </c>
      <c r="I289" s="175" t="inlineStr">
        <is>
          <t>KGF出口酒液过滤启动DO_KGF过滤在线分析(每小时监控)_酿造_过滤_硅藻土过滤</t>
        </is>
      </c>
      <c r="J289" s="174" t="inlineStr">
        <is>
          <t>DF</t>
        </is>
      </c>
      <c r="K289" s="174" t="n"/>
      <c r="L289" s="174" t="inlineStr">
        <is>
          <t>数据</t>
        </is>
      </c>
      <c r="N289" s="165" t="inlineStr">
        <is>
          <t>Brand</t>
        </is>
      </c>
      <c r="O289" s="165" t="inlineStr">
        <is>
          <t>OG</t>
        </is>
      </c>
      <c r="P289" s="165" t="inlineStr">
        <is>
          <t>Filtration Line</t>
        </is>
      </c>
    </row>
    <row r="290" ht="25.5" customHeight="1" s="241">
      <c r="A290" s="217" t="n"/>
      <c r="B290" s="217" t="n"/>
      <c r="C290" s="61" t="inlineStr">
        <is>
          <t>Start-up DO</t>
        </is>
      </c>
      <c r="D290" s="61" t="inlineStr">
        <is>
          <t>启动过滤DO</t>
        </is>
      </c>
      <c r="E290" s="69" t="inlineStr">
        <is>
          <t>ppb</t>
        </is>
      </c>
      <c r="F290" s="61" t="inlineStr">
        <is>
          <t>见下一页说明</t>
        </is>
      </c>
      <c r="G290" s="60" t="inlineStr">
        <is>
          <t>Filter Start-up DO</t>
        </is>
      </c>
      <c r="H290" s="174" t="inlineStr">
        <is>
          <t>BR-60320</t>
        </is>
      </c>
      <c r="I290" s="175" t="inlineStr">
        <is>
          <t>KGF出口酒液过滤启动5minDO_KGF过滤在线分析(每小时监控)_酿造_过滤_硅藻土过滤</t>
        </is>
      </c>
      <c r="J290" s="174" t="inlineStr">
        <is>
          <t>DF</t>
        </is>
      </c>
      <c r="K290" s="174" t="inlineStr">
        <is>
          <t>Y</t>
        </is>
      </c>
      <c r="L290" s="174" t="inlineStr">
        <is>
          <t>数据</t>
        </is>
      </c>
      <c r="N290" s="165" t="inlineStr">
        <is>
          <t>Brand</t>
        </is>
      </c>
      <c r="O290" s="165" t="inlineStr">
        <is>
          <t>OG</t>
        </is>
      </c>
      <c r="P290" s="165" t="inlineStr">
        <is>
          <t>Filtration Line</t>
        </is>
      </c>
    </row>
    <row r="291" ht="25.5" customHeight="1" s="241">
      <c r="A291" s="217" t="n"/>
      <c r="B291" s="218" t="n"/>
      <c r="C291" s="61" t="inlineStr">
        <is>
          <t>Haze @ 90°</t>
        </is>
      </c>
      <c r="D291" s="61" t="inlineStr">
        <is>
          <t>过滤机出口浊度（平均值）</t>
        </is>
      </c>
      <c r="E291" s="69" t="inlineStr">
        <is>
          <t>EBC</t>
        </is>
      </c>
      <c r="F291" s="61" t="inlineStr">
        <is>
          <t>见下一页说明</t>
        </is>
      </c>
      <c r="G291" s="60" t="inlineStr">
        <is>
          <t>Haze @ 90°</t>
        </is>
      </c>
      <c r="H291" s="174" t="inlineStr">
        <is>
          <t>BR-60302</t>
        </is>
      </c>
      <c r="I291" s="175" t="inlineStr">
        <is>
          <t>KGF出口酒液浊度90°角_KGF过滤在线分析(每小时监控)_酿造_过滤_硅藻土过滤</t>
        </is>
      </c>
      <c r="J291" s="174" t="inlineStr">
        <is>
          <t>DF</t>
        </is>
      </c>
      <c r="K291" s="174" t="n"/>
      <c r="L291" s="174" t="inlineStr">
        <is>
          <t>数据</t>
        </is>
      </c>
      <c r="N291" s="165" t="inlineStr">
        <is>
          <t>Brand</t>
        </is>
      </c>
      <c r="O291" s="165" t="inlineStr">
        <is>
          <t>OG</t>
        </is>
      </c>
      <c r="P291" s="165" t="inlineStr">
        <is>
          <t>Filtration Line</t>
        </is>
      </c>
    </row>
    <row r="292" ht="38.25" customHeight="1" s="241">
      <c r="A292" s="217" t="n"/>
      <c r="B292" s="223" t="inlineStr">
        <is>
          <t>Stabilization</t>
        </is>
      </c>
      <c r="C292" s="61" t="inlineStr">
        <is>
          <t>Re-PVPP Dosage Rate</t>
        </is>
      </c>
      <c r="D292" s="61" t="inlineStr">
        <is>
          <t>再生PVPP
添加量</t>
        </is>
      </c>
      <c r="E292" s="70" t="inlineStr">
        <is>
          <t>g/HL</t>
        </is>
      </c>
      <c r="F292" s="61" t="inlineStr">
        <is>
          <t>实际添加量，不要理论值</t>
        </is>
      </c>
      <c r="G292" s="60" t="inlineStr">
        <is>
          <t>Regenerable PVPP Dosage Rate</t>
        </is>
      </c>
      <c r="H292" s="174" t="inlineStr">
        <is>
          <t>BR-60653</t>
        </is>
      </c>
      <c r="I292" s="175" t="inlineStr">
        <is>
          <t>满罐清酒PVPP添加量_清酒满罐在线分析_酿造_清酒工序_清酒罐</t>
        </is>
      </c>
      <c r="J292" s="174" t="inlineStr">
        <is>
          <t>DF</t>
        </is>
      </c>
      <c r="K292" s="174" t="n"/>
      <c r="L292" s="174" t="inlineStr">
        <is>
          <t>数据</t>
        </is>
      </c>
      <c r="N292" s="165" t="inlineStr">
        <is>
          <t>Brand</t>
        </is>
      </c>
      <c r="O292" s="165" t="inlineStr">
        <is>
          <t>OG</t>
        </is>
      </c>
      <c r="P292" s="165" t="inlineStr">
        <is>
          <t>Filtration Line</t>
        </is>
      </c>
    </row>
    <row r="293" ht="38.25" customHeight="1" s="241">
      <c r="A293" s="217" t="n"/>
      <c r="B293" s="217" t="n"/>
      <c r="C293" s="61" t="inlineStr">
        <is>
          <t>One-way PVPP Dosage Rate</t>
        </is>
      </c>
      <c r="D293" s="61" t="inlineStr">
        <is>
          <t>一次性
PVPP
添加量</t>
        </is>
      </c>
      <c r="E293" s="70" t="inlineStr">
        <is>
          <t>g/HL</t>
        </is>
      </c>
      <c r="F293" s="61" t="inlineStr">
        <is>
          <t>实际添加量，不要理论值</t>
        </is>
      </c>
      <c r="G293" s="60" t="inlineStr">
        <is>
          <t>One-way PVPP Dosage Rate</t>
        </is>
      </c>
      <c r="H293" s="174" t="inlineStr">
        <is>
          <t>BR-60660</t>
        </is>
      </c>
      <c r="I293" s="175" t="inlineStr">
        <is>
          <t>满罐清酒一次性PVPP添加量_清酒满罐在线分析_酿造_清酒工序_清酒罐</t>
        </is>
      </c>
      <c r="J293" s="174" t="inlineStr">
        <is>
          <t>DF</t>
        </is>
      </c>
      <c r="K293" s="174" t="n"/>
      <c r="L293" s="174" t="inlineStr">
        <is>
          <t>数据</t>
        </is>
      </c>
      <c r="N293" s="165" t="inlineStr">
        <is>
          <t>Brand</t>
        </is>
      </c>
      <c r="O293" s="165" t="inlineStr">
        <is>
          <t>OG</t>
        </is>
      </c>
      <c r="P293" s="165" t="inlineStr">
        <is>
          <t>Filtration Line</t>
        </is>
      </c>
    </row>
    <row r="294" ht="25.5" customHeight="1" s="241">
      <c r="A294" s="217" t="n"/>
      <c r="B294" s="217" t="n"/>
      <c r="C294" s="61" t="inlineStr">
        <is>
          <t>Re-PVPP Concentration</t>
        </is>
      </c>
      <c r="D294" s="61" t="inlineStr">
        <is>
          <t>再生PVPP
浓度</t>
        </is>
      </c>
      <c r="E294" s="69" t="inlineStr">
        <is>
          <t>%</t>
        </is>
      </c>
      <c r="F294" s="61" t="n"/>
      <c r="G294" s="60" t="n"/>
      <c r="H294" s="174" t="inlineStr">
        <is>
          <t>BR-60659</t>
        </is>
      </c>
      <c r="I294" s="175" t="inlineStr">
        <is>
          <t>满罐清酒PVPP添加量浓度_清酒满罐在线分析_酿造_清酒工序_清酒罐</t>
        </is>
      </c>
      <c r="J294" s="174" t="inlineStr">
        <is>
          <t>DF</t>
        </is>
      </c>
      <c r="K294" s="174" t="n"/>
      <c r="L294" s="174" t="inlineStr">
        <is>
          <t>数据</t>
        </is>
      </c>
      <c r="N294" s="165" t="inlineStr">
        <is>
          <t>Brand</t>
        </is>
      </c>
      <c r="O294" s="165" t="inlineStr">
        <is>
          <t>OG</t>
        </is>
      </c>
      <c r="P294" s="165" t="inlineStr">
        <is>
          <t>Filtration Line</t>
        </is>
      </c>
    </row>
    <row r="295" ht="25.5" customHeight="1" s="241">
      <c r="A295" s="217" t="n"/>
      <c r="B295" s="217" t="n"/>
      <c r="C295" s="61" t="inlineStr">
        <is>
          <t>Silica Hydrogel dosage</t>
        </is>
      </c>
      <c r="D295" s="61" t="inlineStr">
        <is>
          <t>硅胶添加量</t>
        </is>
      </c>
      <c r="E295" s="70" t="inlineStr">
        <is>
          <t>g/HL</t>
        </is>
      </c>
      <c r="F295" s="61" t="inlineStr">
        <is>
          <t>实际添加量，不要理论值</t>
        </is>
      </c>
      <c r="G295" s="60" t="inlineStr">
        <is>
          <t>Silica Hydrogel dosage</t>
        </is>
      </c>
      <c r="H295" s="174" t="inlineStr">
        <is>
          <t>BR-60661</t>
        </is>
      </c>
      <c r="I295" s="175" t="inlineStr">
        <is>
          <t>满罐清酒硅胶添加量_清酒满罐在线分析_酿造_清酒工序_清酒罐</t>
        </is>
      </c>
      <c r="J295" s="174" t="inlineStr">
        <is>
          <t>DF</t>
        </is>
      </c>
      <c r="K295" s="174" t="n"/>
      <c r="L295" s="174" t="inlineStr">
        <is>
          <t>数据</t>
        </is>
      </c>
      <c r="N295" s="165" t="inlineStr">
        <is>
          <t>Brand</t>
        </is>
      </c>
      <c r="O295" s="165" t="inlineStr">
        <is>
          <t>OG</t>
        </is>
      </c>
      <c r="P295" s="165" t="inlineStr">
        <is>
          <t>Filtration Line</t>
        </is>
      </c>
    </row>
    <row r="296" ht="25.5" customHeight="1" s="241">
      <c r="A296" s="217" t="n"/>
      <c r="B296" s="218" t="n"/>
      <c r="C296" s="61" t="inlineStr">
        <is>
          <t>Silica Hydrogel Contact Time</t>
        </is>
      </c>
      <c r="D296" s="61" t="inlineStr">
        <is>
          <t>硅胶接触时间</t>
        </is>
      </c>
      <c r="E296" s="69" t="inlineStr">
        <is>
          <t>min</t>
        </is>
      </c>
      <c r="F296" s="61" t="n"/>
      <c r="G296" s="60" t="inlineStr">
        <is>
          <t>Silica Hydrogel Gel Addition Rate</t>
        </is>
      </c>
      <c r="H296" s="174" t="inlineStr">
        <is>
          <t>BR-60662</t>
        </is>
      </c>
      <c r="I296" s="175" t="inlineStr">
        <is>
          <t>满罐清酒硅胶接触时间段_清酒满罐在线分析_酿造_清酒工序_清酒罐</t>
        </is>
      </c>
      <c r="J296" s="174" t="inlineStr">
        <is>
          <t>DF</t>
        </is>
      </c>
      <c r="K296" s="174" t="n"/>
      <c r="L296" s="174" t="inlineStr">
        <is>
          <t>整数</t>
        </is>
      </c>
      <c r="N296" s="165" t="inlineStr">
        <is>
          <t>Brand</t>
        </is>
      </c>
      <c r="O296" s="165" t="inlineStr">
        <is>
          <t>OG</t>
        </is>
      </c>
      <c r="P296" s="165" t="inlineStr">
        <is>
          <t>Filtration Line</t>
        </is>
      </c>
    </row>
    <row r="297" ht="25.5" customHeight="1" s="241">
      <c r="A297" s="217" t="n"/>
      <c r="B297" s="222" t="inlineStr">
        <is>
          <t>BBT</t>
        </is>
      </c>
      <c r="C297" s="61" t="inlineStr">
        <is>
          <t>Integrated DO</t>
        </is>
      </c>
      <c r="D297" s="61" t="inlineStr">
        <is>
          <t>累计DO-在线</t>
        </is>
      </c>
      <c r="E297" s="69" t="inlineStr">
        <is>
          <t>ppb</t>
        </is>
      </c>
      <c r="F297" s="61" t="inlineStr">
        <is>
          <t>见下一页说明</t>
        </is>
      </c>
      <c r="G297" s="60" t="inlineStr">
        <is>
          <t>Dissolved Oxygen (DO)</t>
        </is>
      </c>
      <c r="H297" s="174" t="inlineStr">
        <is>
          <t>QA-05305</t>
        </is>
      </c>
      <c r="I297" s="175" t="inlineStr">
        <is>
          <t>溶解氧_清酒_清酒存储_酿造_清酒工序_清酒罐</t>
        </is>
      </c>
      <c r="J297" s="174" t="inlineStr">
        <is>
          <t>LIMS</t>
        </is>
      </c>
      <c r="K297" s="174" t="inlineStr">
        <is>
          <t>Y</t>
        </is>
      </c>
      <c r="L297" s="174" t="inlineStr">
        <is>
          <t>数据</t>
        </is>
      </c>
      <c r="N297" s="165" t="inlineStr">
        <is>
          <t>Brand</t>
        </is>
      </c>
      <c r="O297" s="165" t="inlineStr">
        <is>
          <t>OG</t>
        </is>
      </c>
      <c r="P297" s="165" t="inlineStr">
        <is>
          <t>Filtration Line</t>
        </is>
      </c>
    </row>
    <row r="298">
      <c r="A298" s="217" t="n"/>
      <c r="B298" s="217" t="n"/>
      <c r="C298" s="61" t="inlineStr">
        <is>
          <t>DO-Manual</t>
        </is>
      </c>
      <c r="D298" s="61" t="inlineStr">
        <is>
          <t>BBT DO-手持</t>
        </is>
      </c>
      <c r="E298" s="69" t="inlineStr">
        <is>
          <t>ppb</t>
        </is>
      </c>
      <c r="F298" s="61" t="n"/>
      <c r="G298" s="60" t="n"/>
      <c r="H298" s="174" t="n"/>
      <c r="I298" s="175" t="n"/>
      <c r="J298" s="174" t="inlineStr">
        <is>
          <t>LIMS</t>
        </is>
      </c>
      <c r="K298" s="174" t="n"/>
      <c r="L298" s="174" t="inlineStr">
        <is>
          <t>数据</t>
        </is>
      </c>
      <c r="N298" s="165" t="inlineStr">
        <is>
          <t>Brand</t>
        </is>
      </c>
      <c r="O298" s="165" t="inlineStr">
        <is>
          <t>OG</t>
        </is>
      </c>
    </row>
    <row r="299" ht="25.5" customHeight="1" s="241">
      <c r="A299" s="217" t="n"/>
      <c r="B299" s="217" t="n"/>
      <c r="C299" s="61" t="inlineStr">
        <is>
          <t>OE</t>
        </is>
      </c>
      <c r="D299" s="61" t="inlineStr">
        <is>
          <t>原浓</t>
        </is>
      </c>
      <c r="E299" s="70" t="inlineStr">
        <is>
          <t>Plato</t>
        </is>
      </c>
      <c r="F299" s="61" t="n"/>
      <c r="G299" s="60" t="inlineStr">
        <is>
          <t>Original Extract (OE)</t>
        </is>
      </c>
      <c r="H299" s="174" t="inlineStr">
        <is>
          <t>QA-05318</t>
        </is>
      </c>
      <c r="I299" s="175" t="inlineStr">
        <is>
          <t>OG_清酒_清酒存储_酿造_清酒工序_清酒罐</t>
        </is>
      </c>
      <c r="J299" s="174" t="inlineStr">
        <is>
          <t>LIMS</t>
        </is>
      </c>
      <c r="K299" s="174" t="inlineStr">
        <is>
          <t>Y</t>
        </is>
      </c>
      <c r="L299" s="174" t="inlineStr">
        <is>
          <t>数据</t>
        </is>
      </c>
      <c r="N299" s="165" t="inlineStr">
        <is>
          <t>Brand</t>
        </is>
      </c>
      <c r="O299" s="165" t="inlineStr">
        <is>
          <t>OG</t>
        </is>
      </c>
    </row>
    <row r="300" ht="25.5" customHeight="1" s="241">
      <c r="A300" s="217" t="n"/>
      <c r="B300" s="217" t="n"/>
      <c r="C300" s="61" t="inlineStr">
        <is>
          <t>AE</t>
        </is>
      </c>
      <c r="D300" s="61" t="inlineStr">
        <is>
          <t>外观糖度</t>
        </is>
      </c>
      <c r="E300" s="70" t="inlineStr">
        <is>
          <t>Plato</t>
        </is>
      </c>
      <c r="F300" s="61" t="n"/>
      <c r="G300" s="60" t="inlineStr">
        <is>
          <t>Apparent extract</t>
        </is>
      </c>
      <c r="H300" s="174" t="inlineStr">
        <is>
          <t>QA-05309</t>
        </is>
      </c>
      <c r="I300" s="175" t="inlineStr">
        <is>
          <t>AE_清酒_清酒存储_酿造_清酒工序_清酒罐</t>
        </is>
      </c>
      <c r="J300" s="174" t="inlineStr">
        <is>
          <t>LIMS</t>
        </is>
      </c>
      <c r="K300" s="174" t="inlineStr">
        <is>
          <t>Y</t>
        </is>
      </c>
      <c r="L300" s="174" t="inlineStr">
        <is>
          <t>数据</t>
        </is>
      </c>
      <c r="N300" s="165" t="inlineStr">
        <is>
          <t>Brand</t>
        </is>
      </c>
      <c r="O300" s="165" t="inlineStr">
        <is>
          <t>OG</t>
        </is>
      </c>
    </row>
    <row r="301">
      <c r="A301" s="217" t="n"/>
      <c r="B301" s="217" t="n"/>
      <c r="C301" s="61" t="inlineStr">
        <is>
          <t>RDF</t>
        </is>
      </c>
      <c r="D301" s="61" t="inlineStr">
        <is>
          <t>RDF</t>
        </is>
      </c>
      <c r="E301" s="70" t="inlineStr">
        <is>
          <t>%</t>
        </is>
      </c>
      <c r="F301" s="61" t="n"/>
      <c r="G301" s="60" t="inlineStr">
        <is>
          <t>RDF</t>
        </is>
      </c>
      <c r="H301" s="174" t="n"/>
      <c r="I301" s="175" t="n"/>
      <c r="J301" s="174" t="inlineStr">
        <is>
          <t>LIMS</t>
        </is>
      </c>
      <c r="K301" s="174" t="inlineStr">
        <is>
          <t>Y</t>
        </is>
      </c>
      <c r="L301" s="174" t="inlineStr">
        <is>
          <t>数据</t>
        </is>
      </c>
      <c r="N301" s="165" t="inlineStr">
        <is>
          <t>Brand</t>
        </is>
      </c>
      <c r="O301" s="165" t="inlineStr">
        <is>
          <t>OG</t>
        </is>
      </c>
    </row>
    <row r="302" ht="25.5" customHeight="1" s="241">
      <c r="A302" s="217" t="n"/>
      <c r="B302" s="217" t="n"/>
      <c r="C302" s="61" t="inlineStr">
        <is>
          <t>pH</t>
        </is>
      </c>
      <c r="D302" s="61" t="inlineStr">
        <is>
          <t>pH</t>
        </is>
      </c>
      <c r="E302" s="69" t="inlineStr">
        <is>
          <t>pH</t>
        </is>
      </c>
      <c r="F302" s="61" t="n"/>
      <c r="G302" s="60" t="inlineStr">
        <is>
          <t>BBT pH</t>
        </is>
      </c>
      <c r="H302" s="174" t="inlineStr">
        <is>
          <t>QA-05313</t>
        </is>
      </c>
      <c r="I302" s="175" t="inlineStr">
        <is>
          <t>pH_清酒_清酒存储_酿造_清酒工序_清酒罐</t>
        </is>
      </c>
      <c r="J302" s="174" t="inlineStr">
        <is>
          <t>LIMS</t>
        </is>
      </c>
      <c r="K302" s="174" t="inlineStr">
        <is>
          <t>Y</t>
        </is>
      </c>
      <c r="L302" s="174" t="inlineStr">
        <is>
          <t>数据</t>
        </is>
      </c>
      <c r="N302" s="165" t="inlineStr">
        <is>
          <t>Brand</t>
        </is>
      </c>
      <c r="O302" s="165" t="inlineStr">
        <is>
          <t>OG</t>
        </is>
      </c>
    </row>
    <row r="303" ht="25.5" customHeight="1" s="241">
      <c r="A303" s="217" t="n"/>
      <c r="B303" s="217" t="n"/>
      <c r="C303" s="61" t="inlineStr">
        <is>
          <t>Color</t>
        </is>
      </c>
      <c r="D303" s="61" t="inlineStr">
        <is>
          <t>色度</t>
        </is>
      </c>
      <c r="E303" s="69" t="inlineStr">
        <is>
          <t>EBC</t>
        </is>
      </c>
      <c r="F303" s="61" t="n"/>
      <c r="G303" s="60" t="inlineStr">
        <is>
          <t>Color</t>
        </is>
      </c>
      <c r="H303" s="174" t="inlineStr">
        <is>
          <t>QA-05312</t>
        </is>
      </c>
      <c r="I303" s="175" t="inlineStr">
        <is>
          <t>色度_清酒_清酒存储_酿造_清酒工序_清酒罐</t>
        </is>
      </c>
      <c r="J303" s="174" t="inlineStr">
        <is>
          <t>LIMS</t>
        </is>
      </c>
      <c r="K303" s="174" t="inlineStr">
        <is>
          <t>Y</t>
        </is>
      </c>
      <c r="L303" s="174" t="inlineStr">
        <is>
          <t>数据</t>
        </is>
      </c>
      <c r="N303" s="165" t="inlineStr">
        <is>
          <t>Brand</t>
        </is>
      </c>
      <c r="O303" s="165" t="inlineStr">
        <is>
          <t>OG</t>
        </is>
      </c>
    </row>
    <row r="304">
      <c r="A304" s="217" t="n"/>
      <c r="B304" s="217" t="n"/>
      <c r="C304" s="61" t="inlineStr">
        <is>
          <t>Color-L</t>
        </is>
      </c>
      <c r="D304" s="61" t="inlineStr">
        <is>
          <t>色度L</t>
        </is>
      </c>
      <c r="E304" s="69" t="inlineStr">
        <is>
          <t>EBC</t>
        </is>
      </c>
      <c r="F304" s="61" t="n"/>
      <c r="G304" s="61" t="n"/>
      <c r="H304" s="174" t="n"/>
      <c r="I304" s="175" t="n"/>
      <c r="J304" s="174" t="inlineStr">
        <is>
          <t>LIMS</t>
        </is>
      </c>
      <c r="K304" s="174" t="inlineStr">
        <is>
          <t>Y</t>
        </is>
      </c>
      <c r="L304" s="174" t="inlineStr">
        <is>
          <t>数据</t>
        </is>
      </c>
      <c r="N304" s="165" t="inlineStr">
        <is>
          <t>Brand</t>
        </is>
      </c>
      <c r="O304" s="165" t="inlineStr">
        <is>
          <t>OG</t>
        </is>
      </c>
    </row>
    <row r="305">
      <c r="A305" s="217" t="n"/>
      <c r="B305" s="217" t="n"/>
      <c r="C305" s="61" t="inlineStr">
        <is>
          <t>Color-A</t>
        </is>
      </c>
      <c r="D305" s="61" t="inlineStr">
        <is>
          <t>色度A</t>
        </is>
      </c>
      <c r="E305" s="69" t="inlineStr">
        <is>
          <t>EBC</t>
        </is>
      </c>
      <c r="F305" s="61" t="n"/>
      <c r="G305" s="61" t="n"/>
      <c r="H305" s="174" t="n"/>
      <c r="I305" s="175" t="n"/>
      <c r="J305" s="174" t="inlineStr">
        <is>
          <t>LIMS</t>
        </is>
      </c>
      <c r="K305" s="174" t="inlineStr">
        <is>
          <t>Y</t>
        </is>
      </c>
      <c r="L305" s="174" t="inlineStr">
        <is>
          <t>数据</t>
        </is>
      </c>
      <c r="N305" s="165" t="inlineStr">
        <is>
          <t>Brand</t>
        </is>
      </c>
      <c r="O305" s="165" t="inlineStr">
        <is>
          <t>OG</t>
        </is>
      </c>
    </row>
    <row r="306">
      <c r="A306" s="217" t="n"/>
      <c r="B306" s="217" t="n"/>
      <c r="C306" s="61" t="inlineStr">
        <is>
          <t>Color-B</t>
        </is>
      </c>
      <c r="D306" s="61" t="inlineStr">
        <is>
          <t>色度B</t>
        </is>
      </c>
      <c r="E306" s="69" t="inlineStr">
        <is>
          <t>EBC</t>
        </is>
      </c>
      <c r="F306" s="61" t="n"/>
      <c r="G306" s="61" t="n"/>
      <c r="H306" s="174" t="n"/>
      <c r="I306" s="175" t="n"/>
      <c r="J306" s="174" t="inlineStr">
        <is>
          <t>LIMS</t>
        </is>
      </c>
      <c r="K306" s="174" t="inlineStr">
        <is>
          <t>Y</t>
        </is>
      </c>
      <c r="L306" s="174" t="inlineStr">
        <is>
          <t>数据</t>
        </is>
      </c>
      <c r="N306" s="165" t="inlineStr">
        <is>
          <t>Brand</t>
        </is>
      </c>
      <c r="O306" s="165" t="inlineStr">
        <is>
          <t>OG</t>
        </is>
      </c>
    </row>
    <row r="307" ht="25.5" customHeight="1" s="241">
      <c r="A307" s="217" t="n"/>
      <c r="B307" s="217" t="n"/>
      <c r="C307" s="61" t="inlineStr">
        <is>
          <t>Haze @ 90°</t>
        </is>
      </c>
      <c r="D307" s="61" t="inlineStr">
        <is>
          <t>浊度</t>
        </is>
      </c>
      <c r="E307" s="69" t="inlineStr">
        <is>
          <t>EBC</t>
        </is>
      </c>
      <c r="F307" s="61" t="n"/>
      <c r="G307" s="60" t="inlineStr">
        <is>
          <t>Haze @ 90°</t>
        </is>
      </c>
      <c r="H307" s="174" t="inlineStr">
        <is>
          <t>QA-05314</t>
        </is>
      </c>
      <c r="I307" s="175" t="inlineStr">
        <is>
          <t>浊度90°_清酒_清酒存储_酿造_清酒工序_清酒罐</t>
        </is>
      </c>
      <c r="J307" s="174" t="inlineStr">
        <is>
          <t>LIMS</t>
        </is>
      </c>
      <c r="K307" s="174" t="inlineStr">
        <is>
          <t>Y</t>
        </is>
      </c>
      <c r="L307" s="174" t="inlineStr">
        <is>
          <t>数据</t>
        </is>
      </c>
      <c r="N307" s="165" t="inlineStr">
        <is>
          <t>Brand</t>
        </is>
      </c>
      <c r="O307" s="165" t="inlineStr">
        <is>
          <t>OG</t>
        </is>
      </c>
    </row>
    <row r="308" ht="25.5" customHeight="1" s="241">
      <c r="A308" s="217" t="n"/>
      <c r="B308" s="217" t="n"/>
      <c r="C308" s="61" t="inlineStr">
        <is>
          <t>CO2</t>
        </is>
      </c>
      <c r="D308" s="61" t="inlineStr">
        <is>
          <t>CO2</t>
        </is>
      </c>
      <c r="E308" s="69" t="inlineStr">
        <is>
          <t>g/L</t>
        </is>
      </c>
      <c r="F308" s="61" t="n"/>
      <c r="G308" s="60" t="inlineStr">
        <is>
          <t>CO2 BBT</t>
        </is>
      </c>
      <c r="H308" s="174" t="inlineStr">
        <is>
          <t>QA-05307</t>
        </is>
      </c>
      <c r="I308" s="175" t="inlineStr">
        <is>
          <t>二氧化碳_清酒_清酒存储_酿造_清酒工序_清酒罐</t>
        </is>
      </c>
      <c r="J308" s="174" t="inlineStr">
        <is>
          <t>LIMS</t>
        </is>
      </c>
      <c r="K308" s="174" t="inlineStr">
        <is>
          <t>Y</t>
        </is>
      </c>
      <c r="L308" s="174" t="inlineStr">
        <is>
          <t>数据</t>
        </is>
      </c>
      <c r="N308" s="165" t="inlineStr">
        <is>
          <t>Brand</t>
        </is>
      </c>
      <c r="O308" s="165" t="inlineStr">
        <is>
          <t>OG</t>
        </is>
      </c>
    </row>
    <row r="309" ht="25.5" customHeight="1" s="241">
      <c r="A309" s="217" t="n"/>
      <c r="B309" s="217" t="n"/>
      <c r="C309" s="61" t="inlineStr">
        <is>
          <t xml:space="preserve">Bitterness </t>
        </is>
      </c>
      <c r="D309" s="61" t="inlineStr">
        <is>
          <t>苦味质</t>
        </is>
      </c>
      <c r="E309" s="69" t="n"/>
      <c r="F309" s="61" t="n"/>
      <c r="G309" s="60" t="inlineStr">
        <is>
          <t>Bitterness BBT</t>
        </is>
      </c>
      <c r="H309" s="174" t="inlineStr">
        <is>
          <t>QA-05316</t>
        </is>
      </c>
      <c r="I309" s="175" t="inlineStr">
        <is>
          <t>IBU_清酒_清酒存储_酿造_清酒工序_清酒罐</t>
        </is>
      </c>
      <c r="J309" s="174" t="inlineStr">
        <is>
          <t>LIMS</t>
        </is>
      </c>
      <c r="K309" s="174" t="inlineStr">
        <is>
          <t>Y</t>
        </is>
      </c>
      <c r="L309" s="174" t="inlineStr">
        <is>
          <t>数据</t>
        </is>
      </c>
      <c r="N309" s="165" t="inlineStr">
        <is>
          <t>Brand</t>
        </is>
      </c>
      <c r="O309" s="165" t="inlineStr">
        <is>
          <t>OG</t>
        </is>
      </c>
    </row>
    <row r="310" ht="25.5" customHeight="1" s="241">
      <c r="A310" s="217" t="n"/>
      <c r="B310" s="217" t="n"/>
      <c r="C310" s="61" t="inlineStr">
        <is>
          <t>Iron</t>
        </is>
      </c>
      <c r="D310" s="61" t="inlineStr">
        <is>
          <t>铁</t>
        </is>
      </c>
      <c r="E310" s="70" t="inlineStr">
        <is>
          <t>ppm</t>
        </is>
      </c>
      <c r="F310" s="61" t="n"/>
      <c r="G310" s="60" t="inlineStr">
        <is>
          <t>Iron</t>
        </is>
      </c>
      <c r="H310" s="174" t="inlineStr">
        <is>
          <t>QA-05308</t>
        </is>
      </c>
      <c r="I310" s="175" t="inlineStr">
        <is>
          <t>铁_清酒_清酒存储_酿造_清酒工序_清酒罐</t>
        </is>
      </c>
      <c r="J310" s="174" t="inlineStr">
        <is>
          <t>LIMS</t>
        </is>
      </c>
      <c r="K310" s="174" t="inlineStr">
        <is>
          <t>Y</t>
        </is>
      </c>
      <c r="L310" s="174" t="inlineStr">
        <is>
          <t>数据</t>
        </is>
      </c>
      <c r="N310" s="165" t="inlineStr">
        <is>
          <t>Brand</t>
        </is>
      </c>
      <c r="O310" s="165" t="inlineStr">
        <is>
          <t>OG</t>
        </is>
      </c>
    </row>
    <row r="311" ht="25.5" customHeight="1" s="241">
      <c r="A311" s="217" t="n"/>
      <c r="B311" s="217" t="n"/>
      <c r="C311" s="61" t="inlineStr">
        <is>
          <t>Polyphenols</t>
        </is>
      </c>
      <c r="D311" s="61" t="inlineStr">
        <is>
          <t>多酚</t>
        </is>
      </c>
      <c r="E311" s="70" t="inlineStr">
        <is>
          <t>ppm</t>
        </is>
      </c>
      <c r="F311" s="61" t="n"/>
      <c r="G311" s="60" t="inlineStr">
        <is>
          <t>Polyphenol after stabilization</t>
        </is>
      </c>
      <c r="H311" s="174" t="inlineStr">
        <is>
          <t>QA-05317</t>
        </is>
      </c>
      <c r="I311" s="175" t="inlineStr">
        <is>
          <t>多酚_清酒_清酒存储_酿造_清酒工序_清酒罐</t>
        </is>
      </c>
      <c r="J311" s="174" t="inlineStr">
        <is>
          <t>LIMS</t>
        </is>
      </c>
      <c r="K311" s="174" t="n"/>
      <c r="L311" s="174" t="inlineStr">
        <is>
          <t>数据</t>
        </is>
      </c>
      <c r="N311" s="165" t="inlineStr">
        <is>
          <t>Brand</t>
        </is>
      </c>
      <c r="O311" s="165" t="inlineStr">
        <is>
          <t>OG</t>
        </is>
      </c>
    </row>
    <row r="312" ht="25.5" customHeight="1" s="241">
      <c r="A312" s="217" t="n"/>
      <c r="B312" s="217" t="n"/>
      <c r="C312" s="61" t="inlineStr">
        <is>
          <t>Blending Water 
Temp</t>
        </is>
      </c>
      <c r="D312" s="61" t="inlineStr">
        <is>
          <t>稀释水温度</t>
        </is>
      </c>
      <c r="E312" s="69" t="inlineStr">
        <is>
          <t>°C</t>
        </is>
      </c>
      <c r="F312" s="61" t="inlineStr">
        <is>
          <t>见下一页说明</t>
        </is>
      </c>
      <c r="G312" s="174" t="n"/>
      <c r="H312" s="174" t="inlineStr">
        <is>
          <t>BR-60654</t>
        </is>
      </c>
      <c r="I312" s="175" t="inlineStr">
        <is>
          <t>满罐清酒稀释水平均温度_清酒满罐在线分析_酿造_清酒工序_清酒罐</t>
        </is>
      </c>
      <c r="J312" s="174" t="inlineStr">
        <is>
          <t>DF</t>
        </is>
      </c>
      <c r="K312" s="174" t="inlineStr">
        <is>
          <t>Y</t>
        </is>
      </c>
      <c r="L312" s="174" t="inlineStr">
        <is>
          <t>数据</t>
        </is>
      </c>
      <c r="N312" s="165" t="inlineStr">
        <is>
          <t>Brand</t>
        </is>
      </c>
      <c r="O312" s="165" t="inlineStr">
        <is>
          <t>OG</t>
        </is>
      </c>
    </row>
    <row r="313">
      <c r="A313" s="217" t="n"/>
      <c r="B313" s="217" t="n"/>
      <c r="C313" s="61" t="inlineStr">
        <is>
          <t>Temp @at Full</t>
        </is>
      </c>
      <c r="D313" s="61" t="inlineStr">
        <is>
          <t>BBT满罐温度</t>
        </is>
      </c>
      <c r="E313" s="69" t="inlineStr">
        <is>
          <t>°C</t>
        </is>
      </c>
      <c r="F313" s="61" t="n"/>
      <c r="G313" s="174" t="n"/>
      <c r="H313" s="174" t="inlineStr">
        <is>
          <t>BR-60654</t>
        </is>
      </c>
      <c r="I313" s="175" t="inlineStr">
        <is>
          <t>满罐清酒温度_清酒满罐_酿造_清酒工序_清酒罐</t>
        </is>
      </c>
      <c r="J313" s="174" t="inlineStr">
        <is>
          <t>DF</t>
        </is>
      </c>
      <c r="K313" s="174" t="inlineStr">
        <is>
          <t>Y</t>
        </is>
      </c>
      <c r="L313" s="174" t="inlineStr">
        <is>
          <t>数据</t>
        </is>
      </c>
      <c r="N313" s="165" t="inlineStr">
        <is>
          <t>Brand</t>
        </is>
      </c>
      <c r="O313" s="165" t="inlineStr">
        <is>
          <t>OG</t>
        </is>
      </c>
    </row>
    <row r="314" ht="25.5" customHeight="1" s="241">
      <c r="A314" s="217" t="n"/>
      <c r="B314" s="217" t="n"/>
      <c r="C314" s="61" t="inlineStr">
        <is>
          <t>Temp @Before Release</t>
        </is>
      </c>
      <c r="D314" s="61" t="inlineStr">
        <is>
          <t>BBT放行温度</t>
        </is>
      </c>
      <c r="E314" s="69" t="inlineStr">
        <is>
          <t>°C</t>
        </is>
      </c>
      <c r="F314" s="61" t="n"/>
      <c r="G314" s="174" t="n"/>
      <c r="H314" s="174" t="inlineStr">
        <is>
          <t>BR-60652</t>
        </is>
      </c>
      <c r="I314" s="175" t="inlineStr">
        <is>
          <t>步骤开始出罐清酒温度_清酒送包装_酿造_清酒工序_清酒罐</t>
        </is>
      </c>
      <c r="J314" s="174" t="inlineStr">
        <is>
          <t>DF</t>
        </is>
      </c>
      <c r="K314" s="174" t="inlineStr">
        <is>
          <t>Y</t>
        </is>
      </c>
      <c r="L314" s="174" t="inlineStr">
        <is>
          <t>数据</t>
        </is>
      </c>
      <c r="N314" s="165" t="inlineStr">
        <is>
          <t>Brand</t>
        </is>
      </c>
      <c r="O314" s="165" t="inlineStr">
        <is>
          <t>OG</t>
        </is>
      </c>
    </row>
    <row r="315">
      <c r="A315" s="218" t="n"/>
      <c r="B315" s="218" t="n"/>
      <c r="C315" s="61" t="inlineStr">
        <is>
          <t>Storage Time</t>
        </is>
      </c>
      <c r="D315" s="61" t="inlineStr">
        <is>
          <t>BBT储存时间</t>
        </is>
      </c>
      <c r="E315" s="69" t="inlineStr">
        <is>
          <t>Hours</t>
        </is>
      </c>
      <c r="F315" s="61" t="n"/>
      <c r="G315" s="174" t="n"/>
      <c r="H315" s="174" t="inlineStr">
        <is>
          <t>BR-60653</t>
        </is>
      </c>
      <c r="I315" s="175" t="inlineStr">
        <is>
          <t>清酒存储工艺时间段_清酒存储_酿造_清酒工序_清酒罐</t>
        </is>
      </c>
      <c r="J315" s="174" t="inlineStr">
        <is>
          <t>DF</t>
        </is>
      </c>
      <c r="K315" s="174" t="inlineStr">
        <is>
          <t>Y</t>
        </is>
      </c>
      <c r="L315" s="174" t="inlineStr">
        <is>
          <t>数据</t>
        </is>
      </c>
      <c r="N315" s="165" t="inlineStr">
        <is>
          <t>Brand</t>
        </is>
      </c>
      <c r="O315" s="165" t="inlineStr">
        <is>
          <t>OG</t>
        </is>
      </c>
    </row>
    <row r="316" ht="25.5" customHeight="1" s="241">
      <c r="A316" s="225" t="inlineStr">
        <is>
          <t>Packaging</t>
        </is>
      </c>
      <c r="B316" s="222" t="inlineStr">
        <is>
          <t>PQI</t>
        </is>
      </c>
      <c r="C316" s="61" t="inlineStr">
        <is>
          <t>BBT DO</t>
        </is>
      </c>
      <c r="D316" s="61" t="inlineStr">
        <is>
          <t>BBT DO</t>
        </is>
      </c>
      <c r="E316" s="70" t="inlineStr">
        <is>
          <t>ppb</t>
        </is>
      </c>
      <c r="F316" s="61" t="n"/>
      <c r="G316" s="61" t="n"/>
      <c r="H316" s="174" t="inlineStr">
        <is>
          <t>QA-05305</t>
        </is>
      </c>
      <c r="I316" s="175" t="inlineStr">
        <is>
          <t>溶解氧_清酒_清酒存储_酿造_清酒工序_清酒罐</t>
        </is>
      </c>
      <c r="J316" s="174" t="inlineStr">
        <is>
          <t>LIMS</t>
        </is>
      </c>
      <c r="K316" s="174" t="n"/>
      <c r="L316" s="174" t="inlineStr">
        <is>
          <t>数据</t>
        </is>
      </c>
      <c r="N316" s="165" t="inlineStr">
        <is>
          <t>Brand</t>
        </is>
      </c>
      <c r="O316" s="165" t="inlineStr">
        <is>
          <t>Packaging Line</t>
        </is>
      </c>
      <c r="P316" s="165" t="inlineStr">
        <is>
          <t>Size</t>
        </is>
      </c>
    </row>
    <row r="317" ht="25.5" customHeight="1" s="241">
      <c r="A317" s="217" t="n"/>
      <c r="B317" s="217" t="n"/>
      <c r="C317" s="61" t="inlineStr">
        <is>
          <t>BBT CO2</t>
        </is>
      </c>
      <c r="D317" s="61" t="inlineStr">
        <is>
          <t>BBT CO2</t>
        </is>
      </c>
      <c r="E317" s="70" t="inlineStr">
        <is>
          <t>g/L</t>
        </is>
      </c>
      <c r="F317" s="61" t="n"/>
      <c r="G317" s="61" t="n"/>
      <c r="H317" s="174" t="inlineStr">
        <is>
          <t>QA-05307</t>
        </is>
      </c>
      <c r="I317" s="175" t="inlineStr">
        <is>
          <t>二氧化碳_清酒_清酒存储_酿造_清酒工序_清酒罐</t>
        </is>
      </c>
      <c r="J317" s="174" t="inlineStr">
        <is>
          <t>LIMS</t>
        </is>
      </c>
      <c r="K317" s="174" t="n"/>
      <c r="L317" s="174" t="inlineStr">
        <is>
          <t>数据</t>
        </is>
      </c>
      <c r="N317" s="165" t="inlineStr">
        <is>
          <t>Brand</t>
        </is>
      </c>
      <c r="O317" s="165" t="inlineStr">
        <is>
          <t>Packaging Line</t>
        </is>
      </c>
      <c r="P317" s="165" t="inlineStr">
        <is>
          <t>Size</t>
        </is>
      </c>
    </row>
    <row r="318">
      <c r="A318" s="217" t="n"/>
      <c r="B318" s="217" t="n"/>
      <c r="C318" s="61" t="inlineStr">
        <is>
          <t>HSO</t>
        </is>
      </c>
      <c r="D318" s="61" t="inlineStr">
        <is>
          <t>HSO</t>
        </is>
      </c>
      <c r="E318" s="70" t="inlineStr">
        <is>
          <t>ml</t>
        </is>
      </c>
      <c r="F318" s="61" t="n"/>
      <c r="G318" s="61" t="n"/>
      <c r="H318" s="174" t="n"/>
      <c r="I318" s="175" t="n"/>
      <c r="J318" s="174" t="inlineStr">
        <is>
          <t>LIMS</t>
        </is>
      </c>
      <c r="K318" s="174" t="inlineStr">
        <is>
          <t>Y</t>
        </is>
      </c>
      <c r="L318" s="174" t="inlineStr">
        <is>
          <t>数据</t>
        </is>
      </c>
      <c r="N318" s="165" t="inlineStr">
        <is>
          <t>Brand</t>
        </is>
      </c>
      <c r="O318" s="165" t="inlineStr">
        <is>
          <t>Packaging Line</t>
        </is>
      </c>
      <c r="P318" s="165" t="inlineStr">
        <is>
          <t>Size</t>
        </is>
      </c>
    </row>
    <row r="319" ht="25.5" customHeight="1" s="241">
      <c r="A319" s="217" t="n"/>
      <c r="B319" s="217" t="n"/>
      <c r="C319" s="61" t="inlineStr">
        <is>
          <t>DO</t>
        </is>
      </c>
      <c r="D319" s="61" t="inlineStr">
        <is>
          <t>DO</t>
        </is>
      </c>
      <c r="E319" s="69" t="inlineStr">
        <is>
          <t>ppb</t>
        </is>
      </c>
      <c r="F319" s="61" t="n"/>
      <c r="G319" s="61" t="n"/>
      <c r="H319" s="174" t="inlineStr">
        <is>
          <t>QA-10132</t>
        </is>
      </c>
      <c r="I319" s="175" t="inlineStr">
        <is>
          <t>DO_灌酒机进口酒液_灌酒_包装_瓶装线_灌酒机</t>
        </is>
      </c>
      <c r="J319" s="174" t="inlineStr">
        <is>
          <t>LIMS</t>
        </is>
      </c>
      <c r="K319" s="174" t="n"/>
      <c r="L319" s="174" t="inlineStr">
        <is>
          <t>数据</t>
        </is>
      </c>
      <c r="N319" s="165" t="inlineStr">
        <is>
          <t>Brand</t>
        </is>
      </c>
      <c r="O319" s="165" t="inlineStr">
        <is>
          <t>Packaging Line</t>
        </is>
      </c>
      <c r="P319" s="165" t="inlineStr">
        <is>
          <t>Size</t>
        </is>
      </c>
    </row>
    <row r="320" ht="25.5" customHeight="1" s="241">
      <c r="A320" s="217" t="n"/>
      <c r="B320" s="217" t="n"/>
      <c r="C320" s="61" t="inlineStr">
        <is>
          <t>TPO</t>
        </is>
      </c>
      <c r="D320" s="61" t="inlineStr">
        <is>
          <t>TPO</t>
        </is>
      </c>
      <c r="E320" s="69" t="inlineStr">
        <is>
          <t>ppb</t>
        </is>
      </c>
      <c r="F320" s="61" t="n"/>
      <c r="G320" s="61" t="n"/>
      <c r="H320" s="174" t="inlineStr">
        <is>
          <t>QA-10375</t>
        </is>
      </c>
      <c r="I320" s="175" t="inlineStr">
        <is>
          <t>TPO单值_灌酒机出口产品_灌酒_包装_听装线_灌酒机</t>
        </is>
      </c>
      <c r="J320" s="174" t="inlineStr">
        <is>
          <t>LIMS</t>
        </is>
      </c>
      <c r="K320" s="174" t="inlineStr">
        <is>
          <t>Y</t>
        </is>
      </c>
      <c r="L320" s="174" t="inlineStr">
        <is>
          <t>整数</t>
        </is>
      </c>
      <c r="N320" s="165" t="inlineStr">
        <is>
          <t>Brand</t>
        </is>
      </c>
      <c r="O320" s="165" t="inlineStr">
        <is>
          <t>Packaging Line</t>
        </is>
      </c>
      <c r="P320" s="165" t="inlineStr">
        <is>
          <t>Size</t>
        </is>
      </c>
    </row>
    <row r="321">
      <c r="A321" s="217" t="n"/>
      <c r="B321" s="217" t="n"/>
      <c r="C321" s="61" t="inlineStr">
        <is>
          <t>TPO AVE</t>
        </is>
      </c>
      <c r="D321" s="61" t="inlineStr">
        <is>
          <t>TPO平均值</t>
        </is>
      </c>
      <c r="E321" s="69" t="inlineStr">
        <is>
          <t>ppb</t>
        </is>
      </c>
      <c r="F321" s="61" t="n"/>
      <c r="G321" s="61" t="n"/>
      <c r="H321" s="174" t="n"/>
      <c r="I321" s="175" t="n"/>
      <c r="J321" s="174" t="inlineStr">
        <is>
          <t>LIMS</t>
        </is>
      </c>
      <c r="K321" s="174" t="n"/>
      <c r="L321" s="174" t="inlineStr">
        <is>
          <t>数据</t>
        </is>
      </c>
      <c r="N321" s="165" t="inlineStr">
        <is>
          <t>Brand</t>
        </is>
      </c>
      <c r="O321" s="165" t="inlineStr">
        <is>
          <t>Packaging Line</t>
        </is>
      </c>
      <c r="P321" s="165" t="inlineStr">
        <is>
          <t>Size</t>
        </is>
      </c>
    </row>
    <row r="322" ht="25.5" customHeight="1" s="241">
      <c r="A322" s="217" t="n"/>
      <c r="B322" s="217" t="n"/>
      <c r="C322" s="61" t="inlineStr">
        <is>
          <t>CO2</t>
        </is>
      </c>
      <c r="D322" s="61" t="inlineStr">
        <is>
          <t>CO2</t>
        </is>
      </c>
      <c r="E322" s="69" t="inlineStr">
        <is>
          <t>g/L</t>
        </is>
      </c>
      <c r="F322" s="61" t="n"/>
      <c r="G322" s="61" t="n"/>
      <c r="H322" s="174" t="inlineStr">
        <is>
          <t>QA-10374</t>
        </is>
      </c>
      <c r="I322" s="175" t="inlineStr">
        <is>
          <t>CO2单值_灌酒机出口产品_灌酒_包装_听装线_灌酒机</t>
        </is>
      </c>
      <c r="J322" s="174" t="inlineStr">
        <is>
          <t>LIMS</t>
        </is>
      </c>
      <c r="K322" s="174" t="n"/>
      <c r="L322" s="174" t="inlineStr">
        <is>
          <t>数据</t>
        </is>
      </c>
      <c r="N322" s="165" t="inlineStr">
        <is>
          <t>Brand</t>
        </is>
      </c>
      <c r="O322" s="165" t="inlineStr">
        <is>
          <t>Packaging Line</t>
        </is>
      </c>
      <c r="P322" s="165" t="inlineStr">
        <is>
          <t>Size</t>
        </is>
      </c>
    </row>
    <row r="323">
      <c r="A323" s="217" t="n"/>
      <c r="B323" s="217" t="n"/>
      <c r="C323" s="61" t="inlineStr">
        <is>
          <t>CO2 AVE</t>
        </is>
      </c>
      <c r="D323" s="61" t="inlineStr">
        <is>
          <t>CO2平均值</t>
        </is>
      </c>
      <c r="E323" s="69" t="inlineStr">
        <is>
          <t>g/L</t>
        </is>
      </c>
      <c r="F323" s="61" t="n"/>
      <c r="G323" s="61" t="n"/>
      <c r="H323" s="174" t="n"/>
      <c r="I323" s="175" t="n"/>
      <c r="J323" s="174" t="inlineStr">
        <is>
          <t>LIMS</t>
        </is>
      </c>
      <c r="K323" s="174" t="n"/>
      <c r="L323" s="174" t="inlineStr">
        <is>
          <t>数据</t>
        </is>
      </c>
      <c r="N323" s="165" t="inlineStr">
        <is>
          <t>Brand</t>
        </is>
      </c>
      <c r="O323" s="165" t="inlineStr">
        <is>
          <t>Packaging Line</t>
        </is>
      </c>
      <c r="P323" s="165" t="inlineStr">
        <is>
          <t>Size</t>
        </is>
      </c>
    </row>
    <row r="324" ht="25.5" customHeight="1" s="241">
      <c r="A324" s="217" t="n"/>
      <c r="B324" s="217" t="n"/>
      <c r="C324" s="61" t="inlineStr">
        <is>
          <t>Filling Level</t>
        </is>
      </c>
      <c r="D324" s="61" t="inlineStr">
        <is>
          <t>容量</t>
        </is>
      </c>
      <c r="E324" s="69" t="inlineStr">
        <is>
          <t>ml</t>
        </is>
      </c>
      <c r="F324" s="61" t="n"/>
      <c r="G324" s="61" t="n"/>
      <c r="H324" s="174" t="inlineStr">
        <is>
          <t>QA-10379</t>
        </is>
      </c>
      <c r="I324" s="175" t="inlineStr">
        <is>
          <t>容量单值_灌酒机出口产品_灌酒_包装_听装线_灌酒机</t>
        </is>
      </c>
      <c r="J324" s="174" t="inlineStr">
        <is>
          <t>LIMS</t>
        </is>
      </c>
      <c r="K324" s="174" t="n"/>
      <c r="L324" s="174" t="inlineStr">
        <is>
          <t>数据</t>
        </is>
      </c>
      <c r="N324" s="165" t="inlineStr">
        <is>
          <t>Brand</t>
        </is>
      </c>
      <c r="O324" s="165" t="inlineStr">
        <is>
          <t>Packaging Line</t>
        </is>
      </c>
      <c r="P324" s="165" t="inlineStr">
        <is>
          <t>Size</t>
        </is>
      </c>
    </row>
    <row r="325" ht="25.5" customHeight="1" s="241">
      <c r="A325" s="217" t="n"/>
      <c r="B325" s="218" t="n"/>
      <c r="C325" s="61" t="inlineStr">
        <is>
          <t>Filling Level AVE</t>
        </is>
      </c>
      <c r="D325" s="61" t="inlineStr">
        <is>
          <t>容量平均值</t>
        </is>
      </c>
      <c r="E325" s="69" t="inlineStr">
        <is>
          <t>ml</t>
        </is>
      </c>
      <c r="F325" s="223" t="inlineStr">
        <is>
          <t>和标准容量之差，减掉标准</t>
        </is>
      </c>
      <c r="G325" s="61" t="n"/>
      <c r="H325" s="174" t="inlineStr">
        <is>
          <t>QA-10380</t>
        </is>
      </c>
      <c r="I325" s="175" t="inlineStr">
        <is>
          <t>容量平均值_灌酒机出口产品_灌酒_包装_听装线_灌酒机</t>
        </is>
      </c>
      <c r="J325" s="174" t="inlineStr">
        <is>
          <t>LIMS</t>
        </is>
      </c>
      <c r="K325" s="174" t="inlineStr">
        <is>
          <t>Y</t>
        </is>
      </c>
      <c r="L325" s="174" t="inlineStr">
        <is>
          <t>数据</t>
        </is>
      </c>
      <c r="N325" s="165" t="inlineStr">
        <is>
          <t>Brand</t>
        </is>
      </c>
      <c r="O325" s="165" t="inlineStr">
        <is>
          <t>Packaging Line</t>
        </is>
      </c>
      <c r="P325" s="165" t="inlineStr">
        <is>
          <t>Size</t>
        </is>
      </c>
    </row>
    <row r="326">
      <c r="A326" s="217" t="n"/>
      <c r="B326" s="222" t="inlineStr">
        <is>
          <t>PU</t>
        </is>
      </c>
      <c r="C326" s="61" t="inlineStr">
        <is>
          <t>PU</t>
        </is>
      </c>
      <c r="D326" s="61" t="inlineStr">
        <is>
          <t>PU值</t>
        </is>
      </c>
      <c r="E326" s="69" t="n"/>
      <c r="F326" s="61" t="n"/>
      <c r="G326" s="61" t="n"/>
      <c r="H326" s="174" t="n"/>
      <c r="I326" s="175" t="n"/>
      <c r="J326" s="174" t="inlineStr">
        <is>
          <t>LIMS</t>
        </is>
      </c>
      <c r="K326" s="174" t="inlineStr">
        <is>
          <t>Y</t>
        </is>
      </c>
      <c r="L326" s="174" t="inlineStr">
        <is>
          <t>数据</t>
        </is>
      </c>
      <c r="N326" s="165" t="inlineStr">
        <is>
          <t>Brand</t>
        </is>
      </c>
      <c r="O326" s="165" t="inlineStr">
        <is>
          <t>Packaging Line</t>
        </is>
      </c>
      <c r="P326" s="165" t="inlineStr">
        <is>
          <t>Size</t>
        </is>
      </c>
    </row>
    <row r="327">
      <c r="A327" s="217" t="n"/>
      <c r="B327" s="217" t="n"/>
      <c r="C327" s="61" t="inlineStr">
        <is>
          <t>Pasteurization Time</t>
        </is>
      </c>
      <c r="D327" s="61" t="inlineStr">
        <is>
          <t>杀菌时间</t>
        </is>
      </c>
      <c r="E327" s="70" t="inlineStr">
        <is>
          <t>min</t>
        </is>
      </c>
      <c r="F327" s="61" t="n"/>
      <c r="G327" s="61" t="n"/>
      <c r="H327" s="174" t="n"/>
      <c r="I327" s="175" t="n"/>
      <c r="J327" s="174" t="inlineStr">
        <is>
          <t>LIMS</t>
        </is>
      </c>
      <c r="K327" s="174" t="n"/>
      <c r="L327" s="174" t="inlineStr">
        <is>
          <t>整数</t>
        </is>
      </c>
      <c r="N327" s="165" t="inlineStr">
        <is>
          <t>Brand</t>
        </is>
      </c>
      <c r="O327" s="165" t="inlineStr">
        <is>
          <t>Packaging Line</t>
        </is>
      </c>
      <c r="P327" s="165" t="inlineStr">
        <is>
          <t>Size</t>
        </is>
      </c>
    </row>
    <row r="328">
      <c r="A328" s="217" t="n"/>
      <c r="B328" s="217" t="n"/>
      <c r="C328" s="61" t="inlineStr">
        <is>
          <t>Highest Beer Temp</t>
        </is>
      </c>
      <c r="D328" s="61" t="inlineStr">
        <is>
          <t>最高酒温</t>
        </is>
      </c>
      <c r="E328" s="69" t="inlineStr">
        <is>
          <t>°C</t>
        </is>
      </c>
      <c r="F328" s="61" t="n"/>
      <c r="G328" s="61" t="n"/>
      <c r="H328" s="174" t="n"/>
      <c r="I328" s="175" t="n"/>
      <c r="J328" s="174" t="inlineStr">
        <is>
          <t>LIMS</t>
        </is>
      </c>
      <c r="K328" s="174" t="n"/>
      <c r="L328" s="174" t="inlineStr">
        <is>
          <t>数据</t>
        </is>
      </c>
      <c r="N328" s="165" t="inlineStr">
        <is>
          <t>Brand</t>
        </is>
      </c>
      <c r="O328" s="165" t="inlineStr">
        <is>
          <t>Packaging Line</t>
        </is>
      </c>
      <c r="P328" s="165" t="inlineStr">
        <is>
          <t>Size</t>
        </is>
      </c>
    </row>
    <row r="329">
      <c r="A329" s="217" t="n"/>
      <c r="B329" s="217" t="n"/>
      <c r="C329" s="61" t="inlineStr">
        <is>
          <t>Highest Water Temp</t>
        </is>
      </c>
      <c r="D329" s="61" t="inlineStr">
        <is>
          <t>最高水温</t>
        </is>
      </c>
      <c r="E329" s="69" t="inlineStr">
        <is>
          <t>°C</t>
        </is>
      </c>
      <c r="F329" s="61" t="n"/>
      <c r="G329" s="61" t="n"/>
      <c r="H329" s="174" t="n"/>
      <c r="I329" s="175" t="n"/>
      <c r="J329" s="174" t="inlineStr">
        <is>
          <t>LIMS</t>
        </is>
      </c>
      <c r="K329" s="174" t="n"/>
      <c r="L329" s="174" t="inlineStr">
        <is>
          <t>数据</t>
        </is>
      </c>
      <c r="N329" s="165" t="inlineStr">
        <is>
          <t>Brand</t>
        </is>
      </c>
      <c r="O329" s="165" t="inlineStr">
        <is>
          <t>Packaging Line</t>
        </is>
      </c>
      <c r="P329" s="165" t="inlineStr">
        <is>
          <t>Size</t>
        </is>
      </c>
    </row>
    <row r="330">
      <c r="A330" s="217" t="n"/>
      <c r="B330" s="217" t="n"/>
      <c r="C330" s="61" t="inlineStr">
        <is>
          <t>BOT</t>
        </is>
      </c>
      <c r="D330" s="61" t="inlineStr">
        <is>
          <t>出口酒温</t>
        </is>
      </c>
      <c r="E330" s="69" t="inlineStr">
        <is>
          <t>°C</t>
        </is>
      </c>
      <c r="F330" s="61" t="n"/>
      <c r="G330" s="61" t="n"/>
      <c r="H330" s="174" t="n"/>
      <c r="I330" s="175" t="n"/>
      <c r="J330" s="174" t="inlineStr">
        <is>
          <t>LIMS</t>
        </is>
      </c>
      <c r="K330" s="174" t="inlineStr">
        <is>
          <t>Y</t>
        </is>
      </c>
      <c r="L330" s="174" t="inlineStr">
        <is>
          <t>数据</t>
        </is>
      </c>
      <c r="N330" s="165" t="inlineStr">
        <is>
          <t>Brand</t>
        </is>
      </c>
      <c r="O330" s="165" t="inlineStr">
        <is>
          <t>Packaging Line</t>
        </is>
      </c>
      <c r="P330" s="165" t="inlineStr">
        <is>
          <t>Size</t>
        </is>
      </c>
    </row>
    <row r="331">
      <c r="A331" s="217" t="n"/>
      <c r="B331" s="218" t="n"/>
      <c r="C331" s="61" t="inlineStr">
        <is>
          <t>Cold Core Temp</t>
        </is>
      </c>
      <c r="D331" s="61" t="inlineStr">
        <is>
          <t>冷核温度</t>
        </is>
      </c>
      <c r="E331" s="69" t="inlineStr">
        <is>
          <t>°C</t>
        </is>
      </c>
      <c r="F331" s="61" t="n"/>
      <c r="G331" s="61" t="n"/>
      <c r="H331" s="174" t="n"/>
      <c r="I331" s="175" t="n"/>
      <c r="J331" s="174" t="inlineStr">
        <is>
          <t>LIMS</t>
        </is>
      </c>
      <c r="K331" s="174" t="n"/>
      <c r="L331" s="174" t="inlineStr">
        <is>
          <t>数据</t>
        </is>
      </c>
      <c r="N331" s="165" t="inlineStr">
        <is>
          <t>Brand</t>
        </is>
      </c>
      <c r="O331" s="165" t="inlineStr">
        <is>
          <t>Packaging Line</t>
        </is>
      </c>
      <c r="P331" s="165" t="inlineStr">
        <is>
          <t>Size</t>
        </is>
      </c>
    </row>
    <row r="332">
      <c r="A332" s="217" t="n"/>
      <c r="B332" s="222" t="inlineStr">
        <is>
          <t>Bottle Washer</t>
        </is>
      </c>
      <c r="C332" s="61" t="inlineStr">
        <is>
          <t>Caustic % in Line</t>
        </is>
      </c>
      <c r="D332" s="61" t="inlineStr">
        <is>
          <t>在线碱浓</t>
        </is>
      </c>
      <c r="E332" s="70" t="inlineStr">
        <is>
          <t>%</t>
        </is>
      </c>
      <c r="F332" s="61" t="n"/>
      <c r="G332" s="61" t="n"/>
      <c r="H332" s="61" t="n"/>
      <c r="I332" s="182" t="n"/>
      <c r="J332" s="174" t="inlineStr">
        <is>
          <t>LIMS</t>
        </is>
      </c>
      <c r="K332" s="174" t="n"/>
      <c r="L332" s="174" t="inlineStr">
        <is>
          <t>数据</t>
        </is>
      </c>
      <c r="N332" s="165" t="inlineStr">
        <is>
          <t>Packaging Line</t>
        </is>
      </c>
      <c r="O332" s="165" t="inlineStr">
        <is>
          <t>Bottle Resource</t>
        </is>
      </c>
      <c r="P332" s="165" t="inlineStr">
        <is>
          <t>Caustic Vessel No.</t>
        </is>
      </c>
    </row>
    <row r="333">
      <c r="A333" s="217" t="n"/>
      <c r="B333" s="217" t="n"/>
      <c r="C333" s="61" t="inlineStr">
        <is>
          <t>Total Caustic %</t>
        </is>
      </c>
      <c r="D333" s="61" t="inlineStr">
        <is>
          <t>总碱浓</t>
        </is>
      </c>
      <c r="E333" s="70" t="inlineStr">
        <is>
          <t>%</t>
        </is>
      </c>
      <c r="F333" s="61" t="n"/>
      <c r="G333" s="61" t="n"/>
      <c r="H333" s="61" t="n"/>
      <c r="I333" s="182" t="n"/>
      <c r="J333" s="174" t="inlineStr">
        <is>
          <t>LIMS</t>
        </is>
      </c>
      <c r="K333" s="174" t="n"/>
      <c r="L333" s="174" t="inlineStr">
        <is>
          <t>数据</t>
        </is>
      </c>
      <c r="N333" s="165" t="inlineStr">
        <is>
          <t>Packaging Line</t>
        </is>
      </c>
      <c r="O333" s="165" t="inlineStr">
        <is>
          <t>Bottle Resource</t>
        </is>
      </c>
      <c r="P333" s="165" t="inlineStr">
        <is>
          <t>Caustic Vessel No.</t>
        </is>
      </c>
    </row>
    <row r="334">
      <c r="A334" s="218" t="n"/>
      <c r="B334" s="218" t="n"/>
      <c r="C334" s="61" t="inlineStr">
        <is>
          <t>Effective Caustic %</t>
        </is>
      </c>
      <c r="D334" s="61" t="inlineStr">
        <is>
          <t>有效碱浓</t>
        </is>
      </c>
      <c r="E334" s="70" t="inlineStr">
        <is>
          <t>%</t>
        </is>
      </c>
      <c r="F334" s="61" t="n"/>
      <c r="G334" s="61" t="n"/>
      <c r="H334" s="61" t="n"/>
      <c r="I334" s="182" t="n"/>
      <c r="J334" s="174" t="inlineStr">
        <is>
          <t>LIMS</t>
        </is>
      </c>
      <c r="K334" s="174" t="inlineStr">
        <is>
          <t>Y</t>
        </is>
      </c>
      <c r="L334" s="174" t="inlineStr">
        <is>
          <t>数据</t>
        </is>
      </c>
      <c r="N334" s="165" t="inlineStr">
        <is>
          <t>Packaging Line</t>
        </is>
      </c>
      <c r="O334" s="165" t="inlineStr">
        <is>
          <t>Bottle Resource</t>
        </is>
      </c>
      <c r="P334" s="165" t="inlineStr">
        <is>
          <t>Caustic Vessel No.</t>
        </is>
      </c>
    </row>
    <row r="335">
      <c r="A335" s="222" t="inlineStr">
        <is>
          <t>Finish Beer</t>
        </is>
      </c>
      <c r="B335" s="222" t="inlineStr">
        <is>
          <t>Finish Beer</t>
        </is>
      </c>
      <c r="C335" s="61" t="inlineStr">
        <is>
          <t>OE</t>
        </is>
      </c>
      <c r="D335" s="61" t="inlineStr">
        <is>
          <t>原浓</t>
        </is>
      </c>
      <c r="E335" s="70" t="inlineStr">
        <is>
          <t>Plato</t>
        </is>
      </c>
      <c r="F335" s="61" t="n"/>
      <c r="G335" s="61" t="n"/>
      <c r="H335" s="61" t="n"/>
      <c r="I335" s="175" t="n"/>
      <c r="J335" s="174" t="inlineStr">
        <is>
          <t>LIMS</t>
        </is>
      </c>
      <c r="K335" s="174" t="inlineStr">
        <is>
          <t>Y</t>
        </is>
      </c>
      <c r="L335" s="174" t="inlineStr">
        <is>
          <t>数据</t>
        </is>
      </c>
      <c r="N335" s="165" t="inlineStr">
        <is>
          <t>Brand</t>
        </is>
      </c>
      <c r="O335" s="165" t="inlineStr">
        <is>
          <t>OG</t>
        </is>
      </c>
    </row>
    <row r="336">
      <c r="A336" s="217" t="n"/>
      <c r="B336" s="217" t="n"/>
      <c r="C336" s="61" t="inlineStr">
        <is>
          <t>AE</t>
        </is>
      </c>
      <c r="D336" s="61" t="inlineStr">
        <is>
          <t>外观糖度</t>
        </is>
      </c>
      <c r="E336" s="70" t="inlineStr">
        <is>
          <t>Plato</t>
        </is>
      </c>
      <c r="F336" s="61" t="n"/>
      <c r="G336" s="60" t="inlineStr">
        <is>
          <t>Apparent extract</t>
        </is>
      </c>
      <c r="H336" s="60" t="n"/>
      <c r="I336" s="175" t="n"/>
      <c r="J336" s="174" t="inlineStr">
        <is>
          <t>LIMS</t>
        </is>
      </c>
      <c r="K336" s="174" t="n"/>
      <c r="L336" s="174" t="inlineStr">
        <is>
          <t>数据</t>
        </is>
      </c>
      <c r="N336" s="165" t="inlineStr">
        <is>
          <t>Brand</t>
        </is>
      </c>
      <c r="O336" s="165" t="inlineStr">
        <is>
          <t>OG</t>
        </is>
      </c>
    </row>
    <row r="337">
      <c r="A337" s="217" t="n"/>
      <c r="B337" s="217" t="n"/>
      <c r="C337" s="61" t="inlineStr">
        <is>
          <t>RDF</t>
        </is>
      </c>
      <c r="D337" s="61" t="inlineStr">
        <is>
          <t>发酵度</t>
        </is>
      </c>
      <c r="E337" s="69" t="inlineStr">
        <is>
          <t>%</t>
        </is>
      </c>
      <c r="F337" s="61" t="n"/>
      <c r="G337" s="60" t="inlineStr">
        <is>
          <t>RDF</t>
        </is>
      </c>
      <c r="H337" s="60" t="n"/>
      <c r="I337" s="175" t="n"/>
      <c r="J337" s="174" t="inlineStr">
        <is>
          <t>LIMS</t>
        </is>
      </c>
      <c r="K337" s="174" t="n"/>
      <c r="L337" s="174" t="inlineStr">
        <is>
          <t>数据</t>
        </is>
      </c>
      <c r="N337" s="165" t="inlineStr">
        <is>
          <t>Brand</t>
        </is>
      </c>
      <c r="O337" s="165" t="inlineStr">
        <is>
          <t>OG</t>
        </is>
      </c>
    </row>
    <row r="338">
      <c r="A338" s="217" t="n"/>
      <c r="B338" s="217" t="n"/>
      <c r="C338" s="61" t="inlineStr">
        <is>
          <t>ABV</t>
        </is>
      </c>
      <c r="D338" s="61" t="inlineStr">
        <is>
          <t>酒精度</t>
        </is>
      </c>
      <c r="E338" s="69" t="inlineStr">
        <is>
          <t>%</t>
        </is>
      </c>
      <c r="F338" s="61" t="n"/>
      <c r="G338" s="61" t="n"/>
      <c r="H338" s="61" t="n"/>
      <c r="I338" s="175" t="n"/>
      <c r="J338" s="174" t="inlineStr">
        <is>
          <t>LIMS</t>
        </is>
      </c>
      <c r="K338" s="174" t="n"/>
      <c r="L338" s="174" t="inlineStr">
        <is>
          <t>数据</t>
        </is>
      </c>
      <c r="N338" s="165" t="inlineStr">
        <is>
          <t>Brand</t>
        </is>
      </c>
      <c r="O338" s="165" t="inlineStr">
        <is>
          <t>OG</t>
        </is>
      </c>
    </row>
    <row r="339">
      <c r="A339" s="217" t="n"/>
      <c r="B339" s="217" t="n"/>
      <c r="C339" s="61" t="inlineStr">
        <is>
          <t>Color</t>
        </is>
      </c>
      <c r="D339" s="61" t="inlineStr">
        <is>
          <t>色度</t>
        </is>
      </c>
      <c r="E339" s="69" t="inlineStr">
        <is>
          <t>EBC</t>
        </is>
      </c>
      <c r="F339" s="61" t="n"/>
      <c r="G339" s="60" t="inlineStr">
        <is>
          <t>Color</t>
        </is>
      </c>
      <c r="H339" s="60" t="n"/>
      <c r="I339" s="175" t="n"/>
      <c r="J339" s="174" t="inlineStr">
        <is>
          <t>LIMS</t>
        </is>
      </c>
      <c r="K339" s="174" t="n"/>
      <c r="L339" s="174" t="inlineStr">
        <is>
          <t>数据</t>
        </is>
      </c>
      <c r="N339" s="165" t="inlineStr">
        <is>
          <t>Brand</t>
        </is>
      </c>
      <c r="O339" s="165" t="inlineStr">
        <is>
          <t>OG</t>
        </is>
      </c>
    </row>
    <row r="340">
      <c r="A340" s="217" t="n"/>
      <c r="B340" s="217" t="n"/>
      <c r="C340" s="61" t="inlineStr">
        <is>
          <t>Color-L</t>
        </is>
      </c>
      <c r="D340" s="61" t="inlineStr">
        <is>
          <t>色度L</t>
        </is>
      </c>
      <c r="E340" s="69" t="inlineStr">
        <is>
          <t>EBC</t>
        </is>
      </c>
      <c r="F340" s="61" t="n"/>
      <c r="G340" s="61" t="n"/>
      <c r="H340" s="61" t="n"/>
      <c r="I340" s="175" t="n"/>
      <c r="J340" s="174" t="inlineStr">
        <is>
          <t>LIMS</t>
        </is>
      </c>
      <c r="K340" s="174" t="n"/>
      <c r="L340" s="174" t="inlineStr">
        <is>
          <t>数据</t>
        </is>
      </c>
      <c r="N340" s="165" t="inlineStr">
        <is>
          <t>Brand</t>
        </is>
      </c>
      <c r="O340" s="165" t="inlineStr">
        <is>
          <t>OG</t>
        </is>
      </c>
    </row>
    <row r="341">
      <c r="A341" s="217" t="n"/>
      <c r="B341" s="217" t="n"/>
      <c r="C341" s="61" t="inlineStr">
        <is>
          <t>Color-A</t>
        </is>
      </c>
      <c r="D341" s="61" t="inlineStr">
        <is>
          <t>色度A</t>
        </is>
      </c>
      <c r="E341" s="69" t="inlineStr">
        <is>
          <t>EBC</t>
        </is>
      </c>
      <c r="F341" s="61" t="n"/>
      <c r="G341" s="61" t="n"/>
      <c r="H341" s="61" t="n"/>
      <c r="I341" s="175" t="n"/>
      <c r="J341" s="174" t="inlineStr">
        <is>
          <t>LIMS</t>
        </is>
      </c>
      <c r="K341" s="174" t="n"/>
      <c r="L341" s="174" t="inlineStr">
        <is>
          <t>数据</t>
        </is>
      </c>
      <c r="N341" s="165" t="inlineStr">
        <is>
          <t>Brand</t>
        </is>
      </c>
      <c r="O341" s="165" t="inlineStr">
        <is>
          <t>OG</t>
        </is>
      </c>
    </row>
    <row r="342">
      <c r="A342" s="217" t="n"/>
      <c r="B342" s="217" t="n"/>
      <c r="C342" s="61" t="inlineStr">
        <is>
          <t>Color-B</t>
        </is>
      </c>
      <c r="D342" s="61" t="inlineStr">
        <is>
          <t>色度B</t>
        </is>
      </c>
      <c r="E342" s="69" t="inlineStr">
        <is>
          <t>EBC</t>
        </is>
      </c>
      <c r="F342" s="61" t="n"/>
      <c r="G342" s="61" t="n"/>
      <c r="H342" s="61" t="n"/>
      <c r="I342" s="175" t="n"/>
      <c r="J342" s="174" t="inlineStr">
        <is>
          <t>LIMS</t>
        </is>
      </c>
      <c r="K342" s="174" t="n"/>
      <c r="L342" s="174" t="inlineStr">
        <is>
          <t>数据</t>
        </is>
      </c>
      <c r="N342" s="165" t="inlineStr">
        <is>
          <t>Brand</t>
        </is>
      </c>
      <c r="O342" s="165" t="inlineStr">
        <is>
          <t>OG</t>
        </is>
      </c>
    </row>
    <row r="343">
      <c r="A343" s="217" t="n"/>
      <c r="B343" s="217" t="n"/>
      <c r="C343" s="61" t="inlineStr">
        <is>
          <t>pH</t>
        </is>
      </c>
      <c r="D343" s="61" t="inlineStr">
        <is>
          <t>pH</t>
        </is>
      </c>
      <c r="E343" s="69" t="n"/>
      <c r="F343" s="61" t="n"/>
      <c r="G343" s="61" t="n"/>
      <c r="H343" s="61" t="n"/>
      <c r="I343" s="175" t="n"/>
      <c r="J343" s="174" t="inlineStr">
        <is>
          <t>LIMS</t>
        </is>
      </c>
      <c r="K343" s="174" t="n"/>
      <c r="L343" s="174" t="inlineStr">
        <is>
          <t>数据</t>
        </is>
      </c>
      <c r="N343" s="165" t="inlineStr">
        <is>
          <t>Brand</t>
        </is>
      </c>
      <c r="O343" s="165" t="inlineStr">
        <is>
          <t>OG</t>
        </is>
      </c>
    </row>
    <row r="344">
      <c r="A344" s="217" t="n"/>
      <c r="B344" s="217" t="n"/>
      <c r="C344" s="61" t="inlineStr">
        <is>
          <t>Bitterness</t>
        </is>
      </c>
      <c r="D344" s="61" t="inlineStr">
        <is>
          <t>苦味质</t>
        </is>
      </c>
      <c r="E344" s="69" t="inlineStr">
        <is>
          <t>ppm</t>
        </is>
      </c>
      <c r="F344" s="61" t="n"/>
      <c r="G344" s="60" t="inlineStr">
        <is>
          <t>Bitterness</t>
        </is>
      </c>
      <c r="H344" s="60" t="n"/>
      <c r="I344" s="175" t="n"/>
      <c r="J344" s="174" t="inlineStr">
        <is>
          <t>LIMS</t>
        </is>
      </c>
      <c r="K344" s="174" t="n"/>
      <c r="L344" s="174" t="inlineStr">
        <is>
          <t>数据</t>
        </is>
      </c>
      <c r="N344" s="165" t="inlineStr">
        <is>
          <t>Brand</t>
        </is>
      </c>
      <c r="O344" s="165" t="inlineStr">
        <is>
          <t>OG</t>
        </is>
      </c>
    </row>
    <row r="345">
      <c r="A345" s="217" t="n"/>
      <c r="B345" s="217" t="n"/>
      <c r="C345" s="61" t="inlineStr">
        <is>
          <t>Foam</t>
        </is>
      </c>
      <c r="D345" s="61" t="inlineStr">
        <is>
          <t>泡持</t>
        </is>
      </c>
      <c r="E345" s="70" t="inlineStr">
        <is>
          <t>sec</t>
        </is>
      </c>
      <c r="F345" s="61" t="n"/>
      <c r="G345" s="60" t="inlineStr">
        <is>
          <t>Foam stability</t>
        </is>
      </c>
      <c r="H345" s="60" t="n"/>
      <c r="I345" s="175" t="n"/>
      <c r="J345" s="174" t="inlineStr">
        <is>
          <t>LIMS</t>
        </is>
      </c>
      <c r="K345" s="174" t="inlineStr">
        <is>
          <t>Y</t>
        </is>
      </c>
      <c r="L345" s="174" t="inlineStr">
        <is>
          <t>整数</t>
        </is>
      </c>
      <c r="N345" s="165" t="inlineStr">
        <is>
          <t>Brand</t>
        </is>
      </c>
      <c r="O345" s="165" t="inlineStr">
        <is>
          <t>OG</t>
        </is>
      </c>
    </row>
    <row r="346">
      <c r="A346" s="217" t="n"/>
      <c r="B346" s="217" t="n"/>
      <c r="C346" s="61" t="inlineStr">
        <is>
          <t>CO2</t>
        </is>
      </c>
      <c r="D346" s="61" t="inlineStr">
        <is>
          <t>CO2</t>
        </is>
      </c>
      <c r="E346" s="69" t="inlineStr">
        <is>
          <t>g/L</t>
        </is>
      </c>
      <c r="F346" s="61" t="n"/>
      <c r="G346" s="60" t="inlineStr">
        <is>
          <t>CO2 Content</t>
        </is>
      </c>
      <c r="H346" s="60" t="n"/>
      <c r="I346" s="175" t="n"/>
      <c r="J346" s="174" t="inlineStr">
        <is>
          <t>LIMS</t>
        </is>
      </c>
      <c r="K346" s="174" t="inlineStr">
        <is>
          <t>Y</t>
        </is>
      </c>
      <c r="L346" s="174" t="inlineStr">
        <is>
          <t>数据</t>
        </is>
      </c>
      <c r="N346" s="165" t="inlineStr">
        <is>
          <t>Brand</t>
        </is>
      </c>
      <c r="O346" s="165" t="inlineStr">
        <is>
          <t>OG</t>
        </is>
      </c>
    </row>
    <row r="347">
      <c r="A347" s="217" t="n"/>
      <c r="B347" s="217" t="n"/>
      <c r="C347" s="61" t="inlineStr">
        <is>
          <t>Haze @ 90°</t>
        </is>
      </c>
      <c r="D347" s="61" t="inlineStr">
        <is>
          <t>浊度 @ 90°</t>
        </is>
      </c>
      <c r="E347" s="69" t="inlineStr">
        <is>
          <t>EBC</t>
        </is>
      </c>
      <c r="F347" s="61" t="n"/>
      <c r="G347" s="60" t="inlineStr">
        <is>
          <t>Haze @ 90°</t>
        </is>
      </c>
      <c r="H347" s="60" t="n"/>
      <c r="I347" s="175" t="n"/>
      <c r="J347" s="174" t="inlineStr">
        <is>
          <t>LIMS</t>
        </is>
      </c>
      <c r="K347" s="174" t="n"/>
      <c r="L347" s="174" t="inlineStr">
        <is>
          <t>数据</t>
        </is>
      </c>
      <c r="N347" s="165" t="inlineStr">
        <is>
          <t>Brand</t>
        </is>
      </c>
      <c r="O347" s="165" t="inlineStr">
        <is>
          <t>OG</t>
        </is>
      </c>
    </row>
    <row r="348" ht="25.5" customHeight="1" s="241">
      <c r="A348" s="217" t="n"/>
      <c r="B348" s="217" t="n"/>
      <c r="C348" s="61" t="inlineStr">
        <is>
          <t>Forcing Test</t>
        </is>
      </c>
      <c r="D348" s="61" t="inlineStr">
        <is>
          <t>强化浊度</t>
        </is>
      </c>
      <c r="E348" s="69" t="inlineStr">
        <is>
          <t>EBC</t>
        </is>
      </c>
      <c r="F348" s="61" t="n"/>
      <c r="G348" s="60" t="inlineStr">
        <is>
          <t>Haze Forcing Test</t>
        </is>
      </c>
      <c r="H348" s="60" t="n"/>
      <c r="I348" s="175" t="n"/>
      <c r="J348" s="174" t="inlineStr">
        <is>
          <t>LIMS</t>
        </is>
      </c>
      <c r="K348" s="174" t="inlineStr">
        <is>
          <t>Y</t>
        </is>
      </c>
      <c r="L348" s="174" t="inlineStr">
        <is>
          <t>数据</t>
        </is>
      </c>
      <c r="N348" s="165" t="inlineStr">
        <is>
          <t>Brand</t>
        </is>
      </c>
      <c r="O348" s="165" t="inlineStr">
        <is>
          <t>OG</t>
        </is>
      </c>
    </row>
    <row r="349">
      <c r="A349" s="217" t="n"/>
      <c r="B349" s="217" t="n"/>
      <c r="C349" s="61" t="inlineStr">
        <is>
          <t>Iron</t>
        </is>
      </c>
      <c r="D349" s="61" t="inlineStr">
        <is>
          <t>铁</t>
        </is>
      </c>
      <c r="E349" s="70" t="inlineStr">
        <is>
          <t>ppm</t>
        </is>
      </c>
      <c r="F349" s="61" t="n"/>
      <c r="G349" s="60" t="inlineStr">
        <is>
          <t>Iron</t>
        </is>
      </c>
      <c r="H349" s="60" t="n"/>
      <c r="I349" s="175" t="n"/>
      <c r="J349" s="174" t="inlineStr">
        <is>
          <t>LIMS</t>
        </is>
      </c>
      <c r="K349" s="174" t="n"/>
      <c r="L349" s="174" t="inlineStr">
        <is>
          <t>数据</t>
        </is>
      </c>
      <c r="N349" s="165" t="inlineStr">
        <is>
          <t>Brand</t>
        </is>
      </c>
      <c r="O349" s="165" t="inlineStr">
        <is>
          <t>OG</t>
        </is>
      </c>
    </row>
    <row r="350">
      <c r="A350" s="217" t="n"/>
      <c r="B350" s="217" t="n"/>
      <c r="C350" s="61" t="inlineStr">
        <is>
          <t>SO2</t>
        </is>
      </c>
      <c r="D350" s="61" t="inlineStr">
        <is>
          <t>SO2</t>
        </is>
      </c>
      <c r="E350" s="69" t="inlineStr">
        <is>
          <t>ppm</t>
        </is>
      </c>
      <c r="F350" s="61" t="n"/>
      <c r="G350" s="60" t="inlineStr">
        <is>
          <t>SO2</t>
        </is>
      </c>
      <c r="H350" s="60" t="n"/>
      <c r="I350" s="175" t="n"/>
      <c r="J350" s="174" t="inlineStr">
        <is>
          <t>LIMS</t>
        </is>
      </c>
      <c r="K350" s="174" t="inlineStr">
        <is>
          <t>Y</t>
        </is>
      </c>
      <c r="L350" s="174" t="inlineStr">
        <is>
          <t>数据</t>
        </is>
      </c>
      <c r="N350" s="165" t="inlineStr">
        <is>
          <t>Brand</t>
        </is>
      </c>
      <c r="O350" s="165" t="inlineStr">
        <is>
          <t>OG</t>
        </is>
      </c>
    </row>
    <row r="351">
      <c r="A351" s="217" t="n"/>
      <c r="B351" s="217" t="n"/>
      <c r="C351" s="61" t="inlineStr">
        <is>
          <t>SO2 loss</t>
        </is>
      </c>
      <c r="D351" s="61" t="inlineStr">
        <is>
          <t>SO2损失</t>
        </is>
      </c>
      <c r="E351" s="69" t="inlineStr">
        <is>
          <t>ppm</t>
        </is>
      </c>
      <c r="F351" s="61" t="n"/>
      <c r="G351" s="61" t="n"/>
      <c r="H351" s="61" t="n"/>
      <c r="I351" s="175" t="n"/>
      <c r="J351" s="174" t="inlineStr">
        <is>
          <t>LIMS</t>
        </is>
      </c>
      <c r="K351" s="174" t="inlineStr">
        <is>
          <t>Y</t>
        </is>
      </c>
      <c r="L351" s="174" t="inlineStr">
        <is>
          <t>数据</t>
        </is>
      </c>
      <c r="N351" s="165" t="inlineStr">
        <is>
          <t>Brand</t>
        </is>
      </c>
      <c r="O351" s="165" t="inlineStr">
        <is>
          <t>OG</t>
        </is>
      </c>
    </row>
    <row r="352">
      <c r="A352" s="217" t="n"/>
      <c r="B352" s="217" t="n"/>
      <c r="C352" s="61" t="inlineStr">
        <is>
          <t>Diacetyl</t>
        </is>
      </c>
      <c r="D352" s="61" t="inlineStr">
        <is>
          <t>双乙酰</t>
        </is>
      </c>
      <c r="E352" s="69" t="inlineStr">
        <is>
          <t>ppb</t>
        </is>
      </c>
      <c r="F352" s="61" t="n"/>
      <c r="G352" s="60" t="inlineStr">
        <is>
          <t>Total Diacetyl</t>
        </is>
      </c>
      <c r="H352" s="60" t="n"/>
      <c r="I352" s="175" t="n"/>
      <c r="J352" s="174" t="inlineStr">
        <is>
          <t>LIMS</t>
        </is>
      </c>
      <c r="K352" s="174" t="inlineStr">
        <is>
          <t>Y</t>
        </is>
      </c>
      <c r="L352" s="174" t="inlineStr">
        <is>
          <t>数据</t>
        </is>
      </c>
      <c r="N352" s="165" t="inlineStr">
        <is>
          <t>Brand</t>
        </is>
      </c>
      <c r="O352" s="165" t="inlineStr">
        <is>
          <t>OG</t>
        </is>
      </c>
    </row>
    <row r="353">
      <c r="A353" s="217" t="n"/>
      <c r="B353" s="217" t="n"/>
      <c r="C353" s="61" t="inlineStr">
        <is>
          <t>Acetaldehyde</t>
        </is>
      </c>
      <c r="D353" s="61" t="inlineStr">
        <is>
          <t>乙醛</t>
        </is>
      </c>
      <c r="E353" s="69" t="inlineStr">
        <is>
          <t>ppm</t>
        </is>
      </c>
      <c r="F353" s="61" t="n"/>
      <c r="G353" s="60" t="inlineStr">
        <is>
          <t>Acetaldehyde</t>
        </is>
      </c>
      <c r="H353" s="60" t="n"/>
      <c r="I353" s="175" t="n"/>
      <c r="J353" s="174" t="inlineStr">
        <is>
          <t>LIMS</t>
        </is>
      </c>
      <c r="K353" s="174" t="inlineStr">
        <is>
          <t>Y</t>
        </is>
      </c>
      <c r="L353" s="174" t="inlineStr">
        <is>
          <t>数据</t>
        </is>
      </c>
      <c r="N353" s="165" t="inlineStr">
        <is>
          <t>Brand</t>
        </is>
      </c>
      <c r="O353" s="165" t="inlineStr">
        <is>
          <t>OG</t>
        </is>
      </c>
    </row>
    <row r="354">
      <c r="A354" s="217" t="n"/>
      <c r="B354" s="217" t="n"/>
      <c r="C354" s="61" t="inlineStr">
        <is>
          <t>Calcium</t>
        </is>
      </c>
      <c r="D354" s="61" t="inlineStr">
        <is>
          <t>钙</t>
        </is>
      </c>
      <c r="E354" s="69" t="inlineStr">
        <is>
          <t>ppm</t>
        </is>
      </c>
      <c r="F354" s="61" t="n"/>
      <c r="G354" s="60" t="inlineStr">
        <is>
          <t>Calcium</t>
        </is>
      </c>
      <c r="H354" s="60" t="n"/>
      <c r="I354" s="175" t="n"/>
      <c r="J354" s="174" t="inlineStr">
        <is>
          <t>LIMS</t>
        </is>
      </c>
      <c r="K354" s="174" t="n"/>
      <c r="L354" s="174" t="inlineStr">
        <is>
          <t>数据</t>
        </is>
      </c>
      <c r="N354" s="165" t="inlineStr">
        <is>
          <t>Brand</t>
        </is>
      </c>
      <c r="O354" s="165" t="inlineStr">
        <is>
          <t>OG</t>
        </is>
      </c>
    </row>
    <row r="355">
      <c r="A355" s="217" t="n"/>
      <c r="B355" s="217" t="n"/>
      <c r="C355" s="61" t="inlineStr">
        <is>
          <t>Protein</t>
        </is>
      </c>
      <c r="D355" s="61" t="inlineStr">
        <is>
          <t>蛋白</t>
        </is>
      </c>
      <c r="E355" s="69" t="inlineStr">
        <is>
          <t>%</t>
        </is>
      </c>
      <c r="F355" s="61" t="n"/>
      <c r="G355" s="60" t="inlineStr">
        <is>
          <t>Protein</t>
        </is>
      </c>
      <c r="H355" s="60" t="n"/>
      <c r="I355" s="175" t="n"/>
      <c r="J355" s="174" t="inlineStr">
        <is>
          <t>LIMS</t>
        </is>
      </c>
      <c r="K355" s="174" t="n"/>
      <c r="L355" s="174" t="inlineStr">
        <is>
          <t>数据</t>
        </is>
      </c>
      <c r="N355" s="165" t="inlineStr">
        <is>
          <t>Brand</t>
        </is>
      </c>
      <c r="O355" s="165" t="inlineStr">
        <is>
          <t>OG</t>
        </is>
      </c>
    </row>
    <row r="356">
      <c r="A356" s="217" t="n"/>
      <c r="B356" s="217" t="n"/>
      <c r="C356" s="61" t="inlineStr">
        <is>
          <t>Polyphenols</t>
        </is>
      </c>
      <c r="D356" s="61" t="inlineStr">
        <is>
          <t>多酚</t>
        </is>
      </c>
      <c r="E356" s="69" t="inlineStr">
        <is>
          <t>ppm</t>
        </is>
      </c>
      <c r="F356" s="61" t="n"/>
      <c r="G356" s="60" t="inlineStr">
        <is>
          <t>Polyphenols</t>
        </is>
      </c>
      <c r="H356" s="60" t="n"/>
      <c r="I356" s="175" t="n"/>
      <c r="J356" s="174" t="inlineStr">
        <is>
          <t>LIMS</t>
        </is>
      </c>
      <c r="K356" s="174" t="n"/>
      <c r="L356" s="174" t="inlineStr">
        <is>
          <t>数据</t>
        </is>
      </c>
      <c r="N356" s="165" t="inlineStr">
        <is>
          <t>Brand</t>
        </is>
      </c>
      <c r="O356" s="165" t="inlineStr">
        <is>
          <t>OG</t>
        </is>
      </c>
    </row>
    <row r="357">
      <c r="A357" s="217" t="n"/>
      <c r="B357" s="217" t="n"/>
      <c r="C357" s="61" t="inlineStr">
        <is>
          <t>DMS</t>
        </is>
      </c>
      <c r="D357" s="61" t="inlineStr">
        <is>
          <t>二甲基硫</t>
        </is>
      </c>
      <c r="E357" s="69" t="inlineStr">
        <is>
          <t>ppm</t>
        </is>
      </c>
      <c r="F357" s="61" t="n"/>
      <c r="G357" s="60" t="inlineStr">
        <is>
          <t>DMS</t>
        </is>
      </c>
      <c r="H357" s="60" t="n"/>
      <c r="I357" s="175" t="n"/>
      <c r="J357" s="174" t="inlineStr">
        <is>
          <t>LIMS</t>
        </is>
      </c>
      <c r="K357" s="174" t="n"/>
      <c r="L357" s="174" t="inlineStr">
        <is>
          <t>数据</t>
        </is>
      </c>
      <c r="N357" s="165" t="inlineStr">
        <is>
          <t>Brand</t>
        </is>
      </c>
      <c r="O357" s="165" t="inlineStr">
        <is>
          <t>OG</t>
        </is>
      </c>
    </row>
    <row r="358">
      <c r="A358" s="217" t="n"/>
      <c r="B358" s="217" t="n"/>
      <c r="C358" s="61" t="inlineStr">
        <is>
          <t>FAN</t>
        </is>
      </c>
      <c r="D358" s="61" t="inlineStr">
        <is>
          <t>氨基氮</t>
        </is>
      </c>
      <c r="E358" s="69" t="inlineStr">
        <is>
          <t>ppm</t>
        </is>
      </c>
      <c r="F358" s="61" t="n"/>
      <c r="G358" s="61" t="n"/>
      <c r="H358" s="61" t="n"/>
      <c r="J358" s="174" t="inlineStr">
        <is>
          <t>LIMS</t>
        </is>
      </c>
      <c r="K358" s="174" t="n"/>
      <c r="L358" s="174" t="inlineStr">
        <is>
          <t>数据</t>
        </is>
      </c>
    </row>
    <row r="359">
      <c r="A359" s="217" t="n"/>
      <c r="B359" s="217" t="n"/>
      <c r="C359" s="61" t="inlineStr">
        <is>
          <t>4VG</t>
        </is>
      </c>
      <c r="D359" s="61" t="inlineStr">
        <is>
          <t>4VG</t>
        </is>
      </c>
      <c r="E359" s="69" t="inlineStr">
        <is>
          <t>ppm</t>
        </is>
      </c>
      <c r="F359" s="61" t="n"/>
      <c r="G359" s="61" t="n"/>
      <c r="H359" s="61" t="n"/>
      <c r="J359" s="174" t="inlineStr">
        <is>
          <t>LIMS</t>
        </is>
      </c>
      <c r="K359" s="174" t="n"/>
      <c r="L359" s="174" t="inlineStr">
        <is>
          <t>数据</t>
        </is>
      </c>
    </row>
    <row r="360">
      <c r="A360" s="218" t="n"/>
      <c r="B360" s="218" t="n"/>
      <c r="C360" s="61" t="inlineStr">
        <is>
          <t>Linaloop</t>
        </is>
      </c>
      <c r="D360" s="61" t="inlineStr">
        <is>
          <t>里纳醇</t>
        </is>
      </c>
      <c r="E360" s="69" t="inlineStr">
        <is>
          <t>ppm</t>
        </is>
      </c>
      <c r="F360" s="61" t="n"/>
      <c r="G360" s="61" t="n"/>
      <c r="H360" s="61" t="n"/>
      <c r="J360" s="174" t="inlineStr">
        <is>
          <t>LIMS</t>
        </is>
      </c>
      <c r="K360" s="174" t="n"/>
      <c r="L360" s="174" t="inlineStr">
        <is>
          <t>数据</t>
        </is>
      </c>
    </row>
  </sheetData>
  <autoFilter ref="A1:W360"/>
  <mergeCells count="41">
    <mergeCell ref="B10:B14"/>
    <mergeCell ref="B282:B285"/>
    <mergeCell ref="B316:B325"/>
    <mergeCell ref="B286:B291"/>
    <mergeCell ref="B157:B163"/>
    <mergeCell ref="B86:B98"/>
    <mergeCell ref="B204:B224"/>
    <mergeCell ref="B264:B267"/>
    <mergeCell ref="B182:B203"/>
    <mergeCell ref="B32:B39"/>
    <mergeCell ref="B130:B146"/>
    <mergeCell ref="B48:B56"/>
    <mergeCell ref="B326:B331"/>
    <mergeCell ref="A32:A47"/>
    <mergeCell ref="B23:B24"/>
    <mergeCell ref="B57:B69"/>
    <mergeCell ref="A48:A156"/>
    <mergeCell ref="B3:B8"/>
    <mergeCell ref="B253:B258"/>
    <mergeCell ref="A335:A360"/>
    <mergeCell ref="B275:B281"/>
    <mergeCell ref="B297:B315"/>
    <mergeCell ref="B99:B129"/>
    <mergeCell ref="B16:B18"/>
    <mergeCell ref="B19:B20"/>
    <mergeCell ref="B237:B252"/>
    <mergeCell ref="B164:B181"/>
    <mergeCell ref="B268:B274"/>
    <mergeCell ref="A157:A315"/>
    <mergeCell ref="A316:A334"/>
    <mergeCell ref="B332:B334"/>
    <mergeCell ref="B25:B31"/>
    <mergeCell ref="B292:B296"/>
    <mergeCell ref="B225:B236"/>
    <mergeCell ref="B147:B156"/>
    <mergeCell ref="B70:B85"/>
    <mergeCell ref="B40:B47"/>
    <mergeCell ref="B259:B263"/>
    <mergeCell ref="B335:B360"/>
    <mergeCell ref="A3:A31"/>
    <mergeCell ref="B21:B22"/>
  </mergeCells>
  <conditionalFormatting sqref="E332:E334">
    <cfRule type="cellIs" priority="1" operator="equal" dxfId="4">
      <formula>"N"</formula>
    </cfRule>
    <cfRule type="cellIs" priority="2" operator="equal" dxfId="0">
      <formula>"Y"</formula>
    </cfRule>
  </conditionalFormatting>
  <conditionalFormatting sqref="H48">
    <cfRule type="duplicateValues" priority="168" dxfId="102"/>
  </conditionalFormatting>
  <conditionalFormatting sqref="H49">
    <cfRule type="duplicateValues" priority="160" dxfId="102"/>
  </conditionalFormatting>
  <conditionalFormatting sqref="H50">
    <cfRule type="duplicateValues" priority="162" dxfId="102"/>
  </conditionalFormatting>
  <conditionalFormatting sqref="H51">
    <cfRule type="duplicateValues" priority="161" dxfId="102"/>
  </conditionalFormatting>
  <conditionalFormatting sqref="H52">
    <cfRule type="duplicateValues" priority="155" dxfId="102"/>
  </conditionalFormatting>
  <conditionalFormatting sqref="H115">
    <cfRule type="duplicateValues" priority="165" dxfId="102"/>
  </conditionalFormatting>
  <conditionalFormatting sqref="H168">
    <cfRule type="duplicateValues" priority="135" dxfId="101"/>
    <cfRule type="duplicateValues" priority="126" dxfId="102"/>
  </conditionalFormatting>
  <conditionalFormatting sqref="H173">
    <cfRule type="duplicateValues" priority="115" dxfId="102"/>
    <cfRule type="duplicateValues" priority="124" dxfId="101"/>
  </conditionalFormatting>
  <conditionalFormatting sqref="H178">
    <cfRule type="duplicateValues" priority="104" dxfId="102"/>
    <cfRule type="duplicateValues" priority="113" dxfId="101"/>
  </conditionalFormatting>
  <conditionalFormatting sqref="I48">
    <cfRule type="duplicateValues" priority="169" dxfId="102"/>
  </conditionalFormatting>
  <conditionalFormatting sqref="I50">
    <cfRule type="duplicateValues" priority="163" dxfId="102"/>
  </conditionalFormatting>
  <conditionalFormatting sqref="I51">
    <cfRule type="duplicateValues" priority="157" dxfId="102"/>
  </conditionalFormatting>
  <conditionalFormatting sqref="I52">
    <cfRule type="duplicateValues" priority="156" dxfId="102"/>
  </conditionalFormatting>
  <conditionalFormatting sqref="I54">
    <cfRule type="duplicateValues" priority="75" dxfId="102"/>
  </conditionalFormatting>
  <conditionalFormatting sqref="I55">
    <cfRule type="duplicateValues" priority="154" dxfId="102"/>
  </conditionalFormatting>
  <conditionalFormatting sqref="I68">
    <cfRule type="duplicateValues" priority="164" dxfId="102"/>
  </conditionalFormatting>
  <conditionalFormatting sqref="I94">
    <cfRule type="duplicateValues" priority="153" dxfId="102"/>
  </conditionalFormatting>
  <conditionalFormatting sqref="I107">
    <cfRule type="duplicateValues" priority="167" dxfId="102"/>
  </conditionalFormatting>
  <conditionalFormatting sqref="I115">
    <cfRule type="duplicateValues" priority="166" dxfId="102"/>
  </conditionalFormatting>
  <conditionalFormatting sqref="J48">
    <cfRule type="duplicateValues" priority="152" dxfId="102"/>
  </conditionalFormatting>
  <conditionalFormatting sqref="J49">
    <cfRule type="duplicateValues" priority="148" dxfId="102"/>
  </conditionalFormatting>
  <conditionalFormatting sqref="J50">
    <cfRule type="duplicateValues" priority="150" dxfId="102"/>
  </conditionalFormatting>
  <conditionalFormatting sqref="J51">
    <cfRule type="duplicateValues" priority="149" dxfId="102"/>
  </conditionalFormatting>
  <conditionalFormatting sqref="J52">
    <cfRule type="duplicateValues" priority="147" dxfId="102"/>
  </conditionalFormatting>
  <conditionalFormatting sqref="J115">
    <cfRule type="duplicateValues" priority="151" dxfId="102"/>
  </conditionalFormatting>
  <conditionalFormatting sqref="K3:K360">
    <cfRule type="cellIs" priority="10" operator="equal" dxfId="0">
      <formula>"Y"</formula>
    </cfRule>
    <cfRule type="cellIs" priority="9" operator="equal" dxfId="4">
      <formula>"N"</formula>
    </cfRule>
  </conditionalFormatting>
  <conditionalFormatting sqref="L2:L360">
    <cfRule type="cellIs" priority="3" operator="equal" dxfId="291">
      <formula>"日期"</formula>
    </cfRule>
    <cfRule type="cellIs" priority="4" operator="equal" dxfId="2">
      <formula>"文本"</formula>
    </cfRule>
    <cfRule type="cellIs" priority="5" operator="equal" dxfId="289">
      <formula>"整数"</formula>
    </cfRule>
    <cfRule type="cellIs" priority="6" operator="equal" dxfId="288">
      <formula>"数据"</formula>
    </cfRule>
  </conditionalFormatting>
  <dataValidations count="2">
    <dataValidation sqref="K3:K360" showDropDown="0" showInputMessage="1" showErrorMessage="1" allowBlank="1" type="list">
      <formula1>"Y,N"</formula1>
    </dataValidation>
    <dataValidation sqref="L2:L360" showDropDown="0" showInputMessage="1" showErrorMessage="1" allowBlank="1" type="list">
      <formula1>"文本,日期,整数,数据,下拉框"</formula1>
    </dataValidation>
  </dataValidations>
  <pageMargins left="0.7" right="0.7" top="0.75" bottom="0.75" header="0.3" footer="0.3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ColWidth="9" defaultRowHeight="15"/>
  <cols>
    <col width="15.85546875" customWidth="1" style="241" min="1" max="1"/>
    <col width="36.42578125" customWidth="1" style="241" min="2" max="2"/>
    <col width="57.42578125" customWidth="1" style="152" min="3" max="3"/>
    <col width="36.140625" customWidth="1" style="42" min="4" max="4"/>
  </cols>
  <sheetData>
    <row r="1">
      <c r="A1" s="153" t="inlineStr">
        <is>
          <t>Process</t>
        </is>
      </c>
      <c r="B1" s="154" t="inlineStr">
        <is>
          <t>参数英文名</t>
        </is>
      </c>
      <c r="C1" s="155" t="inlineStr">
        <is>
          <t>计算方式说明</t>
        </is>
      </c>
      <c r="D1" s="156" t="inlineStr">
        <is>
          <t>备注</t>
        </is>
      </c>
    </row>
    <row r="2" ht="30" customHeight="1" s="241">
      <c r="A2" s="232" t="inlineStr">
        <is>
          <t>CO2 Pressure</t>
        </is>
      </c>
      <c r="B2" s="80" t="inlineStr">
        <is>
          <t>CO2 Recovery Pressure Daily Max</t>
        </is>
      </c>
      <c r="C2" s="117" t="inlineStr">
        <is>
          <t>CO2回收管道上在线压力每天最大值</t>
        </is>
      </c>
      <c r="D2" s="157" t="inlineStr">
        <is>
          <t>没有自动采集的查看曲线或其他手段</t>
        </is>
      </c>
    </row>
    <row r="3" ht="30" customHeight="1" s="241">
      <c r="A3" s="228" t="n"/>
      <c r="B3" s="80" t="inlineStr">
        <is>
          <t>Fermentor Back Pressure Daily Min</t>
        </is>
      </c>
      <c r="C3" s="117" t="inlineStr">
        <is>
          <t>发酵罐置压管道上在线压力每天最小值</t>
        </is>
      </c>
      <c r="D3" s="157" t="inlineStr">
        <is>
          <t>没有自动采集的查看曲线或其他手段</t>
        </is>
      </c>
    </row>
    <row r="4" ht="30" customHeight="1" s="241">
      <c r="A4" s="228" t="n"/>
      <c r="B4" s="80" t="inlineStr">
        <is>
          <t>Fermentor Back Pressure Daily Max</t>
        </is>
      </c>
      <c r="C4" s="117" t="inlineStr">
        <is>
          <t>发酵罐置压管道上在线压力每天最大值</t>
        </is>
      </c>
      <c r="D4" s="157" t="inlineStr">
        <is>
          <t>没有自动采集的查看曲线或其他手段</t>
        </is>
      </c>
    </row>
    <row r="5" ht="30" customHeight="1" s="241">
      <c r="A5" s="228" t="n"/>
      <c r="B5" s="80" t="inlineStr">
        <is>
          <t>BBT Blance Pressure Daily Min</t>
        </is>
      </c>
      <c r="C5" s="117" t="inlineStr">
        <is>
          <t>BBT平衡管道上在线压力每天最小值</t>
        </is>
      </c>
      <c r="D5" s="157" t="inlineStr">
        <is>
          <t>没有自动采集的查看曲线或其他手段</t>
        </is>
      </c>
    </row>
    <row r="6" ht="30" customHeight="1" s="241">
      <c r="A6" s="229" t="n"/>
      <c r="B6" s="80" t="inlineStr">
        <is>
          <t>BBT Blance Pressure Daily Max</t>
        </is>
      </c>
      <c r="C6" s="117" t="inlineStr">
        <is>
          <t>BBT平衡管道上在线压力每天最大值</t>
        </is>
      </c>
      <c r="D6" s="157" t="inlineStr">
        <is>
          <t>没有自动采集的查看曲线或其他手段</t>
        </is>
      </c>
    </row>
    <row r="7" ht="30" customHeight="1" s="241">
      <c r="A7" s="227" t="inlineStr">
        <is>
          <t>Adjunct Cooker</t>
        </is>
      </c>
      <c r="B7" s="60" t="inlineStr">
        <is>
          <t>Gel Temp</t>
        </is>
      </c>
      <c r="C7" s="117" t="inlineStr">
        <is>
          <t>凝胶休止过程平均温度</t>
        </is>
      </c>
      <c r="D7" s="157" t="inlineStr">
        <is>
          <t>没有自动采集的查看曲线或其他手段</t>
        </is>
      </c>
    </row>
    <row r="8" ht="30" customHeight="1" s="241">
      <c r="A8" s="228" t="n"/>
      <c r="B8" s="60" t="inlineStr">
        <is>
          <t>Highest Steam Pressue</t>
        </is>
      </c>
      <c r="C8" s="117" t="inlineStr">
        <is>
          <t>糊化锅蒸汽压力最大值（持续30s以上)</t>
        </is>
      </c>
      <c r="D8" s="157" t="inlineStr">
        <is>
          <t>没有自动采集的查看曲线或其他手段</t>
        </is>
      </c>
    </row>
    <row r="9" ht="30" customHeight="1" s="241">
      <c r="A9" s="229" t="n"/>
      <c r="B9" s="60" t="inlineStr">
        <is>
          <t>Highest Tempe</t>
        </is>
      </c>
      <c r="C9" s="117" t="inlineStr">
        <is>
          <t>糊化锅最高温度</t>
        </is>
      </c>
      <c r="D9" s="157" t="inlineStr">
        <is>
          <t>没有自动采集的查看曲线或其他手段</t>
        </is>
      </c>
    </row>
    <row r="10" ht="30" customHeight="1" s="241">
      <c r="A10" s="230" t="inlineStr">
        <is>
          <t>Mash Tun</t>
        </is>
      </c>
      <c r="B10" s="60" t="inlineStr">
        <is>
          <t>Protein Rest Temp</t>
        </is>
      </c>
      <c r="C10" s="117" t="inlineStr">
        <is>
          <t>蛋白休止过程平均温度</t>
        </is>
      </c>
      <c r="D10" s="157" t="inlineStr">
        <is>
          <t>没有自动采集的查看曲线或其他手段</t>
        </is>
      </c>
    </row>
    <row r="11" ht="30" customHeight="1" s="241">
      <c r="A11" s="228" t="n"/>
      <c r="B11" s="60" t="inlineStr">
        <is>
          <t>Conversion Temp</t>
        </is>
      </c>
      <c r="C11" s="117" t="inlineStr">
        <is>
          <t>糖化休止过程平均温度</t>
        </is>
      </c>
      <c r="D11" s="157" t="inlineStr">
        <is>
          <t>没有自动采集的查看曲线或其他手段</t>
        </is>
      </c>
    </row>
    <row r="12" ht="30" customHeight="1" s="241">
      <c r="A12" s="229" t="n"/>
      <c r="B12" s="60" t="inlineStr">
        <is>
          <t>Highest Steam Pressue</t>
        </is>
      </c>
      <c r="C12" s="117" t="inlineStr">
        <is>
          <t>糖化锅蒸汽压力最大值（持续30s以上)</t>
        </is>
      </c>
      <c r="D12" s="157" t="inlineStr">
        <is>
          <t>没有自动采集的查看曲线或其他手段</t>
        </is>
      </c>
    </row>
    <row r="13" ht="30" customHeight="1" s="241">
      <c r="A13" s="227" t="inlineStr">
        <is>
          <t>Lauter Tun</t>
        </is>
      </c>
      <c r="B13" s="60" t="inlineStr">
        <is>
          <t>Sparge Water Temp</t>
        </is>
      </c>
      <c r="C13" s="117" t="inlineStr">
        <is>
          <t>洗糟水平均温度（瞬时温度和流量累计）</t>
        </is>
      </c>
      <c r="D13" s="157" t="inlineStr">
        <is>
          <t>没有自动采集的查看曲线或其他手段</t>
        </is>
      </c>
    </row>
    <row r="14" ht="30" customHeight="1" s="241">
      <c r="A14" s="231" t="inlineStr">
        <is>
          <t>Mash Filter</t>
        </is>
      </c>
      <c r="B14" s="60" t="inlineStr">
        <is>
          <t>Sparge Water Temp</t>
        </is>
      </c>
      <c r="C14" s="117" t="inlineStr">
        <is>
          <t>洗糟水平均温度（瞬时温度和流量累计）</t>
        </is>
      </c>
      <c r="D14" s="157" t="inlineStr">
        <is>
          <t>没有自动采集的查看曲线或其他手段</t>
        </is>
      </c>
    </row>
    <row r="15" ht="30" customHeight="1" s="241">
      <c r="A15" s="227" t="inlineStr">
        <is>
          <t>Kettle</t>
        </is>
      </c>
      <c r="B15" s="60" t="inlineStr">
        <is>
          <t>Filling Temp@ Before SOB</t>
        </is>
      </c>
      <c r="C15" s="117" t="inlineStr">
        <is>
          <t>SOB前麦汁预热薄板出口平均温度（瞬时温度和流量累计）</t>
        </is>
      </c>
      <c r="D15" s="157" t="inlineStr">
        <is>
          <t>没有自动采集的查看曲线或其他手段</t>
        </is>
      </c>
    </row>
    <row r="16" ht="30" customHeight="1" s="241">
      <c r="A16" s="228" t="n"/>
      <c r="B16" s="60" t="inlineStr">
        <is>
          <t>Filling Temp@ SOB-KF</t>
        </is>
      </c>
      <c r="C16" s="117" t="inlineStr">
        <is>
          <t>SOB后麦汁预热薄板出口平均温度（瞬时温度和流量累计）</t>
        </is>
      </c>
      <c r="D16" s="157" t="inlineStr">
        <is>
          <t>没有自动采集的查看曲线或其他手段</t>
        </is>
      </c>
    </row>
    <row r="17" ht="30" customHeight="1" s="241">
      <c r="A17" s="228" t="n"/>
      <c r="B17" s="60" t="inlineStr">
        <is>
          <t>External Calandria Exit Temp</t>
        </is>
      </c>
      <c r="C17" s="117" t="inlineStr">
        <is>
          <t>煮沸锅外加热器出口平均温度</t>
        </is>
      </c>
      <c r="D17" s="157" t="inlineStr">
        <is>
          <t>没有自动采集的查看曲线或其他手段</t>
        </is>
      </c>
    </row>
    <row r="18" ht="30" customHeight="1" s="241">
      <c r="A18" s="228" t="n"/>
      <c r="B18" s="60" t="inlineStr">
        <is>
          <t>Evap % - SOB to KF</t>
        </is>
      </c>
      <c r="C18" s="117" t="inlineStr">
        <is>
          <t>满锅前蒸发率 -根据蒸汽使用量计算</t>
        </is>
      </c>
      <c r="D18" s="157" t="inlineStr">
        <is>
          <t>没有自动采集的查看曲线或其他手段</t>
        </is>
      </c>
    </row>
    <row r="19" ht="30" customHeight="1" s="241">
      <c r="A19" s="228" t="n"/>
      <c r="B19" s="60" t="inlineStr">
        <is>
          <t>Evap % - KF to KO</t>
        </is>
      </c>
      <c r="C19" s="117" t="inlineStr">
        <is>
          <t>满锅后蒸发率率 -根据蒸汽使用量计算</t>
        </is>
      </c>
      <c r="D19" s="157" t="inlineStr">
        <is>
          <t>没有自动采集的查看曲线或其他手段</t>
        </is>
      </c>
    </row>
    <row r="20" ht="30" customHeight="1" s="241">
      <c r="A20" s="228" t="n"/>
      <c r="B20" s="60" t="inlineStr">
        <is>
          <t>Evap % - SOB to KO</t>
        </is>
      </c>
      <c r="C20" s="117" t="inlineStr">
        <is>
          <t>总蒸发率 -根据蒸汽使用量计算</t>
        </is>
      </c>
      <c r="D20" s="157" t="inlineStr">
        <is>
          <t>没有自动采集的查看曲线或其他手段</t>
        </is>
      </c>
    </row>
    <row r="21" ht="30" customHeight="1" s="241">
      <c r="A21" s="228" t="n"/>
      <c r="B21" s="60" t="inlineStr">
        <is>
          <t xml:space="preserve"> Overfoaming times</t>
        </is>
      </c>
      <c r="C21" s="117" t="inlineStr">
        <is>
          <t>煮沸锅起泡次数</t>
        </is>
      </c>
      <c r="D21" s="157" t="inlineStr">
        <is>
          <t>没有自动采集的查看曲线或其他手段</t>
        </is>
      </c>
    </row>
    <row r="22" ht="30" customHeight="1" s="241">
      <c r="A22" s="228" t="n"/>
      <c r="B22" s="60" t="inlineStr">
        <is>
          <t>Highest Temp</t>
        </is>
      </c>
      <c r="C22" s="117" t="inlineStr">
        <is>
          <t>煮沸锅最高温度</t>
        </is>
      </c>
      <c r="D22" s="157" t="inlineStr">
        <is>
          <t>没有自动采集的查看曲线或其他手段</t>
        </is>
      </c>
    </row>
    <row r="23" ht="30" customHeight="1" s="241">
      <c r="A23" s="228" t="n"/>
      <c r="B23" s="60" t="inlineStr">
        <is>
          <t>Highest Pressure</t>
        </is>
      </c>
      <c r="C23" s="117" t="inlineStr">
        <is>
          <t>煮沸锅内最高压力</t>
        </is>
      </c>
      <c r="D23" s="157" t="inlineStr">
        <is>
          <t>没有自动采集的查看曲线或其他手段</t>
        </is>
      </c>
    </row>
    <row r="24" ht="30" customHeight="1" s="241">
      <c r="A24" s="228" t="n"/>
      <c r="B24" s="60" t="inlineStr">
        <is>
          <t>Steam Highest Pressure -Upper Calandria</t>
        </is>
      </c>
      <c r="C24" s="117" t="inlineStr">
        <is>
          <t>煮沸锅上层加热器蒸汽最大压力（持续30s以上)</t>
        </is>
      </c>
      <c r="D24" s="157" t="inlineStr">
        <is>
          <t>没有自动采集的查看曲线或其他手段</t>
        </is>
      </c>
    </row>
    <row r="25" ht="30" customHeight="1" s="241">
      <c r="A25" s="229" t="n"/>
      <c r="B25" s="60" t="inlineStr">
        <is>
          <t>Steam Highest Pressure -Lower Calandria</t>
        </is>
      </c>
      <c r="C25" s="117" t="inlineStr">
        <is>
          <t>煮沸锅下层加热器蒸汽最大压力（持续30s以上)</t>
        </is>
      </c>
      <c r="D25" s="157" t="inlineStr">
        <is>
          <t>没有自动采集的查看曲线或其他手段</t>
        </is>
      </c>
    </row>
    <row r="26" ht="30" customHeight="1" s="241">
      <c r="A26" s="231" t="inlineStr">
        <is>
          <t>Whirlpool</t>
        </is>
      </c>
      <c r="B26" s="60" t="inlineStr">
        <is>
          <t>Wort Stripper Outlet Temp</t>
        </is>
      </c>
      <c r="C26" s="117" t="inlineStr">
        <is>
          <t>麦汁处理器出口平均温度</t>
        </is>
      </c>
      <c r="D26" s="157" t="inlineStr">
        <is>
          <t>没有自动采集的查看曲线或其他手段</t>
        </is>
      </c>
    </row>
    <row r="27" ht="30" customHeight="1" s="241">
      <c r="A27" s="229" t="n"/>
      <c r="B27" s="119" t="inlineStr">
        <is>
          <t>Wort Aeration Mass Flow Rate</t>
        </is>
      </c>
      <c r="C27" s="117" t="inlineStr">
        <is>
          <t>麦汁充氧流量（折算成每HL麦汁充多少g空气）</t>
        </is>
      </c>
      <c r="D27" s="157" t="inlineStr">
        <is>
          <t>没有自动采集的查看曲线或其他手段</t>
        </is>
      </c>
    </row>
    <row r="28" ht="30" customHeight="1" s="241">
      <c r="A28" s="227" t="inlineStr">
        <is>
          <t>Fermentor Fill</t>
        </is>
      </c>
      <c r="B28" s="60" t="inlineStr">
        <is>
          <t>DYA</t>
        </is>
      </c>
      <c r="C28" s="117" t="inlineStr">
        <is>
          <t>该罐次所有锅次充氧累计时间</t>
        </is>
      </c>
      <c r="D28" s="157" t="inlineStr">
        <is>
          <t>没有自动采集的查看曲线或其他手段</t>
        </is>
      </c>
    </row>
    <row r="29" ht="30" customHeight="1" s="241">
      <c r="A29" s="230" t="inlineStr">
        <is>
          <t>Alpha Fermentation</t>
        </is>
      </c>
      <c r="B29" s="60" t="inlineStr">
        <is>
          <t>Attemporation Temperature</t>
        </is>
      </c>
      <c r="C29" s="117" t="inlineStr">
        <is>
          <t>主酵过程平均温度</t>
        </is>
      </c>
      <c r="D29" s="157" t="inlineStr">
        <is>
          <t>没有自动采集的查看曲线或其他手段</t>
        </is>
      </c>
    </row>
    <row r="30" ht="30" customHeight="1" s="241">
      <c r="A30" s="228" t="n"/>
      <c r="B30" s="60" t="inlineStr">
        <is>
          <t>Attemporation Temperature Max</t>
        </is>
      </c>
      <c r="C30" s="117" t="inlineStr">
        <is>
          <t>主酵过程最高温度</t>
        </is>
      </c>
      <c r="D30" s="157" t="inlineStr">
        <is>
          <t>没有自动采集的查看曲线或其他手段</t>
        </is>
      </c>
    </row>
    <row r="31" ht="30" customHeight="1" s="241">
      <c r="A31" s="229" t="n"/>
      <c r="B31" s="60" t="inlineStr">
        <is>
          <t>Attemporation Temperature Min</t>
        </is>
      </c>
      <c r="C31" s="117" t="inlineStr">
        <is>
          <t>主酵过程最低温度</t>
        </is>
      </c>
      <c r="D31" s="157" t="inlineStr">
        <is>
          <t>没有自动采集的查看曲线或其他手段</t>
        </is>
      </c>
    </row>
    <row r="32" ht="30" customHeight="1" s="241">
      <c r="A32" s="227" t="inlineStr">
        <is>
          <t>Warm Maturation</t>
        </is>
      </c>
      <c r="B32" s="60" t="inlineStr">
        <is>
          <t>Temperature Maturation tank</t>
        </is>
      </c>
      <c r="C32" s="117" t="inlineStr">
        <is>
          <t>后酵过程平均温度</t>
        </is>
      </c>
      <c r="D32" s="157" t="inlineStr">
        <is>
          <t>没有自动采集的查看曲线或其他手段</t>
        </is>
      </c>
    </row>
    <row r="33" ht="30" customHeight="1" s="241">
      <c r="A33" s="231" t="inlineStr">
        <is>
          <t>Cold Aging</t>
        </is>
      </c>
      <c r="B33" s="80" t="inlineStr">
        <is>
          <t>Integrated DO</t>
        </is>
      </c>
      <c r="C33" s="117" t="inlineStr">
        <is>
          <t>冷储罐累计DO，根据在线DO和流量计累计</t>
        </is>
      </c>
      <c r="D33" s="157" t="inlineStr">
        <is>
          <t>没有自动采集的查看曲线或其他手段</t>
        </is>
      </c>
    </row>
    <row r="34" ht="30" customHeight="1" s="241">
      <c r="A34" s="229" t="n"/>
      <c r="B34" s="60" t="inlineStr">
        <is>
          <t>Temperature Maturation tank</t>
        </is>
      </c>
      <c r="C34" s="117" t="inlineStr">
        <is>
          <t>后酵母罐冷储平均温度</t>
        </is>
      </c>
      <c r="D34" s="157" t="inlineStr">
        <is>
          <t>没有自动采集的查看曲线或其他手段</t>
        </is>
      </c>
    </row>
    <row r="35" ht="30" customHeight="1" s="241">
      <c r="A35" s="227" t="inlineStr">
        <is>
          <t>Centrifuge</t>
        </is>
      </c>
      <c r="B35" s="60" t="inlineStr">
        <is>
          <t>Inlet DO</t>
        </is>
      </c>
      <c r="C35" s="117" t="inlineStr">
        <is>
          <t>离心机进口平均DO，根据在线DO和流量计累计</t>
        </is>
      </c>
      <c r="D35" s="157" t="inlineStr">
        <is>
          <t>没有自动采集的查看曲线或其他手段</t>
        </is>
      </c>
    </row>
    <row r="36" ht="30" customHeight="1" s="241">
      <c r="A36" s="228" t="n"/>
      <c r="B36" s="60" t="inlineStr">
        <is>
          <t>DO - Peak Transfer</t>
        </is>
      </c>
      <c r="C36" s="117" t="inlineStr">
        <is>
          <t>离心机出口最大DO</t>
        </is>
      </c>
      <c r="D36" s="157" t="inlineStr">
        <is>
          <t>没有自动采集的查看曲线或其他手段</t>
        </is>
      </c>
    </row>
    <row r="37" ht="30" customHeight="1" s="241">
      <c r="A37" s="228" t="n"/>
      <c r="B37" s="60" t="inlineStr">
        <is>
          <t>DO - Transfer Average</t>
        </is>
      </c>
      <c r="C37" s="117" t="inlineStr">
        <is>
          <t>离心机出口累计DO，根据在线DO和流量计累计</t>
        </is>
      </c>
      <c r="D37" s="157" t="inlineStr">
        <is>
          <t>没有自动采集的查看曲线或其他手段</t>
        </is>
      </c>
    </row>
    <row r="38" ht="30" customHeight="1" s="241">
      <c r="A38" s="228" t="n"/>
      <c r="B38" s="60" t="inlineStr">
        <is>
          <t>Inlet Turbidity</t>
        </is>
      </c>
      <c r="C38" s="117" t="inlineStr">
        <is>
          <t>离心机进口平均浊度，根据在线浊度和流量计累计</t>
        </is>
      </c>
      <c r="D38" s="157" t="inlineStr">
        <is>
          <t>没有自动采集的查看曲线或其他手段</t>
        </is>
      </c>
    </row>
    <row r="39" ht="30" customHeight="1" s="241">
      <c r="A39" s="229" t="n"/>
      <c r="B39" s="60" t="inlineStr">
        <is>
          <t>Outlet Turbidity</t>
        </is>
      </c>
      <c r="C39" s="117" t="inlineStr">
        <is>
          <t>离心机出口平均浊度，根据在线浊度和流量计累计</t>
        </is>
      </c>
      <c r="D39" s="157" t="inlineStr">
        <is>
          <t>没有自动采集的查看曲线或其他手段</t>
        </is>
      </c>
    </row>
    <row r="40" ht="30" customHeight="1" s="241">
      <c r="A40" s="231" t="inlineStr">
        <is>
          <t>Chilling</t>
        </is>
      </c>
      <c r="B40" s="60" t="inlineStr">
        <is>
          <t>Pre Chiller Temperature</t>
        </is>
      </c>
      <c r="C40" s="117" t="inlineStr">
        <is>
          <t>激冷薄板进口平均温度，根据在线温度和流量计累计</t>
        </is>
      </c>
      <c r="D40" s="157" t="inlineStr">
        <is>
          <t>没有自动采集的查看曲线或其他手段</t>
        </is>
      </c>
    </row>
    <row r="41" ht="30" customHeight="1" s="241">
      <c r="A41" s="228" t="n"/>
      <c r="B41" s="60" t="inlineStr">
        <is>
          <t>Pre Chiller Highest Temp</t>
        </is>
      </c>
      <c r="C41" s="117" t="inlineStr">
        <is>
          <t>激冷薄板进口最高温度</t>
        </is>
      </c>
      <c r="D41" s="157" t="inlineStr">
        <is>
          <t>没有自动采集的查看曲线或其他手段</t>
        </is>
      </c>
    </row>
    <row r="42" ht="30" customHeight="1" s="241">
      <c r="A42" s="228" t="n"/>
      <c r="B42" s="60" t="inlineStr">
        <is>
          <t>Post Chiller Temp</t>
        </is>
      </c>
      <c r="C42" s="117" t="inlineStr">
        <is>
          <t>激冷薄板出口平均温度，根据在线温度和流量计累计</t>
        </is>
      </c>
      <c r="D42" s="157" t="inlineStr">
        <is>
          <t>没有自动采集的查看曲线或其他手段</t>
        </is>
      </c>
    </row>
    <row r="43" ht="30" customHeight="1" s="241">
      <c r="A43" s="229" t="n"/>
      <c r="B43" s="60" t="inlineStr">
        <is>
          <t>Post Chiller Highest Temp</t>
        </is>
      </c>
      <c r="C43" s="117" t="inlineStr">
        <is>
          <t>激冷薄板出口最高温度</t>
        </is>
      </c>
      <c r="D43" s="157" t="inlineStr">
        <is>
          <t>没有自动采集的查看曲线或其他手段</t>
        </is>
      </c>
    </row>
    <row r="44" ht="30" customHeight="1" s="241">
      <c r="A44" s="232" t="inlineStr">
        <is>
          <t>Filtration</t>
        </is>
      </c>
      <c r="B44" s="80" t="inlineStr">
        <is>
          <t>DO  - Filtration Inlet</t>
        </is>
      </c>
      <c r="C44" s="117" t="inlineStr">
        <is>
          <t>过滤机进口平均DO，根据在线DO和流量计累计</t>
        </is>
      </c>
      <c r="D44" s="157" t="inlineStr">
        <is>
          <t>没有自动采集的查看曲线或其他手段</t>
        </is>
      </c>
    </row>
    <row r="45" ht="30" customHeight="1" s="241">
      <c r="A45" s="228" t="n"/>
      <c r="B45" s="80" t="inlineStr">
        <is>
          <t>Beer Temp – Filtration Inlet</t>
        </is>
      </c>
      <c r="C45" s="117" t="inlineStr">
        <is>
          <t>过滤机进口平均温度，根据在线温度和流量计累计</t>
        </is>
      </c>
      <c r="D45" s="157" t="inlineStr">
        <is>
          <t>没有自动采集的查看曲线或其他手段</t>
        </is>
      </c>
    </row>
    <row r="46" ht="30" customHeight="1" s="241">
      <c r="A46" s="228" t="n"/>
      <c r="B46" s="80" t="inlineStr">
        <is>
          <t>Beer Highest Temp – Filtration Inlet</t>
        </is>
      </c>
      <c r="C46" s="117" t="inlineStr">
        <is>
          <t>过滤机进口最高温度</t>
        </is>
      </c>
      <c r="D46" s="157" t="inlineStr">
        <is>
          <t>没有自动采集的查看曲线或其他手段</t>
        </is>
      </c>
    </row>
    <row r="47" ht="30" customHeight="1" s="241">
      <c r="A47" s="228" t="n"/>
      <c r="B47" s="80" t="inlineStr">
        <is>
          <t>Start-up Peak D.O.</t>
        </is>
      </c>
      <c r="C47" s="117" t="inlineStr">
        <is>
          <t>进BBT前5min出口最高DO</t>
        </is>
      </c>
      <c r="D47" s="157" t="inlineStr">
        <is>
          <t>没有自动采集的查看曲线或其他手段</t>
        </is>
      </c>
    </row>
    <row r="48" ht="30" customHeight="1" s="241">
      <c r="A48" s="228" t="n"/>
      <c r="B48" s="80" t="inlineStr">
        <is>
          <t>Start-up DO</t>
        </is>
      </c>
      <c r="C48" s="117" t="inlineStr">
        <is>
          <t>进BBT前5min出口平均DO，根据在线DO和流量计累计</t>
        </is>
      </c>
      <c r="D48" s="157" t="inlineStr">
        <is>
          <t>没有自动采集的查看曲线或其他手段</t>
        </is>
      </c>
    </row>
    <row r="49" ht="30" customHeight="1" s="241">
      <c r="A49" s="229" t="n"/>
      <c r="B49" s="80" t="inlineStr">
        <is>
          <t>Haze @ 90°</t>
        </is>
      </c>
      <c r="C49" s="117" t="inlineStr">
        <is>
          <t>过滤机启动出口平均浊度，根据在线浊度和流量计累计</t>
        </is>
      </c>
      <c r="D49" s="157" t="inlineStr">
        <is>
          <t>没有自动采集的查看曲线或其他手段</t>
        </is>
      </c>
    </row>
    <row r="50" ht="17.45" customHeight="1" s="241">
      <c r="A50" s="232" t="inlineStr">
        <is>
          <t>BBT</t>
        </is>
      </c>
      <c r="B50" s="80" t="inlineStr">
        <is>
          <t>Integrated DO</t>
        </is>
      </c>
      <c r="C50" s="117" t="inlineStr">
        <is>
          <t>BBT累计DO，根据进BBT前在线DO和流量计累计</t>
        </is>
      </c>
      <c r="D50" s="157" t="inlineStr">
        <is>
          <t>没有自动采集的查看曲线或其他手段</t>
        </is>
      </c>
    </row>
    <row r="51" ht="12.6" customHeight="1" s="241">
      <c r="A51" s="229" t="n"/>
      <c r="B51" s="160" t="inlineStr">
        <is>
          <t>Blending Water Temp</t>
        </is>
      </c>
      <c r="C51" s="161" t="inlineStr">
        <is>
          <t>高浓稀释在线添加稀释水平均温度，根据在线温度和流量计累计</t>
        </is>
      </c>
      <c r="D51" s="162" t="inlineStr">
        <is>
          <t>没有自动采集的查看曲线或其他手段</t>
        </is>
      </c>
    </row>
  </sheetData>
  <autoFilter ref="A1:B51"/>
  <mergeCells count="11">
    <mergeCell ref="A7:A9"/>
    <mergeCell ref="A35:A39"/>
    <mergeCell ref="A15:A25"/>
    <mergeCell ref="A10:A12"/>
    <mergeCell ref="A26:A27"/>
    <mergeCell ref="A2:A6"/>
    <mergeCell ref="A33:A34"/>
    <mergeCell ref="A29:A31"/>
    <mergeCell ref="A50:A51"/>
    <mergeCell ref="A44:A49"/>
    <mergeCell ref="A40:A43"/>
  </mergeCells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56"/>
  <sheetViews>
    <sheetView workbookViewId="0">
      <pane ySplit="1" topLeftCell="A30" activePane="bottomLeft" state="frozen"/>
      <selection pane="bottomLeft" activeCell="A37" sqref="A37:Q37"/>
    </sheetView>
  </sheetViews>
  <sheetFormatPr baseColWidth="8" defaultColWidth="9" defaultRowHeight="15"/>
  <cols>
    <col width="23.28515625" customWidth="1" style="241" min="4" max="4"/>
  </cols>
  <sheetData>
    <row r="1" ht="96" customFormat="1" customHeight="1" s="145">
      <c r="A1" s="147" t="inlineStr">
        <is>
          <t>Process)</t>
        </is>
      </c>
      <c r="B1" s="147" t="inlineStr">
        <is>
          <t>SubProcess</t>
        </is>
      </c>
      <c r="C1" s="147" t="inlineStr">
        <is>
          <t>PI -English</t>
        </is>
      </c>
      <c r="D1" s="147" t="inlineStr">
        <is>
          <t>PI (中文)</t>
        </is>
      </c>
      <c r="E1" s="147" t="inlineStr">
        <is>
          <t>Unit</t>
        </is>
      </c>
      <c r="F1" s="147" t="inlineStr">
        <is>
          <t>PI Code</t>
        </is>
      </c>
      <c r="G1" s="147" t="inlineStr">
        <is>
          <t>Category)</t>
        </is>
      </c>
      <c r="H1" s="148" t="inlineStr">
        <is>
          <t>排序</t>
        </is>
      </c>
      <c r="I1" s="147" t="inlineStr">
        <is>
          <t>输入类型</t>
        </is>
      </c>
      <c r="J1" s="147" t="inlineStr">
        <is>
          <t>是否为sensory的PI</t>
        </is>
      </c>
      <c r="K1" s="147" t="inlineStr">
        <is>
          <t>KeyPI</t>
        </is>
      </c>
      <c r="L1" s="147" t="inlineStr">
        <is>
          <t>Sensory PI Name</t>
        </is>
      </c>
      <c r="M1" s="147" t="inlineStr">
        <is>
          <t>是否为dotGraph的PI</t>
        </is>
      </c>
      <c r="N1" s="147" t="inlineStr">
        <is>
          <t>是否展示点图</t>
        </is>
      </c>
      <c r="O1" s="148" t="inlineStr">
        <is>
          <t>若valueType类型为5时，此字段必填，多个选项值以英文逗号隔开序</t>
        </is>
      </c>
      <c r="P1" s="147" t="inlineStr">
        <is>
          <t>定义-备注</t>
        </is>
      </c>
      <c r="Q1" s="147" t="inlineStr">
        <is>
          <t>PI Vs PI</t>
        </is>
      </c>
    </row>
    <row r="2" ht="76.5" customFormat="1" customHeight="1" s="146">
      <c r="A2" s="233" t="inlineStr">
        <is>
          <t>Brewhouse</t>
        </is>
      </c>
      <c r="B2" s="222" t="inlineStr">
        <is>
          <t>Adjunct Cooker</t>
        </is>
      </c>
      <c r="C2" s="60" t="inlineStr">
        <is>
          <t xml:space="preserve"> Wait for Mash tun time</t>
        </is>
      </c>
      <c r="D2" s="64" t="inlineStr">
        <is>
          <t>糊化锅等待糖化锅时间</t>
        </is>
      </c>
      <c r="E2" s="70" t="inlineStr">
        <is>
          <t>min</t>
        </is>
      </c>
      <c r="F2" s="233" t="inlineStr">
        <is>
          <t>SSS-0088</t>
        </is>
      </c>
      <c r="G2" s="233" t="n"/>
      <c r="H2" s="233" t="n">
        <v>1280</v>
      </c>
      <c r="I2" s="233" t="inlineStr">
        <is>
          <t>整数</t>
        </is>
      </c>
      <c r="J2" s="233" t="inlineStr">
        <is>
          <t>Y</t>
        </is>
      </c>
      <c r="K2" s="233" t="n"/>
      <c r="L2" s="233" t="inlineStr">
        <is>
          <t>Rice cooker wait for Mash tun time (MAX)</t>
        </is>
      </c>
      <c r="M2" s="233" t="n"/>
      <c r="N2" s="233" t="n"/>
      <c r="O2" s="233" t="n"/>
      <c r="P2" s="233" t="n"/>
      <c r="Q2" s="233" t="n"/>
    </row>
    <row r="3" ht="51" customFormat="1" customHeight="1" s="146">
      <c r="A3" s="233" t="inlineStr">
        <is>
          <t>Brewhouse</t>
        </is>
      </c>
      <c r="B3" s="222" t="inlineStr">
        <is>
          <t>Kettle</t>
        </is>
      </c>
      <c r="C3" s="60" t="inlineStr">
        <is>
          <t>Evap % - SOB to KO(MAX)</t>
        </is>
      </c>
      <c r="D3" s="64" t="inlineStr">
        <is>
          <t>总蒸发率(最高锅次）</t>
        </is>
      </c>
      <c r="E3" s="70" t="inlineStr">
        <is>
          <t>%</t>
        </is>
      </c>
      <c r="F3" s="233" t="inlineStr">
        <is>
          <t>SSS-0094</t>
        </is>
      </c>
      <c r="G3" s="233" t="inlineStr">
        <is>
          <t>Process</t>
        </is>
      </c>
      <c r="H3" s="233" t="n">
        <v>1910</v>
      </c>
      <c r="I3" s="233" t="inlineStr">
        <is>
          <t>数据</t>
        </is>
      </c>
      <c r="J3" s="233" t="inlineStr">
        <is>
          <t>Y</t>
        </is>
      </c>
      <c r="K3" s="233" t="inlineStr">
        <is>
          <t>Y</t>
        </is>
      </c>
      <c r="L3" s="233" t="inlineStr">
        <is>
          <t>Total Evaporation rate (MAX)</t>
        </is>
      </c>
      <c r="M3" s="233" t="n"/>
      <c r="N3" s="233" t="n"/>
      <c r="O3" s="233" t="n"/>
      <c r="P3" s="233" t="n"/>
      <c r="Q3" s="233" t="n"/>
    </row>
    <row r="4" ht="51" customFormat="1" customHeight="1" s="146">
      <c r="A4" s="233" t="inlineStr">
        <is>
          <t>Brewhouse</t>
        </is>
      </c>
      <c r="B4" s="222" t="inlineStr">
        <is>
          <t>Kettle</t>
        </is>
      </c>
      <c r="C4" s="60" t="inlineStr">
        <is>
          <t>Evap % - SOB to KO(MIN)</t>
        </is>
      </c>
      <c r="D4" s="64" t="inlineStr">
        <is>
          <t>总蒸发率(最低锅次）</t>
        </is>
      </c>
      <c r="E4" s="70" t="inlineStr">
        <is>
          <t>%</t>
        </is>
      </c>
      <c r="F4" s="233" t="inlineStr">
        <is>
          <t>SSS-0095</t>
        </is>
      </c>
      <c r="G4" s="233" t="inlineStr">
        <is>
          <t>Process</t>
        </is>
      </c>
      <c r="H4" s="233" t="n">
        <v>1920</v>
      </c>
      <c r="I4" s="233" t="inlineStr">
        <is>
          <t>数据</t>
        </is>
      </c>
      <c r="J4" s="233" t="inlineStr">
        <is>
          <t>Y</t>
        </is>
      </c>
      <c r="K4" s="233" t="inlineStr">
        <is>
          <t>Y</t>
        </is>
      </c>
      <c r="L4" s="233" t="inlineStr">
        <is>
          <t>Total Evaporation rate (MIN)</t>
        </is>
      </c>
      <c r="M4" s="233" t="n"/>
      <c r="N4" s="233" t="n"/>
      <c r="O4" s="233" t="n"/>
      <c r="P4" s="233" t="n"/>
      <c r="Q4" s="233" t="n"/>
    </row>
    <row r="5" ht="51" customFormat="1" customHeight="1" s="146">
      <c r="A5" s="233" t="inlineStr">
        <is>
          <t>Brewhouse</t>
        </is>
      </c>
      <c r="B5" s="222" t="inlineStr">
        <is>
          <t>Kettle</t>
        </is>
      </c>
      <c r="C5" s="60" t="inlineStr">
        <is>
          <t>Aroma hop boiling time</t>
        </is>
      </c>
      <c r="D5" s="64" t="inlineStr">
        <is>
          <t>香花煮沸时间</t>
        </is>
      </c>
      <c r="E5" s="70" t="inlineStr">
        <is>
          <t>min</t>
        </is>
      </c>
      <c r="F5" s="233" t="inlineStr">
        <is>
          <t>SSS-0096</t>
        </is>
      </c>
      <c r="G5" s="233" t="inlineStr">
        <is>
          <t>Process</t>
        </is>
      </c>
      <c r="H5" s="233" t="n">
        <v>1950</v>
      </c>
      <c r="I5" s="233" t="inlineStr">
        <is>
          <t>数据</t>
        </is>
      </c>
      <c r="J5" s="233" t="inlineStr">
        <is>
          <t>Y</t>
        </is>
      </c>
      <c r="K5" s="233" t="inlineStr">
        <is>
          <t>Y</t>
        </is>
      </c>
      <c r="L5" s="233" t="inlineStr">
        <is>
          <t>Aroma hop boiling time</t>
        </is>
      </c>
      <c r="M5" s="233" t="n"/>
      <c r="N5" s="233" t="n"/>
      <c r="O5" s="233" t="n"/>
      <c r="P5" s="233" t="n"/>
      <c r="Q5" s="233" t="n"/>
    </row>
    <row r="6" ht="76.5" customFormat="1" customHeight="1" s="146">
      <c r="A6" s="233" t="inlineStr">
        <is>
          <t>Brewhouse</t>
        </is>
      </c>
      <c r="B6" s="222" t="inlineStr">
        <is>
          <t>Kettle</t>
        </is>
      </c>
      <c r="C6" s="60" t="inlineStr">
        <is>
          <t>Kettle steam fluctuate &gt;15% times (MAX)</t>
        </is>
      </c>
      <c r="D6" s="64" t="inlineStr">
        <is>
          <t>煮沸锅蒸汽波动&gt;15%次数(最高锅次）</t>
        </is>
      </c>
      <c r="E6" s="70" t="n"/>
      <c r="F6" s="233" t="inlineStr">
        <is>
          <t>SSS-0097</t>
        </is>
      </c>
      <c r="G6" s="233" t="inlineStr">
        <is>
          <t>Process</t>
        </is>
      </c>
      <c r="H6" s="233" t="n">
        <v>1970</v>
      </c>
      <c r="I6" s="233" t="inlineStr">
        <is>
          <t>数据</t>
        </is>
      </c>
      <c r="J6" s="233" t="inlineStr">
        <is>
          <t>Y</t>
        </is>
      </c>
      <c r="K6" s="233" t="inlineStr">
        <is>
          <t>Y</t>
        </is>
      </c>
      <c r="L6" s="233" t="inlineStr">
        <is>
          <t>Kettle steam fluctuate &gt;15% times (MAX)</t>
        </is>
      </c>
      <c r="M6" s="233" t="n"/>
      <c r="N6" s="233" t="n"/>
      <c r="O6" s="233" t="n"/>
      <c r="P6" s="233" t="n"/>
      <c r="Q6" s="233" t="n"/>
    </row>
    <row r="7" ht="38.25" customFormat="1" customHeight="1" s="146">
      <c r="A7" s="233" t="inlineStr">
        <is>
          <t>Brewhouse</t>
        </is>
      </c>
      <c r="B7" s="223" t="inlineStr">
        <is>
          <t>Whirlpool</t>
        </is>
      </c>
      <c r="C7" s="60" t="inlineStr">
        <is>
          <t>Zinc dosage per brew</t>
        </is>
      </c>
      <c r="D7" s="64" t="inlineStr">
        <is>
          <t>每锅锌添加量</t>
        </is>
      </c>
      <c r="E7" s="70" t="inlineStr">
        <is>
          <t>g/Brew</t>
        </is>
      </c>
      <c r="F7" s="233" t="inlineStr">
        <is>
          <t>SSS-0102</t>
        </is>
      </c>
      <c r="G7" s="233" t="inlineStr">
        <is>
          <t>Process</t>
        </is>
      </c>
      <c r="H7" s="233" t="n">
        <v>2090</v>
      </c>
      <c r="I7" s="233" t="inlineStr">
        <is>
          <t>数据</t>
        </is>
      </c>
      <c r="J7" s="233" t="inlineStr">
        <is>
          <t>Y</t>
        </is>
      </c>
      <c r="K7" s="233" t="n"/>
      <c r="L7" s="233" t="inlineStr">
        <is>
          <t>Zinc dosage per brew</t>
        </is>
      </c>
      <c r="M7" s="233" t="n"/>
      <c r="N7" s="233" t="n"/>
      <c r="O7" s="233" t="n"/>
      <c r="P7" s="233" t="n"/>
      <c r="Q7" s="233" t="n"/>
    </row>
    <row r="8" ht="51" customFormat="1" customHeight="1" s="146">
      <c r="A8" s="233" t="inlineStr">
        <is>
          <t>Brewhouse</t>
        </is>
      </c>
      <c r="B8" s="223" t="inlineStr">
        <is>
          <t>Whirlpool</t>
        </is>
      </c>
      <c r="C8" s="60" t="inlineStr">
        <is>
          <t>Brewhouse hot time standard</t>
        </is>
      </c>
      <c r="D8" s="64" t="inlineStr">
        <is>
          <t>糖化热时间标准</t>
        </is>
      </c>
      <c r="E8" s="70" t="inlineStr">
        <is>
          <t>min</t>
        </is>
      </c>
      <c r="F8" s="233" t="inlineStr">
        <is>
          <t>SSS-0103</t>
        </is>
      </c>
      <c r="G8" s="233" t="n"/>
      <c r="H8" s="233" t="n">
        <v>2170</v>
      </c>
      <c r="I8" s="233" t="inlineStr">
        <is>
          <t>整数</t>
        </is>
      </c>
      <c r="J8" s="233" t="inlineStr">
        <is>
          <t>Y</t>
        </is>
      </c>
      <c r="K8" s="233" t="n"/>
      <c r="L8" s="233" t="inlineStr">
        <is>
          <t>Brewhouse hot time standard</t>
        </is>
      </c>
      <c r="M8" s="233" t="n"/>
      <c r="N8" s="233" t="n"/>
      <c r="O8" s="233" t="n"/>
      <c r="P8" s="233" t="n"/>
      <c r="Q8" s="233" t="n"/>
    </row>
    <row r="9" ht="63.75" customFormat="1" customHeight="1" s="146">
      <c r="A9" s="233" t="inlineStr">
        <is>
          <t>Brewhouse</t>
        </is>
      </c>
      <c r="B9" s="223" t="inlineStr">
        <is>
          <t>Whirlpool</t>
        </is>
      </c>
      <c r="C9" s="60" t="inlineStr">
        <is>
          <t>Vessel cleanness check after empty</t>
        </is>
      </c>
      <c r="D9" s="64" t="inlineStr">
        <is>
          <t>糖化锅槽空锅后检查是否干净</t>
        </is>
      </c>
      <c r="E9" s="70" t="inlineStr">
        <is>
          <t>OK/NOK</t>
        </is>
      </c>
      <c r="F9" s="233" t="inlineStr">
        <is>
          <t>SSS-0106</t>
        </is>
      </c>
      <c r="G9" s="233" t="inlineStr">
        <is>
          <t>Equipment</t>
        </is>
      </c>
      <c r="H9" s="233" t="n">
        <v>2250</v>
      </c>
      <c r="I9" s="233" t="inlineStr">
        <is>
          <t>下拉框</t>
        </is>
      </c>
      <c r="J9" s="233" t="inlineStr">
        <is>
          <t>Y</t>
        </is>
      </c>
      <c r="K9" s="233" t="inlineStr">
        <is>
          <t>Y</t>
        </is>
      </c>
      <c r="L9" s="233" t="inlineStr">
        <is>
          <t>Vessel cleanness check after empty</t>
        </is>
      </c>
      <c r="M9" s="233" t="n"/>
      <c r="N9" s="233" t="n"/>
      <c r="O9" s="233" t="inlineStr">
        <is>
          <t>OK,NOK</t>
        </is>
      </c>
      <c r="P9" s="233" t="n"/>
      <c r="Q9" s="233" t="n"/>
    </row>
    <row r="10" ht="25.5" customFormat="1" customHeight="1" s="146">
      <c r="A10" s="233" t="inlineStr">
        <is>
          <t>Fermentation</t>
        </is>
      </c>
      <c r="B10" s="222" t="inlineStr">
        <is>
          <t>Fermentor Fill</t>
        </is>
      </c>
      <c r="C10" s="60" t="inlineStr">
        <is>
          <t>Filling Height</t>
        </is>
      </c>
      <c r="D10" s="61" t="inlineStr">
        <is>
          <t>满罐麦汁高度）</t>
        </is>
      </c>
      <c r="E10" s="69" t="inlineStr">
        <is>
          <t>m</t>
        </is>
      </c>
      <c r="F10" s="233" t="inlineStr">
        <is>
          <t>SSS-0113</t>
        </is>
      </c>
      <c r="G10" s="233" t="n"/>
      <c r="H10" s="233" t="n">
        <v>2610</v>
      </c>
      <c r="I10" s="233" t="inlineStr">
        <is>
          <t>数据</t>
        </is>
      </c>
      <c r="J10" s="233" t="inlineStr">
        <is>
          <t>Y</t>
        </is>
      </c>
      <c r="K10" s="233" t="n"/>
      <c r="L10" s="233" t="inlineStr">
        <is>
          <t>Filling Height</t>
        </is>
      </c>
      <c r="M10" s="233" t="n"/>
      <c r="N10" s="233" t="n"/>
      <c r="O10" s="233" t="n"/>
      <c r="P10" s="61" t="n"/>
      <c r="Q10" s="61" t="n"/>
    </row>
    <row r="11" ht="25.5" customFormat="1" customHeight="1" s="146">
      <c r="A11" s="233" t="inlineStr">
        <is>
          <t>Fermentation</t>
        </is>
      </c>
      <c r="B11" s="222" t="inlineStr">
        <is>
          <t>Fermentor Fill</t>
        </is>
      </c>
      <c r="C11" s="60" t="inlineStr">
        <is>
          <t>Filling rate</t>
        </is>
      </c>
      <c r="D11" s="61" t="inlineStr">
        <is>
          <t>填充率</t>
        </is>
      </c>
      <c r="E11" s="69" t="inlineStr">
        <is>
          <t>%</t>
        </is>
      </c>
      <c r="F11" s="233" t="inlineStr">
        <is>
          <t>SSS-0114</t>
        </is>
      </c>
      <c r="G11" s="233" t="n"/>
      <c r="H11" s="233" t="n">
        <v>2620</v>
      </c>
      <c r="I11" s="233" t="inlineStr">
        <is>
          <t>数据</t>
        </is>
      </c>
      <c r="J11" s="233" t="inlineStr">
        <is>
          <t>Y</t>
        </is>
      </c>
      <c r="K11" s="233" t="n"/>
      <c r="L11" s="233" t="inlineStr">
        <is>
          <t>Filling rate</t>
        </is>
      </c>
      <c r="M11" s="233" t="n"/>
      <c r="N11" s="233" t="n"/>
      <c r="O11" s="233" t="n"/>
      <c r="P11" s="61" t="n"/>
      <c r="Q11" s="61" t="n"/>
    </row>
    <row r="12" ht="25.5" customFormat="1" customHeight="1" s="146">
      <c r="A12" s="233" t="inlineStr">
        <is>
          <t>Fermentation</t>
        </is>
      </c>
      <c r="B12" s="222" t="inlineStr">
        <is>
          <t>Fermentor Fill</t>
        </is>
      </c>
      <c r="C12" s="60" t="inlineStr">
        <is>
          <t>Tank Diameter</t>
        </is>
      </c>
      <c r="D12" s="61" t="inlineStr">
        <is>
          <t>罐直径</t>
        </is>
      </c>
      <c r="E12" s="69" t="inlineStr">
        <is>
          <t>m</t>
        </is>
      </c>
      <c r="F12" s="233" t="inlineStr">
        <is>
          <t>SSS-0115</t>
        </is>
      </c>
      <c r="G12" s="233" t="n"/>
      <c r="H12" s="233" t="n">
        <v>2630</v>
      </c>
      <c r="I12" s="233" t="inlineStr">
        <is>
          <t>数据</t>
        </is>
      </c>
      <c r="J12" s="233" t="inlineStr">
        <is>
          <t>Y</t>
        </is>
      </c>
      <c r="K12" s="233" t="n"/>
      <c r="L12" s="233" t="inlineStr">
        <is>
          <t>Tank Diameter</t>
        </is>
      </c>
      <c r="M12" s="233" t="n"/>
      <c r="N12" s="233" t="n"/>
      <c r="O12" s="233" t="n"/>
      <c r="P12" s="61" t="n"/>
      <c r="Q12" s="61" t="n"/>
    </row>
    <row r="13" ht="51" customFormat="1" customHeight="1" s="146">
      <c r="A13" s="233" t="inlineStr">
        <is>
          <t>Fermentation</t>
        </is>
      </c>
      <c r="B13" s="222" t="inlineStr">
        <is>
          <t>Fermentor Fill</t>
        </is>
      </c>
      <c r="C13" s="60" t="inlineStr">
        <is>
          <t>Fill Height &amp; Diameter ratio</t>
        </is>
      </c>
      <c r="D13" s="61" t="inlineStr">
        <is>
          <t>填装高度和直径比</t>
        </is>
      </c>
      <c r="E13" s="69" t="n"/>
      <c r="F13" s="233" t="inlineStr">
        <is>
          <t>SSS-0116</t>
        </is>
      </c>
      <c r="G13" s="233" t="n"/>
      <c r="H13" s="233" t="n">
        <v>2640</v>
      </c>
      <c r="I13" s="233" t="inlineStr">
        <is>
          <t>数据</t>
        </is>
      </c>
      <c r="J13" s="233" t="inlineStr">
        <is>
          <t>Y</t>
        </is>
      </c>
      <c r="K13" s="233" t="n"/>
      <c r="L13" s="233" t="inlineStr">
        <is>
          <t>Fill Height &amp; Diameter ratio</t>
        </is>
      </c>
      <c r="M13" s="233" t="n"/>
      <c r="N13" s="233" t="n"/>
      <c r="O13" s="233" t="n"/>
      <c r="P13" s="61" t="n"/>
      <c r="Q13" s="61" t="n"/>
    </row>
    <row r="14" ht="38.25" customFormat="1" customHeight="1" s="146">
      <c r="A14" s="233" t="inlineStr">
        <is>
          <t>Fermentation</t>
        </is>
      </c>
      <c r="B14" s="222" t="inlineStr">
        <is>
          <t>Fermentor Fill</t>
        </is>
      </c>
      <c r="C14" s="60" t="inlineStr">
        <is>
          <t>Air injection setting</t>
        </is>
      </c>
      <c r="D14" s="61" t="inlineStr">
        <is>
          <t>充氧设定</t>
        </is>
      </c>
      <c r="E14" s="70" t="inlineStr">
        <is>
          <t>SCF/bbl</t>
        </is>
      </c>
      <c r="F14" s="233" t="inlineStr">
        <is>
          <t>SSS-0118</t>
        </is>
      </c>
      <c r="G14" s="233" t="inlineStr">
        <is>
          <t>Process</t>
        </is>
      </c>
      <c r="H14" s="233" t="n">
        <v>2770</v>
      </c>
      <c r="I14" s="233" t="inlineStr">
        <is>
          <t>数据</t>
        </is>
      </c>
      <c r="J14" s="233" t="inlineStr">
        <is>
          <t>Y</t>
        </is>
      </c>
      <c r="K14" s="233" t="n"/>
      <c r="L14" s="233" t="inlineStr">
        <is>
          <t>Aeration</t>
        </is>
      </c>
      <c r="M14" s="233" t="n"/>
      <c r="N14" s="233" t="n"/>
      <c r="O14" s="233" t="n"/>
      <c r="P14" s="61" t="n"/>
      <c r="Q14" s="61" t="n"/>
    </row>
    <row r="15" ht="25.5" customFormat="1" customHeight="1" s="146">
      <c r="A15" s="233" t="inlineStr">
        <is>
          <t>Fermentation</t>
        </is>
      </c>
      <c r="B15" s="222" t="inlineStr">
        <is>
          <t>Fermentor Fill</t>
        </is>
      </c>
      <c r="C15" s="60" t="inlineStr">
        <is>
          <t>Cold wort DO</t>
        </is>
      </c>
      <c r="D15" s="61" t="inlineStr">
        <is>
          <t>冷麦汁DO</t>
        </is>
      </c>
      <c r="E15" s="70" t="inlineStr">
        <is>
          <t>ppm</t>
        </is>
      </c>
      <c r="F15" s="233" t="inlineStr">
        <is>
          <t>SSS-0119</t>
        </is>
      </c>
      <c r="G15" s="233" t="inlineStr">
        <is>
          <t>Process</t>
        </is>
      </c>
      <c r="H15" s="233" t="n">
        <v>2800</v>
      </c>
      <c r="I15" s="233" t="inlineStr">
        <is>
          <t>数据</t>
        </is>
      </c>
      <c r="J15" s="233" t="inlineStr">
        <is>
          <t>Y</t>
        </is>
      </c>
      <c r="K15" s="233" t="n"/>
      <c r="L15" s="233" t="inlineStr">
        <is>
          <t>Cold wort DO</t>
        </is>
      </c>
      <c r="M15" s="233" t="n"/>
      <c r="N15" s="233" t="n"/>
      <c r="O15" s="233" t="n"/>
      <c r="P15" s="61" t="n"/>
      <c r="Q15" s="61" t="n"/>
    </row>
    <row r="16" ht="38.25" customFormat="1" customHeight="1" s="146">
      <c r="A16" s="233" t="inlineStr">
        <is>
          <t>Fermentation</t>
        </is>
      </c>
      <c r="B16" s="222" t="inlineStr">
        <is>
          <t>Fermentor Fill</t>
        </is>
      </c>
      <c r="C16" s="60" t="inlineStr">
        <is>
          <t>Total filling time</t>
        </is>
      </c>
      <c r="D16" s="61" t="inlineStr">
        <is>
          <t>满罐时长</t>
        </is>
      </c>
      <c r="E16" s="70" t="inlineStr">
        <is>
          <t>hr</t>
        </is>
      </c>
      <c r="F16" s="233" t="inlineStr">
        <is>
          <t>SSS-0120</t>
        </is>
      </c>
      <c r="G16" s="233" t="inlineStr">
        <is>
          <t>Process</t>
        </is>
      </c>
      <c r="H16" s="233" t="n">
        <v>2810</v>
      </c>
      <c r="I16" s="233" t="inlineStr">
        <is>
          <t>数据</t>
        </is>
      </c>
      <c r="J16" s="233" t="inlineStr">
        <is>
          <t>Y</t>
        </is>
      </c>
      <c r="K16" s="233" t="n"/>
      <c r="L16" s="233" t="inlineStr">
        <is>
          <t>Total filling time</t>
        </is>
      </c>
      <c r="M16" s="233" t="n"/>
      <c r="N16" s="233" t="n"/>
      <c r="O16" s="233" t="n"/>
      <c r="P16" s="61" t="n"/>
      <c r="Q16" s="61" t="n"/>
    </row>
    <row r="17" ht="38.25" customFormat="1" customHeight="1" s="146">
      <c r="A17" s="233" t="inlineStr">
        <is>
          <t>Fermentation</t>
        </is>
      </c>
      <c r="B17" s="224" t="inlineStr">
        <is>
          <t>Alpha Fermentation</t>
        </is>
      </c>
      <c r="C17" s="60" t="inlineStr">
        <is>
          <t>CO2 recovery start time</t>
        </is>
      </c>
      <c r="D17" s="61" t="inlineStr">
        <is>
          <t>CO2回收时间</t>
        </is>
      </c>
      <c r="E17" s="70" t="inlineStr">
        <is>
          <t>hr</t>
        </is>
      </c>
      <c r="F17" s="233" t="inlineStr">
        <is>
          <t>SSS-0122</t>
        </is>
      </c>
      <c r="G17" s="233" t="inlineStr">
        <is>
          <t>Process</t>
        </is>
      </c>
      <c r="H17" s="233" t="n">
        <v>2950</v>
      </c>
      <c r="I17" s="233" t="inlineStr">
        <is>
          <t>数据</t>
        </is>
      </c>
      <c r="J17" s="233" t="inlineStr">
        <is>
          <t>Y</t>
        </is>
      </c>
      <c r="K17" s="233" t="n"/>
      <c r="L17" s="233" t="inlineStr">
        <is>
          <t>CO2 recovery start time</t>
        </is>
      </c>
      <c r="M17" s="233" t="n"/>
      <c r="N17" s="233" t="n"/>
      <c r="O17" s="233" t="n"/>
      <c r="P17" s="61" t="n"/>
      <c r="Q17" s="61" t="n"/>
    </row>
    <row r="18" ht="76.5" customFormat="1" customHeight="1" s="146">
      <c r="A18" s="233" t="inlineStr">
        <is>
          <t>Fermentation</t>
        </is>
      </c>
      <c r="B18" s="224" t="inlineStr">
        <is>
          <t>Alpha Fermentation</t>
        </is>
      </c>
      <c r="C18" s="60" t="inlineStr">
        <is>
          <t>Alpha fermentation pressure(Maximum)</t>
        </is>
      </c>
      <c r="D18" s="61" t="inlineStr">
        <is>
          <t>主酵期间发酵罐最大压力</t>
        </is>
      </c>
      <c r="E18" s="70" t="inlineStr">
        <is>
          <t>Bar</t>
        </is>
      </c>
      <c r="F18" s="233" t="inlineStr">
        <is>
          <t>SSS-0123</t>
        </is>
      </c>
      <c r="G18" s="233" t="inlineStr">
        <is>
          <t>Process</t>
        </is>
      </c>
      <c r="H18" s="233" t="n">
        <v>2960</v>
      </c>
      <c r="I18" s="233" t="inlineStr">
        <is>
          <t>数据</t>
        </is>
      </c>
      <c r="J18" s="233" t="inlineStr">
        <is>
          <t>Y</t>
        </is>
      </c>
      <c r="K18" s="233" t="n"/>
      <c r="L18" s="233" t="inlineStr">
        <is>
          <t>Alpha fermentation pressure(Maximum)</t>
        </is>
      </c>
      <c r="M18" s="233" t="n"/>
      <c r="N18" s="233" t="n"/>
      <c r="O18" s="233" t="n"/>
      <c r="P18" s="61" t="n"/>
      <c r="Q18" s="61" t="n"/>
    </row>
    <row r="19" ht="38.25" customFormat="1" customHeight="1" s="146">
      <c r="A19" s="233" t="inlineStr">
        <is>
          <t>Fermentation</t>
        </is>
      </c>
      <c r="B19" s="224" t="inlineStr">
        <is>
          <t>Alpha Fermentation</t>
        </is>
      </c>
      <c r="C19" s="223" t="inlineStr">
        <is>
          <t>72h AE</t>
        </is>
      </c>
      <c r="D19" s="61" t="inlineStr">
        <is>
          <t>72h 外观糖度</t>
        </is>
      </c>
      <c r="E19" s="70" t="inlineStr">
        <is>
          <t>Plato</t>
        </is>
      </c>
      <c r="F19" s="233" t="inlineStr">
        <is>
          <t>SSS-0124</t>
        </is>
      </c>
      <c r="G19" s="233" t="inlineStr">
        <is>
          <t>Process</t>
        </is>
      </c>
      <c r="H19" s="233" t="n">
        <v>3000</v>
      </c>
      <c r="I19" s="233" t="inlineStr">
        <is>
          <t>数据</t>
        </is>
      </c>
      <c r="J19" s="233" t="inlineStr">
        <is>
          <t>Y</t>
        </is>
      </c>
      <c r="K19" s="233" t="n"/>
      <c r="L19" s="233" t="inlineStr">
        <is>
          <t>72h AE</t>
        </is>
      </c>
      <c r="M19" s="233" t="n"/>
      <c r="N19" s="233" t="n"/>
      <c r="O19" s="233" t="n"/>
      <c r="P19" s="61" t="n"/>
      <c r="Q19" s="61" t="n"/>
    </row>
    <row r="20" ht="51" customFormat="1" customHeight="1" s="146">
      <c r="A20" s="233" t="inlineStr">
        <is>
          <t>Fermentation</t>
        </is>
      </c>
      <c r="B20" s="224" t="inlineStr">
        <is>
          <t>Alpha Fermentation</t>
        </is>
      </c>
      <c r="C20" s="60" t="inlineStr">
        <is>
          <t>Yeast recovery delay time</t>
        </is>
      </c>
      <c r="D20" s="61" t="inlineStr">
        <is>
          <t>酵母推迟回收时间</t>
        </is>
      </c>
      <c r="E20" s="70" t="inlineStr">
        <is>
          <t>hr</t>
        </is>
      </c>
      <c r="F20" s="233" t="inlineStr">
        <is>
          <t>SSS-0126</t>
        </is>
      </c>
      <c r="G20" s="233" t="inlineStr">
        <is>
          <t>Process</t>
        </is>
      </c>
      <c r="H20" s="233" t="n">
        <v>3060</v>
      </c>
      <c r="I20" s="233" t="inlineStr">
        <is>
          <t>数据</t>
        </is>
      </c>
      <c r="J20" s="233" t="inlineStr">
        <is>
          <t>Y</t>
        </is>
      </c>
      <c r="K20" s="233" t="n"/>
      <c r="L20" s="233" t="inlineStr">
        <is>
          <t>Yeast recovery delay time</t>
        </is>
      </c>
      <c r="M20" s="233" t="n"/>
      <c r="N20" s="233" t="n"/>
      <c r="O20" s="233" t="n"/>
      <c r="P20" s="61" t="n"/>
      <c r="Q20" s="61" t="n"/>
    </row>
    <row r="21" ht="38.25" customFormat="1" customHeight="1" s="146">
      <c r="A21" s="233" t="inlineStr">
        <is>
          <t>Fermentation</t>
        </is>
      </c>
      <c r="B21" s="222" t="inlineStr">
        <is>
          <t>Warm Maturation</t>
        </is>
      </c>
      <c r="C21" s="60" t="inlineStr">
        <is>
          <t>EOC death rate</t>
        </is>
      </c>
      <c r="D21" s="61" t="inlineStr">
        <is>
          <t>EOC 酵母死亡率</t>
        </is>
      </c>
      <c r="E21" s="70" t="inlineStr">
        <is>
          <t>%</t>
        </is>
      </c>
      <c r="F21" s="233" t="inlineStr">
        <is>
          <t>SSS-0129</t>
        </is>
      </c>
      <c r="G21" s="233" t="inlineStr">
        <is>
          <t>Process</t>
        </is>
      </c>
      <c r="H21" s="233" t="n">
        <v>3190</v>
      </c>
      <c r="I21" s="233" t="inlineStr">
        <is>
          <t>数据</t>
        </is>
      </c>
      <c r="J21" s="233" t="inlineStr">
        <is>
          <t>Y</t>
        </is>
      </c>
      <c r="K21" s="233" t="n"/>
      <c r="L21" s="233" t="inlineStr">
        <is>
          <t>EOC death rate</t>
        </is>
      </c>
      <c r="M21" s="233" t="n"/>
      <c r="N21" s="233" t="n"/>
      <c r="O21" s="233" t="n"/>
      <c r="P21" s="61" t="n"/>
      <c r="Q21" s="61" t="n"/>
    </row>
    <row r="22" ht="38.25" customFormat="1" customHeight="1" s="146">
      <c r="A22" s="233" t="inlineStr">
        <is>
          <t>Fermentation</t>
        </is>
      </c>
      <c r="B22" s="222" t="inlineStr">
        <is>
          <t>Warm Maturation</t>
        </is>
      </c>
      <c r="C22" s="60" t="inlineStr">
        <is>
          <t>Fermentation cycle deviation</t>
        </is>
      </c>
      <c r="D22" s="61" t="inlineStr">
        <is>
          <t>发酵周期偏离</t>
        </is>
      </c>
      <c r="E22" s="70" t="inlineStr">
        <is>
          <t>Day</t>
        </is>
      </c>
      <c r="F22" s="233" t="inlineStr">
        <is>
          <t>SSS-0130</t>
        </is>
      </c>
      <c r="G22" s="233" t="inlineStr">
        <is>
          <t>Process</t>
        </is>
      </c>
      <c r="H22" s="233" t="n">
        <v>3240</v>
      </c>
      <c r="I22" s="233" t="inlineStr">
        <is>
          <t>数据</t>
        </is>
      </c>
      <c r="J22" s="233" t="inlineStr">
        <is>
          <t>Y</t>
        </is>
      </c>
      <c r="K22" s="233" t="n"/>
      <c r="L22" s="233" t="inlineStr">
        <is>
          <t>Fermentation cycle deviation</t>
        </is>
      </c>
      <c r="M22" s="233" t="n"/>
      <c r="N22" s="233" t="n"/>
      <c r="O22" s="233" t="n"/>
      <c r="P22" s="61" t="n"/>
      <c r="Q22" s="61" t="n"/>
    </row>
    <row r="23" ht="89.25" customFormat="1" customHeight="1" s="146">
      <c r="A23" s="233" t="inlineStr">
        <is>
          <t>Fermentation</t>
        </is>
      </c>
      <c r="B23" s="222" t="inlineStr">
        <is>
          <t>Warm Maturation</t>
        </is>
      </c>
      <c r="C23" s="76" t="inlineStr">
        <is>
          <t>Waiting for centrifuge days after maturation</t>
        </is>
      </c>
      <c r="D23" s="61" t="inlineStr">
        <is>
          <t>成熟后至开罐出酒时间</t>
        </is>
      </c>
      <c r="E23" s="70" t="inlineStr">
        <is>
          <t>Day</t>
        </is>
      </c>
      <c r="F23" s="233" t="inlineStr">
        <is>
          <t>SSS-0131</t>
        </is>
      </c>
      <c r="G23" s="233" t="inlineStr">
        <is>
          <t>Process</t>
        </is>
      </c>
      <c r="H23" s="233" t="n">
        <v>3270</v>
      </c>
      <c r="I23" s="233" t="inlineStr">
        <is>
          <t>数据</t>
        </is>
      </c>
      <c r="J23" s="233" t="inlineStr">
        <is>
          <t>Y</t>
        </is>
      </c>
      <c r="K23" s="233" t="n"/>
      <c r="L23" s="233" t="inlineStr">
        <is>
          <t>Waiting for centrifuge days after maturation</t>
        </is>
      </c>
      <c r="M23" s="233" t="n"/>
      <c r="N23" s="233" t="n"/>
      <c r="O23" s="233" t="n"/>
      <c r="P23" s="61" t="n"/>
      <c r="Q23" s="61" t="n"/>
    </row>
    <row r="24" ht="38.25" customFormat="1" customHeight="1" s="146">
      <c r="A24" s="233" t="inlineStr">
        <is>
          <t>Fermentation</t>
        </is>
      </c>
      <c r="B24" s="222" t="inlineStr">
        <is>
          <t>Filtration</t>
        </is>
      </c>
      <c r="C24" s="60" t="inlineStr">
        <is>
          <t>Kieselguhr iron - fine</t>
        </is>
      </c>
      <c r="D24" s="61" t="inlineStr">
        <is>
          <t>硅藻土中铁 - 细土</t>
        </is>
      </c>
      <c r="E24" s="69" t="inlineStr">
        <is>
          <t>ppm</t>
        </is>
      </c>
      <c r="F24" s="233" t="inlineStr">
        <is>
          <t>SSS-0147</t>
        </is>
      </c>
      <c r="G24" s="233" t="inlineStr">
        <is>
          <t>Raw material</t>
        </is>
      </c>
      <c r="H24" s="233" t="n">
        <v>3780</v>
      </c>
      <c r="I24" s="233" t="inlineStr">
        <is>
          <t>数据</t>
        </is>
      </c>
      <c r="J24" s="233" t="inlineStr">
        <is>
          <t>Y</t>
        </is>
      </c>
      <c r="K24" s="233" t="n"/>
      <c r="L24" s="233" t="inlineStr">
        <is>
          <t>Kieselguhr iron - fine</t>
        </is>
      </c>
      <c r="M24" s="233" t="n"/>
      <c r="N24" s="233" t="n"/>
      <c r="O24" s="233" t="n"/>
      <c r="P24" s="61" t="n"/>
      <c r="Q24" s="61" t="n"/>
    </row>
    <row r="25" ht="38.25" customFormat="1" customHeight="1" s="146">
      <c r="A25" s="233" t="inlineStr">
        <is>
          <t>Fermentation</t>
        </is>
      </c>
      <c r="B25" s="222" t="inlineStr">
        <is>
          <t>Filtration</t>
        </is>
      </c>
      <c r="C25" s="60" t="inlineStr">
        <is>
          <t>Kieselguhr iron - medium</t>
        </is>
      </c>
      <c r="D25" s="61" t="inlineStr">
        <is>
          <t>硅藻土中铁 - 中土</t>
        </is>
      </c>
      <c r="E25" s="69" t="inlineStr">
        <is>
          <t>ppm</t>
        </is>
      </c>
      <c r="F25" s="233" t="inlineStr">
        <is>
          <t>SSS-0148</t>
        </is>
      </c>
      <c r="G25" s="233" t="inlineStr">
        <is>
          <t>Raw material</t>
        </is>
      </c>
      <c r="H25" s="233" t="n">
        <v>3790</v>
      </c>
      <c r="I25" s="233" t="inlineStr">
        <is>
          <t>数据</t>
        </is>
      </c>
      <c r="J25" s="233" t="inlineStr">
        <is>
          <t>Y</t>
        </is>
      </c>
      <c r="K25" s="233" t="n"/>
      <c r="L25" s="233" t="inlineStr">
        <is>
          <t>Kieselguhr iron - medium</t>
        </is>
      </c>
      <c r="M25" s="233" t="n"/>
      <c r="N25" s="233" t="n"/>
      <c r="O25" s="233" t="n"/>
      <c r="P25" s="61" t="n"/>
      <c r="Q25" s="61" t="n"/>
    </row>
    <row r="26" ht="51" customFormat="1" customHeight="1" s="146">
      <c r="A26" s="233" t="inlineStr">
        <is>
          <t>Packaging</t>
        </is>
      </c>
      <c r="B26" s="222" t="inlineStr">
        <is>
          <t>PQI</t>
        </is>
      </c>
      <c r="C26" s="60" t="inlineStr">
        <is>
          <t>TPO radar maximum data</t>
        </is>
      </c>
      <c r="D26" s="61" t="inlineStr">
        <is>
          <t>TPO雷达图最大值</t>
        </is>
      </c>
      <c r="E26" s="69" t="inlineStr">
        <is>
          <t>ppb</t>
        </is>
      </c>
      <c r="F26" s="233" t="inlineStr">
        <is>
          <t>SSS-0156</t>
        </is>
      </c>
      <c r="G26" s="233" t="inlineStr">
        <is>
          <t>Process</t>
        </is>
      </c>
      <c r="H26" s="233" t="n">
        <v>4160</v>
      </c>
      <c r="I26" s="233" t="inlineStr">
        <is>
          <t>数据</t>
        </is>
      </c>
      <c r="J26" s="233" t="inlineStr">
        <is>
          <t>Y</t>
        </is>
      </c>
      <c r="K26" s="233" t="inlineStr">
        <is>
          <t>Y</t>
        </is>
      </c>
      <c r="L26" s="233" t="inlineStr">
        <is>
          <t>TPO radar maximum data</t>
        </is>
      </c>
      <c r="M26" s="233" t="n"/>
      <c r="N26" s="233" t="n"/>
      <c r="O26" s="233" t="n"/>
      <c r="P26" s="61" t="n"/>
      <c r="Q26" s="61" t="n"/>
    </row>
    <row r="27" ht="38.25" customFormat="1" customHeight="1" s="146">
      <c r="A27" s="233" t="inlineStr">
        <is>
          <t>Packaging</t>
        </is>
      </c>
      <c r="B27" s="222" t="inlineStr">
        <is>
          <t>PQI</t>
        </is>
      </c>
      <c r="C27" s="60" t="inlineStr">
        <is>
          <t>TPO &lt;=40ppb percent</t>
        </is>
      </c>
      <c r="D27" s="61" t="inlineStr">
        <is>
          <t>TPO&lt;=40ppb比例</t>
        </is>
      </c>
      <c r="E27" s="69" t="inlineStr">
        <is>
          <t>ppb</t>
        </is>
      </c>
      <c r="F27" s="233" t="inlineStr">
        <is>
          <t>SSS-0157</t>
        </is>
      </c>
      <c r="G27" s="233" t="inlineStr">
        <is>
          <t>Process</t>
        </is>
      </c>
      <c r="H27" s="233" t="n">
        <v>4170</v>
      </c>
      <c r="I27" s="233" t="inlineStr">
        <is>
          <t>数据</t>
        </is>
      </c>
      <c r="J27" s="233" t="inlineStr">
        <is>
          <t>Y</t>
        </is>
      </c>
      <c r="K27" s="233" t="inlineStr">
        <is>
          <t>Y</t>
        </is>
      </c>
      <c r="L27" s="233" t="inlineStr">
        <is>
          <t>TPO &lt;=40ppb percent</t>
        </is>
      </c>
      <c r="M27" s="233" t="n"/>
      <c r="N27" s="233" t="n"/>
      <c r="O27" s="233" t="n"/>
      <c r="P27" s="61" t="n"/>
      <c r="Q27" s="61" t="n"/>
    </row>
    <row r="28" ht="38.25" customFormat="1" customHeight="1" s="146">
      <c r="A28" s="233" t="inlineStr">
        <is>
          <t>Packaging</t>
        </is>
      </c>
      <c r="B28" s="222" t="inlineStr">
        <is>
          <t>PQI</t>
        </is>
      </c>
      <c r="C28" s="60" t="inlineStr">
        <is>
          <t>Filling level deviation</t>
        </is>
      </c>
      <c r="D28" s="61" t="inlineStr">
        <is>
          <t>灌装液位偏离</t>
        </is>
      </c>
      <c r="E28" s="69" t="inlineStr">
        <is>
          <t>ml</t>
        </is>
      </c>
      <c r="F28" s="233" t="inlineStr">
        <is>
          <t>SSS-0159</t>
        </is>
      </c>
      <c r="G28" s="233" t="inlineStr">
        <is>
          <t>Equipment</t>
        </is>
      </c>
      <c r="H28" s="233" t="n">
        <v>4220</v>
      </c>
      <c r="I28" s="233" t="inlineStr">
        <is>
          <t>数据</t>
        </is>
      </c>
      <c r="J28" s="233" t="inlineStr">
        <is>
          <t>Y</t>
        </is>
      </c>
      <c r="K28" s="233" t="n"/>
      <c r="L28" s="233" t="inlineStr">
        <is>
          <t>Filling level deviation</t>
        </is>
      </c>
      <c r="M28" s="233" t="n"/>
      <c r="N28" s="233" t="n"/>
      <c r="O28" s="233" t="n"/>
      <c r="P28" s="61" t="n"/>
      <c r="Q28" s="61" t="n"/>
    </row>
    <row r="29" ht="51" customFormat="1" customHeight="1" s="146">
      <c r="A29" s="233" t="inlineStr">
        <is>
          <t>Packaging</t>
        </is>
      </c>
      <c r="B29" s="222" t="inlineStr">
        <is>
          <t>Bottle Washer</t>
        </is>
      </c>
      <c r="C29" s="60" t="inlineStr">
        <is>
          <t xml:space="preserve"> Rinse water pressure</t>
        </is>
      </c>
      <c r="D29" s="61" t="inlineStr">
        <is>
          <t>冲瓶水压力</t>
        </is>
      </c>
      <c r="E29" s="70" t="inlineStr">
        <is>
          <t>Bar</t>
        </is>
      </c>
      <c r="F29" s="233" t="inlineStr">
        <is>
          <t>SSS-0169</t>
        </is>
      </c>
      <c r="G29" s="233" t="inlineStr">
        <is>
          <t>Process</t>
        </is>
      </c>
      <c r="H29" s="233" t="n">
        <v>4320</v>
      </c>
      <c r="I29" s="233" t="inlineStr">
        <is>
          <t>数据</t>
        </is>
      </c>
      <c r="J29" s="233" t="inlineStr">
        <is>
          <t>Y</t>
        </is>
      </c>
      <c r="K29" s="233" t="inlineStr">
        <is>
          <t>Y</t>
        </is>
      </c>
      <c r="L29" s="233" t="inlineStr">
        <is>
          <t>Bottle washer rinse pressure</t>
        </is>
      </c>
      <c r="M29" s="233" t="n"/>
      <c r="N29" s="233" t="n"/>
      <c r="O29" s="233" t="n"/>
      <c r="P29" s="61" t="n"/>
      <c r="Q29" s="61" t="n"/>
    </row>
    <row r="30" ht="25.5" customFormat="1" customHeight="1" s="146">
      <c r="A30" s="233" t="inlineStr">
        <is>
          <t>Finish beer</t>
        </is>
      </c>
      <c r="B30" s="222" t="inlineStr">
        <is>
          <t>Finish Beer</t>
        </is>
      </c>
      <c r="C30" s="60" t="inlineStr">
        <is>
          <t xml:space="preserve">Pentanedione </t>
        </is>
      </c>
      <c r="D30" s="61" t="inlineStr">
        <is>
          <t>戊二酮</t>
        </is>
      </c>
      <c r="E30" s="69" t="inlineStr">
        <is>
          <t>ppm</t>
        </is>
      </c>
      <c r="F30" s="233" t="inlineStr">
        <is>
          <t>SSS-0188</t>
        </is>
      </c>
      <c r="G30" s="233" t="inlineStr">
        <is>
          <t>Process</t>
        </is>
      </c>
      <c r="H30" s="233" t="n">
        <v>4510</v>
      </c>
      <c r="I30" s="233" t="inlineStr">
        <is>
          <t>数据</t>
        </is>
      </c>
      <c r="J30" s="233" t="inlineStr">
        <is>
          <t>Y</t>
        </is>
      </c>
      <c r="K30" s="233" t="n"/>
      <c r="L30" s="233" t="inlineStr">
        <is>
          <t>Finish beer P</t>
        </is>
      </c>
      <c r="M30" s="233" t="n"/>
      <c r="N30" s="233" t="n"/>
      <c r="O30" s="233" t="n"/>
      <c r="P30" s="61" t="n"/>
      <c r="Q30" s="61" t="n"/>
    </row>
    <row r="31" ht="25.5" customFormat="1" customHeight="1" s="146">
      <c r="A31" s="233" t="inlineStr">
        <is>
          <t>Finish beer</t>
        </is>
      </c>
      <c r="B31" s="222" t="inlineStr">
        <is>
          <t>Finish Beer</t>
        </is>
      </c>
      <c r="C31" s="223" t="inlineStr">
        <is>
          <t>FAN</t>
        </is>
      </c>
      <c r="D31" s="61" t="inlineStr">
        <is>
          <t>氨基氮</t>
        </is>
      </c>
      <c r="E31" s="69" t="inlineStr">
        <is>
          <t>ppm</t>
        </is>
      </c>
      <c r="F31" s="233" t="inlineStr">
        <is>
          <t>SSS-0194</t>
        </is>
      </c>
      <c r="G31" s="233" t="inlineStr">
        <is>
          <t>Process</t>
        </is>
      </c>
      <c r="H31" s="233" t="n">
        <v>4570</v>
      </c>
      <c r="I31" s="233" t="inlineStr">
        <is>
          <t>数据</t>
        </is>
      </c>
      <c r="J31" s="233" t="inlineStr">
        <is>
          <t>Y</t>
        </is>
      </c>
      <c r="K31" s="233" t="inlineStr">
        <is>
          <t>Y</t>
        </is>
      </c>
      <c r="L31" s="233" t="inlineStr">
        <is>
          <t>Finish beer FAN</t>
        </is>
      </c>
      <c r="M31" s="233" t="n"/>
      <c r="N31" s="233" t="n"/>
      <c r="O31" s="233" t="n"/>
      <c r="P31" s="61" t="n"/>
      <c r="Q31" s="61" t="n"/>
    </row>
    <row r="32" ht="25.5" customFormat="1" customHeight="1" s="146">
      <c r="A32" s="233" t="inlineStr">
        <is>
          <t>Finish beer</t>
        </is>
      </c>
      <c r="B32" s="222" t="inlineStr">
        <is>
          <t>Finish Beer</t>
        </is>
      </c>
      <c r="C32" s="223" t="inlineStr">
        <is>
          <t>4VG</t>
        </is>
      </c>
      <c r="D32" s="61" t="inlineStr">
        <is>
          <t>4VG</t>
        </is>
      </c>
      <c r="E32" s="69" t="inlineStr">
        <is>
          <t>ppm</t>
        </is>
      </c>
      <c r="F32" s="233" t="inlineStr">
        <is>
          <t>SSS-0195</t>
        </is>
      </c>
      <c r="G32" s="233" t="inlineStr">
        <is>
          <t>Process</t>
        </is>
      </c>
      <c r="H32" s="233" t="n">
        <v>4580</v>
      </c>
      <c r="I32" s="233" t="inlineStr">
        <is>
          <t>数据</t>
        </is>
      </c>
      <c r="J32" s="233" t="inlineStr">
        <is>
          <t>Y</t>
        </is>
      </c>
      <c r="K32" s="233" t="inlineStr">
        <is>
          <t>Y</t>
        </is>
      </c>
      <c r="L32" s="233" t="inlineStr">
        <is>
          <t>Finish beer 4VG</t>
        </is>
      </c>
      <c r="M32" s="233" t="n"/>
      <c r="N32" s="233" t="n"/>
      <c r="O32" s="233" t="n"/>
      <c r="P32" s="61" t="n"/>
      <c r="Q32" s="61" t="n"/>
    </row>
    <row r="33" ht="38.25" customFormat="1" customHeight="1" s="146">
      <c r="A33" s="233" t="inlineStr">
        <is>
          <t>Finish beer</t>
        </is>
      </c>
      <c r="B33" s="222" t="inlineStr">
        <is>
          <t>Finish Beer</t>
        </is>
      </c>
      <c r="C33" s="223" t="inlineStr">
        <is>
          <t>Linaloop</t>
        </is>
      </c>
      <c r="D33" s="61" t="inlineStr">
        <is>
          <t>里纳醇</t>
        </is>
      </c>
      <c r="E33" s="69" t="inlineStr">
        <is>
          <t>ppm</t>
        </is>
      </c>
      <c r="F33" s="233" t="inlineStr">
        <is>
          <t>SSS-0196</t>
        </is>
      </c>
      <c r="G33" s="233" t="inlineStr">
        <is>
          <t>Process</t>
        </is>
      </c>
      <c r="H33" s="233" t="n">
        <v>4590</v>
      </c>
      <c r="I33" s="233" t="inlineStr">
        <is>
          <t>数据</t>
        </is>
      </c>
      <c r="J33" s="233" t="inlineStr">
        <is>
          <t>Y</t>
        </is>
      </c>
      <c r="K33" s="233" t="inlineStr">
        <is>
          <t>Y</t>
        </is>
      </c>
      <c r="L33" s="233" t="inlineStr">
        <is>
          <t>Finish beer Linaloop</t>
        </is>
      </c>
      <c r="M33" s="233" t="n"/>
      <c r="N33" s="233" t="n"/>
      <c r="O33" s="233" t="n"/>
      <c r="P33" s="61" t="n"/>
      <c r="Q33" s="61" t="n"/>
    </row>
    <row r="34" ht="25.5" customFormat="1" customHeight="1" s="146">
      <c r="A34" s="233" t="inlineStr">
        <is>
          <t>Finish beer</t>
        </is>
      </c>
      <c r="B34" s="222" t="inlineStr">
        <is>
          <t>Finish Beer</t>
        </is>
      </c>
      <c r="C34" s="60" t="inlineStr">
        <is>
          <t>Shipment time</t>
        </is>
      </c>
      <c r="D34" s="61" t="inlineStr">
        <is>
          <t>寄样时间</t>
        </is>
      </c>
      <c r="E34" s="69" t="inlineStr">
        <is>
          <t>ppm</t>
        </is>
      </c>
      <c r="F34" s="233" t="inlineStr">
        <is>
          <t>SSS-0197</t>
        </is>
      </c>
      <c r="G34" s="233" t="inlineStr">
        <is>
          <t>Process</t>
        </is>
      </c>
      <c r="H34" s="233" t="n">
        <v>4600</v>
      </c>
      <c r="I34" s="233" t="inlineStr">
        <is>
          <t>数据</t>
        </is>
      </c>
      <c r="J34" s="233" t="inlineStr">
        <is>
          <t>Y</t>
        </is>
      </c>
      <c r="K34" s="233" t="inlineStr">
        <is>
          <t>Y</t>
        </is>
      </c>
      <c r="L34" s="233" t="inlineStr">
        <is>
          <t>Shipment time</t>
        </is>
      </c>
      <c r="M34" s="233" t="n"/>
      <c r="N34" s="233" t="n"/>
      <c r="O34" s="233" t="n"/>
      <c r="P34" s="61" t="n"/>
      <c r="Q34" s="61" t="n"/>
    </row>
    <row r="35" ht="25.5" customFormat="1" customHeight="1" s="146">
      <c r="A35" s="233" t="inlineStr">
        <is>
          <t>BCM</t>
        </is>
      </c>
      <c r="B35" s="233" t="inlineStr">
        <is>
          <t>BCM</t>
        </is>
      </c>
      <c r="C35" s="233" t="inlineStr">
        <is>
          <t>BCM</t>
        </is>
      </c>
      <c r="D35" s="233" t="inlineStr">
        <is>
          <t>啤酒接触材料</t>
        </is>
      </c>
      <c r="E35" s="233" t="n"/>
      <c r="F35" s="233" t="inlineStr">
        <is>
          <t>SSS-0198</t>
        </is>
      </c>
      <c r="G35" s="233" t="inlineStr">
        <is>
          <t>Equipment</t>
        </is>
      </c>
      <c r="H35" s="233" t="n">
        <v>4610</v>
      </c>
      <c r="I35" s="233" t="n"/>
      <c r="J35" s="233" t="inlineStr">
        <is>
          <t>Y</t>
        </is>
      </c>
      <c r="K35" s="233" t="inlineStr">
        <is>
          <t>Y</t>
        </is>
      </c>
      <c r="L35" s="150" t="inlineStr">
        <is>
          <t>BCM issues</t>
        </is>
      </c>
      <c r="M35" s="233" t="n"/>
      <c r="N35" s="233" t="n"/>
      <c r="O35" s="233" t="n"/>
      <c r="P35" s="233" t="n"/>
      <c r="Q35" s="233" t="n"/>
    </row>
    <row r="36" ht="12.75" customFormat="1" customHeight="1" s="146">
      <c r="A36" s="233" t="n"/>
      <c r="B36" s="211" t="n"/>
      <c r="C36" s="211" t="n"/>
      <c r="D36" s="211" t="n"/>
      <c r="E36" s="211" t="n"/>
      <c r="F36" s="211" t="n"/>
      <c r="G36" s="211" t="n"/>
      <c r="H36" s="211" t="n"/>
      <c r="I36" s="211" t="n"/>
      <c r="J36" s="211" t="n"/>
      <c r="K36" s="211" t="n"/>
      <c r="L36" s="211" t="n"/>
      <c r="M36" s="211" t="n"/>
      <c r="N36" s="211" t="n"/>
      <c r="O36" s="211" t="n"/>
      <c r="P36" s="211" t="n"/>
      <c r="Q36" s="214" t="n"/>
    </row>
    <row r="37" ht="30" customFormat="1" customHeight="1" s="146">
      <c r="A37" s="234" t="inlineStr">
        <is>
          <t>2026-01-29 调整点图模板新增 PI</t>
        </is>
      </c>
      <c r="B37" s="211" t="n"/>
      <c r="C37" s="211" t="n"/>
      <c r="D37" s="211" t="n"/>
      <c r="E37" s="211" t="n"/>
      <c r="F37" s="211" t="n"/>
      <c r="G37" s="211" t="n"/>
      <c r="H37" s="211" t="n"/>
      <c r="I37" s="211" t="n"/>
      <c r="J37" s="211" t="n"/>
      <c r="K37" s="211" t="n"/>
      <c r="L37" s="211" t="n"/>
      <c r="M37" s="211" t="n"/>
      <c r="N37" s="211" t="n"/>
      <c r="O37" s="211" t="n"/>
      <c r="P37" s="211" t="n"/>
      <c r="Q37" s="214" t="n"/>
    </row>
    <row r="38">
      <c r="A38" s="233" t="n"/>
      <c r="B38" s="211" t="n"/>
      <c r="C38" s="211" t="n"/>
      <c r="D38" s="211" t="n"/>
      <c r="E38" s="211" t="n"/>
      <c r="F38" s="211" t="n"/>
      <c r="G38" s="211" t="n"/>
      <c r="H38" s="211" t="n"/>
      <c r="I38" s="211" t="n"/>
      <c r="J38" s="211" t="n"/>
      <c r="K38" s="211" t="n"/>
      <c r="L38" s="211" t="n"/>
      <c r="M38" s="211" t="n"/>
      <c r="N38" s="211" t="n"/>
      <c r="O38" s="211" t="n"/>
      <c r="P38" s="211" t="n"/>
      <c r="Q38" s="214" t="n"/>
    </row>
    <row r="39" ht="25.5" customHeight="1" s="241">
      <c r="A39" s="233" t="inlineStr">
        <is>
          <t>General</t>
        </is>
      </c>
      <c r="B39" s="222" t="inlineStr">
        <is>
          <t>General</t>
        </is>
      </c>
      <c r="C39" s="233" t="inlineStr">
        <is>
          <t>Produce date</t>
        </is>
      </c>
      <c r="D39" s="64" t="inlineStr">
        <is>
          <t>麦芽生产日期</t>
        </is>
      </c>
      <c r="E39" s="233" t="n"/>
      <c r="F39" s="233" t="inlineStr">
        <is>
          <t>SSS-4002</t>
        </is>
      </c>
      <c r="G39" s="233" t="inlineStr">
        <is>
          <t>Process</t>
        </is>
      </c>
      <c r="H39" s="233" t="n"/>
      <c r="I39" s="233" t="inlineStr">
        <is>
          <t>文本</t>
        </is>
      </c>
      <c r="J39" s="233" t="inlineStr">
        <is>
          <t>Y</t>
        </is>
      </c>
      <c r="K39" s="233" t="n"/>
      <c r="L39" s="233" t="n"/>
      <c r="M39" s="233" t="n"/>
      <c r="N39" s="233" t="n"/>
      <c r="O39" s="233" t="n"/>
      <c r="P39" s="233" t="n"/>
      <c r="Q39" s="233" t="n"/>
    </row>
    <row r="40" ht="38.25" customHeight="1" s="241">
      <c r="A40" s="233" t="inlineStr">
        <is>
          <t>General</t>
        </is>
      </c>
      <c r="B40" s="222" t="inlineStr">
        <is>
          <t>General</t>
        </is>
      </c>
      <c r="C40" s="233" t="inlineStr">
        <is>
          <t>Malt Batch-Klin</t>
        </is>
      </c>
      <c r="D40" s="64" t="inlineStr">
        <is>
          <t>麦芽出炉批次</t>
        </is>
      </c>
      <c r="E40" s="233" t="n"/>
      <c r="F40" s="233" t="inlineStr">
        <is>
          <t>SSS-4003</t>
        </is>
      </c>
      <c r="G40" s="233" t="inlineStr">
        <is>
          <t>Process</t>
        </is>
      </c>
      <c r="H40" s="233" t="n"/>
      <c r="I40" s="233" t="inlineStr">
        <is>
          <t>文本</t>
        </is>
      </c>
      <c r="J40" s="233" t="inlineStr">
        <is>
          <t>Y</t>
        </is>
      </c>
      <c r="K40" s="233" t="n"/>
      <c r="L40" s="233" t="n"/>
      <c r="M40" s="233" t="n"/>
      <c r="N40" s="233" t="n"/>
      <c r="O40" s="233" t="n"/>
      <c r="P40" s="233" t="n"/>
      <c r="Q40" s="233" t="n"/>
    </row>
    <row r="41" ht="38.25" customHeight="1" s="241">
      <c r="A41" s="233" t="inlineStr">
        <is>
          <t>General</t>
        </is>
      </c>
      <c r="B41" s="222" t="inlineStr">
        <is>
          <t>General</t>
        </is>
      </c>
      <c r="C41" s="233" t="inlineStr">
        <is>
          <t>Malt Batch-Shipment</t>
        </is>
      </c>
      <c r="D41" s="64" t="inlineStr">
        <is>
          <t>麦芽发运批次号</t>
        </is>
      </c>
      <c r="E41" s="233" t="n"/>
      <c r="F41" s="233" t="inlineStr">
        <is>
          <t>SSS-4004</t>
        </is>
      </c>
      <c r="G41" s="233" t="inlineStr">
        <is>
          <t>Process</t>
        </is>
      </c>
      <c r="H41" s="233" t="n"/>
      <c r="I41" s="233" t="inlineStr">
        <is>
          <t>文本</t>
        </is>
      </c>
      <c r="J41" s="233" t="inlineStr">
        <is>
          <t>Y</t>
        </is>
      </c>
      <c r="K41" s="233" t="n"/>
      <c r="L41" s="233" t="n"/>
      <c r="M41" s="233" t="n"/>
      <c r="N41" s="233" t="n"/>
      <c r="O41" s="233" t="n"/>
      <c r="P41" s="233" t="n"/>
      <c r="Q41" s="233" t="n"/>
    </row>
    <row r="42" ht="45" customHeight="1" s="241">
      <c r="A42" s="233" t="inlineStr">
        <is>
          <t>Raw Material</t>
        </is>
      </c>
      <c r="B42" s="223" t="inlineStr">
        <is>
          <t>Hop</t>
        </is>
      </c>
      <c r="C42" s="64" t="inlineStr">
        <is>
          <t>Bitter hop supplier</t>
        </is>
      </c>
      <c r="D42" s="64" t="inlineStr">
        <is>
          <t>酒花苦花供应商</t>
        </is>
      </c>
      <c r="E42" s="151" t="n"/>
      <c r="F42" s="233" t="inlineStr">
        <is>
          <t>SSS-4005</t>
        </is>
      </c>
      <c r="G42" s="233" t="inlineStr">
        <is>
          <t>Process</t>
        </is>
      </c>
      <c r="H42" s="151" t="n"/>
      <c r="I42" s="233" t="inlineStr">
        <is>
          <t>文本</t>
        </is>
      </c>
      <c r="J42" s="151" t="n"/>
      <c r="K42" s="151" t="n"/>
      <c r="L42" s="66" t="n"/>
      <c r="M42" s="66" t="n"/>
      <c r="N42" s="66" t="n"/>
      <c r="O42" s="66" t="n"/>
      <c r="P42" s="66" t="n"/>
      <c r="Q42" s="66" t="n"/>
    </row>
    <row r="43" ht="45" customHeight="1" s="241">
      <c r="A43" s="233" t="inlineStr">
        <is>
          <t>Raw Material</t>
        </is>
      </c>
      <c r="B43" s="223" t="inlineStr">
        <is>
          <t>Hop</t>
        </is>
      </c>
      <c r="C43" s="64" t="inlineStr">
        <is>
          <t>Aroma hop 1 supplier</t>
        </is>
      </c>
      <c r="D43" s="64" t="inlineStr">
        <is>
          <t>酒花香花1供应商</t>
        </is>
      </c>
      <c r="E43" s="151" t="n"/>
      <c r="F43" s="233" t="inlineStr">
        <is>
          <t>SSS-4006</t>
        </is>
      </c>
      <c r="G43" s="233" t="inlineStr">
        <is>
          <t>Process</t>
        </is>
      </c>
      <c r="H43" s="151" t="n"/>
      <c r="I43" s="233" t="inlineStr">
        <is>
          <t>文本</t>
        </is>
      </c>
      <c r="J43" s="151" t="n"/>
      <c r="K43" s="151" t="n"/>
      <c r="L43" s="66" t="n"/>
      <c r="M43" s="66" t="n"/>
      <c r="N43" s="66" t="n"/>
      <c r="O43" s="66" t="n"/>
      <c r="P43" s="66" t="n"/>
      <c r="Q43" s="66" t="n"/>
    </row>
    <row r="44" ht="45" customHeight="1" s="241">
      <c r="A44" s="233" t="inlineStr">
        <is>
          <t>Raw Material</t>
        </is>
      </c>
      <c r="B44" s="223" t="inlineStr">
        <is>
          <t>Hop</t>
        </is>
      </c>
      <c r="C44" s="64" t="inlineStr">
        <is>
          <t>Aroma hop 2 supplier</t>
        </is>
      </c>
      <c r="D44" s="64" t="inlineStr">
        <is>
          <t>酒花香花2供应商</t>
        </is>
      </c>
      <c r="E44" s="151" t="n"/>
      <c r="F44" s="233" t="inlineStr">
        <is>
          <t>SSS-4007</t>
        </is>
      </c>
      <c r="G44" s="233" t="inlineStr">
        <is>
          <t>Process</t>
        </is>
      </c>
      <c r="H44" s="151" t="n"/>
      <c r="I44" s="233" t="inlineStr">
        <is>
          <t>文本</t>
        </is>
      </c>
      <c r="J44" s="151" t="n"/>
      <c r="K44" s="151" t="n"/>
      <c r="L44" s="66" t="n"/>
      <c r="M44" s="66" t="n"/>
      <c r="N44" s="66" t="n"/>
      <c r="O44" s="66" t="n"/>
      <c r="P44" s="66" t="n"/>
      <c r="Q44" s="66" t="n"/>
    </row>
    <row r="45" ht="45" customHeight="1" s="241">
      <c r="A45" s="233" t="inlineStr">
        <is>
          <t>Raw Material</t>
        </is>
      </c>
      <c r="B45" s="223" t="inlineStr">
        <is>
          <t>Hop</t>
        </is>
      </c>
      <c r="C45" s="64" t="inlineStr">
        <is>
          <t>Hop extract supplier</t>
        </is>
      </c>
      <c r="D45" s="64" t="inlineStr">
        <is>
          <t>酒花浸膏供应商</t>
        </is>
      </c>
      <c r="E45" s="151" t="n"/>
      <c r="F45" s="233" t="inlineStr">
        <is>
          <t>SSS-4008</t>
        </is>
      </c>
      <c r="G45" s="233" t="inlineStr">
        <is>
          <t>Process</t>
        </is>
      </c>
      <c r="H45" s="151" t="n"/>
      <c r="I45" s="233" t="inlineStr">
        <is>
          <t>文本</t>
        </is>
      </c>
      <c r="J45" s="151" t="n"/>
      <c r="K45" s="151" t="n"/>
      <c r="L45" s="66" t="n"/>
      <c r="M45" s="66" t="n"/>
      <c r="N45" s="66" t="n"/>
      <c r="O45" s="66" t="n"/>
      <c r="P45" s="66" t="n"/>
      <c r="Q45" s="66" t="n"/>
    </row>
    <row r="46" ht="60" customHeight="1" s="241">
      <c r="A46" s="233" t="inlineStr">
        <is>
          <t>Raw Material</t>
        </is>
      </c>
      <c r="B46" s="223" t="inlineStr">
        <is>
          <t>Hop</t>
        </is>
      </c>
      <c r="C46" s="64" t="inlineStr">
        <is>
          <t>Hop extract amount per brew</t>
        </is>
      </c>
      <c r="D46" s="64" t="inlineStr">
        <is>
          <t>单锅酒花浸膏添加量</t>
        </is>
      </c>
      <c r="E46" s="151" t="n"/>
      <c r="F46" s="233" t="inlineStr">
        <is>
          <t>BR-21090</t>
        </is>
      </c>
      <c r="G46" s="233" t="inlineStr">
        <is>
          <t>Process</t>
        </is>
      </c>
      <c r="H46" s="151" t="n"/>
      <c r="I46" s="233" t="inlineStr">
        <is>
          <t>文本</t>
        </is>
      </c>
      <c r="J46" s="151" t="n"/>
      <c r="K46" s="151" t="n"/>
      <c r="L46" s="66" t="n"/>
      <c r="M46" s="66" t="n"/>
      <c r="N46" s="66" t="n"/>
      <c r="O46" s="66" t="n"/>
      <c r="P46" s="66" t="n"/>
      <c r="Q46" s="66" t="n"/>
    </row>
    <row r="47" ht="75" customHeight="1" s="241">
      <c r="A47" s="233" t="inlineStr">
        <is>
          <t>Brewhouse</t>
        </is>
      </c>
      <c r="B47" s="222" t="inlineStr">
        <is>
          <t>Kettle</t>
        </is>
      </c>
      <c r="C47" s="64" t="inlineStr">
        <is>
          <t>Int. preheating temperature</t>
        </is>
      </c>
      <c r="D47" s="64" t="inlineStr">
        <is>
          <t>预热出口加权温度</t>
        </is>
      </c>
      <c r="E47" s="151" t="n"/>
      <c r="F47" s="233" t="inlineStr">
        <is>
          <t>BR-21074</t>
        </is>
      </c>
      <c r="G47" s="233" t="inlineStr">
        <is>
          <t>Process</t>
        </is>
      </c>
      <c r="H47" s="151" t="n"/>
      <c r="I47" s="233" t="inlineStr">
        <is>
          <t>文本</t>
        </is>
      </c>
      <c r="J47" s="233" t="inlineStr">
        <is>
          <t>Y</t>
        </is>
      </c>
      <c r="K47" s="151" t="n"/>
      <c r="L47" s="66" t="n"/>
      <c r="M47" s="66" t="n"/>
      <c r="N47" s="66" t="n"/>
      <c r="O47" s="66" t="n"/>
      <c r="P47" s="66" t="n"/>
      <c r="Q47" s="66" t="n"/>
    </row>
    <row r="48" ht="45" customHeight="1" s="241">
      <c r="A48" s="233" t="inlineStr">
        <is>
          <t>Brewhouse</t>
        </is>
      </c>
      <c r="B48" s="223" t="inlineStr">
        <is>
          <t>Whirlpool</t>
        </is>
      </c>
      <c r="C48" s="64" t="inlineStr">
        <is>
          <t>Brewhouse Actual Hot time</t>
        </is>
      </c>
      <c r="D48" s="64" t="inlineStr">
        <is>
          <t>糖化实际热时间</t>
        </is>
      </c>
      <c r="E48" s="151" t="n"/>
      <c r="F48" s="233" t="inlineStr">
        <is>
          <t>SSS-4009</t>
        </is>
      </c>
      <c r="G48" s="233" t="inlineStr">
        <is>
          <t>Process</t>
        </is>
      </c>
      <c r="H48" s="151" t="n"/>
      <c r="I48" s="233" t="inlineStr">
        <is>
          <t>文本</t>
        </is>
      </c>
      <c r="J48" s="233" t="inlineStr">
        <is>
          <t>Y</t>
        </is>
      </c>
      <c r="K48" s="233" t="inlineStr">
        <is>
          <t>Y</t>
        </is>
      </c>
      <c r="L48" s="66" t="n"/>
      <c r="M48" s="66" t="n"/>
      <c r="N48" s="66" t="n"/>
      <c r="O48" s="66" t="n"/>
      <c r="P48" s="66" t="n"/>
      <c r="Q48" s="66" t="n"/>
    </row>
    <row r="49" ht="30" customHeight="1" s="241">
      <c r="A49" s="233" t="inlineStr">
        <is>
          <t>Brewhouse</t>
        </is>
      </c>
      <c r="B49" s="223" t="inlineStr">
        <is>
          <t>Whirlpool</t>
        </is>
      </c>
      <c r="C49" s="64" t="inlineStr">
        <is>
          <t>Standard Brewsize</t>
        </is>
      </c>
      <c r="D49" s="64" t="inlineStr">
        <is>
          <t>标准冷麦汁体积</t>
        </is>
      </c>
      <c r="E49" s="151" t="n"/>
      <c r="F49" s="233" t="inlineStr">
        <is>
          <t>SSS-4010</t>
        </is>
      </c>
      <c r="G49" s="233" t="inlineStr">
        <is>
          <t>Process</t>
        </is>
      </c>
      <c r="H49" s="151" t="n"/>
      <c r="I49" s="233" t="inlineStr">
        <is>
          <t>文本</t>
        </is>
      </c>
      <c r="J49" s="233" t="inlineStr">
        <is>
          <t>Y</t>
        </is>
      </c>
      <c r="K49" s="151" t="n"/>
      <c r="L49" s="66" t="n"/>
      <c r="M49" s="66" t="n"/>
      <c r="N49" s="66" t="n"/>
      <c r="O49" s="66" t="n"/>
      <c r="P49" s="66" t="n"/>
      <c r="Q49" s="66" t="n"/>
    </row>
    <row r="50" ht="30" customHeight="1" s="241">
      <c r="A50" s="233" t="inlineStr">
        <is>
          <t>Brewhouse</t>
        </is>
      </c>
      <c r="B50" s="223" t="inlineStr">
        <is>
          <t>Whirlpool</t>
        </is>
      </c>
      <c r="C50" s="64" t="inlineStr">
        <is>
          <t>Malt ratio</t>
        </is>
      </c>
      <c r="D50" s="64" t="inlineStr">
        <is>
          <t>麦芽比例</t>
        </is>
      </c>
      <c r="E50" s="151" t="n"/>
      <c r="F50" s="233" t="inlineStr">
        <is>
          <t>SSS-4011</t>
        </is>
      </c>
      <c r="G50" s="233" t="inlineStr">
        <is>
          <t>Process</t>
        </is>
      </c>
      <c r="H50" s="151" t="n"/>
      <c r="I50" s="233" t="inlineStr">
        <is>
          <t>文本</t>
        </is>
      </c>
      <c r="J50" s="151" t="n"/>
      <c r="K50" s="151" t="n"/>
      <c r="L50" s="66" t="n"/>
      <c r="M50" s="66" t="n"/>
      <c r="N50" s="66" t="n"/>
      <c r="O50" s="66" t="n"/>
      <c r="P50" s="66" t="n"/>
      <c r="Q50" s="66" t="n"/>
    </row>
    <row r="51" ht="75" customHeight="1" s="241">
      <c r="A51" s="233" t="inlineStr">
        <is>
          <t>Fermentation</t>
        </is>
      </c>
      <c r="B51" s="222" t="inlineStr">
        <is>
          <t>Yeast</t>
        </is>
      </c>
      <c r="C51" s="64" t="inlineStr">
        <is>
          <t>Time from recovery to below 4℃</t>
        </is>
      </c>
      <c r="D51" s="64" t="inlineStr">
        <is>
          <t>从开始回收到降温到4℃以下的时间</t>
        </is>
      </c>
      <c r="E51" s="151" t="n"/>
      <c r="F51" s="233" t="inlineStr">
        <is>
          <t>BR-40357</t>
        </is>
      </c>
      <c r="G51" s="233" t="inlineStr">
        <is>
          <t>Process</t>
        </is>
      </c>
      <c r="H51" s="151" t="n"/>
      <c r="I51" s="233" t="inlineStr">
        <is>
          <t>文本</t>
        </is>
      </c>
      <c r="J51" s="233" t="inlineStr">
        <is>
          <t>Y</t>
        </is>
      </c>
      <c r="K51" s="151" t="n"/>
      <c r="L51" s="66" t="n"/>
      <c r="M51" s="66" t="n"/>
      <c r="N51" s="66" t="n"/>
      <c r="O51" s="66" t="n"/>
      <c r="P51" s="66" t="n"/>
      <c r="Q51" s="66" t="n"/>
    </row>
    <row r="52" ht="90" customHeight="1" s="241">
      <c r="A52" s="233" t="inlineStr">
        <is>
          <t>Fermentation</t>
        </is>
      </c>
      <c r="B52" s="223" t="inlineStr">
        <is>
          <t>Fermentor Fill</t>
        </is>
      </c>
      <c r="C52" s="64" t="inlineStr">
        <is>
          <t>Two air injection flowmeter Deviation</t>
        </is>
      </c>
      <c r="D52" s="64" t="inlineStr">
        <is>
          <t>双充氧流量计的偏离</t>
        </is>
      </c>
      <c r="E52" s="151" t="n"/>
      <c r="F52" s="233" t="inlineStr">
        <is>
          <t>SSS-4012</t>
        </is>
      </c>
      <c r="G52" s="233" t="inlineStr">
        <is>
          <t>Process</t>
        </is>
      </c>
      <c r="H52" s="151" t="n"/>
      <c r="I52" s="233" t="inlineStr">
        <is>
          <t>文本</t>
        </is>
      </c>
      <c r="J52" s="233" t="inlineStr">
        <is>
          <t>Y</t>
        </is>
      </c>
      <c r="K52" s="151" t="n"/>
      <c r="L52" s="66" t="n"/>
      <c r="M52" s="66" t="n"/>
      <c r="N52" s="66" t="n"/>
      <c r="O52" s="66" t="n"/>
      <c r="P52" s="66" t="n"/>
      <c r="Q52" s="66" t="n"/>
    </row>
    <row r="53" ht="75" customHeight="1" s="241">
      <c r="A53" s="233" t="inlineStr">
        <is>
          <t>Fermentation</t>
        </is>
      </c>
      <c r="B53" s="222" t="inlineStr">
        <is>
          <t>Warm Maturation</t>
        </is>
      </c>
      <c r="C53" s="64" t="inlineStr">
        <is>
          <t>Yeast death rate at total beer Age</t>
        </is>
      </c>
      <c r="D53" s="64" t="inlineStr">
        <is>
          <t>总酒龄点的酵母死亡率</t>
        </is>
      </c>
      <c r="E53" s="151" t="n"/>
      <c r="F53" s="233" t="inlineStr">
        <is>
          <t>SSS-4013</t>
        </is>
      </c>
      <c r="G53" s="233" t="inlineStr">
        <is>
          <t>Process</t>
        </is>
      </c>
      <c r="H53" s="151" t="n"/>
      <c r="I53" s="233" t="inlineStr">
        <is>
          <t>文本</t>
        </is>
      </c>
      <c r="J53" s="233" t="inlineStr">
        <is>
          <t>Y</t>
        </is>
      </c>
      <c r="K53" s="151" t="n"/>
      <c r="L53" s="66" t="n"/>
      <c r="M53" s="66" t="n"/>
      <c r="N53" s="66" t="n"/>
      <c r="O53" s="66" t="n"/>
      <c r="P53" s="66" t="n"/>
      <c r="Q53" s="66" t="n"/>
    </row>
    <row r="54" ht="30" customHeight="1" s="241">
      <c r="A54" s="233" t="inlineStr">
        <is>
          <t>Fermentation</t>
        </is>
      </c>
      <c r="B54" s="223" t="inlineStr">
        <is>
          <t>Centrifuge</t>
        </is>
      </c>
      <c r="C54" s="64" t="inlineStr">
        <is>
          <t>Int. inlet DO</t>
        </is>
      </c>
      <c r="D54" s="64" t="inlineStr">
        <is>
          <t>离心进口加权DO</t>
        </is>
      </c>
      <c r="E54" s="151" t="n"/>
      <c r="F54" s="233" t="inlineStr">
        <is>
          <t>SSS-4014</t>
        </is>
      </c>
      <c r="G54" s="233" t="inlineStr">
        <is>
          <t>Process</t>
        </is>
      </c>
      <c r="H54" s="151" t="n"/>
      <c r="I54" s="233" t="inlineStr">
        <is>
          <t>文本</t>
        </is>
      </c>
      <c r="J54" s="151" t="n"/>
      <c r="K54" s="151" t="n"/>
      <c r="L54" s="66" t="n"/>
      <c r="M54" s="66" t="n"/>
      <c r="N54" s="66" t="n"/>
      <c r="O54" s="66" t="n"/>
      <c r="P54" s="66" t="n"/>
      <c r="Q54" s="66" t="n"/>
    </row>
    <row r="55" ht="45" customHeight="1" s="241">
      <c r="A55" s="233" t="inlineStr">
        <is>
          <t>Fermentation</t>
        </is>
      </c>
      <c r="B55" s="223" t="inlineStr">
        <is>
          <t>Centrifuge</t>
        </is>
      </c>
      <c r="C55" s="64" t="inlineStr">
        <is>
          <t>Int. outlet DO</t>
        </is>
      </c>
      <c r="D55" s="64" t="inlineStr">
        <is>
          <t>离心出口加权DO</t>
        </is>
      </c>
      <c r="E55" s="151" t="n"/>
      <c r="F55" s="233" t="inlineStr">
        <is>
          <t>SSS-4015</t>
        </is>
      </c>
      <c r="G55" s="233" t="inlineStr">
        <is>
          <t>Process</t>
        </is>
      </c>
      <c r="H55" s="151" t="n"/>
      <c r="I55" s="233" t="inlineStr">
        <is>
          <t>文本</t>
        </is>
      </c>
      <c r="J55" s="233" t="inlineStr">
        <is>
          <t>Y</t>
        </is>
      </c>
      <c r="K55" s="151" t="n"/>
      <c r="L55" s="66" t="n"/>
      <c r="M55" s="66" t="n"/>
      <c r="N55" s="66" t="n"/>
      <c r="O55" s="66" t="n"/>
      <c r="P55" s="66" t="n"/>
      <c r="Q55" s="66" t="n"/>
    </row>
    <row r="56" ht="45" customHeight="1" s="241">
      <c r="A56" s="233" t="inlineStr">
        <is>
          <t>Fermentation</t>
        </is>
      </c>
      <c r="B56" s="222" t="inlineStr">
        <is>
          <t>BBT</t>
        </is>
      </c>
      <c r="C56" s="64" t="inlineStr">
        <is>
          <t>BBT releasing int. DO</t>
        </is>
      </c>
      <c r="D56" s="64" t="inlineStr">
        <is>
          <t>BBT送酒加权DO</t>
        </is>
      </c>
      <c r="E56" s="151" t="n"/>
      <c r="F56" s="233" t="inlineStr">
        <is>
          <t>SSS-4016</t>
        </is>
      </c>
      <c r="G56" s="233" t="inlineStr">
        <is>
          <t>Process</t>
        </is>
      </c>
      <c r="H56" s="151" t="n"/>
      <c r="I56" s="233" t="inlineStr">
        <is>
          <t>文本</t>
        </is>
      </c>
      <c r="J56" s="151" t="n"/>
      <c r="K56" s="151" t="n"/>
      <c r="L56" s="66" t="n"/>
      <c r="M56" s="66" t="n"/>
      <c r="N56" s="66" t="n"/>
      <c r="O56" s="66" t="n"/>
      <c r="P56" s="66" t="n"/>
      <c r="Q56" s="66" t="n"/>
    </row>
  </sheetData>
  <mergeCells count="3">
    <mergeCell ref="A38:Q38"/>
    <mergeCell ref="A37:Q37"/>
    <mergeCell ref="A36:Q36"/>
  </mergeCells>
  <conditionalFormatting sqref="E29">
    <cfRule type="cellIs" priority="176" operator="equal" dxfId="4">
      <formula>"N"</formula>
    </cfRule>
    <cfRule type="cellIs" priority="177" operator="equal" dxfId="0">
      <formula>"Y"</formula>
    </cfRule>
  </conditionalFormatting>
  <conditionalFormatting sqref="F1">
    <cfRule type="duplicateValues" priority="175" dxfId="102"/>
  </conditionalFormatting>
  <conditionalFormatting sqref="F2:F35">
    <cfRule type="duplicateValues" priority="178" dxfId="102"/>
  </conditionalFormatting>
  <conditionalFormatting sqref="F39:F56">
    <cfRule type="duplicateValues" priority="1" dxfId="102"/>
  </conditionalFormatting>
  <conditionalFormatting sqref="G2:G35">
    <cfRule type="cellIs" priority="185" operator="equal" dxfId="299">
      <formula>"Equipment"</formula>
    </cfRule>
    <cfRule type="cellIs" priority="186" operator="equal" dxfId="289">
      <formula>"Process"</formula>
    </cfRule>
    <cfRule type="cellIs" priority="187" operator="equal" dxfId="2">
      <formula>"Yeast"</formula>
    </cfRule>
    <cfRule type="cellIs" priority="188" operator="equal" dxfId="288">
      <formula>"Raw Material"</formula>
    </cfRule>
  </conditionalFormatting>
  <conditionalFormatting sqref="G39:G56">
    <cfRule type="cellIs" priority="21" operator="equal" dxfId="299">
      <formula>"Equipment"</formula>
    </cfRule>
    <cfRule type="cellIs" priority="22" operator="equal" dxfId="289">
      <formula>"Process"</formula>
    </cfRule>
    <cfRule type="cellIs" priority="23" operator="equal" dxfId="2">
      <formula>"Yeast"</formula>
    </cfRule>
    <cfRule type="cellIs" priority="24" operator="equal" dxfId="288">
      <formula>"Raw Material"</formula>
    </cfRule>
  </conditionalFormatting>
  <conditionalFormatting sqref="I2:I34">
    <cfRule type="cellIs" priority="179" operator="equal" dxfId="291">
      <formula>"日期"</formula>
    </cfRule>
    <cfRule type="cellIs" priority="180" operator="equal" dxfId="2">
      <formula>"文本"</formula>
    </cfRule>
    <cfRule type="cellIs" priority="181" operator="equal" dxfId="289">
      <formula>"整数"</formula>
    </cfRule>
    <cfRule type="cellIs" priority="182" operator="equal" dxfId="288">
      <formula>"数据"</formula>
    </cfRule>
  </conditionalFormatting>
  <conditionalFormatting sqref="I39:I56">
    <cfRule type="cellIs" priority="9" operator="equal" dxfId="291">
      <formula>"日期"</formula>
    </cfRule>
    <cfRule type="cellIs" priority="10" operator="equal" dxfId="2">
      <formula>"文本"</formula>
    </cfRule>
    <cfRule type="cellIs" priority="11" operator="equal" dxfId="289">
      <formula>"整数"</formula>
    </cfRule>
    <cfRule type="cellIs" priority="12" operator="equal" dxfId="288">
      <formula>"数据"</formula>
    </cfRule>
  </conditionalFormatting>
  <conditionalFormatting sqref="J39:J41">
    <cfRule type="cellIs" priority="3" operator="equal" dxfId="4">
      <formula>"N"</formula>
    </cfRule>
    <cfRule type="cellIs" priority="4" operator="equal" dxfId="0">
      <formula>"Y"</formula>
    </cfRule>
  </conditionalFormatting>
  <conditionalFormatting sqref="J47:J49">
    <cfRule type="cellIs" priority="165" operator="equal" dxfId="4">
      <formula>"N"</formula>
    </cfRule>
    <cfRule type="cellIs" priority="166" operator="equal" dxfId="0">
      <formula>"Y"</formula>
    </cfRule>
  </conditionalFormatting>
  <conditionalFormatting sqref="J51:J53">
    <cfRule type="cellIs" priority="159" operator="equal" dxfId="4">
      <formula>"N"</formula>
    </cfRule>
    <cfRule type="cellIs" priority="160" operator="equal" dxfId="0">
      <formula>"Y"</formula>
    </cfRule>
  </conditionalFormatting>
  <conditionalFormatting sqref="J55">
    <cfRule type="cellIs" priority="157" operator="equal" dxfId="4">
      <formula>"N"</formula>
    </cfRule>
    <cfRule type="cellIs" priority="158" operator="equal" dxfId="0">
      <formula>"Y"</formula>
    </cfRule>
  </conditionalFormatting>
  <conditionalFormatting sqref="J2:K35">
    <cfRule type="cellIs" priority="183" operator="equal" dxfId="4">
      <formula>"N"</formula>
    </cfRule>
    <cfRule type="cellIs" priority="184" operator="equal" dxfId="0">
      <formula>"Y"</formula>
    </cfRule>
  </conditionalFormatting>
  <conditionalFormatting sqref="K48">
    <cfRule type="cellIs" priority="167" operator="equal" dxfId="4">
      <formula>"N"</formula>
    </cfRule>
    <cfRule type="cellIs" priority="168" operator="equal" dxfId="0">
      <formula>"Y"</formula>
    </cfRule>
  </conditionalFormatting>
  <conditionalFormatting sqref="M2:N34">
    <cfRule type="cellIs" priority="189" operator="equal" dxfId="4">
      <formula>"N"</formula>
    </cfRule>
    <cfRule type="cellIs" priority="190" operator="equal" dxfId="0">
      <formula>"Y"</formula>
    </cfRule>
  </conditionalFormatting>
  <dataValidations count="3">
    <dataValidation sqref="J2:K37 J39:J41 J47 J48:K48 J49 J51:J53 J55 M2:N34" showDropDown="0" showInputMessage="1" showErrorMessage="1" allowBlank="1" type="list">
      <formula1>"Y,N"</formula1>
    </dataValidation>
    <dataValidation sqref="A1:A37 G1:G37 G39:G56" showDropDown="0" showInputMessage="1" showErrorMessage="1" allowBlank="1"/>
    <dataValidation sqref="I2:I34 I39:I56" showDropDown="0" showInputMessage="1" showErrorMessage="1" allowBlank="1" type="list">
      <formula1>"文本,日期,整数,数据,下拉框"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11"/>
  <sheetViews>
    <sheetView workbookViewId="0">
      <selection activeCell="P12" sqref="P12"/>
    </sheetView>
  </sheetViews>
  <sheetFormatPr baseColWidth="8" defaultColWidth="8.85546875" defaultRowHeight="12"/>
  <cols>
    <col width="9.85546875" customWidth="1" style="21" min="1" max="1"/>
    <col width="12.42578125" customWidth="1" style="55" min="2" max="2"/>
    <col width="12.42578125" customWidth="1" style="21" min="3" max="3"/>
    <col width="12.42578125" customWidth="1" style="55" min="4" max="5"/>
    <col width="14.140625" customWidth="1" style="20" min="6" max="9"/>
    <col width="8.85546875" customWidth="1" style="21" min="10" max="14"/>
    <col width="9.42578125" customWidth="1" style="21" min="15" max="15"/>
    <col width="11.140625" customWidth="1" style="20" min="16" max="19"/>
    <col width="8.85546875" customWidth="1" style="21" min="20" max="23"/>
    <col width="7.42578125" customWidth="1" style="21" min="24" max="24"/>
    <col width="12.140625" customWidth="1" style="21" min="25" max="25"/>
    <col width="8.85546875" customWidth="1" style="21" min="26" max="30"/>
    <col width="11.140625" customWidth="1" style="20" min="31" max="33"/>
    <col width="8.85546875" customWidth="1" style="21" min="34" max="35"/>
    <col width="10.28515625" customWidth="1" style="21" min="36" max="36"/>
    <col width="8.85546875" customWidth="1" style="21" min="37" max="37"/>
    <col width="8.85546875" customWidth="1" style="21" min="38" max="16384"/>
  </cols>
  <sheetData>
    <row r="1" ht="14.85" customHeight="1" s="241">
      <c r="A1" s="221" t="inlineStr">
        <is>
          <t>Brewery</t>
        </is>
      </c>
      <c r="B1" s="216" t="inlineStr">
        <is>
          <t>Date</t>
        </is>
      </c>
      <c r="C1" s="220" t="inlineStr">
        <is>
          <t>Brand</t>
        </is>
      </c>
      <c r="D1" s="216" t="inlineStr">
        <is>
          <t>Batch Production Type</t>
        </is>
      </c>
      <c r="E1" s="216" t="inlineStr">
        <is>
          <t>Batch Production Month</t>
        </is>
      </c>
      <c r="F1" s="140" t="inlineStr">
        <is>
          <t>Process</t>
        </is>
      </c>
      <c r="G1" s="210" t="inlineStr">
        <is>
          <t>Incoming Water</t>
        </is>
      </c>
      <c r="H1" s="211" t="n"/>
      <c r="I1" s="211" t="n"/>
      <c r="J1" s="213" t="inlineStr">
        <is>
          <t>Incoming Water</t>
        </is>
      </c>
      <c r="K1" s="211" t="n"/>
      <c r="L1" s="211" t="n"/>
      <c r="M1" s="211" t="n"/>
      <c r="N1" s="211" t="n"/>
      <c r="O1" s="214" t="n"/>
      <c r="P1" s="212" t="inlineStr">
        <is>
          <t>ACF Water</t>
        </is>
      </c>
      <c r="Q1" s="212" t="inlineStr">
        <is>
          <t>ACF Water</t>
        </is>
      </c>
      <c r="R1" s="211" t="n"/>
      <c r="S1" s="211" t="n"/>
      <c r="T1" s="215" t="inlineStr">
        <is>
          <t>Mash Water</t>
        </is>
      </c>
      <c r="U1" s="211" t="n"/>
      <c r="V1" s="211" t="n"/>
      <c r="W1" s="211" t="n"/>
      <c r="X1" s="214" t="n"/>
      <c r="Y1" s="219" t="inlineStr">
        <is>
          <t>Sparge Water</t>
        </is>
      </c>
      <c r="Z1" s="210" t="inlineStr">
        <is>
          <t>Blending Water</t>
        </is>
      </c>
      <c r="AA1" s="211" t="n"/>
      <c r="AB1" s="211" t="n"/>
      <c r="AC1" s="219" t="inlineStr">
        <is>
          <t>Rinser Water</t>
        </is>
      </c>
      <c r="AD1" s="214" t="n"/>
      <c r="AE1" s="212" t="inlineStr">
        <is>
          <t>Rinser Water Water</t>
        </is>
      </c>
      <c r="AF1" s="211" t="n"/>
      <c r="AG1" s="211" t="n"/>
      <c r="AH1" s="215" t="inlineStr">
        <is>
          <t>Jetter Water</t>
        </is>
      </c>
      <c r="AI1" s="214" t="n"/>
      <c r="AJ1" s="222" t="inlineStr">
        <is>
          <t>Jetter Water</t>
        </is>
      </c>
    </row>
    <row r="2" ht="63.75" customHeight="1" s="241">
      <c r="A2" s="217" t="n"/>
      <c r="B2" s="217" t="n"/>
      <c r="C2" s="217" t="n"/>
      <c r="D2" s="217" t="n"/>
      <c r="E2" s="217" t="n"/>
      <c r="F2" s="59" t="inlineStr">
        <is>
          <t>参数英文名</t>
        </is>
      </c>
      <c r="G2" s="60" t="inlineStr">
        <is>
          <t>Water  category</t>
        </is>
      </c>
      <c r="H2" s="60" t="inlineStr">
        <is>
          <t xml:space="preserve">Water resource </t>
        </is>
      </c>
      <c r="I2" s="60" t="inlineStr">
        <is>
          <t>Water resource change or not? ( Yes/No)</t>
        </is>
      </c>
      <c r="J2" s="80" t="inlineStr">
        <is>
          <t>Alkalinity</t>
        </is>
      </c>
      <c r="K2" s="80" t="inlineStr">
        <is>
          <t>Hardness</t>
        </is>
      </c>
      <c r="L2" s="80" t="inlineStr">
        <is>
          <t>TTHM</t>
        </is>
      </c>
      <c r="M2" s="80" t="inlineStr">
        <is>
          <t>Cl2</t>
        </is>
      </c>
      <c r="N2" s="80" t="inlineStr">
        <is>
          <t>ClO2</t>
        </is>
      </c>
      <c r="O2" s="80" t="inlineStr">
        <is>
          <t>Iron</t>
        </is>
      </c>
      <c r="P2" s="80" t="inlineStr">
        <is>
          <t>TTHM</t>
        </is>
      </c>
      <c r="Q2" s="80" t="inlineStr">
        <is>
          <t>SDI at the outlet of Mult-Grade Filter</t>
        </is>
      </c>
      <c r="R2" s="80" t="inlineStr">
        <is>
          <t xml:space="preserve">Months since water ACF last replacement </t>
        </is>
      </c>
      <c r="S2" s="80" t="inlineStr">
        <is>
          <t>Months since raw water tank  last clean</t>
        </is>
      </c>
      <c r="T2" s="80" t="inlineStr">
        <is>
          <t>Alkalinity</t>
        </is>
      </c>
      <c r="U2" s="80" t="inlineStr">
        <is>
          <t>Hardness</t>
        </is>
      </c>
      <c r="V2" s="80" t="inlineStr">
        <is>
          <t>TTHM</t>
        </is>
      </c>
      <c r="W2" s="80" t="inlineStr">
        <is>
          <t>ClO2</t>
        </is>
      </c>
      <c r="X2" s="80" t="inlineStr">
        <is>
          <t>pH</t>
        </is>
      </c>
      <c r="Y2" s="80" t="inlineStr">
        <is>
          <t>pH</t>
        </is>
      </c>
      <c r="Z2" s="80" t="inlineStr">
        <is>
          <t>Hardness</t>
        </is>
      </c>
      <c r="AA2" s="80" t="inlineStr">
        <is>
          <t>TTHM</t>
        </is>
      </c>
      <c r="AB2" s="80" t="inlineStr">
        <is>
          <t>ClO2</t>
        </is>
      </c>
      <c r="AC2" s="80" t="inlineStr">
        <is>
          <t>TTHM</t>
        </is>
      </c>
      <c r="AD2" s="80" t="inlineStr">
        <is>
          <t>ClO2</t>
        </is>
      </c>
      <c r="AE2" s="60" t="inlineStr">
        <is>
          <t>Packaging final rinse source？</t>
        </is>
      </c>
      <c r="AF2" s="60" t="inlineStr">
        <is>
          <t>BBT final rinse source. Water or chemical？</t>
        </is>
      </c>
      <c r="AG2" s="60" t="inlineStr">
        <is>
          <t>Bottle washer rinse water taste</t>
        </is>
      </c>
      <c r="AH2" s="80" t="inlineStr">
        <is>
          <t>TTHM</t>
        </is>
      </c>
      <c r="AI2" s="80" t="inlineStr">
        <is>
          <t>ClO2</t>
        </is>
      </c>
      <c r="AJ2" s="60" t="inlineStr">
        <is>
          <t>Jetter water taste</t>
        </is>
      </c>
    </row>
    <row r="3" ht="51" customHeight="1" s="241">
      <c r="A3" s="217" t="n"/>
      <c r="B3" s="217" t="n"/>
      <c r="C3" s="217" t="n"/>
      <c r="D3" s="217" t="n"/>
      <c r="E3" s="217" t="n"/>
      <c r="F3" s="221" t="inlineStr">
        <is>
          <t>参数中文名</t>
        </is>
      </c>
      <c r="G3" s="83" t="inlineStr">
        <is>
          <t>源水类型</t>
        </is>
      </c>
      <c r="H3" s="83" t="inlineStr">
        <is>
          <t>水源地</t>
        </is>
      </c>
      <c r="I3" s="83" t="inlineStr">
        <is>
          <t>水源地是否变化(Yes/No)</t>
        </is>
      </c>
      <c r="J3" s="83" t="inlineStr">
        <is>
          <t>碱度</t>
        </is>
      </c>
      <c r="K3" s="83" t="inlineStr">
        <is>
          <t>硬度</t>
        </is>
      </c>
      <c r="L3" s="83" t="inlineStr">
        <is>
          <t>TTHM</t>
        </is>
      </c>
      <c r="M3" s="83" t="inlineStr">
        <is>
          <t>余氯</t>
        </is>
      </c>
      <c r="N3" s="83" t="inlineStr">
        <is>
          <t>ClO2</t>
        </is>
      </c>
      <c r="O3" s="83" t="inlineStr">
        <is>
          <t>铁</t>
        </is>
      </c>
      <c r="P3" s="83" t="inlineStr">
        <is>
          <t>TTHM</t>
        </is>
      </c>
      <c r="Q3" s="233" t="inlineStr">
        <is>
          <t>多介质出口SDI</t>
        </is>
      </c>
      <c r="R3" s="233" t="inlineStr">
        <is>
          <t>距离水厂活性炭上次更换时间</t>
        </is>
      </c>
      <c r="S3" s="233" t="inlineStr">
        <is>
          <t>距离原水池/罐上次清洗时间</t>
        </is>
      </c>
      <c r="T3" s="83" t="inlineStr">
        <is>
          <t>碱度</t>
        </is>
      </c>
      <c r="U3" s="83" t="inlineStr">
        <is>
          <t>硬度</t>
        </is>
      </c>
      <c r="V3" s="83" t="inlineStr">
        <is>
          <t>TTHM</t>
        </is>
      </c>
      <c r="W3" s="83" t="inlineStr">
        <is>
          <t>ClO2</t>
        </is>
      </c>
      <c r="X3" s="83" t="inlineStr">
        <is>
          <t>冷水pH</t>
        </is>
      </c>
      <c r="Y3" s="83" t="inlineStr">
        <is>
          <t>热水pH</t>
        </is>
      </c>
      <c r="Z3" s="83" t="inlineStr">
        <is>
          <t>硬度</t>
        </is>
      </c>
      <c r="AA3" s="83" t="inlineStr">
        <is>
          <t>TTHM</t>
        </is>
      </c>
      <c r="AB3" s="83" t="inlineStr">
        <is>
          <t>ClO2</t>
        </is>
      </c>
      <c r="AC3" s="83" t="inlineStr">
        <is>
          <t>TTHM</t>
        </is>
      </c>
      <c r="AD3" s="83" t="inlineStr">
        <is>
          <t>ClO2</t>
        </is>
      </c>
      <c r="AE3" s="233" t="inlineStr">
        <is>
          <t>最后一道冲瓶水来源</t>
        </is>
      </c>
      <c r="AF3" s="233" t="inlineStr">
        <is>
          <t>BBT最后一道冲洗水来源，水还是消毒剂？</t>
        </is>
      </c>
      <c r="AG3" s="233" t="inlineStr">
        <is>
          <t>洗瓶机冲洗水品尝</t>
        </is>
      </c>
      <c r="AH3" s="83" t="inlineStr">
        <is>
          <t>TTHM</t>
        </is>
      </c>
      <c r="AI3" s="83" t="inlineStr">
        <is>
          <t>ClO2</t>
        </is>
      </c>
      <c r="AJ3" s="233" t="inlineStr">
        <is>
          <t>引泡水品尝</t>
        </is>
      </c>
    </row>
    <row r="4" ht="41.1" customFormat="1" customHeight="1" s="116">
      <c r="A4" s="217" t="n"/>
      <c r="B4" s="217" t="n"/>
      <c r="C4" s="217" t="n"/>
      <c r="D4" s="217" t="n"/>
      <c r="E4" s="217" t="n"/>
      <c r="F4" s="59" t="inlineStr">
        <is>
          <t>Global</t>
        </is>
      </c>
      <c r="G4" s="82" t="n"/>
      <c r="H4" s="82" t="n"/>
      <c r="I4" s="82" t="n"/>
      <c r="J4" s="82" t="n"/>
      <c r="K4" s="82" t="n"/>
      <c r="L4" s="82" t="n"/>
      <c r="M4" s="82" t="n"/>
      <c r="N4" s="82" t="n"/>
      <c r="O4" s="82" t="n"/>
      <c r="P4" s="82" t="n"/>
      <c r="Q4" s="82" t="n"/>
      <c r="R4" s="82" t="n"/>
      <c r="S4" s="82" t="n"/>
      <c r="T4" s="80" t="inlineStr">
        <is>
          <t>Sparge Water Alkalinity</t>
        </is>
      </c>
      <c r="U4" s="82" t="n"/>
      <c r="V4" s="82" t="n"/>
      <c r="W4" s="80" t="inlineStr">
        <is>
          <t>Sparge Water Free Chlorine</t>
        </is>
      </c>
      <c r="X4" s="82" t="n"/>
      <c r="Y4" s="80" t="inlineStr">
        <is>
          <t>Sparge Water pH</t>
        </is>
      </c>
      <c r="Z4" s="82" t="n"/>
      <c r="AA4" s="82" t="n"/>
      <c r="AB4" s="82" t="n"/>
      <c r="AC4" s="82" t="n"/>
      <c r="AD4" s="82" t="n"/>
      <c r="AE4" s="82" t="n"/>
      <c r="AF4" s="82" t="n"/>
      <c r="AG4" s="82" t="n"/>
      <c r="AH4" s="82" t="n"/>
      <c r="AI4" s="82" t="n"/>
      <c r="AJ4" s="82" t="n"/>
    </row>
    <row r="5" ht="24" customFormat="1" customHeight="1" s="78">
      <c r="A5" s="217" t="n"/>
      <c r="B5" s="217" t="n"/>
      <c r="C5" s="217" t="n"/>
      <c r="D5" s="217" t="n"/>
      <c r="E5" s="217" t="n"/>
      <c r="F5" s="221" t="inlineStr">
        <is>
          <t>DF代码</t>
        </is>
      </c>
      <c r="G5" s="83" t="n"/>
      <c r="H5" s="83" t="n"/>
      <c r="I5" s="83" t="n"/>
      <c r="J5" s="83" t="inlineStr">
        <is>
          <t>US-20126</t>
        </is>
      </c>
      <c r="K5" s="83" t="inlineStr">
        <is>
          <t>US-20125</t>
        </is>
      </c>
      <c r="L5" s="83" t="n"/>
      <c r="M5" s="83" t="inlineStr">
        <is>
          <t>US-20129</t>
        </is>
      </c>
      <c r="N5" s="83" t="n"/>
      <c r="O5" s="83" t="inlineStr">
        <is>
          <t>US-20130</t>
        </is>
      </c>
      <c r="P5" s="83" t="n"/>
      <c r="Q5" s="83" t="n"/>
      <c r="R5" s="83" t="n"/>
      <c r="S5" s="83" t="n"/>
      <c r="T5" s="83" t="n"/>
      <c r="U5" s="83" t="inlineStr">
        <is>
          <t>QA-05022</t>
        </is>
      </c>
      <c r="V5" s="83" t="n"/>
      <c r="W5" s="83" t="n"/>
      <c r="X5" s="83" t="inlineStr">
        <is>
          <t>QA-05002</t>
        </is>
      </c>
      <c r="Y5" s="83" t="inlineStr">
        <is>
          <t>QA-05021</t>
        </is>
      </c>
      <c r="Z5" s="83" t="n"/>
      <c r="AA5" s="83" t="n"/>
      <c r="AB5" s="83" t="inlineStr">
        <is>
          <t>QA-19235</t>
        </is>
      </c>
      <c r="AC5" s="83" t="n"/>
      <c r="AD5" s="83" t="n"/>
      <c r="AE5" s="83" t="n"/>
      <c r="AF5" s="83" t="n"/>
      <c r="AG5" s="83" t="n"/>
      <c r="AH5" s="83" t="n"/>
      <c r="AI5" s="83" t="n"/>
      <c r="AJ5" s="83" t="n"/>
    </row>
    <row r="6" ht="94.34999999999999" customFormat="1" customHeight="1" s="116">
      <c r="A6" s="217" t="n"/>
      <c r="B6" s="217" t="n"/>
      <c r="C6" s="217" t="n"/>
      <c r="D6" s="217" t="n"/>
      <c r="E6" s="217" t="n"/>
      <c r="F6" s="221" t="inlineStr">
        <is>
          <t>DF中文</t>
        </is>
      </c>
      <c r="G6" s="127" t="n"/>
      <c r="H6" s="127" t="n"/>
      <c r="I6" s="127" t="n"/>
      <c r="J6" s="127" t="inlineStr">
        <is>
          <t>原水硬度_原水处理_动力_水处理_取水设备_原水管路</t>
        </is>
      </c>
      <c r="K6" s="127" t="inlineStr">
        <is>
          <t>原水碱度_原水处理_动力_水处理_取水设备_原水管路</t>
        </is>
      </c>
      <c r="L6" s="83" t="n"/>
      <c r="M6" s="127" t="inlineStr">
        <is>
          <t>原水氯根_原水处理_动力_水处理_取水设备_原水管路</t>
        </is>
      </c>
      <c r="N6" s="127" t="n"/>
      <c r="O6" s="83" t="inlineStr">
        <is>
          <t>原水铁离子浓度_原水处理_动力_水处理_取水设备_原水管路</t>
        </is>
      </c>
      <c r="P6" s="83" t="n"/>
      <c r="Q6" s="83" t="n"/>
      <c r="R6" s="83" t="n"/>
      <c r="S6" s="83" t="n"/>
      <c r="T6" s="83" t="n"/>
      <c r="U6" s="83" t="inlineStr">
        <is>
          <t>硬度_酿造热水_酿造热水制备和存储_酿造_糖化_热水罐</t>
        </is>
      </c>
      <c r="V6" s="83" t="n"/>
      <c r="W6" s="83" t="n"/>
      <c r="X6" s="83" t="inlineStr">
        <is>
          <t>pH_酿造水_酿造水存储_酿造_糖化_酿造水罐</t>
        </is>
      </c>
      <c r="Y6" s="83" t="inlineStr">
        <is>
          <t>pH_酿造热水_酿造热水制备和存储_酿造_糖化_热水罐</t>
        </is>
      </c>
      <c r="Z6" s="83" t="n"/>
      <c r="AA6" s="83" t="n"/>
      <c r="AB6" s="83" t="inlineStr">
        <is>
          <t>二氧化氯(ClO2)含量_稀释水_高浓稀释_酿造_过滤_高浓稀释系统_稀释水管路</t>
        </is>
      </c>
      <c r="AC6" s="83" t="n"/>
      <c r="AD6" s="83" t="n"/>
      <c r="AE6" s="83" t="n"/>
      <c r="AF6" s="83" t="n"/>
      <c r="AG6" s="83" t="n"/>
      <c r="AH6" s="83" t="n"/>
      <c r="AI6" s="83" t="n"/>
      <c r="AJ6" s="83" t="n"/>
    </row>
    <row r="7" customFormat="1" s="116">
      <c r="A7" s="217" t="n"/>
      <c r="B7" s="217" t="n"/>
      <c r="C7" s="217" t="n"/>
      <c r="D7" s="217" t="n"/>
      <c r="E7" s="217" t="n"/>
      <c r="F7" s="221" t="inlineStr">
        <is>
          <t>数据源</t>
        </is>
      </c>
      <c r="G7" s="127" t="n"/>
      <c r="H7" s="127" t="n"/>
      <c r="I7" s="127" t="n"/>
      <c r="J7" s="127" t="inlineStr">
        <is>
          <t>LIMS</t>
        </is>
      </c>
      <c r="K7" s="127" t="inlineStr">
        <is>
          <t>LIMS</t>
        </is>
      </c>
      <c r="L7" s="127" t="inlineStr">
        <is>
          <t>LIMS</t>
        </is>
      </c>
      <c r="M7" s="127" t="inlineStr">
        <is>
          <t>LIMS</t>
        </is>
      </c>
      <c r="N7" s="127" t="inlineStr">
        <is>
          <t>LIMS</t>
        </is>
      </c>
      <c r="O7" s="127" t="inlineStr">
        <is>
          <t>LIMS</t>
        </is>
      </c>
      <c r="P7" s="83" t="inlineStr">
        <is>
          <t>LIMS</t>
        </is>
      </c>
      <c r="Q7" s="83" t="n"/>
      <c r="R7" s="83" t="n"/>
      <c r="S7" s="83" t="n"/>
      <c r="T7" s="127" t="inlineStr">
        <is>
          <t>LIMS</t>
        </is>
      </c>
      <c r="U7" s="127" t="inlineStr">
        <is>
          <t>LIMS</t>
        </is>
      </c>
      <c r="V7" s="127" t="inlineStr">
        <is>
          <t>LIMS</t>
        </is>
      </c>
      <c r="W7" s="127" t="inlineStr">
        <is>
          <t>LIMS</t>
        </is>
      </c>
      <c r="X7" s="127" t="inlineStr">
        <is>
          <t>LIMS</t>
        </is>
      </c>
      <c r="Y7" s="127" t="inlineStr">
        <is>
          <t>LIMS</t>
        </is>
      </c>
      <c r="Z7" s="127" t="inlineStr">
        <is>
          <t>LIMS</t>
        </is>
      </c>
      <c r="AA7" s="127" t="inlineStr">
        <is>
          <t>LIMS</t>
        </is>
      </c>
      <c r="AB7" s="127" t="inlineStr">
        <is>
          <t>LIMS</t>
        </is>
      </c>
      <c r="AC7" s="127" t="inlineStr">
        <is>
          <t>LIMS</t>
        </is>
      </c>
      <c r="AD7" s="127" t="inlineStr">
        <is>
          <t>LIMS</t>
        </is>
      </c>
      <c r="AE7" s="83" t="n"/>
      <c r="AF7" s="83" t="n"/>
      <c r="AG7" s="83" t="n"/>
      <c r="AH7" s="127" t="inlineStr">
        <is>
          <t>LIMS</t>
        </is>
      </c>
      <c r="AI7" s="127" t="inlineStr">
        <is>
          <t>LIMS</t>
        </is>
      </c>
      <c r="AJ7" s="83" t="n"/>
    </row>
    <row r="8" ht="24" customFormat="1" customHeight="1" s="116">
      <c r="A8" s="217" t="n"/>
      <c r="B8" s="217" t="n"/>
      <c r="C8" s="217" t="n"/>
      <c r="D8" s="217" t="n"/>
      <c r="E8" s="217" t="n"/>
      <c r="F8" s="221" t="inlineStr">
        <is>
          <t>是否Sensory PI展示</t>
        </is>
      </c>
      <c r="G8" s="233" t="inlineStr">
        <is>
          <t>Y</t>
        </is>
      </c>
      <c r="H8" s="233" t="inlineStr">
        <is>
          <t>Y</t>
        </is>
      </c>
      <c r="I8" s="233" t="inlineStr">
        <is>
          <t>Y</t>
        </is>
      </c>
      <c r="J8" s="233" t="inlineStr">
        <is>
          <t>Y</t>
        </is>
      </c>
      <c r="K8" s="233" t="inlineStr">
        <is>
          <t>Y</t>
        </is>
      </c>
      <c r="L8" s="233" t="inlineStr">
        <is>
          <t>Y</t>
        </is>
      </c>
      <c r="M8" s="127" t="n"/>
      <c r="N8" s="233" t="inlineStr">
        <is>
          <t>Y</t>
        </is>
      </c>
      <c r="O8" s="127" t="n"/>
      <c r="P8" s="233" t="inlineStr">
        <is>
          <t>Y</t>
        </is>
      </c>
      <c r="Q8" s="233" t="inlineStr">
        <is>
          <t>Y</t>
        </is>
      </c>
      <c r="R8" s="233" t="inlineStr">
        <is>
          <t>Y</t>
        </is>
      </c>
      <c r="S8" s="233" t="inlineStr">
        <is>
          <t>Y</t>
        </is>
      </c>
      <c r="T8" s="233" t="inlineStr">
        <is>
          <t>Y</t>
        </is>
      </c>
      <c r="U8" s="233" t="inlineStr">
        <is>
          <t>Y</t>
        </is>
      </c>
      <c r="V8" s="233" t="inlineStr">
        <is>
          <t>Y</t>
        </is>
      </c>
      <c r="W8" s="233" t="inlineStr">
        <is>
          <t>Y</t>
        </is>
      </c>
      <c r="X8" s="233" t="inlineStr">
        <is>
          <t>Y</t>
        </is>
      </c>
      <c r="Y8" s="233" t="inlineStr">
        <is>
          <t>Y</t>
        </is>
      </c>
      <c r="Z8" s="127" t="n"/>
      <c r="AA8" s="233" t="inlineStr">
        <is>
          <t>Y</t>
        </is>
      </c>
      <c r="AB8" s="233" t="inlineStr">
        <is>
          <t>Y</t>
        </is>
      </c>
      <c r="AC8" s="233" t="inlineStr">
        <is>
          <t>Y</t>
        </is>
      </c>
      <c r="AD8" s="233" t="inlineStr">
        <is>
          <t>Y</t>
        </is>
      </c>
      <c r="AE8" s="233" t="inlineStr">
        <is>
          <t>Y</t>
        </is>
      </c>
      <c r="AF8" s="233" t="inlineStr">
        <is>
          <t>Y</t>
        </is>
      </c>
      <c r="AG8" s="233" t="inlineStr">
        <is>
          <t>Y</t>
        </is>
      </c>
      <c r="AH8" s="127" t="n"/>
      <c r="AI8" s="127" t="n"/>
      <c r="AJ8" s="233" t="inlineStr">
        <is>
          <t>Y</t>
        </is>
      </c>
    </row>
    <row r="9" ht="12.75" customFormat="1" customHeight="1" s="116">
      <c r="A9" s="217" t="n"/>
      <c r="B9" s="217" t="n"/>
      <c r="C9" s="217" t="n"/>
      <c r="D9" s="217" t="n"/>
      <c r="E9" s="217" t="n"/>
      <c r="F9" s="221" t="inlineStr">
        <is>
          <t>是否为Key PI</t>
        </is>
      </c>
      <c r="G9" s="127" t="n"/>
      <c r="H9" s="127" t="n"/>
      <c r="I9" s="127" t="n"/>
      <c r="J9" s="233" t="inlineStr">
        <is>
          <t>Y</t>
        </is>
      </c>
      <c r="K9" s="233" t="inlineStr">
        <is>
          <t>Y</t>
        </is>
      </c>
      <c r="L9" s="233" t="inlineStr">
        <is>
          <t>Y</t>
        </is>
      </c>
      <c r="M9" s="127" t="n"/>
      <c r="N9" s="127" t="n"/>
      <c r="O9" s="127" t="n"/>
      <c r="P9" s="83" t="n"/>
      <c r="Q9" s="83" t="n"/>
      <c r="R9" s="83" t="n"/>
      <c r="S9" s="83" t="n"/>
      <c r="T9" s="233" t="inlineStr">
        <is>
          <t>Y</t>
        </is>
      </c>
      <c r="U9" s="233" t="inlineStr">
        <is>
          <t>Y</t>
        </is>
      </c>
      <c r="V9" s="233" t="inlineStr">
        <is>
          <t>Y</t>
        </is>
      </c>
      <c r="W9" s="127" t="n"/>
      <c r="X9" s="127" t="n"/>
      <c r="Y9" s="127" t="n"/>
      <c r="Z9" s="127" t="n"/>
      <c r="AA9" s="127" t="n"/>
      <c r="AB9" s="127" t="n"/>
      <c r="AC9" s="233" t="inlineStr">
        <is>
          <t>Y</t>
        </is>
      </c>
      <c r="AD9" s="127" t="n"/>
      <c r="AE9" s="83" t="n"/>
      <c r="AF9" s="83" t="n"/>
      <c r="AG9" s="233" t="inlineStr">
        <is>
          <t>Y</t>
        </is>
      </c>
      <c r="AH9" s="127" t="n"/>
      <c r="AI9" s="127" t="n"/>
      <c r="AJ9" s="233" t="inlineStr">
        <is>
          <t>Y</t>
        </is>
      </c>
    </row>
    <row r="10">
      <c r="A10" s="217" t="n"/>
      <c r="B10" s="217" t="n"/>
      <c r="C10" s="217" t="n"/>
      <c r="D10" s="217" t="n"/>
      <c r="E10" s="217" t="n"/>
      <c r="F10" s="221" t="inlineStr">
        <is>
          <t>是否点图展示</t>
        </is>
      </c>
      <c r="G10" s="127" t="n"/>
      <c r="H10" s="127" t="n"/>
      <c r="I10" s="127" t="n"/>
      <c r="J10" s="83" t="n"/>
      <c r="K10" s="83" t="n"/>
      <c r="L10" s="83" t="inlineStr">
        <is>
          <t>Y</t>
        </is>
      </c>
      <c r="M10" s="83" t="n"/>
      <c r="N10" s="83" t="n"/>
      <c r="O10" s="83" t="n"/>
      <c r="P10" s="83" t="inlineStr">
        <is>
          <t>Y</t>
        </is>
      </c>
      <c r="Q10" s="83" t="n"/>
      <c r="R10" s="83" t="n"/>
      <c r="S10" s="83" t="n"/>
      <c r="T10" s="83" t="inlineStr">
        <is>
          <t>Y</t>
        </is>
      </c>
      <c r="U10" s="83" t="inlineStr">
        <is>
          <t>Y</t>
        </is>
      </c>
      <c r="V10" s="83" t="inlineStr">
        <is>
          <t>Y</t>
        </is>
      </c>
      <c r="W10" s="83" t="inlineStr">
        <is>
          <t>Y</t>
        </is>
      </c>
      <c r="X10" s="83" t="inlineStr">
        <is>
          <t>Y</t>
        </is>
      </c>
      <c r="Y10" s="83" t="inlineStr">
        <is>
          <t>Y</t>
        </is>
      </c>
      <c r="Z10" s="83" t="inlineStr">
        <is>
          <t>Y</t>
        </is>
      </c>
      <c r="AA10" s="83" t="inlineStr">
        <is>
          <t>Y</t>
        </is>
      </c>
      <c r="AB10" s="83" t="inlineStr">
        <is>
          <t>Y</t>
        </is>
      </c>
      <c r="AC10" s="83" t="n"/>
      <c r="AD10" s="83" t="n"/>
      <c r="AE10" s="83" t="n"/>
      <c r="AF10" s="83" t="n"/>
      <c r="AG10" s="83" t="n"/>
      <c r="AH10" s="83" t="n"/>
      <c r="AI10" s="83" t="n"/>
      <c r="AJ10" s="83" t="n"/>
    </row>
    <row r="11">
      <c r="A11" s="218" t="n"/>
      <c r="B11" s="218" t="n"/>
      <c r="C11" s="218" t="n"/>
      <c r="D11" s="218" t="n"/>
      <c r="E11" s="218" t="n"/>
      <c r="F11" s="59" t="inlineStr">
        <is>
          <t>Unit</t>
        </is>
      </c>
      <c r="G11" s="139" t="n"/>
      <c r="H11" s="139" t="n"/>
      <c r="I11" s="139" t="n"/>
      <c r="J11" s="139" t="inlineStr">
        <is>
          <t>ppm</t>
        </is>
      </c>
      <c r="K11" s="139" t="inlineStr">
        <is>
          <t>ppm</t>
        </is>
      </c>
      <c r="L11" s="92" t="inlineStr">
        <is>
          <t>ppb</t>
        </is>
      </c>
      <c r="M11" s="91" t="inlineStr">
        <is>
          <t>ppm</t>
        </is>
      </c>
      <c r="N11" s="91" t="inlineStr">
        <is>
          <t>ppm</t>
        </is>
      </c>
      <c r="O11" s="144" t="inlineStr">
        <is>
          <t>ppm</t>
        </is>
      </c>
      <c r="P11" s="91" t="inlineStr">
        <is>
          <t>ppb</t>
        </is>
      </c>
      <c r="Q11" s="91" t="n"/>
      <c r="R11" s="91" t="n"/>
      <c r="S11" s="91" t="n"/>
      <c r="T11" s="139" t="inlineStr">
        <is>
          <t>ppm</t>
        </is>
      </c>
      <c r="U11" s="139" t="inlineStr">
        <is>
          <t>ppm</t>
        </is>
      </c>
      <c r="V11" s="92" t="inlineStr">
        <is>
          <t>ppb</t>
        </is>
      </c>
      <c r="W11" s="91" t="inlineStr">
        <is>
          <t>ppm</t>
        </is>
      </c>
      <c r="X11" s="91" t="n"/>
      <c r="Y11" s="91" t="n"/>
      <c r="Z11" s="91" t="inlineStr">
        <is>
          <t>ppm</t>
        </is>
      </c>
      <c r="AA11" s="91" t="inlineStr">
        <is>
          <t>ppm</t>
        </is>
      </c>
      <c r="AB11" s="91" t="inlineStr">
        <is>
          <t>ppm</t>
        </is>
      </c>
      <c r="AC11" s="91" t="inlineStr">
        <is>
          <t>ppb</t>
        </is>
      </c>
      <c r="AD11" s="91" t="inlineStr">
        <is>
          <t>ppm</t>
        </is>
      </c>
      <c r="AE11" s="91" t="n"/>
      <c r="AF11" s="91" t="n"/>
      <c r="AG11" s="91" t="n"/>
      <c r="AH11" s="91" t="inlineStr">
        <is>
          <t>ppb</t>
        </is>
      </c>
      <c r="AI11" s="91" t="inlineStr">
        <is>
          <t>ppm</t>
        </is>
      </c>
      <c r="AJ11" s="91" t="n"/>
    </row>
  </sheetData>
  <mergeCells count="13">
    <mergeCell ref="Z1:AB1"/>
    <mergeCell ref="AE1:AG1"/>
    <mergeCell ref="J1:O1"/>
    <mergeCell ref="AH1:AI1"/>
    <mergeCell ref="B1:B11"/>
    <mergeCell ref="AC1:AD1"/>
    <mergeCell ref="C1:C11"/>
    <mergeCell ref="E1:E11"/>
    <mergeCell ref="T1:X1"/>
    <mergeCell ref="Q1:S1"/>
    <mergeCell ref="A1:A11"/>
    <mergeCell ref="D1:D11"/>
    <mergeCell ref="G1:I1"/>
  </mergeCells>
  <conditionalFormatting sqref="G8:I8">
    <cfRule type="cellIs" priority="17" operator="equal" dxfId="4">
      <formula>"N"</formula>
    </cfRule>
    <cfRule type="cellIs" priority="18" operator="equal" dxfId="0">
      <formula>"Y"</formula>
    </cfRule>
  </conditionalFormatting>
  <conditionalFormatting sqref="J8:L9">
    <cfRule type="cellIs" priority="39" operator="equal" dxfId="4">
      <formula>"N"</formula>
    </cfRule>
    <cfRule type="cellIs" priority="40" operator="equal" dxfId="0">
      <formula>"Y"</formula>
    </cfRule>
  </conditionalFormatting>
  <conditionalFormatting sqref="J10:AI10">
    <cfRule type="cellIs" priority="11" operator="equal" dxfId="4">
      <formula>"N"</formula>
    </cfRule>
    <cfRule type="cellIs" priority="12" operator="equal" dxfId="0">
      <formula>"Y"</formula>
    </cfRule>
  </conditionalFormatting>
  <conditionalFormatting sqref="N8">
    <cfRule type="cellIs" priority="45" operator="equal" dxfId="4">
      <formula>"N"</formula>
    </cfRule>
    <cfRule type="cellIs" priority="46" operator="equal" dxfId="0">
      <formula>"Y"</formula>
    </cfRule>
  </conditionalFormatting>
  <conditionalFormatting sqref="P8:Y8">
    <cfRule type="cellIs" priority="13" operator="equal" dxfId="4">
      <formula>"N"</formula>
    </cfRule>
    <cfRule type="cellIs" priority="14" operator="equal" dxfId="0">
      <formula>"Y"</formula>
    </cfRule>
  </conditionalFormatting>
  <conditionalFormatting sqref="T9:V9">
    <cfRule type="cellIs" priority="31" operator="equal" dxfId="4">
      <formula>"N"</formula>
    </cfRule>
    <cfRule type="cellIs" priority="32" operator="equal" dxfId="0">
      <formula>"Y"</formula>
    </cfRule>
  </conditionalFormatting>
  <conditionalFormatting sqref="AA8:AB8">
    <cfRule type="cellIs" priority="27" operator="equal" dxfId="4">
      <formula>"N"</formula>
    </cfRule>
    <cfRule type="cellIs" priority="28" operator="equal" dxfId="0">
      <formula>"Y"</formula>
    </cfRule>
  </conditionalFormatting>
  <conditionalFormatting sqref="AC8:AC9">
    <cfRule type="cellIs" priority="23" operator="equal" dxfId="4">
      <formula>"N"</formula>
    </cfRule>
    <cfRule type="cellIs" priority="24" operator="equal" dxfId="0">
      <formula>"Y"</formula>
    </cfRule>
  </conditionalFormatting>
  <conditionalFormatting sqref="AD8:AG8">
    <cfRule type="cellIs" priority="9" operator="equal" dxfId="4">
      <formula>"N"</formula>
    </cfRule>
    <cfRule type="cellIs" priority="10" operator="equal" dxfId="0">
      <formula>"Y"</formula>
    </cfRule>
  </conditionalFormatting>
  <conditionalFormatting sqref="AG9">
    <cfRule type="cellIs" priority="7" operator="equal" dxfId="4">
      <formula>"N"</formula>
    </cfRule>
    <cfRule type="cellIs" priority="8" operator="equal" dxfId="0">
      <formula>"Y"</formula>
    </cfRule>
  </conditionalFormatting>
  <conditionalFormatting sqref="AJ8:AJ10">
    <cfRule type="cellIs" priority="1" operator="equal" dxfId="4">
      <formula>"N"</formula>
    </cfRule>
    <cfRule type="cellIs" priority="2" operator="equal" dxfId="0">
      <formula>"Y"</formula>
    </cfRule>
  </conditionalFormatting>
  <dataValidations count="2">
    <dataValidation sqref="G8:L8 G10:AI10 J9:L9 N8 P8:Y8 T9:V9 AA8:AG8 AC9 AG9 AJ8:AJ9" showDropDown="0" showInputMessage="1" showErrorMessage="1" allowBlank="1" type="list">
      <formula1>"Y,N"</formula1>
    </dataValidation>
    <dataValidation sqref="D12:D1048576" showDropDown="0" showInputMessage="1" showErrorMessage="1" allowBlank="1" type="list">
      <formula1>"MCS,Test,Propagation"</formula1>
    </dataValidation>
  </dataValidations>
  <pageMargins left="0.7" right="0.7" top="0.75" bottom="0.75" header="0.3" footer="0.3"/>
  <pageSetup orientation="portrait" paperSize="9" horizontalDpi="300" verticalDpi="300"/>
</worksheet>
</file>

<file path=xl/worksheets/sheet9.xml><?xml version="1.0" encoding="utf-8"?>
<worksheet xmlns="http://schemas.openxmlformats.org/spreadsheetml/2006/main">
  <sheetPr>
    <tabColor theme="1" tint="0.0499893185216834"/>
    <outlinePr summaryBelow="1" summaryRight="1"/>
    <pageSetUpPr/>
  </sheetPr>
  <dimension ref="A1:DW14"/>
  <sheetViews>
    <sheetView tabSelected="1" workbookViewId="0">
      <selection activeCell="N12" sqref="N12"/>
    </sheetView>
  </sheetViews>
  <sheetFormatPr baseColWidth="8" defaultColWidth="8.85546875" defaultRowHeight="12"/>
  <cols>
    <col width="9.85546875" customWidth="1" style="21" min="1" max="1"/>
    <col width="17.28515625" bestFit="1" customWidth="1" style="55" min="2" max="2"/>
    <col width="11.140625" customWidth="1" style="21" min="3" max="3"/>
    <col width="12.42578125" customWidth="1" style="55" min="4" max="5"/>
    <col width="14.140625" customWidth="1" style="20" min="6" max="9"/>
    <col width="11.140625" customWidth="1" style="20" min="10" max="12"/>
    <col width="8.85546875" customWidth="1" style="21" min="13" max="13"/>
    <col width="17.28515625" bestFit="1" customWidth="1" style="21" min="14" max="14"/>
    <col width="6.42578125" customWidth="1" style="21" min="15" max="15"/>
    <col width="11.140625" customWidth="1" style="20" min="16" max="18"/>
    <col width="10.28515625" customWidth="1" style="21" min="19" max="19"/>
    <col width="8.85546875" customWidth="1" style="21" min="20" max="20"/>
    <col width="8.85546875" customWidth="1" style="21" min="21" max="16384"/>
  </cols>
  <sheetData>
    <row r="1" ht="14.85" customHeight="1" s="241">
      <c r="A1" s="221" t="inlineStr">
        <is>
          <t>Brewery</t>
        </is>
      </c>
      <c r="B1" s="216" t="inlineStr">
        <is>
          <t>Date</t>
        </is>
      </c>
      <c r="C1" s="220" t="inlineStr">
        <is>
          <t>Brand</t>
        </is>
      </c>
      <c r="D1" s="216" t="inlineStr">
        <is>
          <t>Batch Production Type</t>
        </is>
      </c>
      <c r="E1" s="216" t="inlineStr">
        <is>
          <t>Batch Production Month</t>
        </is>
      </c>
      <c r="F1" s="140" t="inlineStr">
        <is>
          <t>Process</t>
        </is>
      </c>
      <c r="G1" s="210" t="inlineStr">
        <is>
          <t>Incoming Water</t>
        </is>
      </c>
      <c r="H1" s="211" t="n"/>
      <c r="I1" s="211" t="n"/>
      <c r="J1" s="212" t="inlineStr">
        <is>
          <t>ACF Water</t>
        </is>
      </c>
      <c r="K1" s="211" t="n"/>
      <c r="L1" s="211" t="n"/>
      <c r="M1" s="235" t="inlineStr">
        <is>
          <t>Blending Water</t>
        </is>
      </c>
      <c r="N1" s="211" t="n"/>
      <c r="O1" s="214" t="n"/>
      <c r="P1" s="212" t="inlineStr">
        <is>
          <t>Rinser Water Water</t>
        </is>
      </c>
      <c r="Q1" s="211" t="n"/>
      <c r="R1" s="211" t="n"/>
      <c r="S1" s="222" t="inlineStr">
        <is>
          <t>Jetter Water</t>
        </is>
      </c>
    </row>
    <row r="2" ht="63.75" customHeight="1" s="241">
      <c r="A2" s="217" t="n"/>
      <c r="B2" s="217" t="n"/>
      <c r="C2" s="217" t="n"/>
      <c r="D2" s="217" t="n"/>
      <c r="E2" s="217" t="n"/>
      <c r="F2" s="59" t="inlineStr">
        <is>
          <t>参数英文名</t>
        </is>
      </c>
      <c r="G2" s="60" t="inlineStr">
        <is>
          <t>Water  category</t>
        </is>
      </c>
      <c r="H2" s="60" t="inlineStr">
        <is>
          <t xml:space="preserve">Water resource </t>
        </is>
      </c>
      <c r="I2" s="60" t="inlineStr">
        <is>
          <t>Water resource change or not? ( Yes/No)</t>
        </is>
      </c>
      <c r="J2" s="80" t="inlineStr">
        <is>
          <t>SDI at the outlet of Mult-Grade Filter</t>
        </is>
      </c>
      <c r="K2" s="80" t="inlineStr">
        <is>
          <t xml:space="preserve">Months since water ACF last replacement </t>
        </is>
      </c>
      <c r="L2" s="80" t="inlineStr">
        <is>
          <t>Months since raw water tank  last clean</t>
        </is>
      </c>
      <c r="M2" s="80" t="inlineStr">
        <is>
          <t>DO</t>
        </is>
      </c>
      <c r="N2" s="80" t="inlineStr">
        <is>
          <t>CO2</t>
        </is>
      </c>
      <c r="O2" s="60" t="inlineStr">
        <is>
          <t>pH</t>
        </is>
      </c>
      <c r="P2" s="60" t="inlineStr">
        <is>
          <t>Packaging final rinse source？</t>
        </is>
      </c>
      <c r="Q2" s="60" t="inlineStr">
        <is>
          <t>BBT final rinse source. Water or chemical？</t>
        </is>
      </c>
      <c r="R2" s="60" t="inlineStr">
        <is>
          <t>Bottle washer rinse water taste</t>
        </is>
      </c>
      <c r="S2" s="60" t="inlineStr">
        <is>
          <t>Jetter water taste</t>
        </is>
      </c>
    </row>
    <row r="3" ht="51" customHeight="1" s="241">
      <c r="A3" s="217" t="n"/>
      <c r="B3" s="217" t="n"/>
      <c r="C3" s="217" t="n"/>
      <c r="D3" s="217" t="n"/>
      <c r="E3" s="217" t="n"/>
      <c r="F3" s="221" t="inlineStr">
        <is>
          <t>参数中文名</t>
        </is>
      </c>
      <c r="G3" s="83" t="inlineStr">
        <is>
          <t>源水类型</t>
        </is>
      </c>
      <c r="H3" s="83" t="inlineStr">
        <is>
          <t>水源地</t>
        </is>
      </c>
      <c r="I3" s="83" t="inlineStr">
        <is>
          <t>水源地是否变化(Yes/No)</t>
        </is>
      </c>
      <c r="J3" s="233" t="inlineStr">
        <is>
          <t>多介质出口SDI</t>
        </is>
      </c>
      <c r="K3" s="233" t="inlineStr">
        <is>
          <t>距离水厂活性炭上次更换时间</t>
        </is>
      </c>
      <c r="L3" s="233" t="inlineStr">
        <is>
          <t>距离原水池/罐上次清洗时间</t>
        </is>
      </c>
      <c r="M3" s="83" t="inlineStr">
        <is>
          <t>DO</t>
        </is>
      </c>
      <c r="N3" s="83" t="inlineStr">
        <is>
          <t>CO2</t>
        </is>
      </c>
      <c r="O3" s="233" t="inlineStr">
        <is>
          <t>pH</t>
        </is>
      </c>
      <c r="P3" s="233" t="inlineStr">
        <is>
          <t>最后一道冲瓶水来源</t>
        </is>
      </c>
      <c r="Q3" s="233" t="inlineStr">
        <is>
          <t>BBT最后一道冲洗水来源，水还是消毒剂？</t>
        </is>
      </c>
      <c r="R3" s="233" t="inlineStr">
        <is>
          <t>洗瓶机冲洗水品尝</t>
        </is>
      </c>
      <c r="S3" s="233" t="inlineStr">
        <is>
          <t>引泡水品尝</t>
        </is>
      </c>
    </row>
    <row r="4" ht="28.15" customFormat="1" customHeight="1" s="116">
      <c r="A4" s="217" t="n"/>
      <c r="B4" s="217" t="n"/>
      <c r="C4" s="217" t="n"/>
      <c r="D4" s="217" t="n"/>
      <c r="E4" s="217" t="n"/>
      <c r="F4" s="59" t="inlineStr">
        <is>
          <t>Global</t>
        </is>
      </c>
      <c r="G4" s="82" t="n"/>
      <c r="H4" s="82" t="n"/>
      <c r="I4" s="82" t="n"/>
      <c r="J4" s="82" t="n"/>
      <c r="K4" s="82" t="n"/>
      <c r="L4" s="82" t="n"/>
      <c r="M4" s="82" t="n"/>
      <c r="N4" s="82" t="n"/>
      <c r="O4" s="82" t="n"/>
      <c r="P4" s="82" t="n"/>
      <c r="Q4" s="82" t="n"/>
      <c r="R4" s="82" t="n"/>
      <c r="S4" s="82" t="n"/>
    </row>
    <row r="5" ht="24" customFormat="1" customHeight="1" s="78">
      <c r="A5" s="217" t="n"/>
      <c r="B5" s="217" t="n"/>
      <c r="C5" s="217" t="n"/>
      <c r="D5" s="217" t="n"/>
      <c r="E5" s="217" t="n"/>
      <c r="F5" s="221" t="inlineStr">
        <is>
          <t>DF代码</t>
        </is>
      </c>
      <c r="G5" s="83" t="n"/>
      <c r="H5" s="83" t="n"/>
      <c r="I5" s="83" t="n"/>
      <c r="J5" s="83" t="n"/>
      <c r="K5" s="83" t="n"/>
      <c r="L5" s="83" t="n"/>
      <c r="M5" s="83" t="inlineStr">
        <is>
          <t>BR-75101</t>
        </is>
      </c>
      <c r="N5" s="83" t="inlineStr">
        <is>
          <t>BR-75102</t>
        </is>
      </c>
      <c r="O5" s="83" t="n"/>
      <c r="P5" s="83" t="n"/>
      <c r="Q5" s="83" t="n"/>
      <c r="R5" s="83" t="n"/>
      <c r="S5" s="83" t="n"/>
    </row>
    <row r="6" ht="94.34999999999999" customFormat="1" customHeight="1" s="116">
      <c r="A6" s="217" t="n"/>
      <c r="B6" s="217" t="n"/>
      <c r="C6" s="217" t="n"/>
      <c r="D6" s="217" t="n"/>
      <c r="E6" s="217" t="n"/>
      <c r="F6" s="221" t="inlineStr">
        <is>
          <t>DF中文</t>
        </is>
      </c>
      <c r="G6" s="127" t="n"/>
      <c r="H6" s="127" t="n"/>
      <c r="I6" s="127" t="n"/>
      <c r="J6" s="83" t="n"/>
      <c r="K6" s="83" t="n"/>
      <c r="L6" s="83" t="n"/>
      <c r="M6" s="83" t="inlineStr">
        <is>
          <t>稀释水DO_稀释水存储_酿造_清酒工序_脱氧水罐</t>
        </is>
      </c>
      <c r="N6" s="83" t="inlineStr">
        <is>
          <t>稀释水CO2_稀释水存储_酿造_清酒工序_脱氧水罐</t>
        </is>
      </c>
      <c r="O6" s="83" t="n"/>
      <c r="P6" s="83" t="n"/>
      <c r="Q6" s="83" t="n"/>
      <c r="R6" s="83" t="n"/>
      <c r="S6" s="83" t="n"/>
    </row>
    <row r="7" customFormat="1" s="116">
      <c r="A7" s="217" t="n"/>
      <c r="B7" s="217" t="n"/>
      <c r="C7" s="217" t="n"/>
      <c r="D7" s="217" t="n"/>
      <c r="E7" s="217" t="n"/>
      <c r="F7" s="221" t="inlineStr">
        <is>
          <t>数据源</t>
        </is>
      </c>
      <c r="G7" s="127" t="n"/>
      <c r="H7" s="127" t="n"/>
      <c r="I7" s="127" t="n"/>
      <c r="J7" s="83" t="n"/>
      <c r="K7" s="83" t="n"/>
      <c r="L7" s="83" t="n"/>
      <c r="M7" s="83" t="inlineStr">
        <is>
          <t>DF</t>
        </is>
      </c>
      <c r="N7" s="83" t="inlineStr">
        <is>
          <t>DF</t>
        </is>
      </c>
      <c r="O7" s="83" t="n"/>
      <c r="P7" s="83" t="n"/>
      <c r="Q7" s="83" t="n"/>
      <c r="R7" s="83" t="n"/>
      <c r="S7" s="83" t="n"/>
    </row>
    <row r="8" ht="24" customFormat="1" customHeight="1" s="116">
      <c r="A8" s="217" t="n"/>
      <c r="B8" s="217" t="n"/>
      <c r="C8" s="217" t="n"/>
      <c r="D8" s="217" t="n"/>
      <c r="E8" s="217" t="n"/>
      <c r="F8" s="221" t="inlineStr">
        <is>
          <t>是否Sensory PI展示</t>
        </is>
      </c>
      <c r="G8" s="233" t="inlineStr">
        <is>
          <t>Y</t>
        </is>
      </c>
      <c r="H8" s="233" t="inlineStr">
        <is>
          <t>Y</t>
        </is>
      </c>
      <c r="I8" s="233" t="inlineStr">
        <is>
          <t>Y</t>
        </is>
      </c>
      <c r="J8" s="233" t="inlineStr">
        <is>
          <t>Y</t>
        </is>
      </c>
      <c r="K8" s="233" t="inlineStr">
        <is>
          <t>Y</t>
        </is>
      </c>
      <c r="L8" s="233" t="inlineStr">
        <is>
          <t>Y</t>
        </is>
      </c>
      <c r="M8" s="233" t="inlineStr">
        <is>
          <t>Y</t>
        </is>
      </c>
      <c r="N8" s="233" t="inlineStr">
        <is>
          <t>Y</t>
        </is>
      </c>
      <c r="O8" s="233" t="inlineStr">
        <is>
          <t>Y</t>
        </is>
      </c>
      <c r="P8" s="233" t="inlineStr">
        <is>
          <t>Y</t>
        </is>
      </c>
      <c r="Q8" s="233" t="inlineStr">
        <is>
          <t>Y</t>
        </is>
      </c>
      <c r="R8" s="233" t="inlineStr">
        <is>
          <t>Y</t>
        </is>
      </c>
      <c r="S8" s="233" t="inlineStr">
        <is>
          <t>Y</t>
        </is>
      </c>
      <c r="T8" s="130" t="n"/>
      <c r="U8" s="130" t="n"/>
      <c r="V8" s="78" t="n"/>
      <c r="W8" s="72" t="n"/>
      <c r="X8" s="72" t="n"/>
      <c r="Y8" s="72" t="n"/>
      <c r="Z8" s="130" t="n"/>
      <c r="AA8" s="130" t="n"/>
      <c r="AB8" s="130" t="n"/>
      <c r="AC8" s="130" t="n"/>
      <c r="AD8" s="130" t="n"/>
      <c r="AE8" s="130" t="n"/>
      <c r="AF8" s="130" t="n"/>
      <c r="AG8" s="130" t="n"/>
      <c r="AH8" s="130" t="n"/>
      <c r="AI8" s="130" t="n"/>
      <c r="AJ8" s="130" t="n"/>
      <c r="AK8" s="130" t="n"/>
      <c r="AL8" s="130" t="n"/>
    </row>
    <row r="9" ht="12.75" customFormat="1" customHeight="1" s="116">
      <c r="A9" s="217" t="n"/>
      <c r="B9" s="217" t="n"/>
      <c r="C9" s="217" t="n"/>
      <c r="D9" s="217" t="n"/>
      <c r="E9" s="217" t="n"/>
      <c r="F9" s="221" t="inlineStr">
        <is>
          <t>是否为Key PI</t>
        </is>
      </c>
      <c r="G9" s="127" t="n"/>
      <c r="H9" s="127" t="n"/>
      <c r="I9" s="127" t="n"/>
      <c r="J9" s="83" t="n"/>
      <c r="K9" s="83" t="n"/>
      <c r="L9" s="83" t="n"/>
      <c r="M9" s="127" t="n"/>
      <c r="N9" s="233" t="inlineStr">
        <is>
          <t>Y</t>
        </is>
      </c>
      <c r="O9" s="233" t="n"/>
      <c r="P9" s="83" t="n"/>
      <c r="Q9" s="83" t="n"/>
      <c r="R9" s="233" t="inlineStr">
        <is>
          <t>Y</t>
        </is>
      </c>
      <c r="S9" s="233" t="inlineStr">
        <is>
          <t>Y</t>
        </is>
      </c>
      <c r="T9" s="130" t="n"/>
      <c r="U9" s="130" t="n"/>
      <c r="V9" s="78" t="n"/>
      <c r="W9" s="78" t="n"/>
      <c r="X9" s="78" t="n"/>
      <c r="Y9" s="78" t="n"/>
      <c r="Z9" s="130" t="n"/>
      <c r="AA9" s="130" t="n"/>
      <c r="AB9" s="130" t="n"/>
      <c r="AC9" s="130" t="n"/>
      <c r="AD9" s="130" t="n"/>
      <c r="AE9" s="130" t="n"/>
      <c r="AF9" s="130" t="n"/>
      <c r="AG9" s="130" t="n"/>
      <c r="AH9" s="130" t="n"/>
      <c r="AI9" s="130" t="n"/>
      <c r="AJ9" s="130" t="n"/>
      <c r="AK9" s="130" t="n"/>
      <c r="AL9" s="130" t="n"/>
    </row>
    <row r="10">
      <c r="A10" s="217" t="n"/>
      <c r="B10" s="217" t="n"/>
      <c r="C10" s="217" t="n"/>
      <c r="D10" s="217" t="n"/>
      <c r="E10" s="217" t="n"/>
      <c r="F10" s="221" t="inlineStr">
        <is>
          <t>是否点图展示</t>
        </is>
      </c>
      <c r="G10" s="127" t="n"/>
      <c r="H10" s="127" t="n"/>
      <c r="I10" s="127" t="n"/>
      <c r="J10" s="83" t="n"/>
      <c r="K10" s="83" t="n"/>
      <c r="L10" s="83" t="n"/>
      <c r="M10" s="83" t="inlineStr">
        <is>
          <t>Y</t>
        </is>
      </c>
      <c r="N10" s="83" t="inlineStr">
        <is>
          <t>Y</t>
        </is>
      </c>
      <c r="O10" s="83" t="n"/>
      <c r="P10" s="83" t="n"/>
      <c r="Q10" s="83" t="n"/>
      <c r="R10" s="83" t="n"/>
      <c r="S10" s="83" t="n"/>
    </row>
    <row r="11" ht="12.75" customHeight="1" s="241">
      <c r="A11" s="218" t="n"/>
      <c r="B11" s="218" t="n"/>
      <c r="C11" s="218" t="n"/>
      <c r="D11" s="218" t="n"/>
      <c r="E11" s="218" t="n"/>
      <c r="F11" s="59" t="inlineStr">
        <is>
          <t>Unit</t>
        </is>
      </c>
      <c r="G11" s="139" t="n"/>
      <c r="H11" s="139" t="n"/>
      <c r="I11" s="139" t="n"/>
      <c r="J11" s="91" t="n"/>
      <c r="K11" s="91" t="n"/>
      <c r="L11" s="91" t="n"/>
      <c r="M11" s="91" t="inlineStr">
        <is>
          <t>ppb</t>
        </is>
      </c>
      <c r="N11" s="91" t="inlineStr">
        <is>
          <t>g/L</t>
        </is>
      </c>
      <c r="O11" s="69" t="inlineStr">
        <is>
          <t>g/L</t>
        </is>
      </c>
      <c r="P11" s="91" t="n"/>
      <c r="Q11" s="91" t="n"/>
      <c r="R11" s="91" t="n"/>
      <c r="S11" s="91" t="n"/>
    </row>
    <row r="12" ht="15" customHeight="1" s="241">
      <c r="B12" s="265" t="n">
        <v>46043</v>
      </c>
      <c r="C12" t="inlineStr">
        <is>
          <t>Budweiser</t>
        </is>
      </c>
      <c r="D12" s="73" t="n"/>
      <c r="E12" s="74" t="n"/>
      <c r="M12" t="n">
        <v>10027</v>
      </c>
      <c r="N12" s="265" t="n">
        <v>46043.90972222222</v>
      </c>
      <c r="R12" t="n">
        <v>0.1070627802690583</v>
      </c>
      <c r="S12" t="n">
        <v>12.99999999999995</v>
      </c>
      <c r="T12" t="n">
        <v>0.02784810126582278</v>
      </c>
      <c r="U12" t="n">
        <v>79.7</v>
      </c>
      <c r="V12" t="n">
        <v>9.999999999999964</v>
      </c>
      <c r="X12" t="n">
        <v>1.999999999999993</v>
      </c>
      <c r="Z12" t="n">
        <v>53.99999999999997</v>
      </c>
      <c r="AB12" t="n">
        <v>16.99999999999994</v>
      </c>
      <c r="AC12" t="n">
        <v>47</v>
      </c>
      <c r="AD12" t="n">
        <v>0.02379746835443038</v>
      </c>
      <c r="AE12" t="n">
        <v>46.4</v>
      </c>
      <c r="AF12" t="n">
        <v>4.999999999999982</v>
      </c>
      <c r="AG12" t="n">
        <v>65.3</v>
      </c>
      <c r="AH12" t="n">
        <v>0</v>
      </c>
      <c r="AI12" t="n">
        <v>65.7</v>
      </c>
      <c r="AJ12" t="n">
        <v>49.99999999999999</v>
      </c>
      <c r="AK12" t="n">
        <v>9.999999999999964</v>
      </c>
      <c r="AM12" t="n">
        <v>75.7</v>
      </c>
      <c r="AN12" t="n">
        <v>119.0000000000001</v>
      </c>
      <c r="AO12" t="n">
        <v>7.999999999999972</v>
      </c>
      <c r="AP12" t="n">
        <v>11.2</v>
      </c>
      <c r="AQ12" t="n">
        <v>22.75</v>
      </c>
      <c r="AR12" t="n">
        <v>2.46</v>
      </c>
      <c r="AS12" t="n">
        <v>0.8100000000000001</v>
      </c>
      <c r="AT12" t="n">
        <v>75</v>
      </c>
      <c r="AU12" t="n">
        <v>2</v>
      </c>
      <c r="AV12" t="n">
        <v>142</v>
      </c>
      <c r="AW12" t="n">
        <v>264</v>
      </c>
      <c r="AX12" t="n">
        <v>16.61</v>
      </c>
      <c r="AZ12" t="n">
        <v>0.5378787878787878</v>
      </c>
      <c r="BB12" t="n">
        <v>99.00000000000013</v>
      </c>
      <c r="BC12" t="n">
        <v>136</v>
      </c>
      <c r="BD12" t="n">
        <v>79.7</v>
      </c>
      <c r="BT12" t="n">
        <v>180</v>
      </c>
      <c r="BX12" t="n">
        <v>270</v>
      </c>
      <c r="BY12" t="n">
        <v>101</v>
      </c>
      <c r="CA12" t="n">
        <v>30.00000000000005</v>
      </c>
      <c r="CB12" t="n">
        <v>45</v>
      </c>
      <c r="CC12" t="n">
        <v>75.00000000000006</v>
      </c>
      <c r="CD12" t="n">
        <v>5.684341886080801e-14</v>
      </c>
      <c r="CG12" t="n">
        <v>5</v>
      </c>
      <c r="CH12" t="n">
        <v>10</v>
      </c>
      <c r="CJ12" t="n">
        <v>0.09259259259259259</v>
      </c>
      <c r="CP12" t="n">
        <v>0.112962962962963</v>
      </c>
      <c r="CQ12" t="n">
        <v>10</v>
      </c>
      <c r="CR12" t="n">
        <v>0</v>
      </c>
      <c r="CT12" t="n">
        <v>100.9</v>
      </c>
      <c r="CX12" t="n">
        <v>1366</v>
      </c>
      <c r="CY12" t="n">
        <v>1052</v>
      </c>
      <c r="DA12" t="n">
        <v>9.999999999999964</v>
      </c>
      <c r="DB12" t="n">
        <v>9.999999999999964</v>
      </c>
      <c r="DC12" t="n">
        <v>-3.552713678800501e-14</v>
      </c>
      <c r="DE12" t="n">
        <v>0.6637554585152838</v>
      </c>
      <c r="DG12" t="n">
        <v>50.99999999999998</v>
      </c>
      <c r="DH12" t="n">
        <v>10.4</v>
      </c>
      <c r="DI12" t="n">
        <v>3.6</v>
      </c>
      <c r="DJ12" t="n">
        <v>15.72052401746725</v>
      </c>
      <c r="DL12" t="n">
        <v>229</v>
      </c>
      <c r="DN12" t="n">
        <v>224.9999999999998</v>
      </c>
      <c r="DO12" t="n">
        <v>-5.000000000000171</v>
      </c>
      <c r="DP12" t="n">
        <v>0.1499999999999968</v>
      </c>
      <c r="DR12" t="n">
        <v>175.9259259259273</v>
      </c>
      <c r="DS12" t="n">
        <v>18.09</v>
      </c>
      <c r="DT12" t="n">
        <v>5.25</v>
      </c>
      <c r="DV12" t="n">
        <v>225</v>
      </c>
      <c r="DW12" t="n">
        <v>0.6888733868154866</v>
      </c>
    </row>
    <row r="13">
      <c r="B13" s="267" t="n">
        <v>46043</v>
      </c>
      <c r="C13" t="inlineStr">
        <is>
          <t>Budweiser</t>
        </is>
      </c>
      <c r="D13" s="73" t="n"/>
      <c r="E13" s="74" t="n"/>
      <c r="M13" t="n">
        <v>10028</v>
      </c>
      <c r="N13" s="267" t="n">
        <v>46044.01527777778</v>
      </c>
      <c r="R13" t="n">
        <v>0.1117445838084379</v>
      </c>
      <c r="S13" t="n">
        <v>13.00000000000011</v>
      </c>
      <c r="T13" t="n">
        <v>0.02820512820512821</v>
      </c>
      <c r="U13" t="n">
        <v>79.7</v>
      </c>
      <c r="V13" t="n">
        <v>9.999999999999964</v>
      </c>
      <c r="X13" t="n">
        <v>1.999999999999993</v>
      </c>
      <c r="Z13" t="n">
        <v>51.99999999999997</v>
      </c>
      <c r="AB13" t="n">
        <v>17.0000000000001</v>
      </c>
      <c r="AC13" t="n">
        <v>46.7</v>
      </c>
      <c r="AD13" t="n">
        <v>0.02377940804452315</v>
      </c>
      <c r="AE13" t="n">
        <v>47</v>
      </c>
      <c r="AF13" t="n">
        <v>4.999999999999982</v>
      </c>
      <c r="AG13" t="n">
        <v>64</v>
      </c>
      <c r="AH13" t="n">
        <v>0</v>
      </c>
      <c r="AI13" t="n">
        <v>65.59999999999999</v>
      </c>
      <c r="AJ13" t="n">
        <v>49.99999999999999</v>
      </c>
      <c r="AK13" t="n">
        <v>9.999999999999964</v>
      </c>
      <c r="AM13" t="n">
        <v>76</v>
      </c>
      <c r="AN13" t="n">
        <v>120.0000000000001</v>
      </c>
      <c r="AO13" t="n">
        <v>7.999999999999972</v>
      </c>
      <c r="AP13" t="n">
        <v>10.6</v>
      </c>
      <c r="AQ13" t="n">
        <v>22.2</v>
      </c>
      <c r="AR13" t="n">
        <v>2.41</v>
      </c>
      <c r="AS13" t="n">
        <v>0.76</v>
      </c>
      <c r="AT13" t="n">
        <v>75</v>
      </c>
      <c r="AU13" t="n">
        <v>1</v>
      </c>
      <c r="AV13" t="n">
        <v>142</v>
      </c>
      <c r="AW13" t="n">
        <v>264</v>
      </c>
      <c r="AX13" t="n">
        <v>16.44</v>
      </c>
      <c r="AZ13" t="n">
        <v>0.5378787878787878</v>
      </c>
      <c r="BB13" t="n">
        <v>90</v>
      </c>
      <c r="BC13" t="n">
        <v>128</v>
      </c>
      <c r="BD13" t="n">
        <v>80.2</v>
      </c>
      <c r="BT13" t="n">
        <v>180</v>
      </c>
      <c r="BX13" t="n">
        <v>270</v>
      </c>
      <c r="BY13" t="n">
        <v>101.1</v>
      </c>
      <c r="CA13" t="n">
        <v>30.00000000000005</v>
      </c>
      <c r="CB13" t="n">
        <v>45</v>
      </c>
      <c r="CC13" t="n">
        <v>75.00000000000006</v>
      </c>
      <c r="CD13" t="n">
        <v>5.684341886080801e-14</v>
      </c>
      <c r="CG13" t="n">
        <v>5</v>
      </c>
      <c r="CH13" t="n">
        <v>10</v>
      </c>
      <c r="CJ13" t="n">
        <v>0.08518518518518518</v>
      </c>
      <c r="CP13" t="n">
        <v>0.112962962962963</v>
      </c>
      <c r="CQ13" t="n">
        <v>10</v>
      </c>
      <c r="CR13" t="n">
        <v>0</v>
      </c>
      <c r="CT13" t="n">
        <v>101.2</v>
      </c>
      <c r="CX13" t="n">
        <v>1356</v>
      </c>
      <c r="CY13" t="n">
        <v>1099</v>
      </c>
      <c r="DA13" t="n">
        <v>9.999999999999964</v>
      </c>
      <c r="DB13" t="n">
        <v>9.999999999999964</v>
      </c>
      <c r="DC13" t="n">
        <v>-3.552713678800501e-14</v>
      </c>
      <c r="DE13" t="n">
        <v>0.6637554585152838</v>
      </c>
      <c r="DG13" t="n">
        <v>50.99999999999998</v>
      </c>
      <c r="DH13" t="n">
        <v>10.6</v>
      </c>
      <c r="DI13" t="n">
        <v>3.3</v>
      </c>
      <c r="DJ13" t="n">
        <v>14.41048034934498</v>
      </c>
      <c r="DL13" t="n">
        <v>229</v>
      </c>
      <c r="DN13" t="n">
        <v>224.9999999999998</v>
      </c>
      <c r="DO13" t="n">
        <v>-5.000000000000171</v>
      </c>
      <c r="DP13" t="n">
        <v>0.1666666666666661</v>
      </c>
      <c r="DR13" t="n">
        <v>101.8518518518531</v>
      </c>
      <c r="DS13" t="n">
        <v>18.1</v>
      </c>
      <c r="DT13" t="n">
        <v>5.25</v>
      </c>
      <c r="DV13" t="n">
        <v>225</v>
      </c>
      <c r="DW13" t="n">
        <v>0.6926581391273874</v>
      </c>
    </row>
    <row r="14">
      <c r="B14" s="267" t="n">
        <v>46043</v>
      </c>
      <c r="C14" t="inlineStr">
        <is>
          <t>Budweiser</t>
        </is>
      </c>
      <c r="D14" s="73" t="n"/>
      <c r="E14" s="74" t="n"/>
      <c r="M14" t="n">
        <v>10029</v>
      </c>
      <c r="N14" s="267" t="n">
        <v>46044.125</v>
      </c>
      <c r="R14" t="n">
        <v>0.1026200873362445</v>
      </c>
      <c r="S14" t="n">
        <v>13.00000000000011</v>
      </c>
      <c r="T14" t="n">
        <v>0.02722772277227723</v>
      </c>
      <c r="U14" t="n">
        <v>79.7</v>
      </c>
      <c r="V14" t="n">
        <v>9.999999999999964</v>
      </c>
      <c r="X14" t="n">
        <v>1.999999999999993</v>
      </c>
      <c r="Z14" t="n">
        <v>52.99999999999997</v>
      </c>
      <c r="AB14" t="n">
        <v>17.0000000000001</v>
      </c>
      <c r="AC14" t="n">
        <v>46.8</v>
      </c>
      <c r="AD14" t="n">
        <v>0.02385181426034002</v>
      </c>
      <c r="AE14" t="n">
        <v>47</v>
      </c>
      <c r="AF14" t="n">
        <v>5.999999999999979</v>
      </c>
      <c r="AG14" t="n">
        <v>64</v>
      </c>
      <c r="AH14" t="n">
        <v>0</v>
      </c>
      <c r="AI14" t="n">
        <v>65.59999999999999</v>
      </c>
      <c r="AJ14" t="n">
        <v>49.99999999999999</v>
      </c>
      <c r="AK14" t="n">
        <v>9.999999999999964</v>
      </c>
      <c r="AM14" t="n">
        <v>76</v>
      </c>
      <c r="AN14" t="n">
        <v>117.9999999999999</v>
      </c>
      <c r="AO14" t="n">
        <v>7.000000000000135</v>
      </c>
      <c r="AP14" t="n">
        <v>16.6</v>
      </c>
      <c r="AQ14" t="n">
        <v>22.84</v>
      </c>
      <c r="AR14" t="n">
        <v>2.57</v>
      </c>
      <c r="AS14" t="n">
        <v>0.78</v>
      </c>
      <c r="AT14" t="n">
        <v>75</v>
      </c>
      <c r="AU14" t="n">
        <v>2</v>
      </c>
      <c r="AV14" t="n">
        <v>142</v>
      </c>
      <c r="AW14" t="n">
        <v>263</v>
      </c>
      <c r="AX14" t="n">
        <v>16.38</v>
      </c>
      <c r="AZ14" t="n">
        <v>0.5399239543726235</v>
      </c>
      <c r="BB14" t="n">
        <v>93.99999999999993</v>
      </c>
      <c r="BC14" t="n">
        <v>131</v>
      </c>
      <c r="BD14" t="n">
        <v>79.90000000000001</v>
      </c>
      <c r="BT14" t="n">
        <v>180</v>
      </c>
      <c r="BX14" t="n">
        <v>269</v>
      </c>
      <c r="BY14" t="n">
        <v>101</v>
      </c>
      <c r="CA14" t="n">
        <v>29.99999999999999</v>
      </c>
      <c r="CB14" t="n">
        <v>45</v>
      </c>
      <c r="CC14" t="n">
        <v>75</v>
      </c>
      <c r="CD14" t="n">
        <v>0</v>
      </c>
      <c r="CG14" t="n">
        <v>5</v>
      </c>
      <c r="CH14" t="n">
        <v>10</v>
      </c>
      <c r="CJ14" t="n">
        <v>0.08178438661710037</v>
      </c>
      <c r="CP14" t="n">
        <v>0.09851301115241635</v>
      </c>
      <c r="CQ14" t="n">
        <v>10</v>
      </c>
      <c r="CR14" t="n">
        <v>0</v>
      </c>
      <c r="CT14" t="n">
        <v>100.9</v>
      </c>
      <c r="CX14" t="n">
        <v>1347</v>
      </c>
      <c r="CY14" t="n">
        <v>934</v>
      </c>
      <c r="DA14" t="n">
        <v>10</v>
      </c>
      <c r="DB14" t="n">
        <v>10</v>
      </c>
      <c r="DC14" t="n">
        <v>3.552713678800501e-15</v>
      </c>
      <c r="DE14" t="n">
        <v>0.6551724137931034</v>
      </c>
      <c r="DG14" t="n">
        <v>51.99999999999999</v>
      </c>
      <c r="DH14" t="n">
        <v>10.5</v>
      </c>
      <c r="DI14" t="n">
        <v>3.4</v>
      </c>
      <c r="DJ14" t="n">
        <v>14.6551724137931</v>
      </c>
      <c r="DL14" t="n">
        <v>232</v>
      </c>
      <c r="DN14" t="n">
        <v>228</v>
      </c>
      <c r="DO14" t="n">
        <v>-2</v>
      </c>
      <c r="DP14" t="n">
        <v>0.1666666666666687</v>
      </c>
      <c r="DR14" t="n">
        <v>37.84386617100413</v>
      </c>
      <c r="DS14" t="n">
        <v>17.94</v>
      </c>
      <c r="DT14" t="n">
        <v>5.25</v>
      </c>
      <c r="DV14" t="n">
        <v>225</v>
      </c>
      <c r="DW14" t="n">
        <v>0.682660661701022</v>
      </c>
    </row>
  </sheetData>
  <mergeCells count="9">
    <mergeCell ref="J1:L1"/>
    <mergeCell ref="P1:R1"/>
    <mergeCell ref="C1:C11"/>
    <mergeCell ref="B1:B11"/>
    <mergeCell ref="M1:O1"/>
    <mergeCell ref="E1:E11"/>
    <mergeCell ref="A1:A11"/>
    <mergeCell ref="D1:D11"/>
    <mergeCell ref="G1:I1"/>
  </mergeCells>
  <conditionalFormatting sqref="G8:S8">
    <cfRule type="cellIs" priority="5" operator="equal" dxfId="4">
      <formula>"N"</formula>
    </cfRule>
    <cfRule type="cellIs" priority="6" operator="equal" dxfId="0">
      <formula>"Y"</formula>
    </cfRule>
  </conditionalFormatting>
  <conditionalFormatting sqref="J10:S10">
    <cfRule type="cellIs" priority="7" operator="equal" dxfId="4">
      <formula>"N"</formula>
    </cfRule>
    <cfRule type="cellIs" priority="8" operator="equal" dxfId="0">
      <formula>"Y"</formula>
    </cfRule>
  </conditionalFormatting>
  <conditionalFormatting sqref="N9:O9">
    <cfRule type="cellIs" priority="1" operator="equal" dxfId="4">
      <formula>"N"</formula>
    </cfRule>
    <cfRule type="cellIs" priority="2" operator="equal" dxfId="0">
      <formula>"Y"</formula>
    </cfRule>
  </conditionalFormatting>
  <conditionalFormatting sqref="R9:S9">
    <cfRule type="cellIs" priority="3" operator="equal" dxfId="4">
      <formula>"N"</formula>
    </cfRule>
    <cfRule type="cellIs" priority="4" operator="equal" dxfId="0">
      <formula>"Y"</formula>
    </cfRule>
  </conditionalFormatting>
  <conditionalFormatting sqref="W8:Y8">
    <cfRule type="cellIs" priority="13" operator="equal" dxfId="4">
      <formula>"N"</formula>
    </cfRule>
    <cfRule type="cellIs" priority="14" operator="equal" dxfId="0">
      <formula>"Y"</formula>
    </cfRule>
  </conditionalFormatting>
  <dataValidations count="2">
    <dataValidation sqref="G8:S8 G10:R10 N9:O9 R9:S9 W8:Y8" showDropDown="0" showInputMessage="1" showErrorMessage="1" allowBlank="1" type="list">
      <formula1>"Y,N"</formula1>
    </dataValidation>
    <dataValidation sqref="D12:D1048576" showDropDown="0" showInputMessage="1" showErrorMessage="1" allowBlank="1" type="list">
      <formula1>"MCS,Test,Propagation"</formula1>
    </dataValidation>
  </dataValidations>
  <pageMargins left="0.7" right="0.7" top="0.75" bottom="0.75" header="0.3" footer="0.3"/>
  <pageSetup orientation="portrait" paperSize="9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K16"/>
  <sheetViews>
    <sheetView workbookViewId="0">
      <selection activeCell="A12" sqref="A12"/>
    </sheetView>
  </sheetViews>
  <sheetFormatPr baseColWidth="8" defaultColWidth="8.85546875" defaultRowHeight="12"/>
  <cols>
    <col width="11.85546875" customWidth="1" style="21" min="1" max="1"/>
    <col width="11.85546875" customWidth="1" style="55" min="2" max="2"/>
    <col width="11.85546875" customWidth="1" style="21" min="3" max="3"/>
    <col width="12.42578125" customWidth="1" style="55" min="4" max="5"/>
    <col width="14.140625" customWidth="1" style="20" min="6" max="6"/>
    <col width="8.85546875" customWidth="1" style="21" min="7" max="7"/>
    <col width="8.85546875" customWidth="1" style="21" min="8" max="16384"/>
  </cols>
  <sheetData>
    <row r="1" ht="14.85" customHeight="1" s="241">
      <c r="A1" s="221" t="inlineStr">
        <is>
          <t>Brewery</t>
        </is>
      </c>
      <c r="B1" s="216" t="inlineStr">
        <is>
          <t>Date</t>
        </is>
      </c>
      <c r="C1" s="220" t="inlineStr">
        <is>
          <t>Brand</t>
        </is>
      </c>
      <c r="D1" s="216" t="inlineStr">
        <is>
          <t>Batch Production Type</t>
        </is>
      </c>
      <c r="E1" s="216" t="inlineStr">
        <is>
          <t>Batch Production Month</t>
        </is>
      </c>
      <c r="F1" s="221" t="inlineStr">
        <is>
          <t>Process</t>
        </is>
      </c>
      <c r="G1" s="236" t="inlineStr">
        <is>
          <t>CO2</t>
        </is>
      </c>
      <c r="H1" s="237" t="n"/>
      <c r="I1" s="237" t="n"/>
      <c r="J1" s="237" t="n"/>
      <c r="K1" s="237" t="n"/>
      <c r="L1" s="237" t="n"/>
      <c r="M1" s="237" t="n"/>
      <c r="N1" s="237" t="n"/>
    </row>
    <row r="2" ht="48" customHeight="1" s="241">
      <c r="A2" s="217" t="n"/>
      <c r="B2" s="217" t="n"/>
      <c r="C2" s="217" t="n"/>
      <c r="D2" s="217" t="n"/>
      <c r="E2" s="217" t="n"/>
      <c r="F2" s="59" t="inlineStr">
        <is>
          <t>参数英文名</t>
        </is>
      </c>
      <c r="G2" s="80" t="inlineStr">
        <is>
          <t>CO2 Recovery Pressure Daily Max</t>
        </is>
      </c>
      <c r="H2" s="80" t="inlineStr">
        <is>
          <t>Fermentor Back Pressure Daily Min</t>
        </is>
      </c>
      <c r="I2" s="80" t="inlineStr">
        <is>
          <t>Fermentor Back Pressure Daily Max</t>
        </is>
      </c>
      <c r="J2" s="80" t="inlineStr">
        <is>
          <t>BBT Blance Pressure Daily Min</t>
        </is>
      </c>
      <c r="K2" s="80" t="inlineStr">
        <is>
          <t>BBT Blance Pressure Daily Max</t>
        </is>
      </c>
      <c r="L2" s="80" t="inlineStr">
        <is>
          <t>CO2 Supply Purity</t>
        </is>
      </c>
      <c r="M2" s="80" t="inlineStr">
        <is>
          <t>CO2 Supply DO</t>
        </is>
      </c>
      <c r="N2" s="60" t="inlineStr">
        <is>
          <t>Taste</t>
        </is>
      </c>
    </row>
    <row r="3" ht="36" customHeight="1" s="241">
      <c r="A3" s="217" t="n"/>
      <c r="B3" s="217" t="n"/>
      <c r="C3" s="217" t="n"/>
      <c r="D3" s="217" t="n"/>
      <c r="E3" s="217" t="n"/>
      <c r="F3" s="59" t="inlineStr">
        <is>
          <t>参数中文名</t>
        </is>
      </c>
      <c r="G3" s="82" t="inlineStr">
        <is>
          <t>CO2回收管道每天最高压力</t>
        </is>
      </c>
      <c r="H3" s="82" t="inlineStr">
        <is>
          <t>CO2置压管道每天最低压力</t>
        </is>
      </c>
      <c r="I3" s="82" t="inlineStr">
        <is>
          <t>CO2置压管道每天最高压力</t>
        </is>
      </c>
      <c r="J3" s="82" t="inlineStr">
        <is>
          <t>BBT平衡管道每天最低压力</t>
        </is>
      </c>
      <c r="K3" s="82" t="inlineStr">
        <is>
          <t>BBT平衡管道每天最高压力</t>
        </is>
      </c>
      <c r="L3" s="82" t="inlineStr">
        <is>
          <t>供出CO2纯度</t>
        </is>
      </c>
      <c r="M3" s="82" t="inlineStr">
        <is>
          <t>供出CO2
DO</t>
        </is>
      </c>
      <c r="N3" s="61" t="inlineStr">
        <is>
          <t>二氧化碳品尝</t>
        </is>
      </c>
    </row>
    <row r="4" customFormat="1" s="116">
      <c r="A4" s="217" t="n"/>
      <c r="B4" s="217" t="n"/>
      <c r="C4" s="217" t="n"/>
      <c r="D4" s="217" t="n"/>
      <c r="E4" s="217" t="n"/>
      <c r="F4" s="59" t="inlineStr">
        <is>
          <t>Global</t>
        </is>
      </c>
      <c r="G4" s="82" t="n"/>
      <c r="H4" s="82" t="n"/>
      <c r="I4" s="82" t="n"/>
      <c r="J4" s="83" t="n"/>
      <c r="K4" s="82" t="n"/>
      <c r="L4" s="82" t="n"/>
      <c r="M4" s="82" t="n"/>
      <c r="N4" s="82" t="n"/>
    </row>
    <row r="5">
      <c r="A5" s="217" t="n"/>
      <c r="B5" s="217" t="n"/>
      <c r="C5" s="217" t="n"/>
      <c r="D5" s="217" t="n"/>
      <c r="E5" s="217" t="n"/>
      <c r="F5" s="221" t="inlineStr">
        <is>
          <t>DF代码</t>
        </is>
      </c>
      <c r="G5" s="83" t="inlineStr">
        <is>
          <t>BR-55201</t>
        </is>
      </c>
      <c r="H5" s="83" t="inlineStr">
        <is>
          <t>BR-55101</t>
        </is>
      </c>
      <c r="I5" s="83" t="inlineStr">
        <is>
          <t>BR-55102</t>
        </is>
      </c>
      <c r="J5" s="83" t="inlineStr">
        <is>
          <t>BR-75201</t>
        </is>
      </c>
      <c r="K5" s="83" t="inlineStr">
        <is>
          <t>BR-75202</t>
        </is>
      </c>
      <c r="L5" s="83" t="n"/>
      <c r="M5" s="83" t="n"/>
      <c r="N5" s="83" t="n"/>
    </row>
    <row r="6" ht="77.09999999999999" customFormat="1" customHeight="1" s="116">
      <c r="A6" s="217" t="n"/>
      <c r="B6" s="217" t="n"/>
      <c r="C6" s="217" t="n"/>
      <c r="D6" s="217" t="n"/>
      <c r="E6" s="217" t="n"/>
      <c r="F6" s="221" t="inlineStr">
        <is>
          <t>DF中文</t>
        </is>
      </c>
      <c r="G6" s="83" t="inlineStr">
        <is>
          <t>CO2最高压力_发酵罐CO2回收_酿造_发酵_CO2回收系统</t>
        </is>
      </c>
      <c r="H6" s="83" t="inlineStr">
        <is>
          <t>CO2最低压力_发酵罐CO2供应_酿造_发酵_CO2供应系统</t>
        </is>
      </c>
      <c r="I6" s="83" t="inlineStr">
        <is>
          <t>CO2最高压力_发酵罐CO2供应_酿造_发酵_CO2供应系统</t>
        </is>
      </c>
      <c r="J6" s="83" t="inlineStr">
        <is>
          <t>CO2最低压力_清酒罐CO2供应_酿造_清酒工序_CO2平衡管道</t>
        </is>
      </c>
      <c r="K6" s="83" t="inlineStr">
        <is>
          <t>CO2最高压力_清酒罐CO2供应_酿造_清酒工序_CO2平衡管道</t>
        </is>
      </c>
      <c r="L6" s="83" t="n"/>
      <c r="M6" s="83" t="n"/>
      <c r="N6" s="83" t="n"/>
    </row>
    <row r="7" ht="24" customFormat="1" customHeight="1" s="116">
      <c r="A7" s="217" t="n"/>
      <c r="B7" s="217" t="n"/>
      <c r="C7" s="217" t="n"/>
      <c r="D7" s="217" t="n"/>
      <c r="E7" s="217" t="n"/>
      <c r="F7" s="221" t="inlineStr">
        <is>
          <t>数据源</t>
        </is>
      </c>
      <c r="G7" s="83" t="inlineStr">
        <is>
          <t>DF</t>
        </is>
      </c>
      <c r="H7" s="83" t="inlineStr">
        <is>
          <t>DF</t>
        </is>
      </c>
      <c r="I7" s="83" t="inlineStr">
        <is>
          <t>DF</t>
        </is>
      </c>
      <c r="J7" s="83" t="inlineStr">
        <is>
          <t>DF</t>
        </is>
      </c>
      <c r="K7" s="83" t="inlineStr">
        <is>
          <t>DF</t>
        </is>
      </c>
      <c r="L7" s="83" t="inlineStr">
        <is>
          <t>DF-动力-TSM</t>
        </is>
      </c>
      <c r="M7" s="83" t="inlineStr">
        <is>
          <t>DF-动力-TSM</t>
        </is>
      </c>
      <c r="N7" s="83" t="n"/>
    </row>
    <row r="8" ht="24" customFormat="1" customHeight="1" s="116">
      <c r="A8" s="217" t="n"/>
      <c r="B8" s="217" t="n"/>
      <c r="C8" s="217" t="n"/>
      <c r="D8" s="217" t="n"/>
      <c r="E8" s="217" t="n"/>
      <c r="F8" s="221" t="inlineStr">
        <is>
          <t>是否Sensory PI展示</t>
        </is>
      </c>
      <c r="G8" s="127" t="n"/>
      <c r="H8" s="127" t="n"/>
      <c r="I8" s="127" t="n"/>
      <c r="J8" s="127" t="n"/>
      <c r="K8" s="127" t="n"/>
      <c r="L8" s="83" t="inlineStr">
        <is>
          <t>Y</t>
        </is>
      </c>
      <c r="M8" s="127" t="n"/>
      <c r="N8" s="83" t="inlineStr">
        <is>
          <t>Y</t>
        </is>
      </c>
      <c r="S8" s="130" t="n"/>
      <c r="T8" s="130" t="n"/>
      <c r="U8" s="78" t="n"/>
      <c r="V8" s="72" t="n"/>
      <c r="W8" s="72" t="n"/>
      <c r="X8" s="72" t="n"/>
      <c r="Y8" s="130" t="n"/>
      <c r="Z8" s="130" t="n"/>
      <c r="AA8" s="130" t="n"/>
      <c r="AB8" s="130" t="n"/>
      <c r="AC8" s="130" t="n"/>
      <c r="AD8" s="130" t="n"/>
      <c r="AE8" s="130" t="n"/>
      <c r="AF8" s="130" t="n"/>
      <c r="AG8" s="130" t="n"/>
      <c r="AH8" s="130" t="n"/>
      <c r="AI8" s="130" t="n"/>
      <c r="AJ8" s="130" t="n"/>
      <c r="AK8" s="130" t="n"/>
    </row>
    <row r="9" customFormat="1" s="116">
      <c r="A9" s="217" t="n"/>
      <c r="B9" s="217" t="n"/>
      <c r="C9" s="217" t="n"/>
      <c r="D9" s="217" t="n"/>
      <c r="E9" s="217" t="n"/>
      <c r="F9" s="221" t="inlineStr">
        <is>
          <t>是否为Key PI</t>
        </is>
      </c>
      <c r="G9" s="127" t="n"/>
      <c r="H9" s="127" t="n"/>
      <c r="I9" s="127" t="n"/>
      <c r="J9" s="127" t="n"/>
      <c r="K9" s="127" t="n"/>
      <c r="L9" s="83" t="inlineStr">
        <is>
          <t>Y</t>
        </is>
      </c>
      <c r="M9" s="127" t="n"/>
      <c r="N9" s="83" t="inlineStr">
        <is>
          <t>Y</t>
        </is>
      </c>
      <c r="S9" s="130" t="n"/>
      <c r="T9" s="130" t="n"/>
      <c r="U9" s="78" t="n"/>
      <c r="V9" s="78" t="n"/>
      <c r="W9" s="78" t="n"/>
      <c r="X9" s="78" t="n"/>
      <c r="Y9" s="130" t="n"/>
      <c r="Z9" s="130" t="n"/>
      <c r="AA9" s="130" t="n"/>
      <c r="AB9" s="130" t="n"/>
      <c r="AC9" s="130" t="n"/>
      <c r="AD9" s="130" t="n"/>
      <c r="AE9" s="130" t="n"/>
      <c r="AF9" s="130" t="n"/>
      <c r="AG9" s="130" t="n"/>
      <c r="AH9" s="130" t="n"/>
      <c r="AI9" s="130" t="n"/>
      <c r="AJ9" s="130" t="n"/>
      <c r="AK9" s="130" t="n"/>
    </row>
    <row r="10">
      <c r="A10" s="217" t="n"/>
      <c r="B10" s="217" t="n"/>
      <c r="C10" s="217" t="n"/>
      <c r="D10" s="217" t="n"/>
      <c r="E10" s="217" t="n"/>
      <c r="F10" s="221" t="inlineStr">
        <is>
          <t>是否点图展示</t>
        </is>
      </c>
      <c r="G10" s="83" t="inlineStr">
        <is>
          <t>Y</t>
        </is>
      </c>
      <c r="H10" s="83" t="n"/>
      <c r="I10" s="83" t="n"/>
      <c r="J10" s="83" t="n"/>
      <c r="K10" s="83" t="n"/>
      <c r="L10" s="83" t="n"/>
      <c r="M10" s="83" t="inlineStr">
        <is>
          <t>Y</t>
        </is>
      </c>
      <c r="N10" s="83" t="n"/>
    </row>
    <row r="11">
      <c r="A11" s="218" t="n"/>
      <c r="B11" s="218" t="n"/>
      <c r="C11" s="218" t="n"/>
      <c r="D11" s="218" t="n"/>
      <c r="E11" s="218" t="n"/>
      <c r="F11" s="59" t="inlineStr">
        <is>
          <t>Unit</t>
        </is>
      </c>
      <c r="G11" s="139" t="inlineStr">
        <is>
          <t>mBar</t>
        </is>
      </c>
      <c r="H11" s="139" t="inlineStr">
        <is>
          <t>Bar</t>
        </is>
      </c>
      <c r="I11" s="139" t="inlineStr">
        <is>
          <t>Bar</t>
        </is>
      </c>
      <c r="J11" s="139" t="inlineStr">
        <is>
          <t>Bar</t>
        </is>
      </c>
      <c r="K11" s="139" t="inlineStr">
        <is>
          <t>Bar</t>
        </is>
      </c>
      <c r="L11" s="91" t="inlineStr">
        <is>
          <t>%</t>
        </is>
      </c>
      <c r="M11" s="91" t="inlineStr">
        <is>
          <t>ppb</t>
        </is>
      </c>
      <c r="N11" s="91" t="n"/>
    </row>
    <row r="12">
      <c r="D12" s="73" t="n"/>
      <c r="E12" s="74" t="n"/>
    </row>
    <row r="13">
      <c r="D13" s="73" t="n"/>
      <c r="E13" s="74" t="n"/>
    </row>
    <row r="14">
      <c r="D14" s="73" t="n"/>
      <c r="E14" s="74" t="n"/>
    </row>
    <row r="15">
      <c r="E15" s="138" t="n"/>
    </row>
    <row r="16">
      <c r="E16" s="138" t="n"/>
    </row>
  </sheetData>
  <mergeCells count="6">
    <mergeCell ref="G1:N1"/>
    <mergeCell ref="C1:C11"/>
    <mergeCell ref="B1:B11"/>
    <mergeCell ref="E1:E11"/>
    <mergeCell ref="A1:A11"/>
    <mergeCell ref="D1:D11"/>
  </mergeCells>
  <conditionalFormatting sqref="G8:K8 M8">
    <cfRule type="cellIs" priority="19" operator="equal" dxfId="4">
      <formula>"N"</formula>
    </cfRule>
    <cfRule type="cellIs" priority="20" operator="equal" dxfId="0">
      <formula>"Y"</formula>
    </cfRule>
  </conditionalFormatting>
  <conditionalFormatting sqref="G10:N10">
    <cfRule type="cellIs" priority="27" operator="equal" dxfId="4">
      <formula>"N"</formula>
    </cfRule>
    <cfRule type="cellIs" priority="28" operator="equal" dxfId="0">
      <formula>"Y"</formula>
    </cfRule>
  </conditionalFormatting>
  <conditionalFormatting sqref="L8:L9">
    <cfRule type="cellIs" priority="9" operator="equal" dxfId="4">
      <formula>"N"</formula>
    </cfRule>
    <cfRule type="cellIs" priority="10" operator="equal" dxfId="0">
      <formula>"Y"</formula>
    </cfRule>
  </conditionalFormatting>
  <conditionalFormatting sqref="N8:N9">
    <cfRule type="cellIs" priority="1" operator="equal" dxfId="4">
      <formula>"N"</formula>
    </cfRule>
    <cfRule type="cellIs" priority="2" operator="equal" dxfId="0">
      <formula>"Y"</formula>
    </cfRule>
  </conditionalFormatting>
  <conditionalFormatting sqref="V8:X8">
    <cfRule type="cellIs" priority="21" operator="equal" dxfId="4">
      <formula>"N"</formula>
    </cfRule>
    <cfRule type="cellIs" priority="22" operator="equal" dxfId="0">
      <formula>"Y"</formula>
    </cfRule>
  </conditionalFormatting>
  <dataValidations count="2">
    <dataValidation sqref="G8:R8 G10:M10 L9 N9 Q9:R9 V8:X8" showDropDown="0" showInputMessage="1" showErrorMessage="1" allowBlank="1" type="list">
      <formula1>"Y,N"</formula1>
    </dataValidation>
    <dataValidation sqref="D12:D1048576" showDropDown="0" showInputMessage="1" showErrorMessage="1" allowBlank="1" type="list">
      <formula1>"MCS,Test,Propagation"</formula1>
    </dataValidation>
  </dataValidations>
  <pageMargins left="0.7" right="0.7" top="0.75" bottom="0.75" header="0.3" footer="0.3"/>
  <pageSetup orientation="portrait" paperSize="9" horizontalDpi="300" verticalDpi="300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I18"/>
  <sheetViews>
    <sheetView workbookViewId="0">
      <selection activeCell="A12" sqref="A12"/>
    </sheetView>
  </sheetViews>
  <sheetFormatPr baseColWidth="8" defaultColWidth="8.85546875" defaultRowHeight="12"/>
  <cols>
    <col width="8.85546875" customWidth="1" style="21" min="1" max="2"/>
    <col width="9.85546875" customWidth="1" style="21" min="3" max="3"/>
    <col width="11.140625" customWidth="1" style="55" min="4" max="4"/>
    <col width="9.85546875" customWidth="1" style="21" min="5" max="5"/>
    <col width="10.85546875" customWidth="1" style="21" min="6" max="6"/>
    <col width="12.42578125" customWidth="1" style="55" min="7" max="8"/>
    <col width="12.85546875" customWidth="1" style="20" min="9" max="9"/>
    <col width="10.42578125" customWidth="1" style="20" min="10" max="11"/>
    <col width="10.42578125" customWidth="1" style="21" min="12" max="17"/>
    <col width="8.85546875" customWidth="1" style="21" min="18" max="18"/>
    <col width="8.85546875" customWidth="1" style="21" min="19" max="16384"/>
  </cols>
  <sheetData>
    <row r="1" ht="14.85" customHeight="1" s="241">
      <c r="A1" s="220" t="inlineStr">
        <is>
          <t>Brewery</t>
        </is>
      </c>
      <c r="B1" s="220" t="inlineStr">
        <is>
          <t>Brand</t>
        </is>
      </c>
      <c r="C1" s="221" t="inlineStr">
        <is>
          <t>Supplier</t>
        </is>
      </c>
      <c r="D1" s="216" t="inlineStr">
        <is>
          <t>Produce Date</t>
        </is>
      </c>
      <c r="E1" s="221" t="inlineStr">
        <is>
          <t>Specification
(AB X)</t>
        </is>
      </c>
      <c r="F1" s="221" t="inlineStr">
        <is>
          <t>Batch No.</t>
        </is>
      </c>
      <c r="G1" s="216" t="inlineStr">
        <is>
          <t>Batch Production Type</t>
        </is>
      </c>
      <c r="H1" s="216" t="inlineStr">
        <is>
          <t>Batch Production Month</t>
        </is>
      </c>
      <c r="I1" s="221" t="inlineStr">
        <is>
          <t>Process</t>
        </is>
      </c>
      <c r="J1" s="238" t="inlineStr">
        <is>
          <t>Klining Malt</t>
        </is>
      </c>
      <c r="K1" s="211" t="n"/>
      <c r="L1" s="211" t="n"/>
      <c r="M1" s="211" t="n"/>
      <c r="N1" s="211" t="n"/>
      <c r="O1" s="211" t="n"/>
      <c r="P1" s="211" t="n"/>
      <c r="Q1" s="214" t="n"/>
    </row>
    <row r="2" ht="25.5" customFormat="1" customHeight="1" s="78">
      <c r="A2" s="217" t="n"/>
      <c r="B2" s="217" t="n"/>
      <c r="C2" s="217" t="n"/>
      <c r="D2" s="217" t="n"/>
      <c r="E2" s="217" t="n"/>
      <c r="F2" s="217" t="n"/>
      <c r="G2" s="217" t="n"/>
      <c r="H2" s="217" t="n"/>
      <c r="I2" s="59" t="inlineStr">
        <is>
          <t>参数英文名</t>
        </is>
      </c>
      <c r="J2" s="80" t="inlineStr">
        <is>
          <t>Extract</t>
        </is>
      </c>
      <c r="K2" s="80" t="inlineStr">
        <is>
          <t>Protein</t>
        </is>
      </c>
      <c r="L2" s="80" t="inlineStr">
        <is>
          <t>Kolbach</t>
        </is>
      </c>
      <c r="M2" s="80" t="inlineStr">
        <is>
          <t>FAN</t>
        </is>
      </c>
      <c r="N2" s="80" t="inlineStr">
        <is>
          <t>DP</t>
        </is>
      </c>
      <c r="O2" s="80" t="inlineStr">
        <is>
          <t>Color</t>
        </is>
      </c>
      <c r="P2" s="80" t="inlineStr">
        <is>
          <t>Boiling color</t>
        </is>
      </c>
      <c r="Q2" s="80" t="inlineStr">
        <is>
          <t>B-Glucan</t>
        </is>
      </c>
    </row>
    <row r="3" ht="25.5" customFormat="1" customHeight="1" s="78">
      <c r="A3" s="217" t="n"/>
      <c r="B3" s="217" t="n"/>
      <c r="C3" s="217" t="n"/>
      <c r="D3" s="217" t="n"/>
      <c r="E3" s="217" t="n"/>
      <c r="F3" s="217" t="n"/>
      <c r="G3" s="217" t="n"/>
      <c r="H3" s="217" t="n"/>
      <c r="I3" s="59" t="inlineStr">
        <is>
          <t>参数中文名</t>
        </is>
      </c>
      <c r="J3" s="82" t="inlineStr">
        <is>
          <t>浸出率</t>
        </is>
      </c>
      <c r="K3" s="82" t="inlineStr">
        <is>
          <t>蛋白</t>
        </is>
      </c>
      <c r="L3" s="82" t="inlineStr">
        <is>
          <t>库值</t>
        </is>
      </c>
      <c r="M3" s="82" t="inlineStr">
        <is>
          <t>氨基氮</t>
        </is>
      </c>
      <c r="N3" s="82" t="inlineStr">
        <is>
          <t>糖化力</t>
        </is>
      </c>
      <c r="O3" s="82" t="inlineStr">
        <is>
          <t>色度</t>
        </is>
      </c>
      <c r="P3" s="82" t="inlineStr">
        <is>
          <t>煮沸色度</t>
        </is>
      </c>
      <c r="Q3" s="82" t="inlineStr">
        <is>
          <t>B-葡聚糖</t>
        </is>
      </c>
    </row>
    <row r="4" ht="19.5" customFormat="1" customHeight="1" s="78">
      <c r="A4" s="217" t="n"/>
      <c r="B4" s="217" t="n"/>
      <c r="C4" s="217" t="n"/>
      <c r="D4" s="217" t="n"/>
      <c r="E4" s="217" t="n"/>
      <c r="F4" s="217" t="n"/>
      <c r="G4" s="217" t="n"/>
      <c r="H4" s="217" t="n"/>
      <c r="I4" s="59" t="inlineStr">
        <is>
          <t>Global</t>
        </is>
      </c>
      <c r="J4" s="82" t="n"/>
      <c r="K4" s="82" t="n"/>
      <c r="L4" s="82" t="n"/>
      <c r="M4" s="82" t="n"/>
      <c r="N4" s="82" t="n"/>
      <c r="O4" s="82" t="n"/>
      <c r="P4" s="82" t="n"/>
      <c r="Q4" s="82" t="n"/>
    </row>
    <row r="5">
      <c r="A5" s="217" t="n"/>
      <c r="B5" s="217" t="n"/>
      <c r="C5" s="217" t="n"/>
      <c r="D5" s="217" t="n"/>
      <c r="E5" s="217" t="n"/>
      <c r="F5" s="217" t="n"/>
      <c r="G5" s="217" t="n"/>
      <c r="H5" s="217" t="n"/>
      <c r="I5" s="221" t="inlineStr">
        <is>
          <t>DF代码</t>
        </is>
      </c>
      <c r="J5" s="83" t="inlineStr">
        <is>
          <t>SQA-001</t>
        </is>
      </c>
      <c r="K5" s="83" t="inlineStr">
        <is>
          <t>SQA-002</t>
        </is>
      </c>
      <c r="L5" s="83" t="inlineStr">
        <is>
          <t>SQA-003</t>
        </is>
      </c>
      <c r="M5" s="83" t="inlineStr">
        <is>
          <t>SQA-004</t>
        </is>
      </c>
      <c r="N5" s="83" t="inlineStr">
        <is>
          <t>SQA-005</t>
        </is>
      </c>
      <c r="O5" s="83" t="inlineStr">
        <is>
          <t>SQA-006</t>
        </is>
      </c>
      <c r="P5" s="83" t="inlineStr">
        <is>
          <t>SQA-007</t>
        </is>
      </c>
      <c r="Q5" s="83" t="inlineStr">
        <is>
          <t>SQA-008</t>
        </is>
      </c>
      <c r="R5" s="78" t="n"/>
      <c r="S5" s="78" t="n"/>
      <c r="T5" s="78" t="n"/>
      <c r="U5" s="78" t="n"/>
      <c r="V5" s="78" t="n"/>
      <c r="W5" s="78" t="n"/>
      <c r="X5" s="78" t="n"/>
      <c r="Y5" s="78" t="n"/>
      <c r="Z5" s="78" t="n"/>
      <c r="AA5" s="78" t="n"/>
      <c r="AB5" s="78" t="n"/>
      <c r="AC5" s="78" t="n"/>
      <c r="AD5" s="78" t="n"/>
      <c r="AE5" s="78" t="n"/>
      <c r="AF5" s="78" t="n"/>
      <c r="AG5" s="78" t="n"/>
      <c r="AH5" s="78" t="n"/>
      <c r="AI5" s="78" t="n"/>
      <c r="AJ5" s="78" t="n"/>
      <c r="AK5" s="78" t="n"/>
      <c r="AL5" s="78" t="n"/>
      <c r="AM5" s="78" t="n"/>
      <c r="AN5" s="78" t="n"/>
      <c r="AO5" s="78" t="n"/>
      <c r="AP5" s="78" t="n"/>
      <c r="AQ5" s="78" t="n"/>
      <c r="AR5" s="78" t="n"/>
      <c r="AS5" s="78" t="n"/>
      <c r="AT5" s="78" t="n"/>
      <c r="AU5" s="78" t="n"/>
      <c r="AV5" s="78" t="n"/>
      <c r="AW5" s="78" t="n"/>
      <c r="AX5" s="78" t="n"/>
      <c r="AY5" s="78" t="n"/>
      <c r="AZ5" s="78" t="n"/>
      <c r="BA5" s="78" t="n"/>
      <c r="BB5" s="78" t="n"/>
      <c r="BC5" s="78" t="n"/>
      <c r="BD5" s="78" t="n"/>
      <c r="BE5" s="78" t="n"/>
      <c r="BF5" s="78" t="n"/>
      <c r="BG5" s="78" t="n"/>
      <c r="BH5" s="78" t="n"/>
      <c r="BI5" s="78" t="n"/>
      <c r="BJ5" s="78" t="n"/>
      <c r="BK5" s="78" t="n"/>
      <c r="BL5" s="78" t="n"/>
      <c r="BM5" s="78" t="n"/>
      <c r="BN5" s="78" t="n"/>
      <c r="BO5" s="78" t="n"/>
      <c r="BP5" s="78" t="n"/>
      <c r="BQ5" s="78" t="n"/>
      <c r="BR5" s="78" t="n"/>
      <c r="BS5" s="78" t="n"/>
      <c r="BT5" s="78" t="n"/>
      <c r="BU5" s="78" t="n"/>
      <c r="BV5" s="78" t="n"/>
      <c r="BW5" s="78" t="n"/>
      <c r="BX5" s="78" t="n"/>
      <c r="BY5" s="78" t="n"/>
      <c r="BZ5" s="78" t="n"/>
      <c r="CA5" s="78" t="n"/>
      <c r="CB5" s="78" t="n"/>
      <c r="CC5" s="78" t="n"/>
      <c r="CD5" s="78" t="n"/>
      <c r="CE5" s="78" t="n"/>
      <c r="CF5" s="78" t="n"/>
      <c r="CG5" s="78" t="n"/>
      <c r="CH5" s="78" t="n"/>
      <c r="CI5" s="78" t="n"/>
    </row>
    <row r="6" ht="45.6" customFormat="1" customHeight="1" s="116">
      <c r="A6" s="217" t="n"/>
      <c r="B6" s="217" t="n"/>
      <c r="C6" s="217" t="n"/>
      <c r="D6" s="217" t="n"/>
      <c r="E6" s="217" t="n"/>
      <c r="F6" s="217" t="n"/>
      <c r="G6" s="217" t="n"/>
      <c r="H6" s="217" t="n"/>
      <c r="I6" s="221" t="inlineStr">
        <is>
          <t>DF中文</t>
        </is>
      </c>
      <c r="J6" s="83" t="n"/>
      <c r="K6" s="83" t="n"/>
      <c r="L6" s="83" t="n"/>
      <c r="M6" s="83" t="n"/>
      <c r="N6" s="83" t="n"/>
      <c r="O6" s="83" t="n"/>
      <c r="P6" s="83" t="n"/>
      <c r="Q6" s="83" t="n"/>
      <c r="R6" s="78" t="n"/>
      <c r="S6" s="78" t="n"/>
      <c r="T6" s="78" t="n"/>
      <c r="U6" s="78" t="n"/>
      <c r="V6" s="78" t="n"/>
      <c r="W6" s="78" t="n"/>
      <c r="X6" s="78" t="n"/>
      <c r="Y6" s="78" t="n"/>
      <c r="Z6" s="78" t="n"/>
      <c r="AA6" s="78" t="n"/>
      <c r="AB6" s="78" t="n"/>
      <c r="AC6" s="78" t="n"/>
      <c r="AD6" s="78" t="n"/>
      <c r="AE6" s="78" t="n"/>
      <c r="AF6" s="78" t="n"/>
      <c r="AG6" s="78" t="n"/>
      <c r="AH6" s="78" t="n"/>
      <c r="AI6" s="78" t="n"/>
      <c r="AJ6" s="78" t="n"/>
      <c r="AK6" s="78" t="n"/>
      <c r="AL6" s="78" t="n"/>
      <c r="AM6" s="78" t="n"/>
      <c r="AN6" s="78" t="n"/>
      <c r="AO6" s="78" t="n"/>
      <c r="AP6" s="78" t="n"/>
      <c r="AQ6" s="78" t="n"/>
      <c r="AR6" s="78" t="n"/>
      <c r="AS6" s="78" t="n"/>
      <c r="AT6" s="78" t="n"/>
      <c r="AU6" s="78" t="n"/>
      <c r="AV6" s="78" t="n"/>
      <c r="AW6" s="78" t="n"/>
      <c r="AX6" s="78" t="n"/>
      <c r="AY6" s="78" t="n"/>
      <c r="AZ6" s="78" t="n"/>
      <c r="BA6" s="78" t="n"/>
      <c r="BB6" s="78" t="n"/>
      <c r="BC6" s="78" t="n"/>
      <c r="BD6" s="78" t="n"/>
      <c r="BE6" s="78" t="n"/>
      <c r="BF6" s="78" t="n"/>
      <c r="BG6" s="78" t="n"/>
      <c r="BH6" s="78" t="n"/>
      <c r="BI6" s="78" t="n"/>
      <c r="BJ6" s="78" t="n"/>
      <c r="BK6" s="78" t="n"/>
      <c r="BL6" s="78" t="n"/>
      <c r="BM6" s="78" t="n"/>
      <c r="BN6" s="78" t="n"/>
      <c r="BO6" s="78" t="n"/>
      <c r="BP6" s="78" t="n"/>
      <c r="BQ6" s="78" t="n"/>
      <c r="BR6" s="78" t="n"/>
      <c r="BS6" s="78" t="n"/>
      <c r="BT6" s="78" t="n"/>
      <c r="BU6" s="78" t="n"/>
      <c r="BV6" s="78" t="n"/>
      <c r="BW6" s="78" t="n"/>
      <c r="BX6" s="78" t="n"/>
      <c r="BY6" s="78" t="n"/>
      <c r="BZ6" s="78" t="n"/>
      <c r="CA6" s="78" t="n"/>
      <c r="CB6" s="78" t="n"/>
      <c r="CC6" s="78" t="n"/>
      <c r="CD6" s="78" t="n"/>
      <c r="CE6" s="78" t="n"/>
      <c r="CF6" s="78" t="n"/>
      <c r="CG6" s="78" t="n"/>
      <c r="CH6" s="78" t="n"/>
      <c r="CI6" s="78" t="n"/>
    </row>
    <row r="7">
      <c r="A7" s="217" t="n"/>
      <c r="B7" s="217" t="n"/>
      <c r="C7" s="217" t="n"/>
      <c r="D7" s="217" t="n"/>
      <c r="E7" s="217" t="n"/>
      <c r="F7" s="217" t="n"/>
      <c r="G7" s="217" t="n"/>
      <c r="H7" s="217" t="n"/>
      <c r="I7" s="221" t="inlineStr">
        <is>
          <t>数据源</t>
        </is>
      </c>
      <c r="J7" s="83" t="inlineStr">
        <is>
          <t>LIMS</t>
        </is>
      </c>
      <c r="K7" s="83" t="inlineStr">
        <is>
          <t>LIMS</t>
        </is>
      </c>
      <c r="L7" s="83" t="inlineStr">
        <is>
          <t>LIMS</t>
        </is>
      </c>
      <c r="M7" s="83" t="inlineStr">
        <is>
          <t>LIMS</t>
        </is>
      </c>
      <c r="N7" s="83" t="inlineStr">
        <is>
          <t>LIMS</t>
        </is>
      </c>
      <c r="O7" s="83" t="inlineStr">
        <is>
          <t>LIMS</t>
        </is>
      </c>
      <c r="P7" s="83" t="inlineStr">
        <is>
          <t>LIMS</t>
        </is>
      </c>
      <c r="Q7" s="83" t="inlineStr">
        <is>
          <t>LIMS</t>
        </is>
      </c>
      <c r="R7" s="78" t="n"/>
      <c r="S7" s="78" t="n"/>
      <c r="T7" s="78" t="n"/>
      <c r="U7" s="78" t="n"/>
      <c r="V7" s="78" t="n"/>
      <c r="W7" s="78" t="n"/>
      <c r="X7" s="78" t="n"/>
      <c r="Y7" s="78" t="n"/>
      <c r="Z7" s="78" t="n"/>
      <c r="AA7" s="78" t="n"/>
      <c r="AB7" s="78" t="n"/>
      <c r="AC7" s="78" t="n"/>
      <c r="AD7" s="78" t="n"/>
      <c r="AE7" s="78" t="n"/>
      <c r="AF7" s="78" t="n"/>
      <c r="AG7" s="78" t="n"/>
      <c r="AH7" s="78" t="n"/>
      <c r="AI7" s="78" t="n"/>
      <c r="AJ7" s="78" t="n"/>
      <c r="AK7" s="78" t="n"/>
      <c r="AL7" s="78" t="n"/>
      <c r="AM7" s="78" t="n"/>
      <c r="AN7" s="78" t="n"/>
      <c r="AO7" s="78" t="n"/>
      <c r="AP7" s="78" t="n"/>
      <c r="AQ7" s="78" t="n"/>
      <c r="AR7" s="78" t="n"/>
      <c r="AS7" s="78" t="n"/>
      <c r="AT7" s="78" t="n"/>
      <c r="AU7" s="78" t="n"/>
      <c r="AV7" s="78" t="n"/>
      <c r="AW7" s="78" t="n"/>
      <c r="AX7" s="78" t="n"/>
      <c r="AY7" s="78" t="n"/>
      <c r="AZ7" s="78" t="n"/>
      <c r="BA7" s="78" t="n"/>
      <c r="BB7" s="78" t="n"/>
      <c r="BC7" s="78" t="n"/>
      <c r="BD7" s="78" t="n"/>
      <c r="BE7" s="78" t="n"/>
      <c r="BF7" s="78" t="n"/>
      <c r="BG7" s="78" t="n"/>
      <c r="BH7" s="78" t="n"/>
      <c r="BI7" s="78" t="n"/>
      <c r="BJ7" s="78" t="n"/>
      <c r="BK7" s="78" t="n"/>
      <c r="BL7" s="78" t="n"/>
      <c r="BM7" s="78" t="n"/>
      <c r="BN7" s="78" t="n"/>
      <c r="BO7" s="78" t="n"/>
      <c r="BP7" s="78" t="n"/>
      <c r="BQ7" s="78" t="n"/>
      <c r="BR7" s="78" t="n"/>
      <c r="BS7" s="78" t="n"/>
      <c r="BT7" s="78" t="n"/>
      <c r="BU7" s="78" t="n"/>
      <c r="BV7" s="78" t="n"/>
      <c r="BW7" s="78" t="n"/>
      <c r="BX7" s="78" t="n"/>
      <c r="BY7" s="78" t="n"/>
      <c r="BZ7" s="78" t="n"/>
      <c r="CA7" s="78" t="n"/>
      <c r="CB7" s="78" t="n"/>
      <c r="CC7" s="78" t="n"/>
      <c r="CD7" s="78" t="n"/>
      <c r="CE7" s="78" t="n"/>
      <c r="CF7" s="78" t="n"/>
      <c r="CG7" s="78" t="n"/>
      <c r="CH7" s="78" t="n"/>
      <c r="CI7" s="78" t="n"/>
    </row>
    <row r="8" ht="24" customFormat="1" customHeight="1" s="116">
      <c r="A8" s="217" t="n"/>
      <c r="B8" s="217" t="n"/>
      <c r="C8" s="217" t="n"/>
      <c r="D8" s="217" t="n"/>
      <c r="E8" s="217" t="n"/>
      <c r="F8" s="217" t="n"/>
      <c r="G8" s="217" t="n"/>
      <c r="H8" s="217" t="n"/>
      <c r="I8" s="221" t="inlineStr">
        <is>
          <t>是否Sensory PI展示</t>
        </is>
      </c>
      <c r="J8" s="127" t="n"/>
      <c r="K8" s="127" t="n"/>
      <c r="L8" s="127" t="n"/>
      <c r="M8" s="127" t="n"/>
      <c r="N8" s="127" t="n"/>
      <c r="O8" s="97" t="n"/>
      <c r="P8" s="97" t="n"/>
      <c r="Q8" s="97" t="n"/>
      <c r="S8" s="130" t="n"/>
      <c r="T8" s="130" t="n"/>
      <c r="U8" s="78" t="n"/>
      <c r="V8" s="72" t="n"/>
      <c r="W8" s="72" t="n"/>
      <c r="X8" s="72" t="n"/>
      <c r="Y8" s="130" t="n"/>
      <c r="Z8" s="130" t="n"/>
      <c r="AA8" s="130" t="n"/>
      <c r="AB8" s="130" t="n"/>
      <c r="AC8" s="130" t="n"/>
      <c r="AD8" s="130" t="n"/>
      <c r="AE8" s="130" t="n"/>
      <c r="AF8" s="130" t="n"/>
      <c r="AG8" s="130" t="n"/>
      <c r="AH8" s="130" t="n"/>
      <c r="AI8" s="130" t="n"/>
      <c r="AJ8" s="130" t="n"/>
      <c r="AK8" s="130" t="n"/>
    </row>
    <row r="9" customFormat="1" s="116">
      <c r="A9" s="217" t="n"/>
      <c r="B9" s="217" t="n"/>
      <c r="C9" s="217" t="n"/>
      <c r="D9" s="217" t="n"/>
      <c r="E9" s="217" t="n"/>
      <c r="F9" s="217" t="n"/>
      <c r="G9" s="217" t="n"/>
      <c r="H9" s="217" t="n"/>
      <c r="I9" s="221" t="inlineStr">
        <is>
          <t>是否为Key PI</t>
        </is>
      </c>
      <c r="J9" s="127" t="n"/>
      <c r="K9" s="127" t="n"/>
      <c r="L9" s="127" t="n"/>
      <c r="M9" s="127" t="n"/>
      <c r="N9" s="127" t="n"/>
      <c r="O9" s="97" t="n"/>
      <c r="P9" s="97" t="n"/>
      <c r="Q9" s="97" t="n"/>
      <c r="S9" s="130" t="n"/>
      <c r="T9" s="130" t="n"/>
      <c r="U9" s="78" t="n"/>
      <c r="V9" s="78" t="n"/>
      <c r="W9" s="78" t="n"/>
      <c r="X9" s="78" t="n"/>
      <c r="Y9" s="130" t="n"/>
      <c r="Z9" s="130" t="n"/>
      <c r="AA9" s="130" t="n"/>
      <c r="AB9" s="130" t="n"/>
      <c r="AC9" s="130" t="n"/>
      <c r="AD9" s="130" t="n"/>
      <c r="AE9" s="130" t="n"/>
      <c r="AF9" s="130" t="n"/>
      <c r="AG9" s="130" t="n"/>
      <c r="AH9" s="130" t="n"/>
      <c r="AI9" s="130" t="n"/>
      <c r="AJ9" s="130" t="n"/>
      <c r="AK9" s="130" t="n"/>
    </row>
    <row r="10">
      <c r="A10" s="217" t="n"/>
      <c r="B10" s="217" t="n"/>
      <c r="C10" s="217" t="n"/>
      <c r="D10" s="217" t="n"/>
      <c r="E10" s="217" t="n"/>
      <c r="F10" s="217" t="n"/>
      <c r="G10" s="217" t="n"/>
      <c r="H10" s="217" t="n"/>
      <c r="I10" s="221" t="inlineStr">
        <is>
          <t>是否点图展示</t>
        </is>
      </c>
      <c r="J10" s="83" t="n"/>
      <c r="K10" s="83" t="inlineStr">
        <is>
          <t>Y</t>
        </is>
      </c>
      <c r="L10" s="83" t="inlineStr">
        <is>
          <t>Y</t>
        </is>
      </c>
      <c r="M10" s="83" t="inlineStr">
        <is>
          <t>Y</t>
        </is>
      </c>
      <c r="N10" s="83" t="inlineStr">
        <is>
          <t>Y</t>
        </is>
      </c>
      <c r="O10" s="83" t="inlineStr">
        <is>
          <t>Y</t>
        </is>
      </c>
      <c r="P10" s="83" t="inlineStr">
        <is>
          <t>Y</t>
        </is>
      </c>
      <c r="Q10" s="83" t="inlineStr">
        <is>
          <t>Y</t>
        </is>
      </c>
      <c r="R10" s="78" t="n"/>
      <c r="S10" s="78" t="n"/>
      <c r="T10" s="78" t="n"/>
      <c r="U10" s="78" t="n"/>
      <c r="V10" s="78" t="n"/>
      <c r="W10" s="78" t="n"/>
      <c r="X10" s="78" t="n"/>
      <c r="Y10" s="78" t="n"/>
      <c r="Z10" s="78" t="n"/>
      <c r="AA10" s="78" t="n"/>
      <c r="AB10" s="78" t="n"/>
      <c r="AC10" s="78" t="n"/>
      <c r="AD10" s="78" t="n"/>
      <c r="AE10" s="78" t="n"/>
      <c r="AF10" s="78" t="n"/>
      <c r="AG10" s="78" t="n"/>
      <c r="AH10" s="78" t="n"/>
      <c r="AI10" s="78" t="n"/>
      <c r="AJ10" s="78" t="n"/>
      <c r="AK10" s="78" t="n"/>
      <c r="AL10" s="78" t="n"/>
      <c r="AM10" s="78" t="n"/>
      <c r="AN10" s="78" t="n"/>
      <c r="AO10" s="78" t="n"/>
      <c r="AP10" s="78" t="n"/>
      <c r="AQ10" s="78" t="n"/>
      <c r="AR10" s="78" t="n"/>
      <c r="AS10" s="78" t="n"/>
      <c r="AT10" s="78" t="n"/>
      <c r="AU10" s="78" t="n"/>
      <c r="AV10" s="78" t="n"/>
      <c r="AW10" s="78" t="n"/>
      <c r="AX10" s="78" t="n"/>
      <c r="AY10" s="78" t="n"/>
      <c r="AZ10" s="78" t="n"/>
      <c r="BA10" s="78" t="n"/>
      <c r="BB10" s="78" t="n"/>
      <c r="BC10" s="78" t="n"/>
      <c r="BD10" s="78" t="n"/>
      <c r="BE10" s="78" t="n"/>
      <c r="BF10" s="78" t="n"/>
      <c r="BG10" s="78" t="n"/>
      <c r="BH10" s="78" t="n"/>
      <c r="BI10" s="78" t="n"/>
      <c r="BJ10" s="78" t="n"/>
      <c r="BK10" s="78" t="n"/>
      <c r="BL10" s="78" t="n"/>
      <c r="BM10" s="78" t="n"/>
      <c r="BN10" s="78" t="n"/>
      <c r="BO10" s="78" t="n"/>
      <c r="BP10" s="78" t="n"/>
      <c r="BQ10" s="78" t="n"/>
      <c r="BR10" s="78" t="n"/>
      <c r="BS10" s="78" t="n"/>
      <c r="BT10" s="78" t="n"/>
      <c r="BU10" s="78" t="n"/>
      <c r="BV10" s="78" t="n"/>
      <c r="BW10" s="78" t="n"/>
      <c r="BX10" s="78" t="n"/>
      <c r="BY10" s="78" t="n"/>
      <c r="BZ10" s="78" t="n"/>
      <c r="CA10" s="78" t="n"/>
      <c r="CB10" s="78" t="n"/>
      <c r="CC10" s="78" t="n"/>
      <c r="CD10" s="78" t="n"/>
      <c r="CE10" s="78" t="n"/>
      <c r="CF10" s="78" t="n"/>
      <c r="CG10" s="78" t="n"/>
      <c r="CH10" s="78" t="n"/>
      <c r="CI10" s="78" t="n"/>
    </row>
    <row r="11">
      <c r="A11" s="218" t="n"/>
      <c r="B11" s="218" t="n"/>
      <c r="C11" s="218" t="n"/>
      <c r="D11" s="218" t="n"/>
      <c r="E11" s="218" t="n"/>
      <c r="F11" s="218" t="n"/>
      <c r="G11" s="218" t="n"/>
      <c r="H11" s="218" t="n"/>
      <c r="I11" s="59" t="inlineStr">
        <is>
          <t>Unit</t>
        </is>
      </c>
      <c r="J11" s="91" t="inlineStr">
        <is>
          <t>%</t>
        </is>
      </c>
      <c r="K11" s="91" t="inlineStr">
        <is>
          <t>%</t>
        </is>
      </c>
      <c r="L11" s="92" t="inlineStr">
        <is>
          <t>%</t>
        </is>
      </c>
      <c r="M11" s="92" t="inlineStr">
        <is>
          <t>ppm</t>
        </is>
      </c>
      <c r="N11" s="92" t="inlineStr">
        <is>
          <t>ASBC</t>
        </is>
      </c>
      <c r="O11" s="92" t="inlineStr">
        <is>
          <t>EBC</t>
        </is>
      </c>
      <c r="P11" s="92" t="inlineStr">
        <is>
          <t>EBC</t>
        </is>
      </c>
      <c r="Q11" s="92" t="inlineStr">
        <is>
          <t>ppm</t>
        </is>
      </c>
      <c r="R11" s="78" t="n"/>
      <c r="S11" s="78" t="n"/>
      <c r="T11" s="78" t="n"/>
      <c r="U11" s="78" t="n"/>
      <c r="V11" s="78" t="n"/>
      <c r="W11" s="78" t="n"/>
      <c r="X11" s="78" t="n"/>
      <c r="Y11" s="78" t="n"/>
      <c r="Z11" s="78" t="n"/>
      <c r="AA11" s="78" t="n"/>
      <c r="AB11" s="78" t="n"/>
      <c r="AC11" s="78" t="n"/>
      <c r="AD11" s="78" t="n"/>
      <c r="AE11" s="78" t="n"/>
      <c r="AF11" s="78" t="n"/>
      <c r="AG11" s="78" t="n"/>
      <c r="AH11" s="78" t="n"/>
      <c r="AI11" s="78" t="n"/>
      <c r="AJ11" s="78" t="n"/>
      <c r="AK11" s="78" t="n"/>
      <c r="AL11" s="78" t="n"/>
      <c r="AM11" s="78" t="n"/>
      <c r="AN11" s="78" t="n"/>
      <c r="AO11" s="78" t="n"/>
      <c r="AP11" s="78" t="n"/>
      <c r="AQ11" s="78" t="n"/>
      <c r="AR11" s="78" t="n"/>
      <c r="AS11" s="78" t="n"/>
      <c r="AT11" s="78" t="n"/>
      <c r="AU11" s="78" t="n"/>
      <c r="AV11" s="78" t="n"/>
      <c r="AW11" s="78" t="n"/>
      <c r="AX11" s="78" t="n"/>
      <c r="AY11" s="78" t="n"/>
      <c r="AZ11" s="78" t="n"/>
      <c r="BA11" s="78" t="n"/>
      <c r="BB11" s="78" t="n"/>
      <c r="BC11" s="78" t="n"/>
      <c r="BD11" s="78" t="n"/>
      <c r="BE11" s="78" t="n"/>
      <c r="BF11" s="78" t="n"/>
      <c r="BG11" s="78" t="n"/>
      <c r="BH11" s="78" t="n"/>
      <c r="BI11" s="78" t="n"/>
      <c r="BJ11" s="78" t="n"/>
      <c r="BK11" s="78" t="n"/>
      <c r="BL11" s="78" t="n"/>
      <c r="BM11" s="78" t="n"/>
      <c r="BN11" s="78" t="n"/>
      <c r="BO11" s="78" t="n"/>
      <c r="BP11" s="78" t="n"/>
      <c r="BQ11" s="78" t="n"/>
      <c r="BR11" s="78" t="n"/>
      <c r="BS11" s="78" t="n"/>
      <c r="BT11" s="78" t="n"/>
      <c r="BU11" s="78" t="n"/>
      <c r="BV11" s="78" t="n"/>
      <c r="BW11" s="78" t="n"/>
      <c r="BX11" s="78" t="n"/>
      <c r="BY11" s="78" t="n"/>
      <c r="BZ11" s="78" t="n"/>
      <c r="CA11" s="78" t="n"/>
      <c r="CB11" s="78" t="n"/>
      <c r="CC11" s="78" t="n"/>
      <c r="CD11" s="78" t="n"/>
      <c r="CE11" s="78" t="n"/>
      <c r="CF11" s="78" t="n"/>
      <c r="CG11" s="78" t="n"/>
      <c r="CH11" s="78" t="n"/>
      <c r="CI11" s="78" t="n"/>
    </row>
    <row r="12" ht="12.75" customHeight="1" s="241">
      <c r="D12" s="71" t="n"/>
      <c r="F12" s="72" t="n"/>
      <c r="G12" s="73" t="n"/>
      <c r="H12" s="74" t="n"/>
    </row>
    <row r="13" ht="12.95" customHeight="1" s="241">
      <c r="D13" s="71" t="n"/>
      <c r="F13" s="137" t="n"/>
      <c r="G13" s="73" t="n"/>
      <c r="H13" s="74" t="n"/>
    </row>
    <row r="14">
      <c r="G14" s="73" t="n"/>
      <c r="H14" s="74" t="n"/>
    </row>
    <row r="15">
      <c r="H15" s="138" t="n"/>
    </row>
    <row r="16">
      <c r="H16" s="138" t="n"/>
    </row>
    <row r="17">
      <c r="H17" s="138" t="n"/>
    </row>
    <row r="18">
      <c r="H18" s="138" t="n"/>
    </row>
  </sheetData>
  <mergeCells count="9">
    <mergeCell ref="C1:C11"/>
    <mergeCell ref="B1:B11"/>
    <mergeCell ref="G1:G11"/>
    <mergeCell ref="E1:E11"/>
    <mergeCell ref="J1:Q1"/>
    <mergeCell ref="H1:H11"/>
    <mergeCell ref="A1:A11"/>
    <mergeCell ref="D1:D11"/>
    <mergeCell ref="F1:F11"/>
  </mergeCells>
  <conditionalFormatting sqref="J8:K8 L8:N9">
    <cfRule type="cellIs" priority="9" operator="equal" dxfId="4">
      <formula>"N"</formula>
    </cfRule>
    <cfRule type="cellIs" priority="10" operator="equal" dxfId="0">
      <formula>"Y"</formula>
    </cfRule>
  </conditionalFormatting>
  <conditionalFormatting sqref="J10:Q10">
    <cfRule type="cellIs" priority="17" operator="equal" dxfId="4">
      <formula>"N"</formula>
    </cfRule>
    <cfRule type="cellIs" priority="18" operator="equal" dxfId="0">
      <formula>"Y"</formula>
    </cfRule>
  </conditionalFormatting>
  <conditionalFormatting sqref="V8:X8">
    <cfRule type="cellIs" priority="11" operator="equal" dxfId="4">
      <formula>"N"</formula>
    </cfRule>
    <cfRule type="cellIs" priority="12" operator="equal" dxfId="0">
      <formula>"Y"</formula>
    </cfRule>
  </conditionalFormatting>
  <dataValidations count="2">
    <dataValidation sqref="J8:R8 J10:Q10 L9 N9 Q9:R9 V8:X8" showDropDown="0" showInputMessage="1" showErrorMessage="1" allowBlank="1" type="list">
      <formula1>"Y,N"</formula1>
    </dataValidation>
    <dataValidation sqref="G12:G1048576" showDropDown="0" showInputMessage="1" showErrorMessage="1" allowBlank="1" type="list">
      <formula1>"MCS,Test,Propagation"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I20"/>
  <sheetViews>
    <sheetView workbookViewId="0">
      <selection activeCell="A12" sqref="A12"/>
    </sheetView>
  </sheetViews>
  <sheetFormatPr baseColWidth="8" defaultColWidth="8.85546875" defaultRowHeight="12"/>
  <cols>
    <col width="9.85546875" customWidth="1" style="21" min="1" max="2"/>
    <col width="11.140625" customWidth="1" style="55" min="3" max="3"/>
    <col width="11.140625" customWidth="1" style="21" min="4" max="4"/>
    <col width="9.85546875" customWidth="1" style="21" min="5" max="6"/>
    <col width="10.85546875" customWidth="1" style="21" min="7" max="7"/>
    <col width="12.42578125" customWidth="1" style="55" min="8" max="9"/>
    <col width="12.85546875" customWidth="1" style="20" min="10" max="10"/>
    <col width="10.42578125" customWidth="1" style="20" min="11" max="12"/>
    <col width="10.42578125" customWidth="1" style="21" min="13" max="18"/>
    <col width="8.85546875" customWidth="1" style="21" min="19" max="19"/>
    <col width="8.85546875" customWidth="1" style="21" min="20" max="16384"/>
  </cols>
  <sheetData>
    <row r="1" ht="14.85" customHeight="1" s="241">
      <c r="A1" s="221" t="inlineStr">
        <is>
          <t>Brewery</t>
        </is>
      </c>
      <c r="B1" s="220" t="inlineStr">
        <is>
          <t>Brand</t>
        </is>
      </c>
      <c r="C1" s="216" t="inlineStr">
        <is>
          <t>Shipment Date</t>
        </is>
      </c>
      <c r="D1" s="221" t="inlineStr">
        <is>
          <t xml:space="preserve">Malt variety </t>
        </is>
      </c>
      <c r="E1" s="221" t="inlineStr">
        <is>
          <t>Specification
(AB X)</t>
        </is>
      </c>
      <c r="F1" s="221" t="inlineStr">
        <is>
          <t>Supplier</t>
        </is>
      </c>
      <c r="G1" s="221" t="inlineStr">
        <is>
          <t>Batch No.</t>
        </is>
      </c>
      <c r="H1" s="216" t="inlineStr">
        <is>
          <t>Batch Production Type</t>
        </is>
      </c>
      <c r="I1" s="216" t="inlineStr">
        <is>
          <t>Batch Production Month</t>
        </is>
      </c>
      <c r="J1" s="221" t="inlineStr">
        <is>
          <t>Process</t>
        </is>
      </c>
      <c r="K1" s="239" t="inlineStr">
        <is>
          <t>Shipment Malt</t>
        </is>
      </c>
      <c r="L1" s="237" t="n"/>
      <c r="M1" s="237" t="n"/>
      <c r="N1" s="237" t="n"/>
      <c r="O1" s="237" t="n"/>
      <c r="P1" s="237" t="n"/>
      <c r="Q1" s="237" t="n"/>
      <c r="R1" s="237" t="n"/>
      <c r="S1" s="237" t="n"/>
      <c r="T1" s="237" t="n"/>
      <c r="U1" s="237" t="n"/>
    </row>
    <row r="2" ht="25.5" customFormat="1" customHeight="1" s="78">
      <c r="A2" s="217" t="n"/>
      <c r="B2" s="217" t="n"/>
      <c r="C2" s="217" t="n"/>
      <c r="D2" s="217" t="n"/>
      <c r="E2" s="217" t="n"/>
      <c r="F2" s="217" t="n"/>
      <c r="G2" s="217" t="n"/>
      <c r="H2" s="217" t="n"/>
      <c r="I2" s="217" t="n"/>
      <c r="J2" s="59" t="inlineStr">
        <is>
          <t>参数英文名</t>
        </is>
      </c>
      <c r="K2" s="132" t="inlineStr">
        <is>
          <t>Extract</t>
        </is>
      </c>
      <c r="L2" s="80" t="inlineStr">
        <is>
          <t>Protein</t>
        </is>
      </c>
      <c r="M2" s="80" t="inlineStr">
        <is>
          <t>Kolbach</t>
        </is>
      </c>
      <c r="N2" s="80" t="inlineStr">
        <is>
          <t>FAN</t>
        </is>
      </c>
      <c r="O2" s="80" t="inlineStr">
        <is>
          <t>DP</t>
        </is>
      </c>
      <c r="P2" s="80" t="inlineStr">
        <is>
          <t>Color</t>
        </is>
      </c>
      <c r="Q2" s="80" t="inlineStr">
        <is>
          <t>Boiling color</t>
        </is>
      </c>
      <c r="R2" s="80" t="inlineStr">
        <is>
          <t>B-Glucan</t>
        </is>
      </c>
      <c r="S2" s="223" t="inlineStr">
        <is>
          <t xml:space="preserve">PYF </t>
        </is>
      </c>
      <c r="T2" s="223" t="inlineStr">
        <is>
          <t xml:space="preserve">Storage time in brewery </t>
        </is>
      </c>
      <c r="U2" s="223" t="inlineStr">
        <is>
          <t xml:space="preserve">Congress wort taste </t>
        </is>
      </c>
    </row>
    <row r="3" ht="25.5" customFormat="1" customHeight="1" s="78">
      <c r="A3" s="217" t="n"/>
      <c r="B3" s="217" t="n"/>
      <c r="C3" s="217" t="n"/>
      <c r="D3" s="217" t="n"/>
      <c r="E3" s="217" t="n"/>
      <c r="F3" s="217" t="n"/>
      <c r="G3" s="217" t="n"/>
      <c r="H3" s="217" t="n"/>
      <c r="I3" s="217" t="n"/>
      <c r="J3" s="59" t="inlineStr">
        <is>
          <t>参数中文名</t>
        </is>
      </c>
      <c r="K3" s="133" t="inlineStr">
        <is>
          <t>浸出率</t>
        </is>
      </c>
      <c r="L3" s="82" t="inlineStr">
        <is>
          <t>蛋白</t>
        </is>
      </c>
      <c r="M3" s="82" t="inlineStr">
        <is>
          <t>库值</t>
        </is>
      </c>
      <c r="N3" s="82" t="inlineStr">
        <is>
          <t>氨基氮</t>
        </is>
      </c>
      <c r="O3" s="82" t="inlineStr">
        <is>
          <t>糖化力</t>
        </is>
      </c>
      <c r="P3" s="82" t="inlineStr">
        <is>
          <t>色度</t>
        </is>
      </c>
      <c r="Q3" s="82" t="inlineStr">
        <is>
          <t>煮沸色度</t>
        </is>
      </c>
      <c r="R3" s="82" t="inlineStr">
        <is>
          <t>B-葡聚糖</t>
        </is>
      </c>
      <c r="S3" s="223" t="inlineStr">
        <is>
          <t>麦芽PYF-混合后</t>
        </is>
      </c>
      <c r="T3" s="223" t="inlineStr">
        <is>
          <t>麦芽在工厂内储存时间</t>
        </is>
      </c>
      <c r="U3" s="223" t="inlineStr">
        <is>
          <t>协定麦汁品尝</t>
        </is>
      </c>
    </row>
    <row r="4" ht="19.5" customFormat="1" customHeight="1" s="78">
      <c r="A4" s="217" t="n"/>
      <c r="B4" s="217" t="n"/>
      <c r="C4" s="217" t="n"/>
      <c r="D4" s="217" t="n"/>
      <c r="E4" s="217" t="n"/>
      <c r="F4" s="217" t="n"/>
      <c r="G4" s="217" t="n"/>
      <c r="H4" s="217" t="n"/>
      <c r="I4" s="217" t="n"/>
      <c r="J4" s="59" t="inlineStr">
        <is>
          <t>Global</t>
        </is>
      </c>
      <c r="K4" s="133" t="n"/>
      <c r="L4" s="82" t="n"/>
      <c r="M4" s="82" t="n"/>
      <c r="N4" s="82" t="n"/>
      <c r="O4" s="82" t="n"/>
      <c r="P4" s="82" t="n"/>
      <c r="Q4" s="82" t="n"/>
      <c r="R4" s="82" t="n"/>
      <c r="S4" s="83" t="n"/>
      <c r="T4" s="83" t="n"/>
      <c r="U4" s="83" t="n"/>
    </row>
    <row r="5">
      <c r="A5" s="217" t="n"/>
      <c r="B5" s="217" t="n"/>
      <c r="C5" s="217" t="n"/>
      <c r="D5" s="217" t="n"/>
      <c r="E5" s="217" t="n"/>
      <c r="F5" s="217" t="n"/>
      <c r="G5" s="217" t="n"/>
      <c r="H5" s="217" t="n"/>
      <c r="I5" s="217" t="n"/>
      <c r="J5" s="221" t="inlineStr">
        <is>
          <t>DF代码</t>
        </is>
      </c>
      <c r="K5" s="134" t="inlineStr">
        <is>
          <t>QA-00161</t>
        </is>
      </c>
      <c r="L5" s="83" t="inlineStr">
        <is>
          <t>QA-00170</t>
        </is>
      </c>
      <c r="M5" s="83" t="inlineStr">
        <is>
          <t>QA-00172</t>
        </is>
      </c>
      <c r="N5" s="83" t="inlineStr">
        <is>
          <t>QA-00167</t>
        </is>
      </c>
      <c r="O5" s="83" t="inlineStr">
        <is>
          <t>QA-00168</t>
        </is>
      </c>
      <c r="P5" s="83" t="inlineStr">
        <is>
          <t>QA-00164</t>
        </is>
      </c>
      <c r="Q5" s="83" t="inlineStr">
        <is>
          <t>QA-00165</t>
        </is>
      </c>
      <c r="R5" s="83" t="inlineStr">
        <is>
          <t>QA-00169</t>
        </is>
      </c>
      <c r="S5" s="83" t="n"/>
      <c r="T5" s="83" t="n"/>
      <c r="U5" s="83" t="n"/>
      <c r="V5" s="78" t="n"/>
      <c r="W5" s="78" t="n"/>
      <c r="X5" s="78" t="n"/>
      <c r="Y5" s="78" t="n"/>
      <c r="Z5" s="78" t="n"/>
      <c r="AA5" s="78" t="n"/>
      <c r="AB5" s="78" t="n"/>
      <c r="AC5" s="78" t="n"/>
      <c r="AD5" s="78" t="n"/>
      <c r="AE5" s="78" t="n"/>
      <c r="AF5" s="78" t="n"/>
      <c r="AG5" s="78" t="n"/>
      <c r="AH5" s="78" t="n"/>
      <c r="AI5" s="78" t="n"/>
      <c r="AJ5" s="78" t="n"/>
      <c r="AK5" s="78" t="n"/>
      <c r="AL5" s="78" t="n"/>
      <c r="AM5" s="78" t="n"/>
      <c r="AN5" s="78" t="n"/>
      <c r="AO5" s="78" t="n"/>
      <c r="AP5" s="78" t="n"/>
      <c r="AQ5" s="78" t="n"/>
      <c r="AR5" s="78" t="n"/>
      <c r="AS5" s="78" t="n"/>
      <c r="AT5" s="78" t="n"/>
      <c r="AU5" s="78" t="n"/>
      <c r="AV5" s="78" t="n"/>
      <c r="AW5" s="78" t="n"/>
      <c r="AX5" s="78" t="n"/>
      <c r="AY5" s="78" t="n"/>
      <c r="AZ5" s="78" t="n"/>
      <c r="BA5" s="78" t="n"/>
      <c r="BB5" s="78" t="n"/>
      <c r="BC5" s="78" t="n"/>
      <c r="BD5" s="78" t="n"/>
      <c r="BE5" s="78" t="n"/>
      <c r="BF5" s="78" t="n"/>
      <c r="BG5" s="78" t="n"/>
      <c r="BH5" s="78" t="n"/>
      <c r="BI5" s="78" t="n"/>
      <c r="BJ5" s="78" t="n"/>
      <c r="BK5" s="78" t="n"/>
      <c r="BL5" s="78" t="n"/>
      <c r="BM5" s="78" t="n"/>
      <c r="BN5" s="78" t="n"/>
      <c r="BO5" s="78" t="n"/>
      <c r="BP5" s="78" t="n"/>
      <c r="BQ5" s="78" t="n"/>
      <c r="BR5" s="78" t="n"/>
      <c r="BS5" s="78" t="n"/>
      <c r="BT5" s="78" t="n"/>
      <c r="BU5" s="78" t="n"/>
      <c r="BV5" s="78" t="n"/>
      <c r="BW5" s="78" t="n"/>
      <c r="BX5" s="78" t="n"/>
      <c r="BY5" s="78" t="n"/>
      <c r="BZ5" s="78" t="n"/>
      <c r="CA5" s="78" t="n"/>
      <c r="CB5" s="78" t="n"/>
      <c r="CC5" s="78" t="n"/>
      <c r="CD5" s="78" t="n"/>
      <c r="CE5" s="78" t="n"/>
      <c r="CF5" s="78" t="n"/>
      <c r="CG5" s="78" t="n"/>
      <c r="CH5" s="78" t="n"/>
      <c r="CI5" s="78" t="n"/>
    </row>
    <row r="6" ht="45.6" customFormat="1" customHeight="1" s="116">
      <c r="A6" s="217" t="n"/>
      <c r="B6" s="217" t="n"/>
      <c r="C6" s="217" t="n"/>
      <c r="D6" s="217" t="n"/>
      <c r="E6" s="217" t="n"/>
      <c r="F6" s="217" t="n"/>
      <c r="G6" s="217" t="n"/>
      <c r="H6" s="217" t="n"/>
      <c r="I6" s="217" t="n"/>
      <c r="J6" s="221" t="inlineStr">
        <is>
          <t>DF中文</t>
        </is>
      </c>
      <c r="K6" s="134" t="inlineStr">
        <is>
          <t>细粉浸出物_麦芽_质量_质量实验室</t>
        </is>
      </c>
      <c r="L6" s="83" t="inlineStr">
        <is>
          <t>总蛋白质_麦芽_质量_质量实验室</t>
        </is>
      </c>
      <c r="M6" s="83" t="inlineStr">
        <is>
          <t>库值_麦芽_质量_质量实验室</t>
        </is>
      </c>
      <c r="N6" s="83" t="inlineStr">
        <is>
          <t>α氨基酸_麦芽_质量_质量实验室</t>
        </is>
      </c>
      <c r="O6" s="83" t="inlineStr">
        <is>
          <t>糖化力_麦芽_质量_质量实验室</t>
        </is>
      </c>
      <c r="P6" s="83" t="inlineStr">
        <is>
          <t>色度_麦芽_质量_质量实验室</t>
        </is>
      </c>
      <c r="Q6" s="83" t="inlineStr">
        <is>
          <t>煮沸色度_麦芽_质量_质量实验室</t>
        </is>
      </c>
      <c r="R6" s="83" t="inlineStr">
        <is>
          <t>β葡聚糖_麦芽_质量_质量实验室</t>
        </is>
      </c>
      <c r="S6" s="83" t="n"/>
      <c r="T6" s="83" t="n"/>
      <c r="U6" s="83" t="n"/>
      <c r="V6" s="78" t="n"/>
      <c r="W6" s="78" t="n"/>
      <c r="X6" s="78" t="n"/>
      <c r="Y6" s="78" t="n"/>
      <c r="Z6" s="78" t="n"/>
      <c r="AA6" s="78" t="n"/>
      <c r="AB6" s="78" t="n"/>
      <c r="AC6" s="78" t="n"/>
      <c r="AD6" s="78" t="n"/>
      <c r="AE6" s="78" t="n"/>
      <c r="AF6" s="78" t="n"/>
      <c r="AG6" s="78" t="n"/>
      <c r="AH6" s="78" t="n"/>
      <c r="AI6" s="78" t="n"/>
      <c r="AJ6" s="78" t="n"/>
      <c r="AK6" s="78" t="n"/>
      <c r="AL6" s="78" t="n"/>
      <c r="AM6" s="78" t="n"/>
      <c r="AN6" s="78" t="n"/>
      <c r="AO6" s="78" t="n"/>
      <c r="AP6" s="78" t="n"/>
      <c r="AQ6" s="78" t="n"/>
      <c r="AR6" s="78" t="n"/>
      <c r="AS6" s="78" t="n"/>
      <c r="AT6" s="78" t="n"/>
      <c r="AU6" s="78" t="n"/>
      <c r="AV6" s="78" t="n"/>
      <c r="AW6" s="78" t="n"/>
      <c r="AX6" s="78" t="n"/>
      <c r="AY6" s="78" t="n"/>
      <c r="AZ6" s="78" t="n"/>
      <c r="BA6" s="78" t="n"/>
      <c r="BB6" s="78" t="n"/>
      <c r="BC6" s="78" t="n"/>
      <c r="BD6" s="78" t="n"/>
      <c r="BE6" s="78" t="n"/>
      <c r="BF6" s="78" t="n"/>
      <c r="BG6" s="78" t="n"/>
      <c r="BH6" s="78" t="n"/>
      <c r="BI6" s="78" t="n"/>
      <c r="BJ6" s="78" t="n"/>
      <c r="BK6" s="78" t="n"/>
      <c r="BL6" s="78" t="n"/>
      <c r="BM6" s="78" t="n"/>
      <c r="BN6" s="78" t="n"/>
      <c r="BO6" s="78" t="n"/>
      <c r="BP6" s="78" t="n"/>
      <c r="BQ6" s="78" t="n"/>
      <c r="BR6" s="78" t="n"/>
      <c r="BS6" s="78" t="n"/>
      <c r="BT6" s="78" t="n"/>
      <c r="BU6" s="78" t="n"/>
      <c r="BV6" s="78" t="n"/>
      <c r="BW6" s="78" t="n"/>
      <c r="BX6" s="78" t="n"/>
      <c r="BY6" s="78" t="n"/>
      <c r="BZ6" s="78" t="n"/>
      <c r="CA6" s="78" t="n"/>
      <c r="CB6" s="78" t="n"/>
      <c r="CC6" s="78" t="n"/>
      <c r="CD6" s="78" t="n"/>
      <c r="CE6" s="78" t="n"/>
      <c r="CF6" s="78" t="n"/>
      <c r="CG6" s="78" t="n"/>
      <c r="CH6" s="78" t="n"/>
      <c r="CI6" s="78" t="n"/>
    </row>
    <row r="7">
      <c r="A7" s="217" t="n"/>
      <c r="B7" s="217" t="n"/>
      <c r="C7" s="217" t="n"/>
      <c r="D7" s="217" t="n"/>
      <c r="E7" s="217" t="n"/>
      <c r="F7" s="217" t="n"/>
      <c r="G7" s="217" t="n"/>
      <c r="H7" s="217" t="n"/>
      <c r="I7" s="217" t="n"/>
      <c r="J7" s="221" t="inlineStr">
        <is>
          <t>数据源</t>
        </is>
      </c>
      <c r="K7" s="134" t="inlineStr">
        <is>
          <t>LIMS</t>
        </is>
      </c>
      <c r="L7" s="83" t="inlineStr">
        <is>
          <t>LIMS</t>
        </is>
      </c>
      <c r="M7" s="83" t="inlineStr">
        <is>
          <t>LIMS</t>
        </is>
      </c>
      <c r="N7" s="83" t="inlineStr">
        <is>
          <t>LIMS</t>
        </is>
      </c>
      <c r="O7" s="83" t="inlineStr">
        <is>
          <t>LIMS</t>
        </is>
      </c>
      <c r="P7" s="83" t="inlineStr">
        <is>
          <t>LIMS</t>
        </is>
      </c>
      <c r="Q7" s="83" t="inlineStr">
        <is>
          <t>LIMS</t>
        </is>
      </c>
      <c r="R7" s="83" t="inlineStr">
        <is>
          <t>LIMS</t>
        </is>
      </c>
      <c r="S7" s="83" t="n"/>
      <c r="T7" s="83" t="n"/>
      <c r="U7" s="83" t="n"/>
      <c r="V7" s="78" t="n"/>
      <c r="W7" s="78" t="n"/>
      <c r="X7" s="78" t="n"/>
      <c r="Y7" s="78" t="n"/>
      <c r="Z7" s="78" t="n"/>
      <c r="AA7" s="78" t="n"/>
      <c r="AB7" s="78" t="n"/>
      <c r="AC7" s="78" t="n"/>
      <c r="AD7" s="78" t="n"/>
      <c r="AE7" s="78" t="n"/>
      <c r="AF7" s="78" t="n"/>
      <c r="AG7" s="78" t="n"/>
      <c r="AH7" s="78" t="n"/>
      <c r="AI7" s="78" t="n"/>
      <c r="AJ7" s="78" t="n"/>
      <c r="AK7" s="78" t="n"/>
      <c r="AL7" s="78" t="n"/>
      <c r="AM7" s="78" t="n"/>
      <c r="AN7" s="78" t="n"/>
      <c r="AO7" s="78" t="n"/>
      <c r="AP7" s="78" t="n"/>
      <c r="AQ7" s="78" t="n"/>
      <c r="AR7" s="78" t="n"/>
      <c r="AS7" s="78" t="n"/>
      <c r="AT7" s="78" t="n"/>
      <c r="AU7" s="78" t="n"/>
      <c r="AV7" s="78" t="n"/>
      <c r="AW7" s="78" t="n"/>
      <c r="AX7" s="78" t="n"/>
      <c r="AY7" s="78" t="n"/>
      <c r="AZ7" s="78" t="n"/>
      <c r="BA7" s="78" t="n"/>
      <c r="BB7" s="78" t="n"/>
      <c r="BC7" s="78" t="n"/>
      <c r="BD7" s="78" t="n"/>
      <c r="BE7" s="78" t="n"/>
      <c r="BF7" s="78" t="n"/>
      <c r="BG7" s="78" t="n"/>
      <c r="BH7" s="78" t="n"/>
      <c r="BI7" s="78" t="n"/>
      <c r="BJ7" s="78" t="n"/>
      <c r="BK7" s="78" t="n"/>
      <c r="BL7" s="78" t="n"/>
      <c r="BM7" s="78" t="n"/>
      <c r="BN7" s="78" t="n"/>
      <c r="BO7" s="78" t="n"/>
      <c r="BP7" s="78" t="n"/>
      <c r="BQ7" s="78" t="n"/>
      <c r="BR7" s="78" t="n"/>
      <c r="BS7" s="78" t="n"/>
      <c r="BT7" s="78" t="n"/>
      <c r="BU7" s="78" t="n"/>
      <c r="BV7" s="78" t="n"/>
      <c r="BW7" s="78" t="n"/>
      <c r="BX7" s="78" t="n"/>
      <c r="BY7" s="78" t="n"/>
      <c r="BZ7" s="78" t="n"/>
      <c r="CA7" s="78" t="n"/>
      <c r="CB7" s="78" t="n"/>
      <c r="CC7" s="78" t="n"/>
      <c r="CD7" s="78" t="n"/>
      <c r="CE7" s="78" t="n"/>
      <c r="CF7" s="78" t="n"/>
      <c r="CG7" s="78" t="n"/>
      <c r="CH7" s="78" t="n"/>
      <c r="CI7" s="78" t="n"/>
    </row>
    <row r="8" ht="24" customFormat="1" customHeight="1" s="116">
      <c r="A8" s="217" t="n"/>
      <c r="B8" s="217" t="n"/>
      <c r="C8" s="217" t="n"/>
      <c r="D8" s="217" t="n"/>
      <c r="E8" s="217" t="n"/>
      <c r="F8" s="217" t="n"/>
      <c r="G8" s="217" t="n"/>
      <c r="H8" s="217" t="n"/>
      <c r="I8" s="217" t="n"/>
      <c r="J8" s="221" t="inlineStr">
        <is>
          <t>是否Sensory PI展示</t>
        </is>
      </c>
      <c r="K8" s="135" t="n"/>
      <c r="L8" s="233" t="inlineStr">
        <is>
          <t>Y</t>
        </is>
      </c>
      <c r="M8" s="233" t="inlineStr">
        <is>
          <t>Y</t>
        </is>
      </c>
      <c r="N8" s="233" t="inlineStr">
        <is>
          <t>Y</t>
        </is>
      </c>
      <c r="O8" s="233" t="inlineStr">
        <is>
          <t>Y</t>
        </is>
      </c>
      <c r="P8" s="233" t="inlineStr">
        <is>
          <t>Y</t>
        </is>
      </c>
      <c r="Q8" s="233" t="inlineStr">
        <is>
          <t>Y</t>
        </is>
      </c>
      <c r="R8" s="233" t="inlineStr">
        <is>
          <t>Y</t>
        </is>
      </c>
      <c r="S8" s="233" t="inlineStr">
        <is>
          <t>Y</t>
        </is>
      </c>
      <c r="T8" s="233" t="inlineStr">
        <is>
          <t>Y</t>
        </is>
      </c>
      <c r="U8" s="233" t="inlineStr">
        <is>
          <t>Y</t>
        </is>
      </c>
      <c r="V8" s="72" t="n"/>
      <c r="W8" s="130" t="n"/>
      <c r="X8" s="130" t="n"/>
      <c r="Y8" s="130" t="n"/>
      <c r="Z8" s="130" t="n"/>
      <c r="AA8" s="130" t="n"/>
      <c r="AB8" s="130" t="n"/>
      <c r="AC8" s="130" t="n"/>
      <c r="AD8" s="130" t="n"/>
      <c r="AE8" s="130" t="n"/>
      <c r="AF8" s="130" t="n"/>
      <c r="AG8" s="130" t="n"/>
      <c r="AH8" s="130" t="n"/>
      <c r="AI8" s="130" t="n"/>
    </row>
    <row r="9" ht="12.75" customFormat="1" customHeight="1" s="116">
      <c r="A9" s="217" t="n"/>
      <c r="B9" s="217" t="n"/>
      <c r="C9" s="217" t="n"/>
      <c r="D9" s="217" t="n"/>
      <c r="E9" s="217" t="n"/>
      <c r="F9" s="217" t="n"/>
      <c r="G9" s="217" t="n"/>
      <c r="H9" s="217" t="n"/>
      <c r="I9" s="217" t="n"/>
      <c r="J9" s="221" t="inlineStr">
        <is>
          <t>是否为Key PI</t>
        </is>
      </c>
      <c r="K9" s="135" t="n"/>
      <c r="L9" s="233" t="inlineStr">
        <is>
          <t>Y</t>
        </is>
      </c>
      <c r="M9" s="233" t="n"/>
      <c r="N9" s="233" t="inlineStr">
        <is>
          <t>Y</t>
        </is>
      </c>
      <c r="O9" s="233" t="n"/>
      <c r="P9" s="233" t="n"/>
      <c r="Q9" s="233" t="inlineStr">
        <is>
          <t>Y</t>
        </is>
      </c>
      <c r="R9" s="233" t="inlineStr">
        <is>
          <t>Y</t>
        </is>
      </c>
      <c r="S9" s="233" t="n"/>
      <c r="T9" s="233" t="n"/>
      <c r="U9" s="233" t="inlineStr">
        <is>
          <t>Y</t>
        </is>
      </c>
      <c r="V9" s="78" t="n"/>
      <c r="W9" s="130" t="n"/>
      <c r="X9" s="130" t="n"/>
      <c r="Y9" s="130" t="n"/>
      <c r="Z9" s="130" t="n"/>
      <c r="AA9" s="130" t="n"/>
      <c r="AB9" s="130" t="n"/>
      <c r="AC9" s="130" t="n"/>
      <c r="AD9" s="130" t="n"/>
      <c r="AE9" s="130" t="n"/>
      <c r="AF9" s="130" t="n"/>
      <c r="AG9" s="130" t="n"/>
      <c r="AH9" s="130" t="n"/>
      <c r="AI9" s="130" t="n"/>
    </row>
    <row r="10">
      <c r="A10" s="217" t="n"/>
      <c r="B10" s="217" t="n"/>
      <c r="C10" s="217" t="n"/>
      <c r="D10" s="217" t="n"/>
      <c r="E10" s="217" t="n"/>
      <c r="F10" s="217" t="n"/>
      <c r="G10" s="217" t="n"/>
      <c r="H10" s="217" t="n"/>
      <c r="I10" s="217" t="n"/>
      <c r="J10" s="221" t="inlineStr">
        <is>
          <t>是否点图展示</t>
        </is>
      </c>
      <c r="K10" s="134" t="n"/>
      <c r="L10" s="83" t="inlineStr">
        <is>
          <t>Y</t>
        </is>
      </c>
      <c r="M10" s="83" t="inlineStr">
        <is>
          <t>Y</t>
        </is>
      </c>
      <c r="N10" s="83" t="inlineStr">
        <is>
          <t>Y</t>
        </is>
      </c>
      <c r="O10" s="83" t="inlineStr">
        <is>
          <t>Y</t>
        </is>
      </c>
      <c r="P10" s="83" t="inlineStr">
        <is>
          <t>Y</t>
        </is>
      </c>
      <c r="Q10" s="83" t="inlineStr">
        <is>
          <t>Y</t>
        </is>
      </c>
      <c r="R10" s="83" t="inlineStr">
        <is>
          <t>Y</t>
        </is>
      </c>
      <c r="S10" s="83" t="n"/>
      <c r="T10" s="83" t="n"/>
      <c r="U10" s="83" t="n"/>
      <c r="V10" s="78" t="n"/>
      <c r="W10" s="78" t="n"/>
      <c r="X10" s="78" t="n"/>
      <c r="Y10" s="78" t="n"/>
      <c r="Z10" s="78" t="n"/>
      <c r="AA10" s="78" t="n"/>
      <c r="AB10" s="78" t="n"/>
      <c r="AC10" s="78" t="n"/>
      <c r="AD10" s="78" t="n"/>
      <c r="AE10" s="78" t="n"/>
      <c r="AF10" s="78" t="n"/>
      <c r="AG10" s="78" t="n"/>
      <c r="AH10" s="78" t="n"/>
      <c r="AI10" s="78" t="n"/>
      <c r="AJ10" s="78" t="n"/>
      <c r="AK10" s="78" t="n"/>
      <c r="AL10" s="78" t="n"/>
      <c r="AM10" s="78" t="n"/>
      <c r="AN10" s="78" t="n"/>
      <c r="AO10" s="78" t="n"/>
      <c r="AP10" s="78" t="n"/>
      <c r="AQ10" s="78" t="n"/>
      <c r="AR10" s="78" t="n"/>
      <c r="AS10" s="78" t="n"/>
      <c r="AT10" s="78" t="n"/>
      <c r="AU10" s="78" t="n"/>
      <c r="AV10" s="78" t="n"/>
      <c r="AW10" s="78" t="n"/>
      <c r="AX10" s="78" t="n"/>
      <c r="AY10" s="78" t="n"/>
      <c r="AZ10" s="78" t="n"/>
      <c r="BA10" s="78" t="n"/>
      <c r="BB10" s="78" t="n"/>
      <c r="BC10" s="78" t="n"/>
      <c r="BD10" s="78" t="n"/>
      <c r="BE10" s="78" t="n"/>
      <c r="BF10" s="78" t="n"/>
      <c r="BG10" s="78" t="n"/>
      <c r="BH10" s="78" t="n"/>
      <c r="BI10" s="78" t="n"/>
      <c r="BJ10" s="78" t="n"/>
      <c r="BK10" s="78" t="n"/>
      <c r="BL10" s="78" t="n"/>
      <c r="BM10" s="78" t="n"/>
      <c r="BN10" s="78" t="n"/>
      <c r="BO10" s="78" t="n"/>
      <c r="BP10" s="78" t="n"/>
      <c r="BQ10" s="78" t="n"/>
      <c r="BR10" s="78" t="n"/>
      <c r="BS10" s="78" t="n"/>
      <c r="BT10" s="78" t="n"/>
      <c r="BU10" s="78" t="n"/>
      <c r="BV10" s="78" t="n"/>
      <c r="BW10" s="78" t="n"/>
      <c r="BX10" s="78" t="n"/>
      <c r="BY10" s="78" t="n"/>
      <c r="BZ10" s="78" t="n"/>
      <c r="CA10" s="78" t="n"/>
      <c r="CB10" s="78" t="n"/>
      <c r="CC10" s="78" t="n"/>
      <c r="CD10" s="78" t="n"/>
      <c r="CE10" s="78" t="n"/>
      <c r="CF10" s="78" t="n"/>
      <c r="CG10" s="78" t="n"/>
      <c r="CH10" s="78" t="n"/>
      <c r="CI10" s="78" t="n"/>
    </row>
    <row r="11" ht="12.75" customHeight="1" s="241">
      <c r="A11" s="218" t="n"/>
      <c r="B11" s="218" t="n"/>
      <c r="C11" s="218" t="n"/>
      <c r="D11" s="218" t="n"/>
      <c r="E11" s="218" t="n"/>
      <c r="F11" s="218" t="n"/>
      <c r="G11" s="218" t="n"/>
      <c r="H11" s="218" t="n"/>
      <c r="I11" s="218" t="n"/>
      <c r="J11" s="59" t="inlineStr">
        <is>
          <t>Unit</t>
        </is>
      </c>
      <c r="K11" s="136" t="inlineStr">
        <is>
          <t>%</t>
        </is>
      </c>
      <c r="L11" s="91" t="inlineStr">
        <is>
          <t>%</t>
        </is>
      </c>
      <c r="M11" s="92" t="inlineStr">
        <is>
          <t>%</t>
        </is>
      </c>
      <c r="N11" s="92" t="inlineStr">
        <is>
          <t>ppm</t>
        </is>
      </c>
      <c r="O11" s="92" t="inlineStr">
        <is>
          <t>ASBC</t>
        </is>
      </c>
      <c r="P11" s="92" t="inlineStr">
        <is>
          <t>EBC</t>
        </is>
      </c>
      <c r="Q11" s="92" t="inlineStr">
        <is>
          <t>EBC</t>
        </is>
      </c>
      <c r="R11" s="92" t="inlineStr">
        <is>
          <t>ppm</t>
        </is>
      </c>
      <c r="S11" s="83" t="n"/>
      <c r="T11" s="69" t="inlineStr">
        <is>
          <t>Day</t>
        </is>
      </c>
      <c r="U11" s="83" t="n"/>
      <c r="V11" s="78" t="n"/>
      <c r="W11" s="78" t="n"/>
      <c r="X11" s="78" t="n"/>
      <c r="Y11" s="78" t="n"/>
      <c r="Z11" s="78" t="n"/>
      <c r="AA11" s="78" t="n"/>
      <c r="AB11" s="78" t="n"/>
      <c r="AC11" s="78" t="n"/>
      <c r="AD11" s="78" t="n"/>
      <c r="AE11" s="78" t="n"/>
      <c r="AF11" s="78" t="n"/>
      <c r="AG11" s="78" t="n"/>
      <c r="AH11" s="78" t="n"/>
      <c r="AI11" s="78" t="n"/>
      <c r="AJ11" s="78" t="n"/>
      <c r="AK11" s="78" t="n"/>
      <c r="AL11" s="78" t="n"/>
      <c r="AM11" s="78" t="n"/>
      <c r="AN11" s="78" t="n"/>
      <c r="AO11" s="78" t="n"/>
      <c r="AP11" s="78" t="n"/>
      <c r="AQ11" s="78" t="n"/>
      <c r="AR11" s="78" t="n"/>
      <c r="AS11" s="78" t="n"/>
      <c r="AT11" s="78" t="n"/>
      <c r="AU11" s="78" t="n"/>
      <c r="AV11" s="78" t="n"/>
      <c r="AW11" s="78" t="n"/>
      <c r="AX11" s="78" t="n"/>
      <c r="AY11" s="78" t="n"/>
      <c r="AZ11" s="78" t="n"/>
      <c r="BA11" s="78" t="n"/>
      <c r="BB11" s="78" t="n"/>
      <c r="BC11" s="78" t="n"/>
      <c r="BD11" s="78" t="n"/>
      <c r="BE11" s="78" t="n"/>
      <c r="BF11" s="78" t="n"/>
      <c r="BG11" s="78" t="n"/>
      <c r="BH11" s="78" t="n"/>
      <c r="BI11" s="78" t="n"/>
      <c r="BJ11" s="78" t="n"/>
      <c r="BK11" s="78" t="n"/>
      <c r="BL11" s="78" t="n"/>
      <c r="BM11" s="78" t="n"/>
      <c r="BN11" s="78" t="n"/>
      <c r="BO11" s="78" t="n"/>
      <c r="BP11" s="78" t="n"/>
      <c r="BQ11" s="78" t="n"/>
      <c r="BR11" s="78" t="n"/>
      <c r="BS11" s="78" t="n"/>
      <c r="BT11" s="78" t="n"/>
      <c r="BU11" s="78" t="n"/>
      <c r="BV11" s="78" t="n"/>
      <c r="BW11" s="78" t="n"/>
      <c r="BX11" s="78" t="n"/>
      <c r="BY11" s="78" t="n"/>
      <c r="BZ11" s="78" t="n"/>
      <c r="CA11" s="78" t="n"/>
      <c r="CB11" s="78" t="n"/>
      <c r="CC11" s="78" t="n"/>
      <c r="CD11" s="78" t="n"/>
      <c r="CE11" s="78" t="n"/>
      <c r="CF11" s="78" t="n"/>
      <c r="CG11" s="78" t="n"/>
      <c r="CH11" s="78" t="n"/>
      <c r="CI11" s="78" t="n"/>
    </row>
    <row r="12" ht="12.75" customHeight="1" s="241">
      <c r="C12" s="71" t="n"/>
      <c r="D12" s="72" t="n"/>
      <c r="E12" s="72" t="n"/>
      <c r="F12" s="72" t="n"/>
      <c r="G12" s="72" t="n"/>
      <c r="H12" s="73" t="n"/>
      <c r="I12" s="74" t="n"/>
    </row>
    <row r="13" ht="16.5" customHeight="1" s="241">
      <c r="C13" s="71" t="n"/>
      <c r="D13" s="137" t="n"/>
      <c r="E13" s="137" t="n"/>
      <c r="F13" s="137" t="n"/>
      <c r="G13" s="137" t="n"/>
      <c r="H13" s="73" t="n"/>
      <c r="I13" s="74" t="n"/>
    </row>
    <row r="14">
      <c r="H14" s="73" t="n"/>
      <c r="I14" s="74" t="n"/>
    </row>
    <row r="15">
      <c r="I15" s="138" t="n"/>
    </row>
    <row r="16">
      <c r="I16" s="138" t="n"/>
    </row>
    <row r="17">
      <c r="I17" s="138" t="n"/>
    </row>
    <row r="18">
      <c r="I18" s="138" t="n"/>
    </row>
    <row r="19">
      <c r="I19" s="138" t="n"/>
    </row>
    <row r="20">
      <c r="I20" s="138" t="n"/>
    </row>
  </sheetData>
  <mergeCells count="10">
    <mergeCell ref="C1:C11"/>
    <mergeCell ref="B1:B11"/>
    <mergeCell ref="G1:G11"/>
    <mergeCell ref="E1:E11"/>
    <mergeCell ref="K1:U1"/>
    <mergeCell ref="H1:H11"/>
    <mergeCell ref="I1:I11"/>
    <mergeCell ref="A1:A11"/>
    <mergeCell ref="D1:D11"/>
    <mergeCell ref="F1:F11"/>
  </mergeCells>
  <conditionalFormatting sqref="K10:R10">
    <cfRule type="cellIs" priority="9" operator="equal" dxfId="4">
      <formula>"N"</formula>
    </cfRule>
    <cfRule type="cellIs" priority="10" operator="equal" dxfId="0">
      <formula>"Y"</formula>
    </cfRule>
  </conditionalFormatting>
  <conditionalFormatting sqref="K8:U9">
    <cfRule type="cellIs" priority="1" operator="equal" dxfId="4">
      <formula>"N"</formula>
    </cfRule>
    <cfRule type="cellIs" priority="2" operator="equal" dxfId="0">
      <formula>"Y"</formula>
    </cfRule>
  </conditionalFormatting>
  <conditionalFormatting sqref="V8">
    <cfRule type="cellIs" priority="7" operator="equal" dxfId="4">
      <formula>"N"</formula>
    </cfRule>
    <cfRule type="cellIs" priority="8" operator="equal" dxfId="0">
      <formula>"Y"</formula>
    </cfRule>
  </conditionalFormatting>
  <dataValidations count="2">
    <dataValidation sqref="K8:V8 K9:U9 K10:R10" showDropDown="0" showInputMessage="1" showErrorMessage="1" allowBlank="1" type="list">
      <formula1>"Y,N"</formula1>
    </dataValidation>
    <dataValidation sqref="H12:H1048576" showDropDown="0" showInputMessage="1" showErrorMessage="1" allowBlank="1" type="list">
      <formula1>"MCS,Test,Propagation"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tabColor rgb="FF00B050"/>
    <outlinePr summaryBelow="1" summaryRight="1"/>
    <pageSetUpPr/>
  </sheetPr>
  <dimension ref="A1:AK14"/>
  <sheetViews>
    <sheetView workbookViewId="0">
      <pane xSplit="9" ySplit="11" topLeftCell="J12" activePane="bottomRight" state="frozen"/>
      <selection pane="topRight" activeCell="A1" sqref="A1"/>
      <selection pane="bottomLeft" activeCell="A1" sqref="A1"/>
      <selection pane="bottomRight" activeCell="A12" sqref="A12"/>
    </sheetView>
  </sheetViews>
  <sheetFormatPr baseColWidth="8" defaultColWidth="9" defaultRowHeight="15"/>
  <cols>
    <col width="11.28515625" customWidth="1" style="54" min="3" max="3"/>
    <col width="13" customWidth="1" style="241" min="4" max="4"/>
    <col width="11" customWidth="1" style="241" min="5" max="5"/>
    <col width="25.42578125" customWidth="1" style="241" min="6" max="6"/>
    <col width="12.42578125" customWidth="1" style="55" min="7" max="8"/>
    <col width="16.28515625" customWidth="1" style="241" min="17" max="18"/>
    <col width="12.140625" customWidth="1" style="241" min="19" max="20"/>
  </cols>
  <sheetData>
    <row r="1" ht="14.25" customHeight="1" s="241">
      <c r="A1" s="221" t="inlineStr">
        <is>
          <t>Brewery</t>
        </is>
      </c>
      <c r="B1" s="220" t="inlineStr">
        <is>
          <t>Brand</t>
        </is>
      </c>
      <c r="C1" s="216" t="inlineStr">
        <is>
          <t>Shipment Date</t>
        </is>
      </c>
      <c r="D1" s="221" t="inlineStr">
        <is>
          <t>Specification</t>
        </is>
      </c>
      <c r="E1" s="221" t="inlineStr">
        <is>
          <t>Rice supplier</t>
        </is>
      </c>
      <c r="F1" s="221" t="inlineStr">
        <is>
          <t>Batch No.</t>
        </is>
      </c>
      <c r="G1" s="216" t="inlineStr">
        <is>
          <t>Batch Production Type</t>
        </is>
      </c>
      <c r="H1" s="216" t="inlineStr">
        <is>
          <t>Batch Production Month</t>
        </is>
      </c>
      <c r="I1" s="221" t="inlineStr">
        <is>
          <t>Process</t>
        </is>
      </c>
      <c r="J1" s="240" t="inlineStr">
        <is>
          <t>Rice</t>
        </is>
      </c>
    </row>
    <row r="2" ht="24" customHeight="1" s="241">
      <c r="A2" s="217" t="n"/>
      <c r="B2" s="217" t="n"/>
      <c r="C2" s="217" t="n"/>
      <c r="D2" s="217" t="n"/>
      <c r="E2" s="217" t="n"/>
      <c r="F2" s="217" t="n"/>
      <c r="G2" s="217" t="n"/>
      <c r="H2" s="217" t="n"/>
      <c r="I2" s="59" t="inlineStr">
        <is>
          <t>参数英文名</t>
        </is>
      </c>
      <c r="J2" s="80" t="n"/>
      <c r="K2" s="80" t="n"/>
      <c r="L2" s="80" t="n"/>
      <c r="M2" s="80" t="n"/>
      <c r="N2" s="80" t="n"/>
      <c r="O2" s="80" t="n"/>
      <c r="P2" s="80" t="n"/>
      <c r="Q2" s="80" t="n"/>
      <c r="R2" s="80" t="n"/>
      <c r="S2" s="80" t="n"/>
      <c r="T2" s="80" t="n"/>
      <c r="U2" s="80" t="n"/>
    </row>
    <row r="3" ht="51" customHeight="1" s="241">
      <c r="A3" s="217" t="n"/>
      <c r="B3" s="217" t="n"/>
      <c r="C3" s="217" t="n"/>
      <c r="D3" s="217" t="n"/>
      <c r="E3" s="217" t="n"/>
      <c r="F3" s="217" t="n"/>
      <c r="G3" s="217" t="n"/>
      <c r="H3" s="217" t="n"/>
      <c r="I3" s="59" t="inlineStr">
        <is>
          <t>参数中文名</t>
        </is>
      </c>
      <c r="J3" s="223" t="inlineStr">
        <is>
          <t>整米还是碎米？</t>
        </is>
      </c>
      <c r="K3" s="223" t="inlineStr">
        <is>
          <t>第一道米机出口温度</t>
        </is>
      </c>
      <c r="L3" s="223" t="inlineStr">
        <is>
          <t>第二道米机出口温度</t>
        </is>
      </c>
      <c r="M3" s="223" t="inlineStr">
        <is>
          <t>第三道米机出口温度</t>
        </is>
      </c>
      <c r="N3" s="223" t="inlineStr">
        <is>
          <t>抛光机出口温度</t>
        </is>
      </c>
      <c r="O3" s="223" t="inlineStr">
        <is>
          <t>大米：从生产到啤酒厂的天数</t>
        </is>
      </c>
      <c r="P3" s="223" t="inlineStr">
        <is>
          <t>大米储藏时间</t>
        </is>
      </c>
      <c r="Q3" s="223" t="inlineStr">
        <is>
          <t>米中油</t>
        </is>
      </c>
      <c r="R3" s="223" t="inlineStr">
        <is>
          <t>游离脂肪酸</t>
        </is>
      </c>
      <c r="S3" s="223" t="inlineStr">
        <is>
          <t>大米粹米率</t>
        </is>
      </c>
      <c r="T3" s="223" t="inlineStr">
        <is>
          <t xml:space="preserve">大米新鲜度 </t>
        </is>
      </c>
      <c r="U3" s="223" t="inlineStr">
        <is>
          <t>大米品尝</t>
        </is>
      </c>
    </row>
    <row r="4">
      <c r="A4" s="217" t="n"/>
      <c r="B4" s="217" t="n"/>
      <c r="C4" s="217" t="n"/>
      <c r="D4" s="217" t="n"/>
      <c r="E4" s="217" t="n"/>
      <c r="F4" s="217" t="n"/>
      <c r="G4" s="217" t="n"/>
      <c r="H4" s="217" t="n"/>
      <c r="I4" s="59" t="inlineStr">
        <is>
          <t>Global</t>
        </is>
      </c>
      <c r="J4" s="82" t="n"/>
      <c r="K4" s="82" t="n"/>
      <c r="L4" s="82" t="n"/>
      <c r="M4" s="82" t="n"/>
      <c r="N4" s="82" t="n"/>
      <c r="O4" s="82" t="n"/>
      <c r="P4" s="82" t="n"/>
      <c r="Q4" s="82" t="n"/>
      <c r="R4" s="82" t="n"/>
      <c r="S4" s="82" t="n"/>
      <c r="T4" s="82" t="n"/>
      <c r="U4" s="82" t="n"/>
    </row>
    <row r="5">
      <c r="A5" s="217" t="n"/>
      <c r="B5" s="217" t="n"/>
      <c r="C5" s="217" t="n"/>
      <c r="D5" s="217" t="n"/>
      <c r="E5" s="217" t="n"/>
      <c r="F5" s="217" t="n"/>
      <c r="G5" s="217" t="n"/>
      <c r="H5" s="217" t="n"/>
      <c r="I5" s="221" t="inlineStr">
        <is>
          <t>DF代码</t>
        </is>
      </c>
      <c r="J5" s="83" t="n"/>
      <c r="K5" s="83" t="n"/>
      <c r="L5" s="83" t="n"/>
      <c r="M5" s="83" t="n"/>
      <c r="N5" s="83" t="n"/>
      <c r="O5" s="83" t="n"/>
      <c r="P5" s="83" t="n"/>
      <c r="Q5" s="83" t="n"/>
      <c r="R5" s="83" t="n"/>
      <c r="S5" s="83" t="n"/>
      <c r="T5" s="83" t="n"/>
      <c r="U5" s="83" t="n"/>
    </row>
    <row r="6">
      <c r="A6" s="217" t="n"/>
      <c r="B6" s="217" t="n"/>
      <c r="C6" s="217" t="n"/>
      <c r="D6" s="217" t="n"/>
      <c r="E6" s="217" t="n"/>
      <c r="F6" s="217" t="n"/>
      <c r="G6" s="217" t="n"/>
      <c r="H6" s="217" t="n"/>
      <c r="I6" s="221" t="inlineStr">
        <is>
          <t>DF中文</t>
        </is>
      </c>
      <c r="J6" s="83" t="n"/>
      <c r="K6" s="83" t="n"/>
      <c r="L6" s="83" t="n"/>
      <c r="M6" s="83" t="n"/>
      <c r="N6" s="83" t="n"/>
      <c r="O6" s="83" t="n"/>
      <c r="P6" s="83" t="n"/>
      <c r="Q6" s="83" t="n"/>
      <c r="R6" s="83" t="n"/>
      <c r="S6" s="83" t="n"/>
      <c r="T6" s="83" t="n"/>
      <c r="U6" s="83" t="n"/>
    </row>
    <row r="7">
      <c r="A7" s="217" t="n"/>
      <c r="B7" s="217" t="n"/>
      <c r="C7" s="217" t="n"/>
      <c r="D7" s="217" t="n"/>
      <c r="E7" s="217" t="n"/>
      <c r="F7" s="217" t="n"/>
      <c r="G7" s="217" t="n"/>
      <c r="H7" s="217" t="n"/>
      <c r="I7" s="221" t="inlineStr">
        <is>
          <t>数据源</t>
        </is>
      </c>
      <c r="J7" s="83" t="n"/>
      <c r="K7" s="83" t="n"/>
      <c r="L7" s="83" t="n"/>
      <c r="M7" s="83" t="n"/>
      <c r="N7" s="83" t="n"/>
      <c r="O7" s="83" t="n"/>
      <c r="P7" s="83" t="n"/>
      <c r="Q7" s="83" t="inlineStr">
        <is>
          <t>LIMS</t>
        </is>
      </c>
      <c r="R7" s="83" t="inlineStr">
        <is>
          <t>LIMS</t>
        </is>
      </c>
      <c r="S7" s="83" t="inlineStr">
        <is>
          <t>LIMS</t>
        </is>
      </c>
      <c r="T7" s="83" t="inlineStr">
        <is>
          <t>LIMS</t>
        </is>
      </c>
      <c r="U7" s="83" t="n"/>
    </row>
    <row r="8" ht="24" customFormat="1" customHeight="1" s="116">
      <c r="A8" s="217" t="n"/>
      <c r="B8" s="217" t="n"/>
      <c r="C8" s="217" t="n"/>
      <c r="D8" s="217" t="n"/>
      <c r="E8" s="217" t="n"/>
      <c r="F8" s="217" t="n"/>
      <c r="G8" s="217" t="n"/>
      <c r="H8" s="217" t="n"/>
      <c r="I8" s="221" t="inlineStr">
        <is>
          <t>是否Sensory PI展示</t>
        </is>
      </c>
      <c r="J8" s="233" t="inlineStr">
        <is>
          <t>Y</t>
        </is>
      </c>
      <c r="K8" s="233" t="inlineStr">
        <is>
          <t>Y</t>
        </is>
      </c>
      <c r="L8" s="233" t="inlineStr">
        <is>
          <t>Y</t>
        </is>
      </c>
      <c r="M8" s="233" t="inlineStr">
        <is>
          <t>Y</t>
        </is>
      </c>
      <c r="N8" s="233" t="inlineStr">
        <is>
          <t>Y</t>
        </is>
      </c>
      <c r="O8" s="233" t="inlineStr">
        <is>
          <t>Y</t>
        </is>
      </c>
      <c r="P8" s="233" t="inlineStr">
        <is>
          <t>Y</t>
        </is>
      </c>
      <c r="Q8" s="233" t="inlineStr">
        <is>
          <t>Y</t>
        </is>
      </c>
      <c r="R8" s="233" t="inlineStr">
        <is>
          <t>Y</t>
        </is>
      </c>
      <c r="S8" s="233" t="inlineStr">
        <is>
          <t>Y</t>
        </is>
      </c>
      <c r="T8" s="233" t="inlineStr">
        <is>
          <t>Y</t>
        </is>
      </c>
      <c r="U8" s="233" t="inlineStr">
        <is>
          <t>Y</t>
        </is>
      </c>
      <c r="V8" s="72" t="n"/>
      <c r="W8" s="72" t="n"/>
      <c r="X8" s="72" t="n"/>
      <c r="Y8" s="130" t="n"/>
      <c r="Z8" s="130" t="n"/>
      <c r="AA8" s="130" t="n"/>
      <c r="AB8" s="130" t="n"/>
      <c r="AC8" s="130" t="n"/>
      <c r="AD8" s="130" t="n"/>
      <c r="AE8" s="130" t="n"/>
      <c r="AF8" s="130" t="n"/>
      <c r="AG8" s="130" t="n"/>
      <c r="AH8" s="130" t="n"/>
      <c r="AI8" s="130" t="n"/>
      <c r="AJ8" s="130" t="n"/>
      <c r="AK8" s="130" t="n"/>
    </row>
    <row r="9" ht="24" customFormat="1" customHeight="1" s="116">
      <c r="A9" s="217" t="n"/>
      <c r="B9" s="217" t="n"/>
      <c r="C9" s="217" t="n"/>
      <c r="D9" s="217" t="n"/>
      <c r="E9" s="217" t="n"/>
      <c r="F9" s="217" t="n"/>
      <c r="G9" s="217" t="n"/>
      <c r="H9" s="217" t="n"/>
      <c r="I9" s="221" t="inlineStr">
        <is>
          <t>是否为Key PI</t>
        </is>
      </c>
      <c r="J9" s="127" t="n"/>
      <c r="K9" s="127" t="n"/>
      <c r="L9" s="127" t="n"/>
      <c r="M9" s="233" t="inlineStr">
        <is>
          <t>Y</t>
        </is>
      </c>
      <c r="N9" s="127" t="n"/>
      <c r="O9" s="233" t="inlineStr">
        <is>
          <t>Y</t>
        </is>
      </c>
      <c r="P9" s="233" t="inlineStr">
        <is>
          <t>Y</t>
        </is>
      </c>
      <c r="Q9" s="233" t="inlineStr">
        <is>
          <t>Y</t>
        </is>
      </c>
      <c r="R9" s="233" t="inlineStr">
        <is>
          <t>Y</t>
        </is>
      </c>
      <c r="S9" s="127" t="n"/>
      <c r="T9" s="233" t="inlineStr">
        <is>
          <t>Y</t>
        </is>
      </c>
      <c r="U9" s="233" t="inlineStr">
        <is>
          <t>Y</t>
        </is>
      </c>
      <c r="V9" s="78" t="n"/>
      <c r="W9" s="78" t="n"/>
      <c r="X9" s="78" t="n"/>
      <c r="Y9" s="130" t="n"/>
      <c r="Z9" s="130" t="n"/>
      <c r="AA9" s="130" t="n"/>
      <c r="AB9" s="130" t="n"/>
      <c r="AC9" s="130" t="n"/>
      <c r="AD9" s="130" t="n"/>
      <c r="AE9" s="130" t="n"/>
      <c r="AF9" s="130" t="n"/>
      <c r="AG9" s="130" t="n"/>
      <c r="AH9" s="130" t="n"/>
      <c r="AI9" s="130" t="n"/>
      <c r="AJ9" s="130" t="n"/>
      <c r="AK9" s="130" t="n"/>
    </row>
    <row r="10" ht="24" customHeight="1" s="241">
      <c r="A10" s="217" t="n"/>
      <c r="B10" s="217" t="n"/>
      <c r="C10" s="217" t="n"/>
      <c r="D10" s="217" t="n"/>
      <c r="E10" s="217" t="n"/>
      <c r="F10" s="217" t="n"/>
      <c r="G10" s="217" t="n"/>
      <c r="H10" s="217" t="n"/>
      <c r="I10" s="221" t="inlineStr">
        <is>
          <t>是否点图展示</t>
        </is>
      </c>
      <c r="J10" s="83" t="n"/>
      <c r="K10" s="83" t="n"/>
      <c r="L10" s="83" t="n"/>
      <c r="M10" s="83" t="n"/>
      <c r="N10" s="83" t="n"/>
      <c r="O10" s="83" t="n"/>
      <c r="P10" s="83" t="n"/>
      <c r="Q10" s="83" t="n"/>
      <c r="R10" s="83" t="n"/>
      <c r="S10" s="83" t="n"/>
      <c r="T10" s="83" t="n"/>
      <c r="U10" s="83" t="n"/>
    </row>
    <row r="11">
      <c r="A11" s="218" t="n"/>
      <c r="B11" s="218" t="n"/>
      <c r="C11" s="218" t="n"/>
      <c r="D11" s="218" t="n"/>
      <c r="E11" s="218" t="n"/>
      <c r="F11" s="218" t="n"/>
      <c r="G11" s="218" t="n"/>
      <c r="H11" s="218" t="n"/>
      <c r="I11" s="59" t="inlineStr">
        <is>
          <t>Unit</t>
        </is>
      </c>
      <c r="J11" s="91" t="n"/>
      <c r="K11" s="70" t="inlineStr">
        <is>
          <t>℃</t>
        </is>
      </c>
      <c r="L11" s="70" t="inlineStr">
        <is>
          <t>℃</t>
        </is>
      </c>
      <c r="M11" s="69" t="inlineStr">
        <is>
          <t>℃</t>
        </is>
      </c>
      <c r="N11" s="69" t="inlineStr">
        <is>
          <t>℃</t>
        </is>
      </c>
      <c r="O11" s="70" t="inlineStr">
        <is>
          <t>Day</t>
        </is>
      </c>
      <c r="P11" s="70" t="inlineStr">
        <is>
          <t>Day</t>
        </is>
      </c>
      <c r="Q11" s="69" t="inlineStr">
        <is>
          <t>%</t>
        </is>
      </c>
      <c r="R11" s="69" t="inlineStr">
        <is>
          <t>%</t>
        </is>
      </c>
      <c r="S11" s="70" t="inlineStr">
        <is>
          <t>%</t>
        </is>
      </c>
      <c r="T11" s="92" t="n"/>
      <c r="U11" s="92" t="n"/>
    </row>
    <row r="12">
      <c r="G12" s="73" t="n"/>
      <c r="H12" s="74" t="n"/>
    </row>
    <row r="13">
      <c r="G13" s="73" t="n"/>
      <c r="H13" s="74" t="n"/>
    </row>
    <row r="14">
      <c r="G14" s="73" t="n"/>
      <c r="H14" s="74" t="n"/>
    </row>
  </sheetData>
  <mergeCells count="9">
    <mergeCell ref="C1:C11"/>
    <mergeCell ref="B1:B11"/>
    <mergeCell ref="G1:G11"/>
    <mergeCell ref="E1:E11"/>
    <mergeCell ref="J1:U1"/>
    <mergeCell ref="H1:H11"/>
    <mergeCell ref="A1:A11"/>
    <mergeCell ref="D1:D11"/>
    <mergeCell ref="F1:F11"/>
  </mergeCells>
  <conditionalFormatting sqref="J8:U10">
    <cfRule type="cellIs" priority="1" operator="equal" dxfId="4">
      <formula>"N"</formula>
    </cfRule>
    <cfRule type="cellIs" priority="2" operator="equal" dxfId="0">
      <formula>"Y"</formula>
    </cfRule>
  </conditionalFormatting>
  <conditionalFormatting sqref="V8:X8">
    <cfRule type="cellIs" priority="25" operator="equal" dxfId="4">
      <formula>"N"</formula>
    </cfRule>
    <cfRule type="cellIs" priority="26" operator="equal" dxfId="0">
      <formula>"Y"</formula>
    </cfRule>
  </conditionalFormatting>
  <dataValidations count="2">
    <dataValidation sqref="J8:X8 J9:U10" showDropDown="0" showInputMessage="1" showErrorMessage="1" allowBlank="1" type="list">
      <formula1>"Y,N"</formula1>
    </dataValidation>
    <dataValidation sqref="G12:G1048576" showDropDown="0" showInputMessage="1" showErrorMessage="1" allowBlank="1" type="list">
      <formula1>"MCS,Test,Propagation"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tabColor rgb="FF00B050"/>
    <outlinePr summaryBelow="1" summaryRight="1"/>
    <pageSetUpPr/>
  </sheetPr>
  <dimension ref="A1:AQ14"/>
  <sheetViews>
    <sheetView workbookViewId="0">
      <pane xSplit="8" ySplit="11" topLeftCell="I12" activePane="bottomRight" state="frozen"/>
      <selection pane="topRight" activeCell="A1" sqref="A1"/>
      <selection pane="bottomLeft" activeCell="A1" sqref="A1"/>
      <selection pane="bottomRight" activeCell="I12" sqref="I12"/>
    </sheetView>
  </sheetViews>
  <sheetFormatPr baseColWidth="8" defaultColWidth="9" defaultRowHeight="15"/>
  <cols>
    <col width="12.42578125" customWidth="1" style="55" min="3" max="5"/>
    <col width="10.42578125" customWidth="1" style="241" min="6" max="6"/>
    <col width="5.85546875" customWidth="1" style="241" min="7" max="7"/>
  </cols>
  <sheetData>
    <row r="1" ht="14.25" customHeight="1" s="241">
      <c r="A1" s="221" t="inlineStr">
        <is>
          <t>Brewery</t>
        </is>
      </c>
      <c r="B1" s="221" t="inlineStr">
        <is>
          <t>Brand</t>
        </is>
      </c>
      <c r="C1" s="216" t="inlineStr">
        <is>
          <t>Date</t>
        </is>
      </c>
      <c r="D1" s="216" t="inlineStr">
        <is>
          <t>Batch Production Type</t>
        </is>
      </c>
      <c r="E1" s="216" t="inlineStr">
        <is>
          <t>Batch Production Month</t>
        </is>
      </c>
      <c r="F1" s="220" t="inlineStr">
        <is>
          <t>Brew No.</t>
        </is>
      </c>
      <c r="G1" s="242" t="inlineStr">
        <is>
          <t>UT No.</t>
        </is>
      </c>
      <c r="H1" s="221" t="inlineStr">
        <is>
          <t>Process</t>
        </is>
      </c>
      <c r="I1" s="243" t="inlineStr">
        <is>
          <t>Hop</t>
        </is>
      </c>
    </row>
    <row r="2" ht="48" customHeight="1" s="241">
      <c r="A2" s="217" t="n"/>
      <c r="B2" s="217" t="n"/>
      <c r="C2" s="217" t="n"/>
      <c r="D2" s="217" t="n"/>
      <c r="E2" s="217" t="n"/>
      <c r="F2" s="217" t="n"/>
      <c r="G2" s="217" t="n"/>
      <c r="H2" s="59" t="inlineStr">
        <is>
          <t>参数英文名</t>
        </is>
      </c>
      <c r="I2" s="80" t="inlineStr">
        <is>
          <t>Total hop amount per brew</t>
        </is>
      </c>
      <c r="J2" s="80" t="inlineStr">
        <is>
          <t xml:space="preserve">Bitter hop Variety </t>
        </is>
      </c>
      <c r="K2" s="80" t="inlineStr">
        <is>
          <t>Bitter hop supplier</t>
        </is>
      </c>
      <c r="L2" s="80" t="inlineStr">
        <is>
          <t>Bitter hop amount per brew</t>
        </is>
      </c>
      <c r="M2" s="80" t="inlineStr">
        <is>
          <t xml:space="preserve">Aroma hop 1 Variety </t>
        </is>
      </c>
      <c r="N2" s="80" t="inlineStr">
        <is>
          <t>Aroma hop 1 supplier</t>
        </is>
      </c>
      <c r="O2" s="80" t="inlineStr">
        <is>
          <t>Aroma hop 1 amount per brew</t>
        </is>
      </c>
      <c r="P2" s="80" t="inlineStr">
        <is>
          <t xml:space="preserve">Aroma hop 2 Variety </t>
        </is>
      </c>
      <c r="Q2" s="80" t="inlineStr">
        <is>
          <t>Aroma hop 2 supplier</t>
        </is>
      </c>
      <c r="R2" s="80" t="inlineStr">
        <is>
          <t>Aroma hop 2 amount per brew</t>
        </is>
      </c>
      <c r="S2" s="80" t="inlineStr">
        <is>
          <t>Hop extract supplier</t>
        </is>
      </c>
      <c r="T2" s="80" t="inlineStr">
        <is>
          <t>Hop extract amount per brew</t>
        </is>
      </c>
      <c r="U2" s="80" t="inlineStr">
        <is>
          <t>Bittle hop percent by weight</t>
        </is>
      </c>
      <c r="V2" s="80" t="inlineStr">
        <is>
          <t>Aroma hop 1 percent by weight</t>
        </is>
      </c>
      <c r="W2" s="80" t="inlineStr">
        <is>
          <t>Aroma hop 2 percent by weight</t>
        </is>
      </c>
      <c r="X2" s="80" t="inlineStr">
        <is>
          <t>Aroma hop in finish beer</t>
        </is>
      </c>
      <c r="Y2" s="80" t="inlineStr">
        <is>
          <t>Hop tea - Bittle hop</t>
        </is>
      </c>
      <c r="Z2" s="80" t="inlineStr">
        <is>
          <t>Hop tea - Aroma hop 1</t>
        </is>
      </c>
      <c r="AA2" s="80" t="inlineStr">
        <is>
          <t>Hop tea - Aroma hop 2</t>
        </is>
      </c>
      <c r="AB2" s="80" t="inlineStr">
        <is>
          <t>Time from hop prepare to dosage</t>
        </is>
      </c>
      <c r="AC2" s="80" t="inlineStr">
        <is>
          <t>Hop tank clean or not?</t>
        </is>
      </c>
      <c r="AD2" s="80" t="inlineStr">
        <is>
          <t>Tetra dossage rate in filtration</t>
        </is>
      </c>
    </row>
    <row r="3" ht="38.25" customHeight="1" s="241">
      <c r="A3" s="217" t="n"/>
      <c r="B3" s="217" t="n"/>
      <c r="C3" s="217" t="n"/>
      <c r="D3" s="217" t="n"/>
      <c r="E3" s="217" t="n"/>
      <c r="F3" s="217" t="n"/>
      <c r="G3" s="217" t="n"/>
      <c r="H3" s="59" t="inlineStr">
        <is>
          <t>参数中文名</t>
        </is>
      </c>
      <c r="I3" s="108" t="inlineStr">
        <is>
          <t>酒花单锅总添加量</t>
        </is>
      </c>
      <c r="J3" s="108" t="inlineStr">
        <is>
          <t>酒花苦花品种</t>
        </is>
      </c>
      <c r="K3" s="108" t="inlineStr">
        <is>
          <t>酒花苦花供应商</t>
        </is>
      </c>
      <c r="L3" s="108" t="inlineStr">
        <is>
          <t>酒花单锅苦花添加量</t>
        </is>
      </c>
      <c r="M3" s="108" t="inlineStr">
        <is>
          <t>酒花香花1品种</t>
        </is>
      </c>
      <c r="N3" s="108" t="inlineStr">
        <is>
          <t>酒花香花1供应商</t>
        </is>
      </c>
      <c r="O3" s="108" t="inlineStr">
        <is>
          <t>酒花单锅香花1添加量</t>
        </is>
      </c>
      <c r="P3" s="108" t="inlineStr">
        <is>
          <t>酒花香花2品种</t>
        </is>
      </c>
      <c r="Q3" s="108" t="inlineStr">
        <is>
          <t>酒花香花2供应商</t>
        </is>
      </c>
      <c r="R3" s="108" t="inlineStr">
        <is>
          <t>酒花单锅香花2添加量</t>
        </is>
      </c>
      <c r="S3" s="108" t="inlineStr">
        <is>
          <t>酒花浸膏供应商</t>
        </is>
      </c>
      <c r="T3" s="108" t="inlineStr">
        <is>
          <t>单锅酒花浸膏添加量</t>
        </is>
      </c>
      <c r="U3" s="223" t="inlineStr">
        <is>
          <t>苦花重量比</t>
        </is>
      </c>
      <c r="V3" s="223" t="inlineStr">
        <is>
          <t>香花1重量比</t>
        </is>
      </c>
      <c r="W3" s="223" t="inlineStr">
        <is>
          <t>香花2重量比</t>
        </is>
      </c>
      <c r="X3" s="223" t="inlineStr">
        <is>
          <t>每HL成品中香花量(g)</t>
        </is>
      </c>
      <c r="Y3" s="223" t="inlineStr">
        <is>
          <t>苦花品尝</t>
        </is>
      </c>
      <c r="Z3" s="223" t="inlineStr">
        <is>
          <t>香花1品尝</t>
        </is>
      </c>
      <c r="AA3" s="223" t="inlineStr">
        <is>
          <t>香花2品尝</t>
        </is>
      </c>
      <c r="AB3" s="223" t="inlineStr">
        <is>
          <t>酒花封装值添加时间</t>
        </is>
      </c>
      <c r="AC3" s="223" t="inlineStr">
        <is>
          <t>酒花罐是否干净</t>
        </is>
      </c>
      <c r="AD3" s="223" t="inlineStr">
        <is>
          <t>过滤四氢添加量</t>
        </is>
      </c>
    </row>
    <row r="4">
      <c r="A4" s="217" t="n"/>
      <c r="B4" s="217" t="n"/>
      <c r="C4" s="217" t="n"/>
      <c r="D4" s="217" t="n"/>
      <c r="E4" s="217" t="n"/>
      <c r="F4" s="217" t="n"/>
      <c r="G4" s="217" t="n"/>
      <c r="H4" s="59" t="inlineStr">
        <is>
          <t>Global</t>
        </is>
      </c>
      <c r="I4" s="82" t="n"/>
      <c r="J4" s="82" t="n"/>
      <c r="K4" s="82" t="n"/>
      <c r="L4" s="82" t="n"/>
      <c r="M4" s="82" t="n"/>
      <c r="N4" s="82" t="n"/>
      <c r="O4" s="82" t="n"/>
      <c r="P4" s="82" t="n"/>
      <c r="Q4" s="82" t="n"/>
      <c r="R4" s="82" t="n"/>
      <c r="S4" s="82" t="n"/>
      <c r="T4" s="82" t="n"/>
      <c r="U4" s="82" t="n"/>
      <c r="V4" s="82" t="n"/>
      <c r="W4" s="82" t="n"/>
      <c r="X4" s="82" t="n"/>
      <c r="Y4" s="82" t="n"/>
      <c r="Z4" s="82" t="n"/>
      <c r="AA4" s="82" t="n"/>
      <c r="AB4" s="82" t="n"/>
      <c r="AC4" s="82" t="n"/>
      <c r="AD4" s="82" t="n"/>
    </row>
    <row r="5">
      <c r="A5" s="217" t="n"/>
      <c r="B5" s="217" t="n"/>
      <c r="C5" s="217" t="n"/>
      <c r="D5" s="217" t="n"/>
      <c r="E5" s="217" t="n"/>
      <c r="F5" s="217" t="n"/>
      <c r="G5" s="217" t="n"/>
      <c r="H5" s="221" t="inlineStr">
        <is>
          <t>DF代码</t>
        </is>
      </c>
      <c r="I5" s="83" t="n"/>
      <c r="J5" s="83" t="n"/>
      <c r="K5" s="83" t="n"/>
      <c r="L5" s="83" t="n"/>
      <c r="M5" s="83" t="n"/>
      <c r="N5" s="83" t="n"/>
      <c r="O5" s="83" t="n"/>
      <c r="P5" s="83" t="n"/>
      <c r="Q5" s="83" t="n"/>
      <c r="R5" s="83" t="n"/>
      <c r="S5" s="83" t="n"/>
      <c r="T5" s="83" t="n"/>
      <c r="U5" s="83" t="n"/>
      <c r="V5" s="83" t="n"/>
      <c r="W5" s="83" t="n"/>
      <c r="X5" s="83" t="n"/>
      <c r="Y5" s="83" t="n"/>
      <c r="Z5" s="83" t="n"/>
      <c r="AA5" s="83" t="n"/>
      <c r="AB5" s="83" t="n"/>
      <c r="AC5" s="83" t="n"/>
      <c r="AD5" s="83" t="n"/>
    </row>
    <row r="6">
      <c r="A6" s="217" t="n"/>
      <c r="B6" s="217" t="n"/>
      <c r="C6" s="217" t="n"/>
      <c r="D6" s="217" t="n"/>
      <c r="E6" s="217" t="n"/>
      <c r="F6" s="217" t="n"/>
      <c r="G6" s="217" t="n"/>
      <c r="H6" s="221" t="inlineStr">
        <is>
          <t>DF中文</t>
        </is>
      </c>
      <c r="I6" s="83" t="n"/>
      <c r="J6" s="83" t="n"/>
      <c r="K6" s="83" t="n"/>
      <c r="L6" s="83" t="n"/>
      <c r="M6" s="83" t="n"/>
      <c r="N6" s="83" t="n"/>
      <c r="O6" s="83" t="n"/>
      <c r="P6" s="83" t="n"/>
      <c r="Q6" s="83" t="n"/>
      <c r="R6" s="83" t="n"/>
      <c r="S6" s="83" t="n"/>
      <c r="T6" s="83" t="n"/>
      <c r="U6" s="83" t="n"/>
      <c r="V6" s="83" t="n"/>
      <c r="W6" s="83" t="n"/>
      <c r="X6" s="83" t="n"/>
      <c r="Y6" s="83" t="n"/>
      <c r="Z6" s="83" t="n"/>
      <c r="AA6" s="83" t="n"/>
      <c r="AB6" s="83" t="n"/>
      <c r="AC6" s="83" t="n"/>
      <c r="AD6" s="83" t="n"/>
    </row>
    <row r="7">
      <c r="A7" s="217" t="n"/>
      <c r="B7" s="217" t="n"/>
      <c r="C7" s="217" t="n"/>
      <c r="D7" s="217" t="n"/>
      <c r="E7" s="217" t="n"/>
      <c r="F7" s="217" t="n"/>
      <c r="G7" s="217" t="n"/>
      <c r="H7" s="221" t="inlineStr">
        <is>
          <t>数据源</t>
        </is>
      </c>
      <c r="I7" s="83" t="n"/>
      <c r="J7" s="83" t="n"/>
      <c r="K7" s="83" t="n"/>
      <c r="L7" s="83" t="n"/>
      <c r="M7" s="83" t="n"/>
      <c r="N7" s="83" t="n"/>
      <c r="O7" s="83" t="n"/>
      <c r="P7" s="83" t="n"/>
      <c r="Q7" s="83" t="n"/>
      <c r="R7" s="83" t="n"/>
      <c r="S7" s="83" t="n"/>
      <c r="T7" s="83" t="n"/>
      <c r="U7" s="83" t="n"/>
      <c r="V7" s="83" t="n"/>
      <c r="W7" s="83" t="n"/>
      <c r="X7" s="83" t="n"/>
      <c r="Y7" s="83" t="n"/>
      <c r="Z7" s="83" t="n"/>
      <c r="AA7" s="83" t="n"/>
      <c r="AB7" s="83" t="n"/>
      <c r="AC7" s="83" t="n"/>
      <c r="AD7" s="83" t="n"/>
    </row>
    <row r="8" ht="24" customFormat="1" customHeight="1" s="116">
      <c r="A8" s="217" t="n"/>
      <c r="B8" s="217" t="n"/>
      <c r="C8" s="217" t="n"/>
      <c r="D8" s="217" t="n"/>
      <c r="E8" s="217" t="n"/>
      <c r="F8" s="217" t="n"/>
      <c r="G8" s="217" t="n"/>
      <c r="H8" s="221" t="inlineStr">
        <is>
          <t>是否Sensory PI展示</t>
        </is>
      </c>
      <c r="I8" s="233" t="inlineStr">
        <is>
          <t>Y</t>
        </is>
      </c>
      <c r="J8" s="233" t="n"/>
      <c r="K8" s="233" t="n"/>
      <c r="L8" s="233" t="inlineStr">
        <is>
          <t>Y</t>
        </is>
      </c>
      <c r="M8" s="233" t="n"/>
      <c r="N8" s="233" t="n"/>
      <c r="O8" s="233" t="inlineStr">
        <is>
          <t>Y</t>
        </is>
      </c>
      <c r="P8" s="233" t="n"/>
      <c r="Q8" s="233" t="n"/>
      <c r="R8" s="233" t="inlineStr">
        <is>
          <t>Y</t>
        </is>
      </c>
      <c r="S8" s="233" t="n"/>
      <c r="T8" s="233" t="inlineStr">
        <is>
          <t>Y</t>
        </is>
      </c>
      <c r="U8" s="233" t="inlineStr">
        <is>
          <t>Y</t>
        </is>
      </c>
      <c r="V8" s="233" t="inlineStr">
        <is>
          <t>Y</t>
        </is>
      </c>
      <c r="W8" s="233" t="inlineStr">
        <is>
          <t>Y</t>
        </is>
      </c>
      <c r="X8" s="233" t="inlineStr">
        <is>
          <t>Y</t>
        </is>
      </c>
      <c r="Y8" s="233" t="inlineStr">
        <is>
          <t>Y</t>
        </is>
      </c>
      <c r="Z8" s="233" t="inlineStr">
        <is>
          <t>Y</t>
        </is>
      </c>
      <c r="AA8" s="233" t="inlineStr">
        <is>
          <t>Y</t>
        </is>
      </c>
      <c r="AB8" s="233" t="inlineStr">
        <is>
          <t>Y</t>
        </is>
      </c>
      <c r="AC8" s="233" t="inlineStr">
        <is>
          <t>Y</t>
        </is>
      </c>
      <c r="AD8" s="233" t="inlineStr">
        <is>
          <t>Y</t>
        </is>
      </c>
      <c r="AE8" s="130" t="n"/>
      <c r="AF8" s="130" t="n"/>
      <c r="AG8" s="130" t="n"/>
      <c r="AH8" s="130" t="n"/>
      <c r="AI8" s="130" t="n"/>
      <c r="AJ8" s="130" t="n"/>
      <c r="AK8" s="130" t="n"/>
      <c r="AL8" s="130" t="n"/>
      <c r="AM8" s="130" t="n"/>
      <c r="AN8" s="130" t="n"/>
      <c r="AO8" s="130" t="n"/>
      <c r="AP8" s="130" t="n"/>
      <c r="AQ8" s="130" t="n"/>
    </row>
    <row r="9" ht="24" customFormat="1" customHeight="1" s="116">
      <c r="A9" s="217" t="n"/>
      <c r="B9" s="217" t="n"/>
      <c r="C9" s="217" t="n"/>
      <c r="D9" s="217" t="n"/>
      <c r="E9" s="217" t="n"/>
      <c r="F9" s="217" t="n"/>
      <c r="G9" s="217" t="n"/>
      <c r="H9" s="221" t="inlineStr">
        <is>
          <t>是否为Key PI</t>
        </is>
      </c>
      <c r="I9" s="83" t="n"/>
      <c r="J9" s="83" t="n"/>
      <c r="K9" s="83" t="n"/>
      <c r="L9" s="83" t="n"/>
      <c r="M9" s="83" t="n"/>
      <c r="N9" s="83" t="n"/>
      <c r="O9" s="83" t="n"/>
      <c r="P9" s="83" t="n"/>
      <c r="Q9" s="83" t="n"/>
      <c r="R9" s="83" t="n"/>
      <c r="S9" s="83" t="n"/>
      <c r="T9" s="83" t="n"/>
      <c r="U9" s="83" t="n"/>
      <c r="V9" s="83" t="n"/>
      <c r="W9" s="83" t="n"/>
      <c r="X9" s="233" t="inlineStr">
        <is>
          <t>Y</t>
        </is>
      </c>
      <c r="Y9" s="83" t="n"/>
      <c r="Z9" s="83" t="n"/>
      <c r="AA9" s="83" t="n"/>
      <c r="AB9" s="83" t="n"/>
      <c r="AC9" s="83" t="n"/>
      <c r="AD9" s="83" t="n"/>
      <c r="AE9" s="130" t="n"/>
      <c r="AF9" s="130" t="n"/>
      <c r="AG9" s="130" t="n"/>
      <c r="AH9" s="130" t="n"/>
      <c r="AI9" s="130" t="n"/>
      <c r="AJ9" s="130" t="n"/>
      <c r="AK9" s="130" t="n"/>
      <c r="AL9" s="130" t="n"/>
      <c r="AM9" s="130" t="n"/>
      <c r="AN9" s="130" t="n"/>
      <c r="AO9" s="130" t="n"/>
      <c r="AP9" s="130" t="n"/>
      <c r="AQ9" s="130" t="n"/>
    </row>
    <row r="10" ht="24" customHeight="1" s="241">
      <c r="A10" s="217" t="n"/>
      <c r="B10" s="217" t="n"/>
      <c r="C10" s="217" t="n"/>
      <c r="D10" s="217" t="n"/>
      <c r="E10" s="217" t="n"/>
      <c r="F10" s="217" t="n"/>
      <c r="G10" s="217" t="n"/>
      <c r="H10" s="221" t="inlineStr">
        <is>
          <t>是否点图展示</t>
        </is>
      </c>
      <c r="I10" s="83" t="n"/>
      <c r="J10" s="83" t="n"/>
      <c r="K10" s="83" t="n"/>
      <c r="L10" s="83" t="n"/>
      <c r="M10" s="83" t="n"/>
      <c r="N10" s="83" t="n"/>
      <c r="O10" s="83" t="n"/>
      <c r="P10" s="83" t="n"/>
      <c r="Q10" s="83" t="n"/>
      <c r="R10" s="83" t="n"/>
      <c r="S10" s="83" t="n"/>
      <c r="T10" s="83" t="n"/>
      <c r="U10" s="83" t="n"/>
      <c r="V10" s="83" t="n"/>
      <c r="W10" s="83" t="n"/>
      <c r="X10" s="83" t="n"/>
      <c r="Y10" s="83" t="n"/>
      <c r="Z10" s="83" t="n"/>
      <c r="AA10" s="83" t="n"/>
      <c r="AB10" s="83" t="n"/>
      <c r="AC10" s="83" t="n"/>
      <c r="AD10" s="83" t="n"/>
    </row>
    <row r="11">
      <c r="A11" s="218" t="n"/>
      <c r="B11" s="218" t="n"/>
      <c r="C11" s="218" t="n"/>
      <c r="D11" s="218" t="n"/>
      <c r="E11" s="218" t="n"/>
      <c r="F11" s="218" t="n"/>
      <c r="G11" s="218" t="n"/>
      <c r="H11" s="59" t="inlineStr">
        <is>
          <t>Unit</t>
        </is>
      </c>
      <c r="I11" s="131" t="inlineStr">
        <is>
          <t>kg</t>
        </is>
      </c>
      <c r="J11" s="131" t="n"/>
      <c r="K11" s="131" t="n"/>
      <c r="L11" s="131" t="inlineStr">
        <is>
          <t>kg</t>
        </is>
      </c>
      <c r="M11" s="131" t="n"/>
      <c r="N11" s="131" t="n"/>
      <c r="O11" s="131" t="n"/>
      <c r="P11" s="131" t="n"/>
      <c r="Q11" s="131" t="n"/>
      <c r="R11" s="131" t="n"/>
      <c r="S11" s="131" t="n"/>
      <c r="T11" s="131" t="n"/>
      <c r="U11" s="131" t="inlineStr">
        <is>
          <t>%</t>
        </is>
      </c>
      <c r="V11" s="131" t="inlineStr">
        <is>
          <t>%</t>
        </is>
      </c>
      <c r="W11" s="131" t="inlineStr">
        <is>
          <t>%</t>
        </is>
      </c>
      <c r="X11" s="70" t="inlineStr">
        <is>
          <t>g/hl</t>
        </is>
      </c>
      <c r="Y11" s="69" t="inlineStr">
        <is>
          <t>OK/NOK</t>
        </is>
      </c>
      <c r="Z11" s="70" t="inlineStr">
        <is>
          <t>OK/NOK</t>
        </is>
      </c>
      <c r="AA11" s="70" t="inlineStr">
        <is>
          <t>OK/NOK</t>
        </is>
      </c>
      <c r="AB11" s="70" t="inlineStr">
        <is>
          <t>hr</t>
        </is>
      </c>
      <c r="AC11" s="70" t="inlineStr">
        <is>
          <t>OK/NOK</t>
        </is>
      </c>
      <c r="AD11" s="92" t="n"/>
    </row>
    <row r="12">
      <c r="C12" s="73" t="n"/>
      <c r="D12" s="73" t="n"/>
      <c r="E12" s="74" t="n"/>
      <c r="F12" s="72" t="n"/>
    </row>
    <row r="13">
      <c r="C13" s="73" t="n"/>
      <c r="D13" s="73" t="n"/>
      <c r="E13" s="74" t="n"/>
      <c r="F13" s="72" t="n"/>
    </row>
    <row r="14">
      <c r="C14" s="73" t="n"/>
      <c r="D14" s="73" t="n"/>
      <c r="E14" s="74" t="n"/>
    </row>
  </sheetData>
  <mergeCells count="8">
    <mergeCell ref="C1:C11"/>
    <mergeCell ref="B1:B11"/>
    <mergeCell ref="G1:G11"/>
    <mergeCell ref="E1:E11"/>
    <mergeCell ref="I1:AD1"/>
    <mergeCell ref="A1:A11"/>
    <mergeCell ref="D1:D11"/>
    <mergeCell ref="F1:F11"/>
  </mergeCells>
  <conditionalFormatting sqref="F8">
    <cfRule type="cellIs" priority="5" operator="equal" dxfId="4">
      <formula>"N"</formula>
    </cfRule>
    <cfRule type="cellIs" priority="6" operator="equal" dxfId="0">
      <formula>"Y"</formula>
    </cfRule>
  </conditionalFormatting>
  <conditionalFormatting sqref="G8:G9">
    <cfRule type="cellIs" priority="1" operator="equal" dxfId="4">
      <formula>"N"</formula>
    </cfRule>
    <cfRule type="cellIs" priority="2" operator="equal" dxfId="0">
      <formula>"Y"</formula>
    </cfRule>
  </conditionalFormatting>
  <conditionalFormatting sqref="I8:AD8 X9">
    <cfRule type="cellIs" priority="11" operator="equal" dxfId="4">
      <formula>"N"</formula>
    </cfRule>
    <cfRule type="cellIs" priority="12" operator="equal" dxfId="0">
      <formula>"Y"</formula>
    </cfRule>
  </conditionalFormatting>
  <conditionalFormatting sqref="I10:AD10">
    <cfRule type="cellIs" priority="29" operator="equal" dxfId="4">
      <formula>"N"</formula>
    </cfRule>
    <cfRule type="cellIs" priority="30" operator="equal" dxfId="0">
      <formula>"Y"</formula>
    </cfRule>
  </conditionalFormatting>
  <dataValidations count="2">
    <dataValidation sqref="D12:D1048576" showDropDown="0" showInputMessage="1" showErrorMessage="1" allowBlank="1" type="list">
      <formula1>"MCS,Test,Propagation"</formula1>
    </dataValidation>
    <dataValidation sqref="F8:G9 I8:AD10" showDropDown="0" showInputMessage="1" showErrorMessage="1" allowBlank="1" type="list">
      <formula1>"Y,N"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W15"/>
  <sheetViews>
    <sheetView workbookViewId="0">
      <pane xSplit="17" ySplit="11" topLeftCell="R12" activePane="bottomRight" state="frozen"/>
      <selection pane="topRight" activeCell="A1" sqref="A1"/>
      <selection pane="bottomLeft" activeCell="A1" sqref="A1"/>
      <selection pane="bottomRight" activeCell="R12" sqref="R12"/>
    </sheetView>
  </sheetViews>
  <sheetFormatPr baseColWidth="8" defaultColWidth="9" defaultRowHeight="15"/>
  <cols>
    <col width="3.28515625" customWidth="1" style="241" min="1" max="1"/>
    <col width="4.140625" customWidth="1" style="54" min="2" max="2"/>
    <col width="5" customWidth="1" style="241" min="3" max="3"/>
    <col width="5.85546875" customWidth="1" style="241" min="4" max="4"/>
    <col width="7.7109375" customWidth="1" style="241" min="5" max="5"/>
    <col width="4.28515625" customWidth="1" style="241" min="6" max="6"/>
    <col width="3.7109375" customWidth="1" style="241" min="7" max="7"/>
    <col width="3.42578125" customWidth="1" style="241" min="8" max="8"/>
    <col width="3.28515625" customWidth="1" style="241" min="9" max="9"/>
    <col width="4.42578125" customWidth="1" style="241" min="10" max="11"/>
    <col width="3.85546875" customWidth="1" style="241" min="12" max="12"/>
    <col width="5.85546875" customWidth="1" style="241" min="13" max="13"/>
    <col width="6.85546875" customWidth="1" style="54" min="14" max="14"/>
    <col width="5.42578125" customWidth="1" style="55" min="15" max="15"/>
    <col width="6.28515625" customWidth="1" style="55" min="16" max="16"/>
    <col width="9.28515625" customWidth="1" style="42" min="17" max="17"/>
    <col width="9.85546875" customWidth="1" style="241" min="18" max="18"/>
    <col width="9.85546875" customWidth="1" style="42" min="19" max="19"/>
    <col width="9.85546875" customWidth="1" style="241" min="20" max="20"/>
    <col width="9.85546875" customWidth="1" style="42" min="21" max="21"/>
    <col width="8.5703125" customWidth="1" style="241" min="22" max="22"/>
    <col width="8.28515625" customWidth="1" style="241" min="23" max="23"/>
    <col width="6.28515625" customWidth="1" style="241" min="24" max="24"/>
    <col width="11.85546875" customWidth="1" style="241" min="25" max="25"/>
    <col width="10.85546875" customWidth="1" style="241" min="26" max="26"/>
    <col width="6.85546875" customWidth="1" style="241" min="27" max="27"/>
    <col width="8.42578125" customWidth="1" style="42" min="28" max="28"/>
    <col width="11.140625" customWidth="1" style="42" min="29" max="29"/>
    <col width="8.140625" customWidth="1" style="42" min="30" max="31"/>
    <col width="8.7109375" customWidth="1" style="42" min="32" max="32"/>
    <col width="8.140625" customWidth="1" style="42" min="33" max="33"/>
    <col width="11.140625" customWidth="1" style="42" min="34" max="37"/>
    <col width="11.85546875" customWidth="1" style="241" min="38" max="38"/>
    <col width="11.140625" customWidth="1" style="42" min="39" max="40"/>
    <col width="8.85546875" customWidth="1" style="241" min="41" max="44"/>
    <col width="9" customWidth="1" style="241" min="45" max="45"/>
    <col width="8.85546875" customWidth="1" style="241" min="46" max="78"/>
    <col width="9" customWidth="1" style="241" min="79" max="79"/>
    <col width="8.85546875" customWidth="1" style="241" min="80" max="83"/>
    <col width="11" customWidth="1" style="241" min="84" max="84"/>
    <col width="12.42578125" customWidth="1" style="241" min="85" max="86"/>
    <col width="9" customWidth="1" style="118" min="87" max="87"/>
    <col width="8.85546875" customWidth="1" style="118" min="88" max="88"/>
    <col width="8.85546875" customWidth="1" style="241" min="89" max="89"/>
    <col width="12.28515625" customWidth="1" style="118" min="90" max="92"/>
    <col width="9.140625" customWidth="1" style="241" min="93" max="93"/>
    <col width="10.85546875" customWidth="1" style="241" min="94" max="95"/>
    <col width="8.85546875" customWidth="1" style="241" min="96" max="109"/>
    <col width="8.85546875" customWidth="1" style="241" min="111" max="113"/>
    <col width="8.85546875" customWidth="1" style="118" min="114" max="115"/>
    <col width="8.85546875" customWidth="1" style="241" min="116" max="122"/>
    <col width="10.140625" customWidth="1" style="241" min="123" max="125"/>
    <col width="17.28515625" customWidth="1" style="241" min="126" max="126"/>
  </cols>
  <sheetData>
    <row r="1" ht="14.85" customHeight="1" s="241">
      <c r="A1" s="220" t="inlineStr">
        <is>
          <t>Brewery</t>
        </is>
      </c>
      <c r="B1" s="247" t="inlineStr">
        <is>
          <t>Mash in Date</t>
        </is>
      </c>
      <c r="C1" s="220" t="inlineStr">
        <is>
          <t>Brand</t>
        </is>
      </c>
      <c r="D1" s="220" t="inlineStr">
        <is>
          <t>OG Standard</t>
        </is>
      </c>
      <c r="E1" s="220" t="inlineStr">
        <is>
          <t>Brewhosue Line</t>
        </is>
      </c>
      <c r="F1" s="242" t="inlineStr">
        <is>
          <t>RC No.</t>
        </is>
      </c>
      <c r="G1" s="242" t="inlineStr">
        <is>
          <t>MT No.</t>
        </is>
      </c>
      <c r="H1" s="220" t="inlineStr">
        <is>
          <t>LT No</t>
        </is>
      </c>
      <c r="I1" s="220" t="inlineStr">
        <is>
          <t xml:space="preserve"> MF No.</t>
        </is>
      </c>
      <c r="J1" s="220" t="inlineStr">
        <is>
          <t>Kettle No.</t>
        </is>
      </c>
      <c r="K1" s="220" t="inlineStr">
        <is>
          <t>Brew No.</t>
        </is>
      </c>
      <c r="L1" s="220" t="inlineStr">
        <is>
          <t>WHP No.</t>
        </is>
      </c>
      <c r="M1" s="242" t="inlineStr">
        <is>
          <t>UT No.</t>
        </is>
      </c>
      <c r="N1" s="247" t="inlineStr">
        <is>
          <t>Fermentor Full Date</t>
        </is>
      </c>
      <c r="O1" s="216" t="inlineStr">
        <is>
          <t>Batch Production Type</t>
        </is>
      </c>
      <c r="P1" s="216" t="inlineStr">
        <is>
          <t>Batch Production Month</t>
        </is>
      </c>
      <c r="Q1" s="221" t="inlineStr">
        <is>
          <t>Process</t>
        </is>
      </c>
      <c r="R1" s="248" t="inlineStr">
        <is>
          <t>Adjunct Cooker</t>
        </is>
      </c>
      <c r="S1" s="211" t="n"/>
      <c r="T1" s="211" t="n"/>
      <c r="U1" s="211" t="n"/>
      <c r="V1" s="211" t="n"/>
      <c r="W1" s="211" t="n"/>
      <c r="X1" s="211" t="n"/>
      <c r="Y1" s="211" t="n"/>
      <c r="Z1" s="211" t="n"/>
      <c r="AA1" s="214" t="n"/>
      <c r="AB1" s="250" t="inlineStr">
        <is>
          <t>Mash Tun</t>
        </is>
      </c>
      <c r="AC1" s="211" t="n"/>
      <c r="AD1" s="211" t="n"/>
      <c r="AE1" s="211" t="n"/>
      <c r="AF1" s="211" t="n"/>
      <c r="AG1" s="211" t="n"/>
      <c r="AH1" s="211" t="n"/>
      <c r="AI1" s="211" t="n"/>
      <c r="AJ1" s="211" t="n"/>
      <c r="AK1" s="211" t="n"/>
      <c r="AL1" s="211" t="n"/>
      <c r="AM1" s="211" t="n"/>
      <c r="AN1" s="214" t="n"/>
      <c r="AO1" s="246" t="inlineStr">
        <is>
          <t>Lauter Tun</t>
        </is>
      </c>
      <c r="AP1" s="211" t="n"/>
      <c r="AQ1" s="211" t="n"/>
      <c r="AR1" s="211" t="n"/>
      <c r="AS1" s="211" t="n"/>
      <c r="AT1" s="211" t="n"/>
      <c r="AU1" s="211" t="n"/>
      <c r="AV1" s="211" t="n"/>
      <c r="AW1" s="211" t="n"/>
      <c r="AX1" s="211" t="n"/>
      <c r="AY1" s="211" t="n"/>
      <c r="AZ1" s="211" t="n"/>
      <c r="BA1" s="211" t="n"/>
      <c r="BB1" s="211" t="n"/>
      <c r="BC1" s="211" t="n"/>
      <c r="BD1" s="214" t="n"/>
      <c r="BE1" s="251" t="inlineStr">
        <is>
          <t>Mash Filter</t>
        </is>
      </c>
      <c r="BF1" s="211" t="n"/>
      <c r="BG1" s="211" t="n"/>
      <c r="BH1" s="211" t="n"/>
      <c r="BI1" s="211" t="n"/>
      <c r="BJ1" s="211" t="n"/>
      <c r="BK1" s="211" t="n"/>
      <c r="BL1" s="211" t="n"/>
      <c r="BM1" s="211" t="n"/>
      <c r="BN1" s="211" t="n"/>
      <c r="BO1" s="211" t="n"/>
      <c r="BP1" s="211" t="n"/>
      <c r="BQ1" s="214" t="n"/>
      <c r="BR1" s="244" t="inlineStr">
        <is>
          <t>Kettle</t>
        </is>
      </c>
      <c r="BS1" s="237" t="n"/>
      <c r="BT1" s="237" t="n"/>
      <c r="BU1" s="237" t="n"/>
      <c r="BV1" s="237" t="n"/>
      <c r="BW1" s="237" t="n"/>
      <c r="BX1" s="237" t="n"/>
      <c r="BY1" s="237" t="n"/>
      <c r="BZ1" s="237" t="n"/>
      <c r="CA1" s="237" t="n"/>
      <c r="CB1" s="237" t="n"/>
      <c r="CC1" s="237" t="n"/>
      <c r="CD1" s="237" t="n"/>
      <c r="CE1" s="237" t="n"/>
      <c r="CF1" s="237" t="n"/>
      <c r="CG1" s="237" t="n"/>
      <c r="CH1" s="237" t="n"/>
      <c r="CI1" s="237" t="n"/>
      <c r="CJ1" s="237" t="n"/>
      <c r="CK1" s="237" t="n"/>
      <c r="CL1" s="237" t="n"/>
      <c r="CM1" s="237" t="n"/>
      <c r="CN1" s="237" t="n"/>
      <c r="CO1" s="237" t="n"/>
      <c r="CP1" s="237" t="n"/>
      <c r="CQ1" s="237" t="n"/>
      <c r="CR1" s="237" t="n"/>
      <c r="CS1" s="237" t="n"/>
      <c r="CT1" s="237" t="n"/>
      <c r="CU1" s="237" t="n"/>
      <c r="CV1" s="237" t="n"/>
      <c r="CW1" s="237" t="n"/>
      <c r="CX1" s="237" t="n"/>
      <c r="CY1" s="237" t="n"/>
      <c r="CZ1" s="237" t="n"/>
      <c r="DA1" s="245" t="n"/>
      <c r="DB1" s="249" t="inlineStr">
        <is>
          <t>Whirlpool</t>
        </is>
      </c>
      <c r="DC1" s="237" t="n"/>
      <c r="DD1" s="237" t="n"/>
      <c r="DE1" s="237" t="n"/>
      <c r="DF1" s="237" t="n"/>
      <c r="DG1" s="237" t="n"/>
      <c r="DH1" s="237" t="n"/>
      <c r="DI1" s="237" t="n"/>
      <c r="DJ1" s="237" t="n"/>
      <c r="DK1" s="237" t="n"/>
      <c r="DL1" s="237" t="n"/>
      <c r="DM1" s="237" t="n"/>
      <c r="DN1" s="237" t="n"/>
      <c r="DO1" s="237" t="n"/>
      <c r="DP1" s="237" t="n"/>
      <c r="DQ1" s="237" t="n"/>
      <c r="DR1" s="237" t="n"/>
      <c r="DS1" s="237" t="n"/>
      <c r="DT1" s="237" t="n"/>
      <c r="DU1" s="237" t="n"/>
      <c r="DV1" s="237" t="n"/>
      <c r="DW1" s="237" t="n"/>
    </row>
    <row r="2" ht="45" customFormat="1" customHeight="1" s="53">
      <c r="A2" s="217" t="n"/>
      <c r="B2" s="217" t="n"/>
      <c r="C2" s="217" t="n"/>
      <c r="D2" s="217" t="n"/>
      <c r="E2" s="217" t="n"/>
      <c r="F2" s="217" t="n"/>
      <c r="G2" s="217" t="n"/>
      <c r="H2" s="217" t="n"/>
      <c r="I2" s="217" t="n"/>
      <c r="J2" s="217" t="n"/>
      <c r="K2" s="217" t="n"/>
      <c r="L2" s="217" t="n"/>
      <c r="M2" s="217" t="n"/>
      <c r="N2" s="217" t="n"/>
      <c r="O2" s="217" t="n"/>
      <c r="P2" s="217" t="n"/>
      <c r="Q2" s="59" t="inlineStr">
        <is>
          <t>参数英文名</t>
        </is>
      </c>
      <c r="R2" s="60" t="inlineStr">
        <is>
          <t>Malt Ratio</t>
        </is>
      </c>
      <c r="S2" s="60" t="inlineStr">
        <is>
          <t xml:space="preserve">Mash-In Time </t>
        </is>
      </c>
      <c r="T2" s="60" t="inlineStr">
        <is>
          <t>Grist/Water 
Ratio</t>
        </is>
      </c>
      <c r="U2" s="60" t="inlineStr">
        <is>
          <t>Gel Temp</t>
        </is>
      </c>
      <c r="V2" s="60" t="inlineStr">
        <is>
          <t>Gel Time</t>
        </is>
      </c>
      <c r="W2" s="60" t="inlineStr">
        <is>
          <t>Highest
Steam Pressue</t>
        </is>
      </c>
      <c r="X2" s="60" t="inlineStr">
        <is>
          <t>Boiling Time</t>
        </is>
      </c>
      <c r="Y2" s="60" t="inlineStr">
        <is>
          <t>Highest Tempe</t>
        </is>
      </c>
      <c r="Z2" s="60" t="inlineStr">
        <is>
          <t>Cycle Duration</t>
        </is>
      </c>
      <c r="AA2" s="60" t="inlineStr">
        <is>
          <t xml:space="preserve"> Wait for Mash tun time</t>
        </is>
      </c>
      <c r="AB2" s="60" t="inlineStr">
        <is>
          <t>Mash-In Time</t>
        </is>
      </c>
      <c r="AC2" s="60" t="inlineStr">
        <is>
          <t xml:space="preserve">Mash-In End Temp </t>
        </is>
      </c>
      <c r="AD2" s="60" t="inlineStr">
        <is>
          <t>Grist/Water 
Ratio</t>
        </is>
      </c>
      <c r="AE2" s="60" t="inlineStr">
        <is>
          <t>Protein Rest Temp</t>
        </is>
      </c>
      <c r="AF2" s="60" t="inlineStr">
        <is>
          <t>Protein Rest Time</t>
        </is>
      </c>
      <c r="AG2" s="60" t="inlineStr">
        <is>
          <t>Pumpback Temp</t>
        </is>
      </c>
      <c r="AH2" s="60" t="inlineStr">
        <is>
          <t>Steam Usage Before Conversion</t>
        </is>
      </c>
      <c r="AI2" s="60" t="inlineStr">
        <is>
          <t>Conversion Temp</t>
        </is>
      </c>
      <c r="AJ2" s="60" t="inlineStr">
        <is>
          <t>Conversion Time</t>
        </is>
      </c>
      <c r="AK2" s="60" t="inlineStr">
        <is>
          <t>72*C Conversion Time</t>
        </is>
      </c>
      <c r="AL2" s="60" t="inlineStr">
        <is>
          <t>Highest
Steam Pressue</t>
        </is>
      </c>
      <c r="AM2" s="60" t="inlineStr">
        <is>
          <t>Mash off Temp</t>
        </is>
      </c>
      <c r="AN2" s="60" t="inlineStr">
        <is>
          <t>Mash Tun Cycle Time</t>
        </is>
      </c>
      <c r="AO2" s="60" t="inlineStr">
        <is>
          <t>Vorlauf Duration</t>
        </is>
      </c>
      <c r="AP2" s="60" t="inlineStr">
        <is>
          <t>Turbidity @Start Running</t>
        </is>
      </c>
      <c r="AQ2" s="60" t="inlineStr">
        <is>
          <t>First Wort Extract</t>
        </is>
      </c>
      <c r="AR2" s="60" t="inlineStr">
        <is>
          <t>Last Hansel</t>
        </is>
      </c>
      <c r="AS2" s="60" t="inlineStr">
        <is>
          <t>Weak Wort Extract (Last Runnings)</t>
        </is>
      </c>
      <c r="AT2" s="60" t="inlineStr">
        <is>
          <t>Weak Wort  Volume</t>
        </is>
      </c>
      <c r="AU2" s="60" t="inlineStr">
        <is>
          <t xml:space="preserve">Deep Cut </t>
        </is>
      </c>
      <c r="AV2" s="60" t="inlineStr">
        <is>
          <t>First Wort Volume</t>
        </is>
      </c>
      <c r="AW2" s="60" t="inlineStr">
        <is>
          <t>Total Run off Volume</t>
        </is>
      </c>
      <c r="AX2" s="60" t="inlineStr">
        <is>
          <t>Total Run off OG</t>
        </is>
      </c>
      <c r="AY2" s="60" t="inlineStr">
        <is>
          <t>First Wort/ Total Water Volume</t>
        </is>
      </c>
      <c r="AZ2" s="60" t="inlineStr">
        <is>
          <t>First Wort/ Total Wort Volume</t>
        </is>
      </c>
      <c r="BA2" s="60" t="inlineStr">
        <is>
          <t>OG GAP</t>
        </is>
      </c>
      <c r="BB2" s="60" t="inlineStr">
        <is>
          <t>Run off Time</t>
        </is>
      </c>
      <c r="BC2" s="60" t="inlineStr">
        <is>
          <t>Lauter Tun Cycle Time</t>
        </is>
      </c>
      <c r="BD2" s="60" t="inlineStr">
        <is>
          <t>Sparge Water Temp</t>
        </is>
      </c>
      <c r="BE2" s="60" t="inlineStr">
        <is>
          <t>Turbidity @Start Running</t>
        </is>
      </c>
      <c r="BF2" s="60" t="inlineStr">
        <is>
          <t>First Wort Extract</t>
        </is>
      </c>
      <c r="BG2" s="60" t="inlineStr">
        <is>
          <t>Last Hansel</t>
        </is>
      </c>
      <c r="BH2" s="60" t="inlineStr">
        <is>
          <t>Weak Wort Extract (Last Runnings)</t>
        </is>
      </c>
      <c r="BI2" s="60" t="inlineStr">
        <is>
          <t>Weak Wort Recovery Volume</t>
        </is>
      </c>
      <c r="BJ2" s="60" t="inlineStr">
        <is>
          <t>First Wort Volume</t>
        </is>
      </c>
      <c r="BK2" s="60" t="inlineStr">
        <is>
          <t>Total Run off Volume</t>
        </is>
      </c>
      <c r="BL2" s="60" t="inlineStr">
        <is>
          <t>Total Run off OG</t>
        </is>
      </c>
      <c r="BM2" s="60" t="inlineStr">
        <is>
          <t>First Wort/ Total Water Volume</t>
        </is>
      </c>
      <c r="BN2" s="60" t="inlineStr">
        <is>
          <t>First Wort/ Total Wort Volume</t>
        </is>
      </c>
      <c r="BO2" s="60" t="inlineStr">
        <is>
          <t>Run off Time</t>
        </is>
      </c>
      <c r="BP2" s="60" t="inlineStr">
        <is>
          <t>Mash Filter Cycle time</t>
        </is>
      </c>
      <c r="BQ2" s="60" t="inlineStr">
        <is>
          <t>Sparge Water Temperature</t>
        </is>
      </c>
      <c r="BR2" s="60" t="inlineStr">
        <is>
          <t>Boiling Before or After KF?</t>
        </is>
      </c>
      <c r="BS2" s="60" t="inlineStr">
        <is>
          <t>Boiling Type</t>
        </is>
      </c>
      <c r="BT2" s="60" t="inlineStr">
        <is>
          <t>SOB Volume</t>
        </is>
      </c>
      <c r="BU2" s="223" t="inlineStr">
        <is>
          <t>Int. preheating temperature</t>
        </is>
      </c>
      <c r="BV2" s="60" t="inlineStr">
        <is>
          <t>Filling Temp@
Before SOB</t>
        </is>
      </c>
      <c r="BW2" s="60" t="inlineStr">
        <is>
          <t>Filling Temp@
SOB-KF</t>
        </is>
      </c>
      <c r="BX2" s="60" t="inlineStr">
        <is>
          <t>Kettle Full Volume</t>
        </is>
      </c>
      <c r="BY2" s="60" t="inlineStr">
        <is>
          <t>Kettle Full Temp</t>
        </is>
      </c>
      <c r="BZ2" s="60" t="inlineStr">
        <is>
          <t>Tap to Start of Boil Time</t>
        </is>
      </c>
      <c r="CA2" s="60" t="inlineStr">
        <is>
          <t>Boiling Time Before KF</t>
        </is>
      </c>
      <c r="CB2" s="60" t="inlineStr">
        <is>
          <t>Boiling Time After KF</t>
        </is>
      </c>
      <c r="CC2" s="60" t="inlineStr">
        <is>
          <t>Total Boiling Time</t>
        </is>
      </c>
      <c r="CD2" s="60" t="inlineStr">
        <is>
          <t xml:space="preserve">Over Boiling Time </t>
        </is>
      </c>
      <c r="CE2" s="60" t="inlineStr">
        <is>
          <t>Syrup Dose
Volume</t>
        </is>
      </c>
      <c r="CF2" s="60" t="inlineStr">
        <is>
          <t>External Calandria 
Exit Temp</t>
        </is>
      </c>
      <c r="CG2" s="60" t="inlineStr">
        <is>
          <t>1st Hops Addition - Time Before SOB</t>
        </is>
      </c>
      <c r="CH2" s="60" t="inlineStr">
        <is>
          <t>2n Hops Addition - Time Before EOB</t>
        </is>
      </c>
      <c r="CI2" s="119" t="inlineStr">
        <is>
          <t>Evap % - SOB to KF</t>
        </is>
      </c>
      <c r="CJ2" s="119" t="inlineStr">
        <is>
          <t>Evap % - KF to KO</t>
        </is>
      </c>
      <c r="CK2" s="60" t="inlineStr">
        <is>
          <t>Evap % - KF to KO
Deviation</t>
        </is>
      </c>
      <c r="CL2" s="119" t="inlineStr">
        <is>
          <t>Evap % - SOB to KO</t>
        </is>
      </c>
      <c r="CM2" s="60" t="inlineStr">
        <is>
          <t>Evap % - SOB to KO(MAX)</t>
        </is>
      </c>
      <c r="CN2" s="60" t="inlineStr">
        <is>
          <t>Evap % - SOB to KO(MIN)</t>
        </is>
      </c>
      <c r="CO2" s="60" t="inlineStr">
        <is>
          <t>Total Evap %  - Conventional Boiling</t>
        </is>
      </c>
      <c r="CP2" s="60" t="inlineStr">
        <is>
          <t>Total Evap % - MSB</t>
        </is>
      </c>
      <c r="CQ2" s="60" t="inlineStr">
        <is>
          <t>Aroma hop boiling time</t>
        </is>
      </c>
      <c r="CR2" s="60" t="inlineStr">
        <is>
          <t xml:space="preserve"> Overfoaming times</t>
        </is>
      </c>
      <c r="CS2" s="60" t="inlineStr">
        <is>
          <t>Kettle steam fluctuate &gt;15% times (MAX)</t>
        </is>
      </c>
      <c r="CT2" s="60" t="inlineStr">
        <is>
          <t>Highest Temp</t>
        </is>
      </c>
      <c r="CU2" s="60" t="inlineStr">
        <is>
          <t>Highest Pressure</t>
        </is>
      </c>
      <c r="CV2" s="60" t="inlineStr">
        <is>
          <t>Highest Steam  Pressure-Upper Calandria</t>
        </is>
      </c>
      <c r="CW2" s="60" t="inlineStr">
        <is>
          <t>Highest Steam  Pressure-Lower Calandria</t>
        </is>
      </c>
      <c r="CX2" s="60" t="inlineStr">
        <is>
          <t>Steam Used - 
KF-KO</t>
        </is>
      </c>
      <c r="CY2" s="60" t="inlineStr">
        <is>
          <t>Steam Used - SOB-KO</t>
        </is>
      </c>
      <c r="CZ2" s="60" t="inlineStr">
        <is>
          <t>KO Extract</t>
        </is>
      </c>
      <c r="DA2" s="60" t="inlineStr">
        <is>
          <t>KO Time</t>
        </is>
      </c>
      <c r="DB2" s="60" t="inlineStr">
        <is>
          <t>Settling Time</t>
        </is>
      </c>
      <c r="DC2" s="60" t="inlineStr">
        <is>
          <t xml:space="preserve"> Settling Overtime</t>
        </is>
      </c>
      <c r="DD2" s="60" t="inlineStr">
        <is>
          <t>Wort Stripper Outlet Temp</t>
        </is>
      </c>
      <c r="DE2" s="60" t="inlineStr">
        <is>
          <t>Zinc dosage per brew</t>
        </is>
      </c>
      <c r="DF2" s="60" t="inlineStr">
        <is>
          <t>Wort Zinc</t>
        </is>
      </c>
      <c r="DG2" s="60" t="inlineStr">
        <is>
          <t>Cooling Time</t>
        </is>
      </c>
      <c r="DH2" s="60" t="inlineStr">
        <is>
          <t>Cold Wort Temp</t>
        </is>
      </c>
      <c r="DI2" s="60" t="inlineStr">
        <is>
          <t>Air Injection</t>
        </is>
      </c>
      <c r="DJ2" s="119" t="inlineStr">
        <is>
          <t>Wort Aeration Mass Flow Rate</t>
        </is>
      </c>
      <c r="DK2" s="119" t="inlineStr">
        <is>
          <t>Double Mass Flow  Rate Deviation</t>
        </is>
      </c>
      <c r="DL2" s="60" t="inlineStr">
        <is>
          <t>Cold Wort Volume</t>
        </is>
      </c>
      <c r="DM2" s="60" t="inlineStr">
        <is>
          <t>Brewhouse hot time standard</t>
        </is>
      </c>
      <c r="DN2" s="223" t="inlineStr">
        <is>
          <t>Brewhouse Actual Hot time</t>
        </is>
      </c>
      <c r="DO2" s="60" t="inlineStr">
        <is>
          <t>Brewhouse Hot time
Deviation</t>
        </is>
      </c>
      <c r="DP2" s="60" t="inlineStr">
        <is>
          <t>Total  Brewhouse cyle time</t>
        </is>
      </c>
      <c r="DQ2" s="60" t="inlineStr">
        <is>
          <t>Brewhouse cyle time
Deviation</t>
        </is>
      </c>
      <c r="DR2" s="60" t="inlineStr">
        <is>
          <t xml:space="preserve">Hot Severity Index </t>
        </is>
      </c>
      <c r="DS2" s="60" t="inlineStr">
        <is>
          <t>Cold Wort OG -
In Line</t>
        </is>
      </c>
      <c r="DT2" s="60" t="inlineStr">
        <is>
          <t>Cold Wort pH - 
In Line</t>
        </is>
      </c>
      <c r="DU2" s="60" t="inlineStr">
        <is>
          <t>Vessel cleanness check after empty</t>
        </is>
      </c>
      <c r="DV2" s="60" t="inlineStr">
        <is>
          <t>Standard Brewsize</t>
        </is>
      </c>
      <c r="DW2" s="60" t="inlineStr">
        <is>
          <t>Malt ratio</t>
        </is>
      </c>
    </row>
    <row r="3" ht="51" customHeight="1" s="241">
      <c r="A3" s="217" t="n"/>
      <c r="B3" s="217" t="n"/>
      <c r="C3" s="217" t="n"/>
      <c r="D3" s="217" t="n"/>
      <c r="E3" s="217" t="n"/>
      <c r="F3" s="217" t="n"/>
      <c r="G3" s="217" t="n"/>
      <c r="H3" s="217" t="n"/>
      <c r="I3" s="217" t="n"/>
      <c r="J3" s="217" t="n"/>
      <c r="K3" s="217" t="n"/>
      <c r="L3" s="217" t="n"/>
      <c r="M3" s="217" t="n"/>
      <c r="N3" s="217" t="n"/>
      <c r="O3" s="217" t="n"/>
      <c r="P3" s="217" t="n"/>
      <c r="Q3" s="59" t="inlineStr">
        <is>
          <t>参数中文名</t>
        </is>
      </c>
      <c r="R3" s="64" t="inlineStr">
        <is>
          <t>麦芽分料比例</t>
        </is>
      </c>
      <c r="S3" s="64" t="inlineStr">
        <is>
          <t>糊化锅投料时间</t>
        </is>
      </c>
      <c r="T3" s="64" t="inlineStr">
        <is>
          <t>糊化锅料水比</t>
        </is>
      </c>
      <c r="U3" s="64" t="inlineStr">
        <is>
          <t>凝胶休止温度</t>
        </is>
      </c>
      <c r="V3" s="64" t="inlineStr">
        <is>
          <t>凝胶休止时间</t>
        </is>
      </c>
      <c r="W3" s="64" t="inlineStr">
        <is>
          <t>糊化锅蒸汽最高压力</t>
        </is>
      </c>
      <c r="X3" s="64" t="inlineStr">
        <is>
          <t>糊化锅煮沸时间</t>
        </is>
      </c>
      <c r="Y3" s="64" t="inlineStr">
        <is>
          <t>糊化锅煮沸最高温度</t>
        </is>
      </c>
      <c r="Z3" s="64" t="inlineStr">
        <is>
          <t>糊化锅周期</t>
        </is>
      </c>
      <c r="AA3" s="64" t="inlineStr">
        <is>
          <t>糊化锅等待糖化锅时间</t>
        </is>
      </c>
      <c r="AB3" s="64" t="inlineStr">
        <is>
          <t>糖化锅投料时间</t>
        </is>
      </c>
      <c r="AC3" s="64" t="inlineStr">
        <is>
          <t>糖化锅投料结束温度</t>
        </is>
      </c>
      <c r="AD3" s="64" t="inlineStr">
        <is>
          <t>糖化锅料水比</t>
        </is>
      </c>
      <c r="AE3" s="64" t="inlineStr">
        <is>
          <t>蛋白休止温度</t>
        </is>
      </c>
      <c r="AF3" s="64" t="inlineStr">
        <is>
          <t>蛋白休止时间</t>
        </is>
      </c>
      <c r="AG3" s="64" t="inlineStr">
        <is>
          <t>合醪温度</t>
        </is>
      </c>
      <c r="AH3" s="64" t="inlineStr">
        <is>
          <t>糖化休止前蒸汽用量</t>
        </is>
      </c>
      <c r="AI3" s="64" t="inlineStr">
        <is>
          <t>糖化休止温度</t>
        </is>
      </c>
      <c r="AJ3" s="64" t="inlineStr">
        <is>
          <t>糖化休止时间</t>
        </is>
      </c>
      <c r="AK3" s="64" t="inlineStr">
        <is>
          <t>72*C休止时间</t>
        </is>
      </c>
      <c r="AL3" s="64" t="inlineStr">
        <is>
          <t>糖化锅蒸汽最高压力</t>
        </is>
      </c>
      <c r="AM3" s="64" t="inlineStr">
        <is>
          <t>糖化锅结束温度</t>
        </is>
      </c>
      <c r="AN3" s="64" t="inlineStr">
        <is>
          <t>糖化锅周期</t>
        </is>
      </c>
      <c r="AO3" s="64" t="inlineStr">
        <is>
          <t>浊循环时间</t>
        </is>
      </c>
      <c r="AP3" s="64" t="inlineStr">
        <is>
          <t>开始过滤浊度</t>
        </is>
      </c>
      <c r="AQ3" s="64" t="inlineStr">
        <is>
          <t>头道麦汁原浓</t>
        </is>
      </c>
      <c r="AR3" s="64" t="inlineStr">
        <is>
          <t>满锅残糖</t>
        </is>
      </c>
      <c r="AS3" s="64" t="inlineStr">
        <is>
          <t>弱麦汁回收结束残糖</t>
        </is>
      </c>
      <c r="AT3" s="64" t="inlineStr">
        <is>
          <t>弱麦汁回收量</t>
        </is>
      </c>
      <c r="AU3" s="64" t="inlineStr">
        <is>
          <t>深耕次数</t>
        </is>
      </c>
      <c r="AV3" s="64" t="inlineStr">
        <is>
          <t>头道麦汁量</t>
        </is>
      </c>
      <c r="AW3" s="64" t="inlineStr">
        <is>
          <t>麦汁总过滤量</t>
        </is>
      </c>
      <c r="AX3" s="64" t="inlineStr">
        <is>
          <t>麦汁过滤平均OG</t>
        </is>
      </c>
      <c r="AY3" s="64" t="inlineStr">
        <is>
          <t>头道麦汁占总投入水比值</t>
        </is>
      </c>
      <c r="AZ3" s="64" t="inlineStr">
        <is>
          <t>头道麦汁占总过滤麦汁比值</t>
        </is>
      </c>
      <c r="BA3" s="64" t="inlineStr">
        <is>
          <t>各环OG最大差值</t>
        </is>
      </c>
      <c r="BB3" s="64" t="inlineStr">
        <is>
          <t>麦汁总过滤时间</t>
        </is>
      </c>
      <c r="BC3" s="64" t="inlineStr">
        <is>
          <t>过滤槽周期</t>
        </is>
      </c>
      <c r="BD3" s="64" t="inlineStr">
        <is>
          <t>洗糟水温度</t>
        </is>
      </c>
      <c r="BE3" s="64" t="inlineStr">
        <is>
          <t>开始过滤浊度</t>
        </is>
      </c>
      <c r="BF3" s="64" t="inlineStr">
        <is>
          <t>头道麦汁原浓</t>
        </is>
      </c>
      <c r="BG3" s="64" t="inlineStr">
        <is>
          <t>满锅残糖</t>
        </is>
      </c>
      <c r="BH3" s="64" t="inlineStr">
        <is>
          <t>弱麦汁回收结束残糖</t>
        </is>
      </c>
      <c r="BI3" s="64" t="inlineStr">
        <is>
          <t>弱麦汁回收量</t>
        </is>
      </c>
      <c r="BJ3" s="64" t="inlineStr">
        <is>
          <t>头道麦汁量</t>
        </is>
      </c>
      <c r="BK3" s="64" t="inlineStr">
        <is>
          <t>麦汁总过滤量</t>
        </is>
      </c>
      <c r="BL3" s="64" t="inlineStr">
        <is>
          <t>麦汁过滤平均OG</t>
        </is>
      </c>
      <c r="BM3" s="64" t="inlineStr">
        <is>
          <t>头道麦汁占总醪液比值</t>
        </is>
      </c>
      <c r="BN3" s="64" t="inlineStr">
        <is>
          <t>头道麦汁占总过滤麦汁比值</t>
        </is>
      </c>
      <c r="BO3" s="64" t="inlineStr">
        <is>
          <t>麦汁总过滤时间</t>
        </is>
      </c>
      <c r="BP3" s="64" t="inlineStr">
        <is>
          <t>压滤机周期</t>
        </is>
      </c>
      <c r="BQ3" s="64" t="inlineStr">
        <is>
          <t>洗糟水温度</t>
        </is>
      </c>
      <c r="BR3" s="64" t="inlineStr">
        <is>
          <t>满锅前/后煮沸？</t>
        </is>
      </c>
      <c r="BS3" s="64" t="inlineStr">
        <is>
          <t>煮沸方式</t>
        </is>
      </c>
      <c r="BT3" s="64" t="inlineStr">
        <is>
          <t>SOB体积</t>
        </is>
      </c>
      <c r="BU3" s="77" t="inlineStr">
        <is>
          <t>预热出口加权温度</t>
        </is>
      </c>
      <c r="BV3" s="64" t="inlineStr">
        <is>
          <t>SOB前麦汁进锅平均温度</t>
        </is>
      </c>
      <c r="BW3" s="64" t="inlineStr">
        <is>
          <t>SOB后麦汁进锅平均温度</t>
        </is>
      </c>
      <c r="BX3" s="64" t="inlineStr">
        <is>
          <t>煮沸锅满锅体积</t>
        </is>
      </c>
      <c r="BY3" s="64" t="inlineStr">
        <is>
          <t>煮沸锅满锅温度</t>
        </is>
      </c>
      <c r="BZ3" s="64" t="inlineStr">
        <is>
          <t>开始加热到SOB时间</t>
        </is>
      </c>
      <c r="CA3" s="64" t="inlineStr">
        <is>
          <t>满锅前煮沸时间</t>
        </is>
      </c>
      <c r="CB3" s="64" t="inlineStr">
        <is>
          <t>满锅后煮沸时间</t>
        </is>
      </c>
      <c r="CC3" s="64" t="inlineStr">
        <is>
          <t>总煮沸时间</t>
        </is>
      </c>
      <c r="CD3" s="64" t="inlineStr">
        <is>
          <t>过煮沸时间</t>
        </is>
      </c>
      <c r="CE3" s="64" t="inlineStr">
        <is>
          <t>糖浆添加量</t>
        </is>
      </c>
      <c r="CF3" s="64" t="inlineStr">
        <is>
          <t>外加热器出口温度</t>
        </is>
      </c>
      <c r="CG3" s="64" t="inlineStr">
        <is>
          <t>SOB前多少分钟添加一次酒花</t>
        </is>
      </c>
      <c r="CH3" s="64" t="inlineStr">
        <is>
          <t>煮沸结束前多少分钟添加二次酒花</t>
        </is>
      </c>
      <c r="CI3" s="120" t="inlineStr">
        <is>
          <t>满锅前蒸发率</t>
        </is>
      </c>
      <c r="CJ3" s="120" t="inlineStr">
        <is>
          <t>满锅后蒸发率</t>
        </is>
      </c>
      <c r="CK3" s="64" t="inlineStr">
        <is>
          <t>满锅后蒸发率偏离</t>
        </is>
      </c>
      <c r="CL3" s="120" t="inlineStr">
        <is>
          <t>总蒸发率</t>
        </is>
      </c>
      <c r="CM3" s="64" t="inlineStr">
        <is>
          <t>总蒸发率(最高锅次）</t>
        </is>
      </c>
      <c r="CN3" s="64" t="inlineStr">
        <is>
          <t>总蒸发率(最低锅次）</t>
        </is>
      </c>
      <c r="CO3" s="64" t="inlineStr">
        <is>
          <t>总蒸发率-常规煮沸</t>
        </is>
      </c>
      <c r="CP3" s="64" t="inlineStr">
        <is>
          <t>总蒸发率-间歇煮沸</t>
        </is>
      </c>
      <c r="CQ3" s="64" t="inlineStr">
        <is>
          <t>香花煮沸时间</t>
        </is>
      </c>
      <c r="CR3" s="64" t="inlineStr">
        <is>
          <t>起泡次数</t>
        </is>
      </c>
      <c r="CS3" s="64" t="inlineStr">
        <is>
          <t>煮沸锅蒸汽波动&gt;15%次数(最高锅次）</t>
        </is>
      </c>
      <c r="CT3" s="64" t="inlineStr">
        <is>
          <t>煮沸锅最高温度</t>
        </is>
      </c>
      <c r="CU3" s="64" t="inlineStr">
        <is>
          <t>煮沸锅锅内最高压力</t>
        </is>
      </c>
      <c r="CV3" s="64" t="inlineStr">
        <is>
          <t>上加热器蒸汽最高压力</t>
        </is>
      </c>
      <c r="CW3" s="64" t="inlineStr">
        <is>
          <t>下加热器蒸汽最高压力</t>
        </is>
      </c>
      <c r="CX3" s="64" t="inlineStr">
        <is>
          <t>蒸汽用量-满锅后煮沸</t>
        </is>
      </c>
      <c r="CY3" s="64" t="inlineStr">
        <is>
          <t>蒸汽用量-煮沸过程</t>
        </is>
      </c>
      <c r="CZ3" s="64" t="inlineStr">
        <is>
          <t>煮沸结束麦汁原浓</t>
        </is>
      </c>
      <c r="DA3" s="64" t="inlineStr">
        <is>
          <t>打回旋时间</t>
        </is>
      </c>
      <c r="DB3" s="64" t="inlineStr">
        <is>
          <t>旋沉时间</t>
        </is>
      </c>
      <c r="DC3" s="64" t="inlineStr">
        <is>
          <t>旋沉超时时间</t>
        </is>
      </c>
      <c r="DD3" s="64" t="inlineStr">
        <is>
          <t>麦汁处理器出口温度</t>
        </is>
      </c>
      <c r="DE3" s="64" t="inlineStr">
        <is>
          <t>每锅锌添加量</t>
        </is>
      </c>
      <c r="DF3" s="64" t="inlineStr">
        <is>
          <t>麦汁锌</t>
        </is>
      </c>
      <c r="DG3" s="64" t="inlineStr">
        <is>
          <t>麦汁冷却时间</t>
        </is>
      </c>
      <c r="DH3" s="64" t="inlineStr">
        <is>
          <t>麦汁冷却温度</t>
        </is>
      </c>
      <c r="DI3" s="64" t="inlineStr">
        <is>
          <t>每锅次充氧量</t>
        </is>
      </c>
      <c r="DJ3" s="120" t="inlineStr">
        <is>
          <t>充氧流量</t>
        </is>
      </c>
      <c r="DK3" s="120" t="inlineStr">
        <is>
          <t>双质量流量计充氧流量偏离</t>
        </is>
      </c>
      <c r="DL3" s="64" t="inlineStr">
        <is>
          <t>冷麦汁体积</t>
        </is>
      </c>
      <c r="DM3" s="64" t="inlineStr">
        <is>
          <t>糖化热时间标准</t>
        </is>
      </c>
      <c r="DN3" s="64" t="inlineStr">
        <is>
          <t>糖化实际热时间</t>
        </is>
      </c>
      <c r="DO3" s="64" t="inlineStr">
        <is>
          <t>糖化热时间偏离</t>
        </is>
      </c>
      <c r="DP3" s="64" t="inlineStr">
        <is>
          <t>糖化周期</t>
        </is>
      </c>
      <c r="DQ3" s="64" t="inlineStr">
        <is>
          <t>糖化周期偏离</t>
        </is>
      </c>
      <c r="DR3" s="64" t="inlineStr">
        <is>
          <t>糖化热效应指数</t>
        </is>
      </c>
      <c r="DS3" s="64" t="inlineStr">
        <is>
          <t>冷麦汁OG-在线</t>
        </is>
      </c>
      <c r="DT3" s="64" t="inlineStr">
        <is>
          <t>冷麦汁pH-在线</t>
        </is>
      </c>
      <c r="DU3" s="64" t="inlineStr">
        <is>
          <t>糖化锅槽空锅后检查是否干净</t>
        </is>
      </c>
      <c r="DV3" s="63" t="inlineStr">
        <is>
          <t>标准冷麦汁体积</t>
        </is>
      </c>
      <c r="DW3" s="121" t="inlineStr">
        <is>
          <t>麦芽比例</t>
        </is>
      </c>
    </row>
    <row r="4" ht="45.6" customFormat="1" customHeight="1" s="53">
      <c r="A4" s="217" t="n"/>
      <c r="B4" s="217" t="n"/>
      <c r="C4" s="217" t="n"/>
      <c r="D4" s="217" t="n"/>
      <c r="E4" s="217" t="n"/>
      <c r="F4" s="217" t="n"/>
      <c r="G4" s="217" t="n"/>
      <c r="H4" s="217" t="n"/>
      <c r="I4" s="217" t="n"/>
      <c r="J4" s="217" t="n"/>
      <c r="K4" s="217" t="n"/>
      <c r="L4" s="217" t="n"/>
      <c r="M4" s="217" t="n"/>
      <c r="N4" s="217" t="n"/>
      <c r="O4" s="217" t="n"/>
      <c r="P4" s="217" t="n"/>
      <c r="Q4" s="59" t="inlineStr">
        <is>
          <t>Global</t>
        </is>
      </c>
      <c r="R4" s="61" t="n"/>
      <c r="S4" s="61" t="n"/>
      <c r="T4" s="61" t="n"/>
      <c r="U4" s="61" t="n"/>
      <c r="V4" s="61" t="n"/>
      <c r="W4" s="61" t="n"/>
      <c r="X4" s="61" t="n"/>
      <c r="Y4" s="61" t="n"/>
      <c r="Z4" s="122" t="inlineStr">
        <is>
          <t>Adjunct Cooker Cycle Duration</t>
        </is>
      </c>
      <c r="AA4" s="122" t="n"/>
      <c r="AB4" s="61" t="n"/>
      <c r="AC4" s="60" t="inlineStr">
        <is>
          <t>Mash-In Temperature Malt</t>
        </is>
      </c>
      <c r="AD4" s="61" t="n"/>
      <c r="AE4" s="61" t="n"/>
      <c r="AF4" s="61" t="n"/>
      <c r="AG4" s="60" t="inlineStr">
        <is>
          <t>Mash Cooker Pumpback Temperature</t>
        </is>
      </c>
      <c r="AH4" s="61" t="n"/>
      <c r="AI4" s="61" t="n"/>
      <c r="AJ4" s="61" t="n"/>
      <c r="AK4" s="61" t="n"/>
      <c r="AL4" s="61" t="n"/>
      <c r="AM4" s="61" t="n"/>
      <c r="AN4" s="60" t="inlineStr">
        <is>
          <t>Total Mash Vessel Occupancy Duration</t>
        </is>
      </c>
      <c r="AO4" s="60" t="inlineStr">
        <is>
          <t>Vorlauf Duration</t>
        </is>
      </c>
      <c r="AP4" s="60" t="n"/>
      <c r="AQ4" s="60" t="inlineStr">
        <is>
          <t>First Wort Extract</t>
        </is>
      </c>
      <c r="AR4" s="61" t="n"/>
      <c r="AS4" s="60" t="inlineStr">
        <is>
          <t>Weak Wort Extract (Last Runnings)</t>
        </is>
      </c>
      <c r="AT4" s="61" t="n"/>
      <c r="AU4" s="61" t="n"/>
      <c r="AV4" s="61" t="n"/>
      <c r="AW4" s="61" t="n"/>
      <c r="AX4" s="61" t="n"/>
      <c r="AY4" s="61" t="n"/>
      <c r="AZ4" s="61" t="n"/>
      <c r="BA4" s="61" t="n"/>
      <c r="BB4" s="60" t="inlineStr">
        <is>
          <t>Lautering Duration</t>
        </is>
      </c>
      <c r="BC4" s="61" t="n"/>
      <c r="BD4" s="60" t="inlineStr">
        <is>
          <t>Sparge Water Temperature</t>
        </is>
      </c>
      <c r="BE4" s="60" t="n"/>
      <c r="BF4" s="60" t="inlineStr">
        <is>
          <t>First Wort Extract</t>
        </is>
      </c>
      <c r="BG4" s="61" t="n"/>
      <c r="BH4" s="60" t="inlineStr">
        <is>
          <t>Weak Wort Extract (Last Runnings)</t>
        </is>
      </c>
      <c r="BI4" s="61" t="n"/>
      <c r="BJ4" s="61" t="n"/>
      <c r="BK4" s="61" t="n"/>
      <c r="BL4" s="61" t="n"/>
      <c r="BM4" s="61" t="n"/>
      <c r="BN4" s="61" t="n"/>
      <c r="BO4" s="60" t="inlineStr">
        <is>
          <t>Total Wort Filtering Duration</t>
        </is>
      </c>
      <c r="BP4" s="61" t="n"/>
      <c r="BQ4" s="60" t="inlineStr">
        <is>
          <t>Sparge Water Temperature</t>
        </is>
      </c>
      <c r="BR4" s="61" t="n"/>
      <c r="BS4" s="61" t="n"/>
      <c r="BT4" s="61" t="n"/>
      <c r="BU4" s="223" t="n"/>
      <c r="BV4" s="61" t="n"/>
      <c r="BW4" s="61" t="n"/>
      <c r="BX4" s="60" t="inlineStr">
        <is>
          <t>Kettle Full Volume</t>
        </is>
      </c>
      <c r="BY4" s="60" t="inlineStr">
        <is>
          <t>Kettle Full Temperature</t>
        </is>
      </c>
      <c r="BZ4" s="60" t="inlineStr">
        <is>
          <t>Tap to Start of Boil Duration</t>
        </is>
      </c>
      <c r="CA4" s="61" t="n"/>
      <c r="CB4" s="60" t="inlineStr">
        <is>
          <t>Kettle Full Boil Duration</t>
        </is>
      </c>
      <c r="CC4" s="60" t="inlineStr">
        <is>
          <t>Total Boiling Time (Duration)</t>
        </is>
      </c>
      <c r="CD4" s="61" t="n"/>
      <c r="CE4" s="61" t="n"/>
      <c r="CF4" s="60" t="inlineStr">
        <is>
          <t>External Calandria Exit Temperature</t>
        </is>
      </c>
      <c r="CG4" s="60" t="inlineStr">
        <is>
          <t>1st Hops Addition - Time After Start of Boil</t>
        </is>
      </c>
      <c r="CH4" s="61" t="n"/>
      <c r="CI4" s="123" t="n"/>
      <c r="CJ4" s="119" t="inlineStr">
        <is>
          <t>Evaporation - Kettle Full to Empty</t>
        </is>
      </c>
      <c r="CK4" s="61" t="n"/>
      <c r="CL4" s="119" t="inlineStr">
        <is>
          <t>Evaporation - SOB to Kettle Empty</t>
        </is>
      </c>
      <c r="CM4" s="119" t="n"/>
      <c r="CN4" s="119" t="n"/>
      <c r="CO4" s="60" t="inlineStr">
        <is>
          <t>Total Evaporation  - Conventional Boiling</t>
        </is>
      </c>
      <c r="CP4" s="60" t="inlineStr">
        <is>
          <t>Total Evaporation - Multiple Step Boiling</t>
        </is>
      </c>
      <c r="CQ4" s="60" t="n"/>
      <c r="CR4" s="61" t="n"/>
      <c r="CS4" s="61" t="n"/>
      <c r="CT4" s="61" t="n"/>
      <c r="CU4" s="61" t="n"/>
      <c r="CV4" s="61" t="n"/>
      <c r="CW4" s="61" t="n"/>
      <c r="CX4" s="61" t="n"/>
      <c r="CY4" s="60" t="inlineStr">
        <is>
          <t>Total Steam Used - Total per Brew</t>
        </is>
      </c>
      <c r="CZ4" s="60" t="inlineStr">
        <is>
          <t>Knockout Extract</t>
        </is>
      </c>
      <c r="DA4" s="60" t="inlineStr">
        <is>
          <t>Kettle Knockout Duration</t>
        </is>
      </c>
      <c r="DB4" s="60" t="inlineStr">
        <is>
          <t>Hot Wort Settling Duration</t>
        </is>
      </c>
      <c r="DC4" s="61" t="n"/>
      <c r="DD4" s="60" t="inlineStr">
        <is>
          <t>Wort Stripper Outlet Temperature</t>
        </is>
      </c>
      <c r="DE4" s="60" t="n"/>
      <c r="DF4" s="60" t="inlineStr">
        <is>
          <t>Wort Zinc</t>
        </is>
      </c>
      <c r="DG4" s="60" t="inlineStr">
        <is>
          <t>Cooling Duration</t>
        </is>
      </c>
      <c r="DH4" s="60" t="inlineStr">
        <is>
          <t>Cold Wort Temperature</t>
        </is>
      </c>
      <c r="DI4" s="61" t="n"/>
      <c r="DJ4" s="119" t="inlineStr">
        <is>
          <t>Wort Aeration Mass Flow Rate</t>
        </is>
      </c>
      <c r="DK4" s="61" t="n"/>
      <c r="DL4" s="61" t="n"/>
      <c r="DM4" s="61" t="n"/>
      <c r="DN4" s="60" t="inlineStr">
        <is>
          <t>Brewhouse Hot time</t>
        </is>
      </c>
      <c r="DO4" s="61" t="n"/>
      <c r="DP4" s="60" t="inlineStr">
        <is>
          <t>Total  Brewhouse cyle time</t>
        </is>
      </c>
      <c r="DQ4" s="61" t="n"/>
      <c r="DR4" s="61" t="n"/>
      <c r="DS4" s="61" t="n"/>
      <c r="DT4" s="61" t="n"/>
      <c r="DU4" s="61" t="n"/>
      <c r="DV4" s="61" t="n"/>
      <c r="DW4" s="61" t="n"/>
    </row>
    <row r="5" ht="30.75" customHeight="1" s="241">
      <c r="A5" s="217" t="n"/>
      <c r="B5" s="217" t="n"/>
      <c r="C5" s="217" t="n"/>
      <c r="D5" s="217" t="n"/>
      <c r="E5" s="217" t="n"/>
      <c r="F5" s="217" t="n"/>
      <c r="G5" s="217" t="n"/>
      <c r="H5" s="217" t="n"/>
      <c r="I5" s="217" t="n"/>
      <c r="J5" s="217" t="n"/>
      <c r="K5" s="217" t="n"/>
      <c r="L5" s="217" t="n"/>
      <c r="M5" s="217" t="n"/>
      <c r="N5" s="217" t="n"/>
      <c r="O5" s="217" t="n"/>
      <c r="P5" s="217" t="n"/>
      <c r="Q5" s="221" t="inlineStr">
        <is>
          <t>DF代码</t>
        </is>
      </c>
      <c r="R5" s="124" t="inlineStr">
        <is>
          <t>BR-20432</t>
        </is>
      </c>
      <c r="S5" s="124" t="inlineStr">
        <is>
          <t>BR-20431</t>
        </is>
      </c>
      <c r="T5" s="124" t="inlineStr">
        <is>
          <t>BR-20439</t>
        </is>
      </c>
      <c r="U5" s="124" t="inlineStr">
        <is>
          <t>BR-20401</t>
        </is>
      </c>
      <c r="V5" s="124" t="inlineStr">
        <is>
          <t>BR-20400</t>
        </is>
      </c>
      <c r="W5" s="125" t="inlineStr">
        <is>
          <t>BR-20430</t>
        </is>
      </c>
      <c r="X5" s="125" t="n"/>
      <c r="Y5" s="125" t="inlineStr">
        <is>
          <t>BR-20436</t>
        </is>
      </c>
      <c r="Z5" s="117" t="inlineStr">
        <is>
          <t>BR-20373</t>
        </is>
      </c>
      <c r="AA5" s="117" t="n"/>
      <c r="AB5" s="64" t="inlineStr">
        <is>
          <t>BR-20548</t>
        </is>
      </c>
      <c r="AC5" s="64" t="inlineStr">
        <is>
          <t>BR-20482</t>
        </is>
      </c>
      <c r="AD5" s="61" t="inlineStr">
        <is>
          <t>BR-20554</t>
        </is>
      </c>
      <c r="AE5" s="64" t="inlineStr">
        <is>
          <t>BR-20489</t>
        </is>
      </c>
      <c r="AF5" s="64" t="inlineStr">
        <is>
          <t>BR-20488</t>
        </is>
      </c>
      <c r="AG5" s="64" t="inlineStr">
        <is>
          <t>BR-20513</t>
        </is>
      </c>
      <c r="AH5" s="64" t="inlineStr">
        <is>
          <t>BR-20486</t>
        </is>
      </c>
      <c r="AI5" s="64" t="inlineStr">
        <is>
          <t>BR-20512</t>
        </is>
      </c>
      <c r="AJ5" s="64" t="inlineStr">
        <is>
          <t>BR-20511</t>
        </is>
      </c>
      <c r="AK5" s="64" t="inlineStr">
        <is>
          <t>BR-20521</t>
        </is>
      </c>
      <c r="AL5" s="125" t="inlineStr">
        <is>
          <t>BR-20552</t>
        </is>
      </c>
      <c r="AM5" s="64" t="inlineStr">
        <is>
          <t>BR-20550</t>
        </is>
      </c>
      <c r="AN5" s="64" t="inlineStr">
        <is>
          <t>BR-20461</t>
        </is>
      </c>
      <c r="AO5" s="64" t="inlineStr">
        <is>
          <t>BR-20622</t>
        </is>
      </c>
      <c r="AP5" s="64" t="inlineStr">
        <is>
          <t>BR-20624</t>
        </is>
      </c>
      <c r="AQ5" s="64" t="inlineStr">
        <is>
          <t>BR-20646</t>
        </is>
      </c>
      <c r="AR5" s="64" t="inlineStr">
        <is>
          <t>BR-20695</t>
        </is>
      </c>
      <c r="AS5" s="64" t="inlineStr">
        <is>
          <t>BR-20720</t>
        </is>
      </c>
      <c r="AT5" s="64" t="inlineStr">
        <is>
          <t>BR-20712</t>
        </is>
      </c>
      <c r="AU5" s="64" t="inlineStr">
        <is>
          <t>BR-20746</t>
        </is>
      </c>
      <c r="AV5" s="64" t="inlineStr">
        <is>
          <t>BR-20642</t>
        </is>
      </c>
      <c r="AW5" s="64" t="inlineStr">
        <is>
          <t>BR-20629</t>
        </is>
      </c>
      <c r="AX5" s="64" t="inlineStr">
        <is>
          <t>BR-20630</t>
        </is>
      </c>
      <c r="AY5" s="64" t="inlineStr">
        <is>
          <t>BR-20771</t>
        </is>
      </c>
      <c r="AZ5" s="64" t="inlineStr">
        <is>
          <t>BR-20772</t>
        </is>
      </c>
      <c r="BA5" s="64" t="inlineStr">
        <is>
          <t>BR-20773</t>
        </is>
      </c>
      <c r="BB5" s="64" t="inlineStr">
        <is>
          <t>BR-20628</t>
        </is>
      </c>
      <c r="BC5" s="64" t="inlineStr">
        <is>
          <t>BR-20573</t>
        </is>
      </c>
      <c r="BD5" s="64" t="inlineStr">
        <is>
          <t>BR-20768</t>
        </is>
      </c>
      <c r="BE5" s="64" t="inlineStr">
        <is>
          <t>BR-20936</t>
        </is>
      </c>
      <c r="BF5" s="64" t="inlineStr">
        <is>
          <t>BR-20895</t>
        </is>
      </c>
      <c r="BG5" s="64" t="inlineStr">
        <is>
          <t>BR-20933</t>
        </is>
      </c>
      <c r="BH5" s="64" t="inlineStr">
        <is>
          <t>BR-20934</t>
        </is>
      </c>
      <c r="BI5" s="64" t="inlineStr">
        <is>
          <t>BR-20935</t>
        </is>
      </c>
      <c r="BJ5" s="64" t="inlineStr">
        <is>
          <t>BR-20894</t>
        </is>
      </c>
      <c r="BK5" s="64" t="inlineStr">
        <is>
          <t>BR-20942</t>
        </is>
      </c>
      <c r="BL5" s="64" t="inlineStr">
        <is>
          <t>BR-20943</t>
        </is>
      </c>
      <c r="BM5" s="64" t="inlineStr">
        <is>
          <t>BR-20944</t>
        </is>
      </c>
      <c r="BN5" s="64" t="inlineStr">
        <is>
          <t>BR-20945</t>
        </is>
      </c>
      <c r="BO5" s="64" t="inlineStr">
        <is>
          <t>BR-20891</t>
        </is>
      </c>
      <c r="BP5" s="64" t="inlineStr">
        <is>
          <t>BR-20889</t>
        </is>
      </c>
      <c r="BQ5" s="64" t="inlineStr">
        <is>
          <t>BR-20940</t>
        </is>
      </c>
      <c r="BR5" s="64" t="n"/>
      <c r="BS5" s="64" t="n"/>
      <c r="BT5" s="64" t="inlineStr">
        <is>
          <t>BR-21003</t>
        </is>
      </c>
      <c r="BU5" s="77" t="n"/>
      <c r="BV5" s="64" t="inlineStr">
        <is>
          <t>BR-21070</t>
        </is>
      </c>
      <c r="BW5" s="64" t="inlineStr">
        <is>
          <t>BR-21071</t>
        </is>
      </c>
      <c r="BX5" s="64" t="inlineStr">
        <is>
          <t>BR-21028</t>
        </is>
      </c>
      <c r="BY5" s="64" t="inlineStr">
        <is>
          <t>BR-21072</t>
        </is>
      </c>
      <c r="BZ5" s="64" t="inlineStr">
        <is>
          <t>BR-21067</t>
        </is>
      </c>
      <c r="CA5" s="64" t="inlineStr">
        <is>
          <t>BR-21006</t>
        </is>
      </c>
      <c r="CB5" s="64" t="inlineStr">
        <is>
          <t>BR-21025</t>
        </is>
      </c>
      <c r="CC5" s="64" t="inlineStr">
        <is>
          <t>BR-20994</t>
        </is>
      </c>
      <c r="CD5" s="64" t="n"/>
      <c r="CE5" s="64" t="inlineStr">
        <is>
          <t>BR-21036</t>
        </is>
      </c>
      <c r="CF5" s="64" t="n"/>
      <c r="CG5" s="64" t="inlineStr">
        <is>
          <t>BR-21068</t>
        </is>
      </c>
      <c r="CH5" s="64" t="inlineStr">
        <is>
          <t>BR-21073</t>
        </is>
      </c>
      <c r="CI5" s="126" t="inlineStr">
        <is>
          <t>BR-21008</t>
        </is>
      </c>
      <c r="CJ5" s="120" t="inlineStr">
        <is>
          <t>BR-21027</t>
        </is>
      </c>
      <c r="CK5" s="64" t="n"/>
      <c r="CL5" s="120" t="inlineStr">
        <is>
          <t>BR-20996</t>
        </is>
      </c>
      <c r="CM5" s="120" t="n"/>
      <c r="CN5" s="120" t="n"/>
      <c r="CO5" s="64" t="inlineStr">
        <is>
          <t>BR-20996</t>
        </is>
      </c>
      <c r="CP5" s="64" t="inlineStr">
        <is>
          <t>BR-20996</t>
        </is>
      </c>
      <c r="CQ5" s="64" t="n"/>
      <c r="CR5" s="64" t="inlineStr">
        <is>
          <t>BR-21066</t>
        </is>
      </c>
      <c r="CS5" s="64" t="n"/>
      <c r="CT5" s="64" t="inlineStr">
        <is>
          <t>BR-21032</t>
        </is>
      </c>
      <c r="CU5" s="64" t="inlineStr">
        <is>
          <t>BR-21034</t>
        </is>
      </c>
      <c r="CV5" s="64" t="n"/>
      <c r="CW5" s="64" t="n"/>
      <c r="CX5" s="64" t="inlineStr">
        <is>
          <t>BR-21026</t>
        </is>
      </c>
      <c r="CY5" s="64" t="inlineStr">
        <is>
          <t>BR-21007</t>
        </is>
      </c>
      <c r="CZ5" s="64" t="inlineStr">
        <is>
          <t>BR-21031</t>
        </is>
      </c>
      <c r="DA5" s="64" t="inlineStr">
        <is>
          <t>BR-21058</t>
        </is>
      </c>
      <c r="DB5" s="64" t="inlineStr">
        <is>
          <t>BR-21179</t>
        </is>
      </c>
      <c r="DC5" s="64" t="n"/>
      <c r="DD5" s="64" t="n"/>
      <c r="DE5" s="64" t="n"/>
      <c r="DF5" s="64" t="inlineStr">
        <is>
          <t>QA-05060</t>
        </is>
      </c>
      <c r="DG5" s="64" t="inlineStr">
        <is>
          <t>BR-21214</t>
        </is>
      </c>
      <c r="DH5" s="64" t="inlineStr">
        <is>
          <t>BR-21219</t>
        </is>
      </c>
      <c r="DI5" s="64" t="inlineStr">
        <is>
          <t>BR-21245</t>
        </is>
      </c>
      <c r="DJ5" s="64" t="inlineStr">
        <is>
          <t>BR-21226</t>
        </is>
      </c>
      <c r="DK5" s="64" t="inlineStr">
        <is>
          <t>BR-21228</t>
        </is>
      </c>
      <c r="DL5" s="64" t="inlineStr">
        <is>
          <t>BR-21216</t>
        </is>
      </c>
      <c r="DM5" s="64" t="n"/>
      <c r="DN5" s="64" t="inlineStr">
        <is>
          <t>BR-02005</t>
        </is>
      </c>
      <c r="DO5" s="64" t="n"/>
      <c r="DP5" s="64" t="inlineStr">
        <is>
          <t>BR-02007</t>
        </is>
      </c>
      <c r="DQ5" s="64" t="n"/>
      <c r="DR5" s="64" t="inlineStr">
        <is>
          <t>BR-02006</t>
        </is>
      </c>
      <c r="DS5" s="64" t="inlineStr">
        <is>
          <t>BR-21218</t>
        </is>
      </c>
      <c r="DT5" s="64" t="inlineStr">
        <is>
          <t>BR-21220</t>
        </is>
      </c>
      <c r="DU5" s="61" t="n"/>
      <c r="DV5" s="61" t="n"/>
      <c r="DW5" s="61" t="n"/>
    </row>
    <row r="6" ht="65.25" customFormat="1" customHeight="1" s="115">
      <c r="A6" s="217" t="n"/>
      <c r="B6" s="217" t="n"/>
      <c r="C6" s="217" t="n"/>
      <c r="D6" s="217" t="n"/>
      <c r="E6" s="217" t="n"/>
      <c r="F6" s="217" t="n"/>
      <c r="G6" s="217" t="n"/>
      <c r="H6" s="217" t="n"/>
      <c r="I6" s="217" t="n"/>
      <c r="J6" s="217" t="n"/>
      <c r="K6" s="217" t="n"/>
      <c r="L6" s="217" t="n"/>
      <c r="M6" s="217" t="n"/>
      <c r="N6" s="217" t="n"/>
      <c r="O6" s="217" t="n"/>
      <c r="P6" s="217" t="n"/>
      <c r="Q6" s="221" t="inlineStr">
        <is>
          <t>DF中文</t>
        </is>
      </c>
      <c r="R6" s="124" t="inlineStr">
        <is>
          <t>工艺比例_麦芽分料_酿造_糖化_糊化锅</t>
        </is>
      </c>
      <c r="S6" s="117" t="inlineStr">
        <is>
          <t>工艺步骤时间段_进醪液_酿造_糖化_糊化锅</t>
        </is>
      </c>
      <c r="T6" s="124" t="inlineStr">
        <is>
          <t>物料和水比值_进醪液_酿造_糖化_糊化锅</t>
        </is>
      </c>
      <c r="U6" s="124" t="inlineStr">
        <is>
          <t>糊化醪3min温度_凝胶休止1_酿造_糖化_糊化锅</t>
        </is>
      </c>
      <c r="V6" s="124" t="inlineStr">
        <is>
          <t>工艺步骤时间段_凝胶休止1_酿造_糖化_糊化锅</t>
        </is>
      </c>
      <c r="W6" s="117" t="inlineStr">
        <is>
          <t>蒸汽最高压力_糊化_酿造_糖化_糊化锅</t>
        </is>
      </c>
      <c r="X6" s="124" t="n"/>
      <c r="Y6" s="124">
        <f>IF(ISNUMBER(FIND("CIP",S6)),AC6&amp;AD6&amp;"_"&amp;S6&amp;T6&amp;"_"&amp;_xlfn.TEXTJOIN("_",TRUE,AG6:AJ6),IF(AND(ISBLANK(T6),ISBLANK(S6)),AC6&amp;AD6&amp;"_"&amp;R6&amp;"_"&amp;_xlfn.TEXTJOIN("_",TRUE,AG6:AJ6),IF(AND(ISBLANK(T6),S6&lt;&gt;0),AC6&amp;AD6&amp;"_"&amp;S6&amp;"_"&amp;_xlfn.TEXTJOIN("_",TRUE,AG6:AJ6),AC6&amp;AD6&amp;"_"&amp;T6&amp;"_"&amp;_xlfn.TEXTJOIN("_",TRUE,AG6:AJ6))))</f>
        <v/>
      </c>
      <c r="Z6" s="117" t="inlineStr">
        <is>
          <t>生产运行时间段_糊化_酿造_糖化_糊化锅</t>
        </is>
      </c>
      <c r="AA6" s="117" t="n"/>
      <c r="AB6" s="64" t="inlineStr">
        <is>
          <t>工艺步骤时间段_进醪液_酿造_糖化_糖化锅</t>
        </is>
      </c>
      <c r="AC6" s="64" t="inlineStr">
        <is>
          <t>糖化醪温度_进醪液结束_酿造_糖化_糖化锅</t>
        </is>
      </c>
      <c r="AD6" s="64" t="inlineStr">
        <is>
          <t>物料和料水比值_进醪液_酿造_糖化_糖化锅</t>
        </is>
      </c>
      <c r="AE6" s="64" t="inlineStr">
        <is>
          <t>糖化醪5min温度_蛋白休止1_酿造_糖化_糖化锅</t>
        </is>
      </c>
      <c r="AF6" s="64" t="inlineStr">
        <is>
          <t>工艺步骤时间段_蛋白休止1_酿造_糖化_糖化锅</t>
        </is>
      </c>
      <c r="AG6" s="64" t="inlineStr">
        <is>
          <t>糖化醪最低温度_糖化休止1_酿造_糖化_糖化锅</t>
        </is>
      </c>
      <c r="AH6" s="64" t="inlineStr">
        <is>
          <t>蒸汽用量_升温至蛋白休止1_酿造_糖化_糖化锅</t>
        </is>
      </c>
      <c r="AI6" s="64" t="inlineStr">
        <is>
          <t>糖化醪5min温度_糖化休止1_酿造_糖化_糖化锅</t>
        </is>
      </c>
      <c r="AJ6" s="64" t="inlineStr">
        <is>
          <t>工艺步骤时间段_糖化休止1_酿造_糖化_糖化锅</t>
        </is>
      </c>
      <c r="AK6" s="64" t="inlineStr">
        <is>
          <t>工艺步骤时间段_糖化休止2_酿造_糖化_糖化锅</t>
        </is>
      </c>
      <c r="AL6" s="117" t="inlineStr">
        <is>
          <t>蒸汽最高压力_糖化_酿造_糖化_糖化锅</t>
        </is>
      </c>
      <c r="AM6" s="124" t="inlineStr">
        <is>
          <t>糖化醪步骤结束温度_等待醪液转移_酿造_糖化_糖化锅</t>
        </is>
      </c>
      <c r="AN6" s="64" t="inlineStr">
        <is>
          <t>生产运行时间段_糖化_酿造_糖化_糖化锅</t>
        </is>
      </c>
      <c r="AO6" s="64" t="inlineStr">
        <is>
          <t>工艺步骤时间段_麦汁浊循环_酿造_糖化_过滤槽</t>
        </is>
      </c>
      <c r="AP6" s="64" t="inlineStr">
        <is>
          <t>步骤结束过滤麦汁浊度_麦汁浊循环_酿造_糖化_过滤槽</t>
        </is>
      </c>
      <c r="AQ6" s="64" t="inlineStr">
        <is>
          <t>头道麦汁平均OG_头道麦汁在线分析_酿造_糖化_过滤槽</t>
        </is>
      </c>
      <c r="AR6" s="64" t="inlineStr">
        <is>
          <t>满锅最终麦汁总残糖_最终麦汁在线分析_酿造_糖化_过滤槽</t>
        </is>
      </c>
      <c r="AS6" s="64" t="inlineStr">
        <is>
          <t>弱麦汁总残糖_弱麦汁回收在线分析_酿造_糖化_过滤槽</t>
        </is>
      </c>
      <c r="AT6" s="64" t="inlineStr">
        <is>
          <t>弱麦汁回收量_弱麦汁回收_酿造_糖化_过滤槽</t>
        </is>
      </c>
      <c r="AU6" s="64" t="inlineStr">
        <is>
          <t>深耕总时间_麦汁过滤_酿造_糖化_过滤槽</t>
        </is>
      </c>
      <c r="AV6" s="64" t="inlineStr">
        <is>
          <t>头道麦汁量_头道麦汁过滤_酿造_糖化_过滤槽</t>
        </is>
      </c>
      <c r="AW6" s="61" t="inlineStr">
        <is>
          <t>满锅过滤麦汁总量_麦汁过滤_酿造_糖化_过滤槽</t>
        </is>
      </c>
      <c r="AX6" s="64" t="inlineStr">
        <is>
          <t>满锅过滤麦汁平均OG_麦汁过滤_酿造_糖化_过滤槽</t>
        </is>
      </c>
      <c r="AY6" s="64" t="inlineStr">
        <is>
          <t>头道麦汁和总醪液比值_麦汁过滤_酿造_糖化_过滤槽</t>
        </is>
      </c>
      <c r="AZ6" s="64" t="inlineStr">
        <is>
          <t>头道麦汁和满锅过滤麦汁比值_麦汁过滤_酿造_糖化_过滤槽</t>
        </is>
      </c>
      <c r="BA6" s="64" t="inlineStr">
        <is>
          <t>满锅过滤麦汁各环糖度最大差值_麦汁过滤_酿造_糖化_过滤槽</t>
        </is>
      </c>
      <c r="BB6" s="64" t="inlineStr">
        <is>
          <t>工艺总步骤时间段_麦汁过滤_酿造_糖化_过滤槽</t>
        </is>
      </c>
      <c r="BC6" s="64" t="inlineStr">
        <is>
          <t>生产运行时间段_麦汁过滤_酿造_糖化_过滤槽</t>
        </is>
      </c>
      <c r="BD6" s="64" t="inlineStr">
        <is>
          <t>满锅洗糟水平均温度_麦汁洗糟_酿造_糖化_过滤槽</t>
        </is>
      </c>
      <c r="BE6" s="64" t="inlineStr">
        <is>
          <t>步骤开始头道麦汁浊度_麦汁压滤_酿造_糖化_压滤机</t>
        </is>
      </c>
      <c r="BF6" s="64" t="inlineStr">
        <is>
          <t>头道麦汁平均OG_头道麦汁压滤_酿造_糖化_压滤机</t>
        </is>
      </c>
      <c r="BG6" s="64" t="inlineStr">
        <is>
          <t>弱麦汁回收前残糖_弱麦汁麦汁回收_酿造_糖化_压滤机</t>
        </is>
      </c>
      <c r="BH6" s="64" t="inlineStr">
        <is>
          <t>弱麦汁回收结束残糖_弱麦汁麦汁回收_酿造_糖化_压滤机</t>
        </is>
      </c>
      <c r="BI6" s="64" t="inlineStr">
        <is>
          <t>弱麦汁压滤量_弱麦汁麦汁回收_酿造_糖化_压滤机</t>
        </is>
      </c>
      <c r="BJ6" s="64" t="inlineStr">
        <is>
          <t>头道麦汁压滤量_头道麦汁压滤_酿造_糖化_压滤机</t>
        </is>
      </c>
      <c r="BK6" s="64" t="inlineStr">
        <is>
          <t>满锅压滤麦汁量_麦汁压滤_酿造_糖化_压滤机</t>
        </is>
      </c>
      <c r="BL6" s="64" t="inlineStr">
        <is>
          <t>满锅压滤麦汁平均OG_麦汁压滤_酿造_糖化_压滤机</t>
        </is>
      </c>
      <c r="BM6" s="124" t="inlineStr">
        <is>
          <t>头道麦汁量和总醪液量比值_麦汁压滤_酿造_糖化_压滤机</t>
        </is>
      </c>
      <c r="BN6" s="64" t="inlineStr">
        <is>
          <t>头道麦汁量和满锅压滤麦汁量比值_麦汁压滤_酿造_糖化_压滤机</t>
        </is>
      </c>
      <c r="BO6" s="64" t="inlineStr">
        <is>
          <t>工艺步骤时间段_麦汁压滤_酿造_糖化_压滤机</t>
        </is>
      </c>
      <c r="BP6" s="64" t="inlineStr">
        <is>
          <t>生产运行时间段_麦汁压滤_酿造_糖化_压滤机</t>
        </is>
      </c>
      <c r="BQ6" s="64" t="inlineStr">
        <is>
          <t>洗糟水平均温度_压滤机洗糟_酿造_糖化_压滤机</t>
        </is>
      </c>
      <c r="BR6" s="64" t="n"/>
      <c r="BS6" s="64" t="n"/>
      <c r="BT6" s="64" t="inlineStr">
        <is>
          <t>过滤麦汁量_进麦汁和升温到SOB_酿造_糖化_煮沸锅</t>
        </is>
      </c>
      <c r="BU6" s="77" t="n"/>
      <c r="BV6" s="64" t="inlineStr">
        <is>
          <t>过滤麦汁平均温度_进麦汁和升温到SOB_酿造_糖化_煮沸锅</t>
        </is>
      </c>
      <c r="BW6" s="64" t="inlineStr">
        <is>
          <t>SOB-KF过滤麦汁平均温度_进麦汁和升温到SOB_酿造_糖化_煮沸锅</t>
        </is>
      </c>
      <c r="BX6" s="64" t="inlineStr">
        <is>
          <t>煮沸麦汁满锅体积_满锅煮沸_酿造_糖化_煮沸锅</t>
        </is>
      </c>
      <c r="BY6" s="64" t="inlineStr">
        <is>
          <t>煮沸麦汁满锅温度_满锅煮沸_酿造_糖化_煮沸锅</t>
        </is>
      </c>
      <c r="BZ6" s="64" t="inlineStr">
        <is>
          <t>工艺步骤时间段_进麦汁和升温到SOB_酿造_糖化_煮沸锅</t>
        </is>
      </c>
      <c r="CA6" s="124" t="inlineStr">
        <is>
          <t>SOB-KF煮沸工艺步骤时间段_预煮沸_酿造_糖化_煮沸锅</t>
        </is>
      </c>
      <c r="CB6" s="64" t="inlineStr">
        <is>
          <t>KF-KO煮沸工艺步骤时间段_满锅煮沸_酿造_糖化_煮沸锅</t>
        </is>
      </c>
      <c r="CC6" s="64" t="inlineStr">
        <is>
          <t>SOB-KO煮沸工艺步骤时间段_麦汁煮沸_酿造_糖化_煮沸锅</t>
        </is>
      </c>
      <c r="CD6" s="64" t="n"/>
      <c r="CE6" s="64" t="inlineStr">
        <is>
          <t>糖浆体积_添加糖浆_酿造_糖化_煮沸锅</t>
        </is>
      </c>
      <c r="CF6" s="64" t="n"/>
      <c r="CG6" s="64" t="inlineStr">
        <is>
          <t>酒花添加至SOB工艺步骤时间段_进麦汁和升温到SOB_酿造_糖化_煮沸锅</t>
        </is>
      </c>
      <c r="CH6" s="64" t="inlineStr">
        <is>
          <t>酒花添加至KO工艺步骤时间段_满锅煮沸_酿造_糖化_煮沸锅</t>
        </is>
      </c>
      <c r="CI6" s="126" t="inlineStr">
        <is>
          <t>SOB-KF煮沸蒸发率_预煮沸_酿造_糖化_煮沸锅</t>
        </is>
      </c>
      <c r="CJ6" s="120" t="inlineStr">
        <is>
          <t>KF-KO煮沸蒸发率_满锅煮沸_酿造_糖化_煮沸锅</t>
        </is>
      </c>
      <c r="CK6" s="64" t="n"/>
      <c r="CL6" s="120" t="inlineStr">
        <is>
          <t>SOB-KO煮沸蒸发率_麦汁煮沸_酿造_糖化_煮沸锅</t>
        </is>
      </c>
      <c r="CM6" s="120" t="n"/>
      <c r="CN6" s="120" t="n"/>
      <c r="CO6" s="64" t="inlineStr">
        <is>
          <t>SOB-KO煮沸蒸发率_麦汁煮沸_酿造_糖化_煮沸锅</t>
        </is>
      </c>
      <c r="CP6" s="64" t="inlineStr">
        <is>
          <t>SOB-KO煮沸蒸发率_麦汁煮沸_酿造_糖化_煮沸锅</t>
        </is>
      </c>
      <c r="CQ6" s="64" t="n"/>
      <c r="CR6" s="64" t="inlineStr">
        <is>
          <t>SOB-KO煮沸起泡次数_麦汁煮沸_酿造_糖化_煮沸锅</t>
        </is>
      </c>
      <c r="CS6" s="64" t="n"/>
      <c r="CT6" s="64" t="inlineStr">
        <is>
          <t>煮沸麦汁最高温度_满锅煮沸_酿造_糖化_煮沸锅</t>
        </is>
      </c>
      <c r="CU6" s="64" t="inlineStr">
        <is>
          <t>煮沸麦汁最高压力_满锅煮沸_酿造_糖化_煮沸锅</t>
        </is>
      </c>
      <c r="CV6" s="64" t="n"/>
      <c r="CW6" s="64" t="n"/>
      <c r="CX6" s="64" t="inlineStr">
        <is>
          <t>KF-KO煮沸蒸汽用量_满锅煮沸_酿造_糖化_煮沸锅</t>
        </is>
      </c>
      <c r="CY6" s="64" t="inlineStr">
        <is>
          <t>SOB-KF煮沸蒸汽用量_预煮沸_酿造_糖化_煮沸锅</t>
        </is>
      </c>
      <c r="CZ6" s="64" t="inlineStr">
        <is>
          <t>煮沸麦汁40minOG_满锅煮沸_酿造_糖化_煮沸锅</t>
        </is>
      </c>
      <c r="DA6" s="64" t="inlineStr">
        <is>
          <t>工艺步骤时间段_麦汁进回旋沉淀槽_酿造_糖化_煮沸锅</t>
        </is>
      </c>
      <c r="DB6" s="64" t="inlineStr">
        <is>
          <t>回旋澄清麦汁5min体积_麦汁澄清_酿造_糖化_麦汁充氧系统</t>
        </is>
      </c>
      <c r="DC6" s="64" t="n"/>
      <c r="DD6" s="64" t="n"/>
      <c r="DE6" s="64" t="n"/>
      <c r="DF6" s="64" t="inlineStr">
        <is>
          <t>锌_冷麦汁_麦汁澄清和冷却_酿造_糖化_麦汁充氧系统_麦汁管路</t>
        </is>
      </c>
      <c r="DG6" s="64" t="inlineStr">
        <is>
          <t>工艺步骤时间段_麦汁冷却_酿造_糖化_麦汁冷却系统</t>
        </is>
      </c>
      <c r="DH6" s="64" t="inlineStr">
        <is>
          <t>冷麦汁平均温度_麦汁冷却在线分析_酿造_糖化_麦汁冷却系统</t>
        </is>
      </c>
      <c r="DI6" s="120" t="inlineStr">
        <is>
          <t>冷麦汁充氧量(kg)_麦汁充氧_酿造_糖化_麦汁充氧系统</t>
        </is>
      </c>
      <c r="DJ6" s="120" t="inlineStr">
        <is>
          <t>冷麦汁充氧量（g/hl）_麦汁充氧在线分析_酿造_糖化_麦汁充氧系统</t>
        </is>
      </c>
      <c r="DK6" s="120" t="inlineStr">
        <is>
          <t>主和次流量计偏差率_麦汁充氧_酿造_糖化_麦汁充氧系统</t>
        </is>
      </c>
      <c r="DL6" s="64" t="inlineStr">
        <is>
          <t>冷麦汁量_麦汁冷却_酿造_糖化_麦汁冷却系统</t>
        </is>
      </c>
      <c r="DM6" s="64" t="n"/>
      <c r="DN6" s="64" t="inlineStr">
        <is>
          <t>糖化单锅次热时间_糖化_酿造_糖化</t>
        </is>
      </c>
      <c r="DO6" s="64" t="n"/>
      <c r="DP6" s="64" t="inlineStr">
        <is>
          <t>糖化单锅次周期_糖化_酿造_糖化</t>
        </is>
      </c>
      <c r="DQ6" s="64" t="n"/>
      <c r="DR6" s="64" t="inlineStr">
        <is>
          <t>糖化单锅次HSI_糖化_酿造_糖化</t>
        </is>
      </c>
      <c r="DS6" s="64" t="inlineStr">
        <is>
          <t>冷麦汁平均OG_麦汁冷却在线分析_酿造_糖化_麦汁冷却系统</t>
        </is>
      </c>
      <c r="DT6" s="64" t="inlineStr">
        <is>
          <t>冷麦汁平均PH值_麦汁冷却在线分析_酿造_糖化_麦汁冷却系统</t>
        </is>
      </c>
      <c r="DU6" s="61" t="n"/>
      <c r="DV6" s="61" t="n"/>
      <c r="DW6" s="61" t="n"/>
    </row>
    <row r="7" ht="20.25" customFormat="1" customHeight="1" s="115">
      <c r="A7" s="217" t="n"/>
      <c r="B7" s="217" t="n"/>
      <c r="C7" s="217" t="n"/>
      <c r="D7" s="217" t="n"/>
      <c r="E7" s="217" t="n"/>
      <c r="F7" s="217" t="n"/>
      <c r="G7" s="217" t="n"/>
      <c r="H7" s="217" t="n"/>
      <c r="I7" s="217" t="n"/>
      <c r="J7" s="217" t="n"/>
      <c r="K7" s="217" t="n"/>
      <c r="L7" s="217" t="n"/>
      <c r="M7" s="217" t="n"/>
      <c r="N7" s="217" t="n"/>
      <c r="O7" s="217" t="n"/>
      <c r="P7" s="217" t="n"/>
      <c r="Q7" s="221" t="inlineStr">
        <is>
          <t>数据源</t>
        </is>
      </c>
      <c r="R7" s="124" t="inlineStr">
        <is>
          <t>DF</t>
        </is>
      </c>
      <c r="S7" s="124" t="inlineStr">
        <is>
          <t>DF</t>
        </is>
      </c>
      <c r="T7" s="124" t="inlineStr">
        <is>
          <t>DF</t>
        </is>
      </c>
      <c r="U7" s="124" t="inlineStr">
        <is>
          <t>DF</t>
        </is>
      </c>
      <c r="V7" s="124" t="inlineStr">
        <is>
          <t>DF</t>
        </is>
      </c>
      <c r="W7" s="125" t="inlineStr">
        <is>
          <t>DF</t>
        </is>
      </c>
      <c r="X7" s="125" t="inlineStr">
        <is>
          <t>DF</t>
        </is>
      </c>
      <c r="Y7" s="125" t="inlineStr">
        <is>
          <t>DF</t>
        </is>
      </c>
      <c r="Z7" s="117" t="inlineStr">
        <is>
          <t>DF</t>
        </is>
      </c>
      <c r="AA7" s="117" t="n"/>
      <c r="AB7" s="64" t="inlineStr">
        <is>
          <t>DF</t>
        </is>
      </c>
      <c r="AC7" s="64" t="inlineStr">
        <is>
          <t>DF</t>
        </is>
      </c>
      <c r="AD7" s="61" t="inlineStr">
        <is>
          <t>DF</t>
        </is>
      </c>
      <c r="AE7" s="64" t="inlineStr">
        <is>
          <t>DF</t>
        </is>
      </c>
      <c r="AF7" s="64" t="inlineStr">
        <is>
          <t>DF</t>
        </is>
      </c>
      <c r="AG7" s="64" t="inlineStr">
        <is>
          <t>DF</t>
        </is>
      </c>
      <c r="AH7" s="64" t="inlineStr">
        <is>
          <t>DF</t>
        </is>
      </c>
      <c r="AI7" s="64" t="inlineStr">
        <is>
          <t>DF</t>
        </is>
      </c>
      <c r="AJ7" s="64" t="inlineStr">
        <is>
          <t>DF</t>
        </is>
      </c>
      <c r="AK7" s="64" t="inlineStr">
        <is>
          <t>DF</t>
        </is>
      </c>
      <c r="AL7" s="125" t="inlineStr">
        <is>
          <t>DF</t>
        </is>
      </c>
      <c r="AM7" s="64" t="inlineStr">
        <is>
          <t>DF</t>
        </is>
      </c>
      <c r="AN7" s="64" t="inlineStr">
        <is>
          <t>DF</t>
        </is>
      </c>
      <c r="AO7" s="64" t="inlineStr">
        <is>
          <t>DF</t>
        </is>
      </c>
      <c r="AP7" s="64" t="inlineStr">
        <is>
          <t>DF</t>
        </is>
      </c>
      <c r="AQ7" s="64" t="inlineStr">
        <is>
          <t>DF</t>
        </is>
      </c>
      <c r="AR7" s="64" t="inlineStr">
        <is>
          <t>DF</t>
        </is>
      </c>
      <c r="AS7" s="64" t="inlineStr">
        <is>
          <t>DF</t>
        </is>
      </c>
      <c r="AT7" s="64" t="inlineStr">
        <is>
          <t>DF</t>
        </is>
      </c>
      <c r="AU7" s="64" t="inlineStr">
        <is>
          <t>DF</t>
        </is>
      </c>
      <c r="AV7" s="64" t="inlineStr">
        <is>
          <t>DF</t>
        </is>
      </c>
      <c r="AW7" s="64" t="inlineStr">
        <is>
          <t>DF</t>
        </is>
      </c>
      <c r="AX7" s="64" t="inlineStr">
        <is>
          <t>DF</t>
        </is>
      </c>
      <c r="AY7" s="64" t="inlineStr">
        <is>
          <t>DF</t>
        </is>
      </c>
      <c r="AZ7" s="64" t="inlineStr">
        <is>
          <t>DF</t>
        </is>
      </c>
      <c r="BA7" s="64" t="inlineStr">
        <is>
          <t>DF</t>
        </is>
      </c>
      <c r="BB7" s="64" t="inlineStr">
        <is>
          <t>DF</t>
        </is>
      </c>
      <c r="BC7" s="64" t="inlineStr">
        <is>
          <t>DF</t>
        </is>
      </c>
      <c r="BD7" s="64" t="inlineStr">
        <is>
          <t>DF</t>
        </is>
      </c>
      <c r="BE7" s="64" t="inlineStr">
        <is>
          <t>DF</t>
        </is>
      </c>
      <c r="BF7" s="64" t="inlineStr">
        <is>
          <t>DF</t>
        </is>
      </c>
      <c r="BG7" s="64" t="inlineStr">
        <is>
          <t>DF</t>
        </is>
      </c>
      <c r="BH7" s="64" t="inlineStr">
        <is>
          <t>DF</t>
        </is>
      </c>
      <c r="BI7" s="64" t="inlineStr">
        <is>
          <t>DF</t>
        </is>
      </c>
      <c r="BJ7" s="64" t="inlineStr">
        <is>
          <t>DF</t>
        </is>
      </c>
      <c r="BK7" s="64" t="inlineStr">
        <is>
          <t>DF</t>
        </is>
      </c>
      <c r="BL7" s="64" t="inlineStr">
        <is>
          <t>DF</t>
        </is>
      </c>
      <c r="BM7" s="64" t="inlineStr">
        <is>
          <t>DF</t>
        </is>
      </c>
      <c r="BN7" s="64" t="inlineStr">
        <is>
          <t>DF</t>
        </is>
      </c>
      <c r="BO7" s="64" t="inlineStr">
        <is>
          <t>DF</t>
        </is>
      </c>
      <c r="BP7" s="64" t="inlineStr">
        <is>
          <t>DF</t>
        </is>
      </c>
      <c r="BQ7" s="64" t="inlineStr">
        <is>
          <t>DF</t>
        </is>
      </c>
      <c r="BR7" s="64" t="inlineStr">
        <is>
          <t>SSS人工录入</t>
        </is>
      </c>
      <c r="BS7" s="64" t="inlineStr">
        <is>
          <t>SSS人工录入</t>
        </is>
      </c>
      <c r="BT7" s="64" t="inlineStr">
        <is>
          <t>DF</t>
        </is>
      </c>
      <c r="BU7" s="77" t="n"/>
      <c r="BV7" s="64" t="inlineStr">
        <is>
          <t>DF</t>
        </is>
      </c>
      <c r="BW7" s="64" t="inlineStr">
        <is>
          <t>DF</t>
        </is>
      </c>
      <c r="BX7" s="64" t="inlineStr">
        <is>
          <t>DF</t>
        </is>
      </c>
      <c r="BY7" s="64" t="inlineStr">
        <is>
          <t>DF</t>
        </is>
      </c>
      <c r="BZ7" s="64" t="inlineStr">
        <is>
          <t>DF</t>
        </is>
      </c>
      <c r="CA7" s="64" t="inlineStr">
        <is>
          <t>DF</t>
        </is>
      </c>
      <c r="CB7" s="64" t="inlineStr">
        <is>
          <t>DF</t>
        </is>
      </c>
      <c r="CC7" s="64" t="inlineStr">
        <is>
          <t>DF</t>
        </is>
      </c>
      <c r="CD7" s="64" t="inlineStr">
        <is>
          <t>SSS系统范围，实际值和标准计算</t>
        </is>
      </c>
      <c r="CE7" s="64" t="inlineStr">
        <is>
          <t>DF</t>
        </is>
      </c>
      <c r="CF7" s="77" t="inlineStr">
        <is>
          <t>模版数据上传</t>
        </is>
      </c>
      <c r="CG7" s="64" t="inlineStr">
        <is>
          <t>DF</t>
        </is>
      </c>
      <c r="CH7" s="64" t="inlineStr">
        <is>
          <t>DF</t>
        </is>
      </c>
      <c r="CI7" s="126" t="inlineStr">
        <is>
          <t>DF</t>
        </is>
      </c>
      <c r="CJ7" s="120" t="inlineStr">
        <is>
          <t>DF</t>
        </is>
      </c>
      <c r="CK7" s="64" t="inlineStr">
        <is>
          <t>SSS系统范围，实际值和标准计算</t>
        </is>
      </c>
      <c r="CL7" s="120" t="inlineStr">
        <is>
          <t>DF</t>
        </is>
      </c>
      <c r="CM7" s="120" t="n"/>
      <c r="CN7" s="120" t="n"/>
      <c r="CO7" s="64" t="inlineStr">
        <is>
          <t>DF</t>
        </is>
      </c>
      <c r="CP7" s="64" t="inlineStr">
        <is>
          <t>DF</t>
        </is>
      </c>
      <c r="CQ7" s="64" t="n"/>
      <c r="CR7" s="64" t="inlineStr">
        <is>
          <t>DF</t>
        </is>
      </c>
      <c r="CS7" s="64" t="n"/>
      <c r="CT7" s="64" t="inlineStr">
        <is>
          <t>DF</t>
        </is>
      </c>
      <c r="CU7" s="64" t="inlineStr">
        <is>
          <t>DF</t>
        </is>
      </c>
      <c r="CV7" s="64" t="inlineStr">
        <is>
          <t>DF</t>
        </is>
      </c>
      <c r="CW7" s="64" t="inlineStr">
        <is>
          <t>DF</t>
        </is>
      </c>
      <c r="CX7" s="64" t="inlineStr">
        <is>
          <t>DF</t>
        </is>
      </c>
      <c r="CY7" s="64" t="inlineStr">
        <is>
          <t>DF</t>
        </is>
      </c>
      <c r="CZ7" s="64" t="inlineStr">
        <is>
          <t>DF</t>
        </is>
      </c>
      <c r="DA7" s="64" t="inlineStr">
        <is>
          <t>DF</t>
        </is>
      </c>
      <c r="DB7" s="64" t="inlineStr">
        <is>
          <t>DF</t>
        </is>
      </c>
      <c r="DC7" s="64" t="inlineStr">
        <is>
          <t>SSS完成：实际值和标准计算</t>
        </is>
      </c>
      <c r="DD7" s="64" t="inlineStr">
        <is>
          <t>暂时不适用</t>
        </is>
      </c>
      <c r="DE7" s="64" t="n"/>
      <c r="DF7" s="64" t="inlineStr">
        <is>
          <t>DF</t>
        </is>
      </c>
      <c r="DG7" s="64" t="inlineStr">
        <is>
          <t>DF</t>
        </is>
      </c>
      <c r="DH7" s="64" t="inlineStr">
        <is>
          <t>DF</t>
        </is>
      </c>
      <c r="DI7" s="64" t="inlineStr">
        <is>
          <t>DF</t>
        </is>
      </c>
      <c r="DJ7" s="64" t="inlineStr">
        <is>
          <t>DF</t>
        </is>
      </c>
      <c r="DK7" s="64" t="n"/>
      <c r="DL7" s="64" t="inlineStr">
        <is>
          <t>DF</t>
        </is>
      </c>
      <c r="DM7" s="64" t="n"/>
      <c r="DN7" s="64" t="inlineStr">
        <is>
          <t>DF</t>
        </is>
      </c>
      <c r="DO7" s="64" t="inlineStr">
        <is>
          <t>SSS完成：实际值和标准计算</t>
        </is>
      </c>
      <c r="DP7" s="64" t="inlineStr">
        <is>
          <t>DF</t>
        </is>
      </c>
      <c r="DQ7" s="64" t="inlineStr">
        <is>
          <t>SSS完成：实际值和标准计算</t>
        </is>
      </c>
      <c r="DR7" s="64" t="inlineStr">
        <is>
          <t>DF</t>
        </is>
      </c>
      <c r="DS7" s="64" t="inlineStr">
        <is>
          <t>DF</t>
        </is>
      </c>
      <c r="DT7" s="64" t="inlineStr">
        <is>
          <t>DF</t>
        </is>
      </c>
      <c r="DU7" s="61" t="n"/>
      <c r="DV7" s="61" t="n"/>
      <c r="DW7" s="61" t="n"/>
    </row>
    <row r="8" ht="24" customFormat="1" customHeight="1" s="116">
      <c r="A8" s="217" t="n"/>
      <c r="B8" s="217" t="n"/>
      <c r="C8" s="217" t="n"/>
      <c r="D8" s="217" t="n"/>
      <c r="E8" s="217" t="n"/>
      <c r="F8" s="217" t="n"/>
      <c r="G8" s="217" t="n"/>
      <c r="H8" s="217" t="n"/>
      <c r="I8" s="217" t="n"/>
      <c r="J8" s="217" t="n"/>
      <c r="K8" s="217" t="n"/>
      <c r="L8" s="217" t="n"/>
      <c r="M8" s="217" t="n"/>
      <c r="N8" s="217" t="n"/>
      <c r="O8" s="217" t="n"/>
      <c r="P8" s="217" t="n"/>
      <c r="Q8" s="221" t="inlineStr">
        <is>
          <t>是否Sensory PI展示</t>
        </is>
      </c>
      <c r="R8" s="64" t="inlineStr">
        <is>
          <t>Y</t>
        </is>
      </c>
      <c r="S8" s="233" t="n"/>
      <c r="T8" s="127" t="n"/>
      <c r="U8" s="127" t="n"/>
      <c r="V8" s="127" t="n"/>
      <c r="W8" s="64" t="inlineStr">
        <is>
          <t>Y</t>
        </is>
      </c>
      <c r="X8" s="64" t="inlineStr">
        <is>
          <t>Y</t>
        </is>
      </c>
      <c r="Y8" s="64" t="inlineStr">
        <is>
          <t>Y</t>
        </is>
      </c>
      <c r="Z8" s="64" t="inlineStr">
        <is>
          <t>Y</t>
        </is>
      </c>
      <c r="AA8" s="64" t="inlineStr">
        <is>
          <t>Y</t>
        </is>
      </c>
      <c r="AB8" s="64" t="inlineStr">
        <is>
          <t>Y</t>
        </is>
      </c>
      <c r="AC8" s="64" t="inlineStr">
        <is>
          <t>Y</t>
        </is>
      </c>
      <c r="AD8" s="64" t="inlineStr">
        <is>
          <t>Y</t>
        </is>
      </c>
      <c r="AE8" s="64" t="inlineStr">
        <is>
          <t>Y</t>
        </is>
      </c>
      <c r="AF8" s="64" t="inlineStr">
        <is>
          <t>Y</t>
        </is>
      </c>
      <c r="AG8" s="127" t="n"/>
      <c r="AH8" s="97" t="n"/>
      <c r="AI8" s="64" t="inlineStr">
        <is>
          <t>Y</t>
        </is>
      </c>
      <c r="AJ8" s="64" t="inlineStr">
        <is>
          <t>Y</t>
        </is>
      </c>
      <c r="AK8" s="64" t="inlineStr">
        <is>
          <t>Y</t>
        </is>
      </c>
      <c r="AL8" s="64" t="inlineStr">
        <is>
          <t>Y</t>
        </is>
      </c>
      <c r="AM8" s="64" t="inlineStr">
        <is>
          <t>Y</t>
        </is>
      </c>
      <c r="AN8" s="64" t="inlineStr">
        <is>
          <t>Y</t>
        </is>
      </c>
      <c r="AO8" s="97" t="n"/>
      <c r="AP8" s="64" t="inlineStr">
        <is>
          <t>Y</t>
        </is>
      </c>
      <c r="AQ8" s="64" t="inlineStr">
        <is>
          <t>Y</t>
        </is>
      </c>
      <c r="AR8" s="97" t="n"/>
      <c r="AS8" s="97" t="n"/>
      <c r="AT8" s="97" t="n"/>
      <c r="AU8" s="64" t="inlineStr">
        <is>
          <t>Y</t>
        </is>
      </c>
      <c r="AV8" s="97" t="n"/>
      <c r="AW8" s="97" t="n"/>
      <c r="AX8" s="97" t="n"/>
      <c r="AY8" s="97" t="n"/>
      <c r="AZ8" s="97" t="n"/>
      <c r="BA8" s="64" t="inlineStr">
        <is>
          <t>Y</t>
        </is>
      </c>
      <c r="BB8" s="64" t="inlineStr">
        <is>
          <t>Y</t>
        </is>
      </c>
      <c r="BC8" s="64" t="n"/>
      <c r="BD8" s="64" t="inlineStr">
        <is>
          <t>Y</t>
        </is>
      </c>
      <c r="BE8" s="97" t="n"/>
      <c r="BF8" s="97" t="n"/>
      <c r="BG8" s="97" t="n"/>
      <c r="BH8" s="64" t="inlineStr">
        <is>
          <t>Y</t>
        </is>
      </c>
      <c r="BI8" s="97" t="n"/>
      <c r="BJ8" s="97" t="n"/>
      <c r="BK8" s="97" t="n"/>
      <c r="BL8" s="97" t="n"/>
      <c r="BM8" s="97" t="n"/>
      <c r="BN8" s="97" t="n"/>
      <c r="BO8" s="97" t="n"/>
      <c r="BP8" s="97" t="n"/>
      <c r="BQ8" s="97" t="n"/>
      <c r="BR8" s="97" t="n"/>
      <c r="BS8" s="97" t="n"/>
      <c r="BT8" s="64" t="inlineStr">
        <is>
          <t>Y</t>
        </is>
      </c>
      <c r="BU8" s="77" t="inlineStr">
        <is>
          <t>Y</t>
        </is>
      </c>
      <c r="BV8" s="97" t="n"/>
      <c r="BW8" s="97" t="n"/>
      <c r="BX8" s="97" t="n"/>
      <c r="BY8" s="97" t="n"/>
      <c r="BZ8" s="97" t="n"/>
      <c r="CA8" s="64" t="inlineStr">
        <is>
          <t>Y</t>
        </is>
      </c>
      <c r="CB8" s="64" t="inlineStr">
        <is>
          <t>Y</t>
        </is>
      </c>
      <c r="CC8" s="64" t="inlineStr">
        <is>
          <t>Y</t>
        </is>
      </c>
      <c r="CD8" s="64" t="inlineStr">
        <is>
          <t>Y</t>
        </is>
      </c>
      <c r="CE8" s="97" t="n"/>
      <c r="CF8" s="97" t="n"/>
      <c r="CG8" s="97" t="n"/>
      <c r="CH8" s="97" t="n"/>
      <c r="CI8" s="97" t="n"/>
      <c r="CJ8" s="64" t="inlineStr">
        <is>
          <t>Y</t>
        </is>
      </c>
      <c r="CK8" s="97" t="n"/>
      <c r="CL8" s="64" t="inlineStr">
        <is>
          <t>Y</t>
        </is>
      </c>
      <c r="CM8" s="64" t="inlineStr">
        <is>
          <t>Y</t>
        </is>
      </c>
      <c r="CN8" s="64" t="inlineStr">
        <is>
          <t>Y</t>
        </is>
      </c>
      <c r="CO8" s="97" t="n"/>
      <c r="CP8" s="97" t="n"/>
      <c r="CQ8" s="64" t="inlineStr">
        <is>
          <t>Y</t>
        </is>
      </c>
      <c r="CR8" s="64" t="inlineStr">
        <is>
          <t>Y</t>
        </is>
      </c>
      <c r="CS8" s="64" t="inlineStr">
        <is>
          <t>Y</t>
        </is>
      </c>
      <c r="CT8" s="64" t="inlineStr">
        <is>
          <t>Y</t>
        </is>
      </c>
      <c r="CU8" s="64" t="inlineStr">
        <is>
          <t>Y</t>
        </is>
      </c>
      <c r="CV8" s="97" t="n"/>
      <c r="CW8" s="64" t="inlineStr">
        <is>
          <t>Y</t>
        </is>
      </c>
      <c r="CX8" s="97" t="n"/>
      <c r="CY8" s="97" t="n"/>
      <c r="CZ8" s="97" t="n"/>
      <c r="DA8" s="64" t="n"/>
      <c r="DB8" s="64" t="inlineStr">
        <is>
          <t>Y</t>
        </is>
      </c>
      <c r="DC8" s="64" t="n"/>
      <c r="DD8" s="64" t="n"/>
      <c r="DE8" s="64" t="inlineStr">
        <is>
          <t>Y</t>
        </is>
      </c>
      <c r="DG8" s="64" t="inlineStr">
        <is>
          <t>Y</t>
        </is>
      </c>
      <c r="DH8" s="64" t="n"/>
      <c r="DI8" s="64" t="n"/>
      <c r="DJ8" s="64" t="n"/>
      <c r="DK8" s="64" t="n"/>
      <c r="DL8" s="64" t="inlineStr">
        <is>
          <t>Y</t>
        </is>
      </c>
      <c r="DM8" s="64" t="inlineStr">
        <is>
          <t>Y</t>
        </is>
      </c>
      <c r="DN8" s="64" t="inlineStr">
        <is>
          <t>Y</t>
        </is>
      </c>
      <c r="DO8" s="64" t="n"/>
      <c r="DP8" s="64" t="inlineStr">
        <is>
          <t>Y</t>
        </is>
      </c>
      <c r="DQ8" s="64" t="inlineStr">
        <is>
          <t>Y</t>
        </is>
      </c>
      <c r="DR8" s="64" t="inlineStr">
        <is>
          <t>Y</t>
        </is>
      </c>
      <c r="DS8" s="64" t="n"/>
      <c r="DT8" s="64" t="n"/>
      <c r="DU8" s="64" t="inlineStr">
        <is>
          <t>Y</t>
        </is>
      </c>
      <c r="DV8" s="64" t="inlineStr">
        <is>
          <t>Y</t>
        </is>
      </c>
      <c r="DW8" s="64" t="inlineStr">
        <is>
          <t>Y</t>
        </is>
      </c>
    </row>
    <row r="9" ht="24" customFormat="1" customHeight="1" s="116">
      <c r="A9" s="217" t="n"/>
      <c r="B9" s="217" t="n"/>
      <c r="C9" s="217" t="n"/>
      <c r="D9" s="217" t="n"/>
      <c r="E9" s="217" t="n"/>
      <c r="F9" s="217" t="n"/>
      <c r="G9" s="217" t="n"/>
      <c r="H9" s="217" t="n"/>
      <c r="I9" s="217" t="n"/>
      <c r="J9" s="217" t="n"/>
      <c r="K9" s="217" t="n"/>
      <c r="L9" s="217" t="n"/>
      <c r="M9" s="217" t="n"/>
      <c r="N9" s="217" t="n"/>
      <c r="O9" s="217" t="n"/>
      <c r="P9" s="217" t="n"/>
      <c r="Q9" s="221" t="inlineStr">
        <is>
          <t>是否为Key PI</t>
        </is>
      </c>
      <c r="R9" s="83" t="n"/>
      <c r="S9" s="83" t="n"/>
      <c r="T9" s="127" t="n"/>
      <c r="U9" s="127" t="n"/>
      <c r="V9" s="127" t="n"/>
      <c r="W9" s="64" t="inlineStr">
        <is>
          <t>Y</t>
        </is>
      </c>
      <c r="X9" s="127" t="n"/>
      <c r="Y9" s="127" t="n"/>
      <c r="Z9" s="127" t="n"/>
      <c r="AA9" s="127" t="n"/>
      <c r="AB9" s="127" t="n"/>
      <c r="AC9" s="64" t="inlineStr">
        <is>
          <t>Y</t>
        </is>
      </c>
      <c r="AD9" s="127" t="n"/>
      <c r="AE9" s="127" t="n"/>
      <c r="AF9" s="127" t="n"/>
      <c r="AG9" s="127" t="n"/>
      <c r="AH9" s="97" t="n"/>
      <c r="AI9" s="97" t="n"/>
      <c r="AJ9" s="97" t="n"/>
      <c r="AK9" s="97" t="n"/>
      <c r="AL9" s="64" t="inlineStr">
        <is>
          <t>Y</t>
        </is>
      </c>
      <c r="AM9" s="97" t="n"/>
      <c r="AN9" s="97" t="n"/>
      <c r="AO9" s="97" t="n"/>
      <c r="AP9" s="64" t="inlineStr">
        <is>
          <t>Y</t>
        </is>
      </c>
      <c r="AQ9" s="97" t="n"/>
      <c r="AR9" s="97" t="n"/>
      <c r="AS9" s="97" t="n"/>
      <c r="AT9" s="97" t="n"/>
      <c r="AU9" s="64" t="inlineStr">
        <is>
          <t>Y</t>
        </is>
      </c>
      <c r="AV9" s="97" t="n"/>
      <c r="AW9" s="97" t="n"/>
      <c r="AX9" s="97" t="n"/>
      <c r="AY9" s="97" t="n"/>
      <c r="AZ9" s="97" t="n"/>
      <c r="BA9" s="64" t="inlineStr">
        <is>
          <t>Y</t>
        </is>
      </c>
      <c r="BB9" s="97" t="n"/>
      <c r="BC9" s="97" t="n"/>
      <c r="BD9" s="64" t="inlineStr">
        <is>
          <t>Y</t>
        </is>
      </c>
      <c r="BE9" s="97" t="n"/>
      <c r="BF9" s="97" t="n"/>
      <c r="BG9" s="97" t="n"/>
      <c r="BH9" s="64" t="inlineStr">
        <is>
          <t>Y</t>
        </is>
      </c>
      <c r="BI9" s="97" t="n"/>
      <c r="BJ9" s="97" t="n"/>
      <c r="BK9" s="97" t="n"/>
      <c r="BL9" s="97" t="n"/>
      <c r="BM9" s="97" t="n"/>
      <c r="BN9" s="97" t="n"/>
      <c r="BO9" s="97" t="n"/>
      <c r="BP9" s="97" t="n"/>
      <c r="BQ9" s="97" t="n"/>
      <c r="BR9" s="97" t="n"/>
      <c r="BS9" s="97" t="n"/>
      <c r="BT9" s="97" t="n"/>
      <c r="BU9" s="128" t="n"/>
      <c r="BV9" s="97" t="n"/>
      <c r="BW9" s="97" t="n"/>
      <c r="BX9" s="97" t="n"/>
      <c r="BY9" s="97" t="n"/>
      <c r="BZ9" s="97" t="n"/>
      <c r="CA9" s="64" t="inlineStr">
        <is>
          <t>Y</t>
        </is>
      </c>
      <c r="CB9" s="97" t="n"/>
      <c r="CC9" s="97" t="n"/>
      <c r="CD9" s="64" t="inlineStr">
        <is>
          <t>Y</t>
        </is>
      </c>
      <c r="CE9" s="97" t="n"/>
      <c r="CF9" s="97" t="n"/>
      <c r="CG9" s="97" t="n"/>
      <c r="CH9" s="97" t="n"/>
      <c r="CI9" s="97" t="n"/>
      <c r="CJ9" s="64" t="inlineStr">
        <is>
          <t>Y</t>
        </is>
      </c>
      <c r="CK9" s="97" t="n"/>
      <c r="CL9" s="64" t="inlineStr">
        <is>
          <t>Y</t>
        </is>
      </c>
      <c r="CM9" s="64" t="n"/>
      <c r="CN9" s="64" t="n"/>
      <c r="CO9" s="97" t="n"/>
      <c r="CP9" s="97" t="n"/>
      <c r="CQ9" s="64" t="inlineStr">
        <is>
          <t>Y</t>
        </is>
      </c>
      <c r="CR9" s="64" t="inlineStr">
        <is>
          <t>Y</t>
        </is>
      </c>
      <c r="CS9" s="64" t="inlineStr">
        <is>
          <t>Y</t>
        </is>
      </c>
      <c r="CT9" s="97" t="n"/>
      <c r="CU9" s="97" t="n"/>
      <c r="CV9" s="97" t="n"/>
      <c r="CW9" s="64" t="inlineStr">
        <is>
          <t>Y</t>
        </is>
      </c>
      <c r="CX9" s="97" t="n"/>
      <c r="CY9" s="97" t="n"/>
      <c r="CZ9" s="97" t="n"/>
      <c r="DA9" s="64" t="n"/>
      <c r="DB9" s="64" t="n"/>
      <c r="DC9" s="64" t="n"/>
      <c r="DD9" s="64" t="n"/>
      <c r="DE9" s="64" t="n"/>
      <c r="DF9" s="64" t="n"/>
      <c r="DG9" s="64" t="n"/>
      <c r="DH9" s="64" t="n"/>
      <c r="DI9" s="64" t="n"/>
      <c r="DJ9" s="64" t="n"/>
      <c r="DK9" s="64" t="n"/>
      <c r="DL9" s="64" t="n"/>
      <c r="DM9" s="64" t="n"/>
      <c r="DN9" s="64" t="inlineStr">
        <is>
          <t>Y</t>
        </is>
      </c>
      <c r="DO9" s="64" t="n"/>
      <c r="DQ9" s="64" t="inlineStr">
        <is>
          <t>Y</t>
        </is>
      </c>
      <c r="DR9" s="64" t="inlineStr">
        <is>
          <t>Y</t>
        </is>
      </c>
      <c r="DS9" s="64" t="n"/>
      <c r="DT9" s="64" t="n"/>
      <c r="DU9" s="64" t="inlineStr">
        <is>
          <t>Y</t>
        </is>
      </c>
      <c r="DV9" s="64" t="n"/>
      <c r="DW9" s="64" t="n"/>
    </row>
    <row r="10" ht="24" customHeight="1" s="241">
      <c r="A10" s="217" t="n"/>
      <c r="B10" s="217" t="n"/>
      <c r="C10" s="217" t="n"/>
      <c r="D10" s="217" t="n"/>
      <c r="E10" s="217" t="n"/>
      <c r="F10" s="217" t="n"/>
      <c r="G10" s="217" t="n"/>
      <c r="H10" s="217" t="n"/>
      <c r="I10" s="217" t="n"/>
      <c r="J10" s="217" t="n"/>
      <c r="K10" s="217" t="n"/>
      <c r="L10" s="217" t="n"/>
      <c r="M10" s="217" t="n"/>
      <c r="N10" s="217" t="n"/>
      <c r="O10" s="217" t="n"/>
      <c r="P10" s="217" t="n"/>
      <c r="Q10" s="221" t="inlineStr">
        <is>
          <t>是否点图展示</t>
        </is>
      </c>
      <c r="R10" s="64" t="inlineStr">
        <is>
          <t>Y</t>
        </is>
      </c>
      <c r="S10" s="64" t="n"/>
      <c r="T10" s="64" t="n"/>
      <c r="U10" s="64" t="inlineStr">
        <is>
          <t>Y</t>
        </is>
      </c>
      <c r="V10" s="64" t="n"/>
      <c r="W10" s="64" t="n"/>
      <c r="X10" s="64" t="n"/>
      <c r="Y10" s="64" t="inlineStr">
        <is>
          <t>Y</t>
        </is>
      </c>
      <c r="Z10" s="64" t="inlineStr">
        <is>
          <t>Y</t>
        </is>
      </c>
      <c r="AA10" s="64" t="n"/>
      <c r="AB10" s="64" t="inlineStr">
        <is>
          <t>Y</t>
        </is>
      </c>
      <c r="AC10" s="64" t="inlineStr">
        <is>
          <t>Y</t>
        </is>
      </c>
      <c r="AD10" s="64" t="n"/>
      <c r="AE10" s="64" t="inlineStr">
        <is>
          <t>Y</t>
        </is>
      </c>
      <c r="AF10" s="64" t="inlineStr">
        <is>
          <t>Y</t>
        </is>
      </c>
      <c r="AG10" s="64" t="inlineStr">
        <is>
          <t>Y</t>
        </is>
      </c>
      <c r="AH10" s="64" t="n"/>
      <c r="AI10" s="64" t="n"/>
      <c r="AJ10" s="64" t="n"/>
      <c r="AK10" s="64" t="inlineStr">
        <is>
          <t>Y</t>
        </is>
      </c>
      <c r="AL10" s="64" t="n"/>
      <c r="AM10" s="64" t="inlineStr">
        <is>
          <t>Y</t>
        </is>
      </c>
      <c r="AN10" s="64" t="inlineStr">
        <is>
          <t>Y</t>
        </is>
      </c>
      <c r="AO10" s="64" t="n"/>
      <c r="AP10" s="64" t="inlineStr">
        <is>
          <t>Y</t>
        </is>
      </c>
      <c r="AQ10" s="64" t="inlineStr">
        <is>
          <t>Y</t>
        </is>
      </c>
      <c r="AR10" s="64" t="inlineStr">
        <is>
          <t>Y</t>
        </is>
      </c>
      <c r="AS10" s="64" t="inlineStr">
        <is>
          <t>Y</t>
        </is>
      </c>
      <c r="AT10" s="64" t="inlineStr">
        <is>
          <t>Y</t>
        </is>
      </c>
      <c r="AU10" s="64" t="inlineStr">
        <is>
          <t>Y</t>
        </is>
      </c>
      <c r="AV10" s="64" t="n"/>
      <c r="AW10" s="64" t="n"/>
      <c r="AX10" s="64" t="n"/>
      <c r="AY10" s="64" t="n"/>
      <c r="AZ10" s="64" t="n"/>
      <c r="BA10" s="64" t="n"/>
      <c r="BB10" s="64" t="inlineStr">
        <is>
          <t>Y</t>
        </is>
      </c>
      <c r="BC10" s="64" t="inlineStr">
        <is>
          <t>Y</t>
        </is>
      </c>
      <c r="BD10" s="64" t="inlineStr">
        <is>
          <t>Y</t>
        </is>
      </c>
      <c r="BE10" s="64" t="inlineStr">
        <is>
          <t>Y</t>
        </is>
      </c>
      <c r="BF10" s="64" t="inlineStr">
        <is>
          <t>Y</t>
        </is>
      </c>
      <c r="BG10" s="64" t="inlineStr">
        <is>
          <t>Y</t>
        </is>
      </c>
      <c r="BH10" s="64" t="inlineStr">
        <is>
          <t>Y</t>
        </is>
      </c>
      <c r="BI10" s="64" t="inlineStr">
        <is>
          <t>Y</t>
        </is>
      </c>
      <c r="BJ10" s="64" t="n"/>
      <c r="BK10" s="64" t="n"/>
      <c r="BL10" s="64" t="n"/>
      <c r="BM10" s="64" t="n"/>
      <c r="BN10" s="64" t="n"/>
      <c r="BO10" s="64" t="inlineStr">
        <is>
          <t>Y</t>
        </is>
      </c>
      <c r="BP10" s="64" t="inlineStr">
        <is>
          <t>Y</t>
        </is>
      </c>
      <c r="BQ10" s="64" t="inlineStr">
        <is>
          <t>Y</t>
        </is>
      </c>
      <c r="BR10" s="64" t="n"/>
      <c r="BS10" s="64" t="n"/>
      <c r="BT10" s="64" t="inlineStr">
        <is>
          <t>Y</t>
        </is>
      </c>
      <c r="BU10" s="77" t="n"/>
      <c r="BV10" s="64" t="n"/>
      <c r="BW10" s="64" t="inlineStr">
        <is>
          <t>Y</t>
        </is>
      </c>
      <c r="BX10" s="64" t="n"/>
      <c r="BY10" s="64" t="n"/>
      <c r="BZ10" s="64" t="inlineStr">
        <is>
          <t>Y</t>
        </is>
      </c>
      <c r="CA10" s="64" t="inlineStr">
        <is>
          <t>Y</t>
        </is>
      </c>
      <c r="CB10" s="64" t="inlineStr">
        <is>
          <t>Y</t>
        </is>
      </c>
      <c r="CC10" s="64" t="inlineStr">
        <is>
          <t>Y</t>
        </is>
      </c>
      <c r="CD10" s="64" t="inlineStr">
        <is>
          <t>Y</t>
        </is>
      </c>
      <c r="CE10" s="64" t="n"/>
      <c r="CF10" s="64" t="n"/>
      <c r="CG10" s="64" t="n"/>
      <c r="CH10" s="64" t="n"/>
      <c r="CI10" s="120" t="inlineStr">
        <is>
          <t>Y</t>
        </is>
      </c>
      <c r="CJ10" s="120" t="inlineStr">
        <is>
          <t>Y</t>
        </is>
      </c>
      <c r="CK10" s="64" t="n"/>
      <c r="CL10" s="120" t="inlineStr">
        <is>
          <t>Y</t>
        </is>
      </c>
      <c r="CM10" s="120" t="n"/>
      <c r="CN10" s="120" t="n"/>
      <c r="CO10" s="64" t="n"/>
      <c r="CP10" s="64" t="n"/>
      <c r="CQ10" s="64" t="n"/>
      <c r="CR10" s="64" t="inlineStr">
        <is>
          <t>Y</t>
        </is>
      </c>
      <c r="CS10" s="64" t="n"/>
      <c r="CT10" s="64" t="inlineStr">
        <is>
          <t>Y</t>
        </is>
      </c>
      <c r="CU10" s="64" t="inlineStr">
        <is>
          <t>Y</t>
        </is>
      </c>
      <c r="CV10" s="64" t="n"/>
      <c r="CW10" s="64" t="n"/>
      <c r="CX10" s="64" t="n"/>
      <c r="CY10" s="64" t="inlineStr">
        <is>
          <t>Y</t>
        </is>
      </c>
      <c r="CZ10" s="64" t="n"/>
      <c r="DA10" s="64" t="inlineStr">
        <is>
          <t>Y</t>
        </is>
      </c>
      <c r="DB10" s="64" t="inlineStr">
        <is>
          <t>Y</t>
        </is>
      </c>
      <c r="DC10" s="64" t="inlineStr">
        <is>
          <t>Y</t>
        </is>
      </c>
      <c r="DD10" s="64" t="n"/>
      <c r="DE10" s="64" t="n"/>
      <c r="DF10" s="64" t="n"/>
      <c r="DG10" s="64" t="inlineStr">
        <is>
          <t>Y</t>
        </is>
      </c>
      <c r="DH10" s="64" t="n"/>
      <c r="DI10" s="64" t="n"/>
      <c r="DJ10" s="64" t="inlineStr">
        <is>
          <t>Y</t>
        </is>
      </c>
      <c r="DK10" s="64" t="n"/>
      <c r="DL10" s="64" t="inlineStr">
        <is>
          <t>Y</t>
        </is>
      </c>
      <c r="DM10" s="64" t="n"/>
      <c r="DN10" s="64" t="inlineStr">
        <is>
          <t>Y</t>
        </is>
      </c>
      <c r="DO10" s="64" t="n"/>
      <c r="DP10" s="64" t="inlineStr">
        <is>
          <t>Y</t>
        </is>
      </c>
      <c r="DQ10" s="64" t="n"/>
      <c r="DR10" s="64" t="inlineStr">
        <is>
          <t>Y</t>
        </is>
      </c>
      <c r="DS10" s="64" t="inlineStr">
        <is>
          <t>Y</t>
        </is>
      </c>
      <c r="DT10" s="64" t="inlineStr">
        <is>
          <t>Y</t>
        </is>
      </c>
      <c r="DU10" s="64" t="n"/>
      <c r="DV10" s="64" t="n"/>
      <c r="DW10" s="64" t="n"/>
    </row>
    <row r="11">
      <c r="A11" s="218" t="n"/>
      <c r="B11" s="218" t="n"/>
      <c r="C11" s="218" t="n"/>
      <c r="D11" s="218" t="n"/>
      <c r="E11" s="218" t="n"/>
      <c r="F11" s="218" t="n"/>
      <c r="G11" s="218" t="n"/>
      <c r="H11" s="218" t="n"/>
      <c r="I11" s="218" t="n"/>
      <c r="J11" s="218" t="n"/>
      <c r="K11" s="218" t="n"/>
      <c r="L11" s="218" t="n"/>
      <c r="M11" s="218" t="n"/>
      <c r="N11" s="218" t="n"/>
      <c r="O11" s="218" t="n"/>
      <c r="P11" s="218" t="n"/>
      <c r="Q11" s="67" t="inlineStr">
        <is>
          <t>Unit</t>
        </is>
      </c>
      <c r="R11" s="111" t="inlineStr">
        <is>
          <t>%</t>
        </is>
      </c>
      <c r="S11" s="69" t="inlineStr">
        <is>
          <t>min</t>
        </is>
      </c>
      <c r="T11" s="111" t="n"/>
      <c r="U11" s="69" t="inlineStr">
        <is>
          <t>°C</t>
        </is>
      </c>
      <c r="V11" s="70" t="inlineStr">
        <is>
          <t>min</t>
        </is>
      </c>
      <c r="W11" s="70" t="inlineStr">
        <is>
          <t>Bar</t>
        </is>
      </c>
      <c r="X11" s="70" t="inlineStr">
        <is>
          <t>min</t>
        </is>
      </c>
      <c r="Y11" s="70" t="inlineStr">
        <is>
          <t>°C</t>
        </is>
      </c>
      <c r="Z11" s="70" t="inlineStr">
        <is>
          <t>min</t>
        </is>
      </c>
      <c r="AA11" s="70" t="inlineStr">
        <is>
          <t>min</t>
        </is>
      </c>
      <c r="AB11" s="69" t="inlineStr">
        <is>
          <t>min</t>
        </is>
      </c>
      <c r="AC11" s="69" t="inlineStr">
        <is>
          <t>°C</t>
        </is>
      </c>
      <c r="AD11" s="69" t="n"/>
      <c r="AE11" s="69" t="inlineStr">
        <is>
          <t>°C</t>
        </is>
      </c>
      <c r="AF11" s="69" t="inlineStr">
        <is>
          <t>min</t>
        </is>
      </c>
      <c r="AG11" s="69" t="inlineStr">
        <is>
          <t>°C</t>
        </is>
      </c>
      <c r="AH11" s="69" t="inlineStr">
        <is>
          <t>Kg</t>
        </is>
      </c>
      <c r="AI11" s="69" t="inlineStr">
        <is>
          <t>°C</t>
        </is>
      </c>
      <c r="AJ11" s="69" t="inlineStr">
        <is>
          <t>min</t>
        </is>
      </c>
      <c r="AK11" s="69" t="inlineStr">
        <is>
          <t>min</t>
        </is>
      </c>
      <c r="AL11" s="70" t="inlineStr">
        <is>
          <t>Bar</t>
        </is>
      </c>
      <c r="AM11" s="69" t="inlineStr">
        <is>
          <t>°C</t>
        </is>
      </c>
      <c r="AN11" s="69" t="inlineStr">
        <is>
          <t>min</t>
        </is>
      </c>
      <c r="AO11" s="111" t="inlineStr">
        <is>
          <t>min</t>
        </is>
      </c>
      <c r="AP11" s="111" t="inlineStr">
        <is>
          <t>EBC</t>
        </is>
      </c>
      <c r="AQ11" s="70" t="inlineStr">
        <is>
          <t>Plato</t>
        </is>
      </c>
      <c r="AR11" s="70" t="inlineStr">
        <is>
          <t>Plato</t>
        </is>
      </c>
      <c r="AS11" s="70" t="inlineStr">
        <is>
          <t>Plato</t>
        </is>
      </c>
      <c r="AT11" s="69" t="inlineStr">
        <is>
          <t>HL</t>
        </is>
      </c>
      <c r="AU11" s="70" t="n"/>
      <c r="AV11" s="70" t="inlineStr">
        <is>
          <t>HL</t>
        </is>
      </c>
      <c r="AW11" s="70" t="inlineStr">
        <is>
          <t>HL</t>
        </is>
      </c>
      <c r="AX11" s="70" t="inlineStr">
        <is>
          <t>Plato</t>
        </is>
      </c>
      <c r="AY11" s="70" t="inlineStr">
        <is>
          <t>%</t>
        </is>
      </c>
      <c r="AZ11" s="70" t="inlineStr">
        <is>
          <t>%</t>
        </is>
      </c>
      <c r="BA11" s="70" t="inlineStr">
        <is>
          <t>Plato</t>
        </is>
      </c>
      <c r="BB11" s="69" t="inlineStr">
        <is>
          <t>min</t>
        </is>
      </c>
      <c r="BC11" s="69" t="inlineStr">
        <is>
          <t>min</t>
        </is>
      </c>
      <c r="BD11" s="70" t="inlineStr">
        <is>
          <t>°C</t>
        </is>
      </c>
      <c r="BE11" s="111" t="inlineStr">
        <is>
          <t>EBC</t>
        </is>
      </c>
      <c r="BF11" s="69" t="inlineStr">
        <is>
          <t>Plato</t>
        </is>
      </c>
      <c r="BG11" s="69" t="inlineStr">
        <is>
          <t>Plato</t>
        </is>
      </c>
      <c r="BH11" s="69" t="inlineStr">
        <is>
          <t>Plato</t>
        </is>
      </c>
      <c r="BI11" s="70" t="inlineStr">
        <is>
          <t>HL</t>
        </is>
      </c>
      <c r="BJ11" s="70" t="inlineStr">
        <is>
          <t>HL</t>
        </is>
      </c>
      <c r="BK11" s="70" t="inlineStr">
        <is>
          <t>HL</t>
        </is>
      </c>
      <c r="BL11" s="70" t="inlineStr">
        <is>
          <t>Plato</t>
        </is>
      </c>
      <c r="BM11" s="70" t="inlineStr">
        <is>
          <t>%</t>
        </is>
      </c>
      <c r="BN11" s="70" t="inlineStr">
        <is>
          <t>%</t>
        </is>
      </c>
      <c r="BO11" s="69" t="inlineStr">
        <is>
          <t>min</t>
        </is>
      </c>
      <c r="BP11" s="69" t="inlineStr">
        <is>
          <t>min</t>
        </is>
      </c>
      <c r="BQ11" s="69" t="inlineStr">
        <is>
          <t>°C</t>
        </is>
      </c>
      <c r="BR11" s="69" t="n"/>
      <c r="BS11" s="69" t="n"/>
      <c r="BT11" s="70" t="inlineStr">
        <is>
          <t>HL</t>
        </is>
      </c>
      <c r="BU11" s="112" t="inlineStr">
        <is>
          <t>°C</t>
        </is>
      </c>
      <c r="BV11" s="70" t="inlineStr">
        <is>
          <t>°C</t>
        </is>
      </c>
      <c r="BW11" s="70" t="inlineStr">
        <is>
          <t>°C</t>
        </is>
      </c>
      <c r="BX11" s="69" t="inlineStr">
        <is>
          <t>HL</t>
        </is>
      </c>
      <c r="BY11" s="69" t="inlineStr">
        <is>
          <t>°C</t>
        </is>
      </c>
      <c r="BZ11" s="69" t="inlineStr">
        <is>
          <t>min</t>
        </is>
      </c>
      <c r="CA11" s="69" t="inlineStr">
        <is>
          <t>min</t>
        </is>
      </c>
      <c r="CB11" s="69" t="inlineStr">
        <is>
          <t>min</t>
        </is>
      </c>
      <c r="CC11" s="69" t="inlineStr">
        <is>
          <t>min</t>
        </is>
      </c>
      <c r="CD11" s="69" t="inlineStr">
        <is>
          <t>min</t>
        </is>
      </c>
      <c r="CE11" s="69" t="inlineStr">
        <is>
          <t>HL</t>
        </is>
      </c>
      <c r="CF11" s="70" t="inlineStr">
        <is>
          <t>°C</t>
        </is>
      </c>
      <c r="CG11" s="70" t="inlineStr">
        <is>
          <t>min</t>
        </is>
      </c>
      <c r="CH11" s="70" t="inlineStr">
        <is>
          <t>min</t>
        </is>
      </c>
      <c r="CI11" s="129" t="inlineStr">
        <is>
          <t>%</t>
        </is>
      </c>
      <c r="CJ11" s="129" t="inlineStr">
        <is>
          <t>%</t>
        </is>
      </c>
      <c r="CK11" s="70" t="inlineStr">
        <is>
          <t>%</t>
        </is>
      </c>
      <c r="CL11" s="129" t="inlineStr">
        <is>
          <t>%</t>
        </is>
      </c>
      <c r="CM11" s="70" t="inlineStr">
        <is>
          <t>%</t>
        </is>
      </c>
      <c r="CN11" s="70" t="inlineStr">
        <is>
          <t>%</t>
        </is>
      </c>
      <c r="CO11" s="70" t="inlineStr">
        <is>
          <t>%</t>
        </is>
      </c>
      <c r="CP11" s="70" t="inlineStr">
        <is>
          <t>%</t>
        </is>
      </c>
      <c r="CQ11" s="70" t="inlineStr">
        <is>
          <t>min</t>
        </is>
      </c>
      <c r="CR11" s="70" t="n"/>
      <c r="CS11" s="70" t="n"/>
      <c r="CT11" s="70" t="inlineStr">
        <is>
          <t>°C</t>
        </is>
      </c>
      <c r="CU11" s="70" t="inlineStr">
        <is>
          <t>mBar</t>
        </is>
      </c>
      <c r="CV11" s="70" t="inlineStr">
        <is>
          <t>Bar</t>
        </is>
      </c>
      <c r="CW11" s="70" t="inlineStr">
        <is>
          <t>Bar</t>
        </is>
      </c>
      <c r="CX11" s="70" t="inlineStr">
        <is>
          <t>Kg</t>
        </is>
      </c>
      <c r="CY11" s="70" t="inlineStr">
        <is>
          <t>Kg</t>
        </is>
      </c>
      <c r="CZ11" s="70" t="inlineStr">
        <is>
          <t>Plato</t>
        </is>
      </c>
      <c r="DA11" s="70" t="inlineStr">
        <is>
          <t>min</t>
        </is>
      </c>
      <c r="DB11" s="70" t="inlineStr">
        <is>
          <t>min</t>
        </is>
      </c>
      <c r="DC11" s="70" t="inlineStr">
        <is>
          <t>min</t>
        </is>
      </c>
      <c r="DD11" s="70" t="inlineStr">
        <is>
          <t>°C</t>
        </is>
      </c>
      <c r="DE11" s="70" t="inlineStr">
        <is>
          <t>g/Brew</t>
        </is>
      </c>
      <c r="DF11" s="70" t="inlineStr">
        <is>
          <t>g/HL</t>
        </is>
      </c>
      <c r="DG11" s="70" t="inlineStr">
        <is>
          <t>min</t>
        </is>
      </c>
      <c r="DH11" s="70" t="inlineStr">
        <is>
          <t>°C</t>
        </is>
      </c>
      <c r="DI11" s="70" t="inlineStr">
        <is>
          <t>Kg/Brew</t>
        </is>
      </c>
      <c r="DJ11" s="129" t="inlineStr">
        <is>
          <t>g/HL</t>
        </is>
      </c>
      <c r="DK11" s="129" t="inlineStr">
        <is>
          <t>%</t>
        </is>
      </c>
      <c r="DL11" s="70" t="inlineStr">
        <is>
          <t>HL</t>
        </is>
      </c>
      <c r="DM11" s="70" t="inlineStr">
        <is>
          <t>min</t>
        </is>
      </c>
      <c r="DN11" s="70" t="inlineStr">
        <is>
          <t>min</t>
        </is>
      </c>
      <c r="DO11" s="70" t="inlineStr">
        <is>
          <t>min</t>
        </is>
      </c>
      <c r="DP11" s="70" t="inlineStr">
        <is>
          <t>min</t>
        </is>
      </c>
      <c r="DQ11" s="70" t="inlineStr">
        <is>
          <t>min</t>
        </is>
      </c>
      <c r="DR11" s="70" t="n"/>
      <c r="DS11" s="70" t="inlineStr">
        <is>
          <t>Plato</t>
        </is>
      </c>
      <c r="DT11" s="70" t="inlineStr">
        <is>
          <t>Plato</t>
        </is>
      </c>
      <c r="DU11" s="70" t="inlineStr">
        <is>
          <t>OK/NOK</t>
        </is>
      </c>
      <c r="DV11" s="70" t="n"/>
      <c r="DW11" s="70" t="n"/>
    </row>
    <row r="12">
      <c r="O12" s="73" t="n"/>
      <c r="P12" s="74" t="n"/>
    </row>
    <row r="13">
      <c r="O13" s="73" t="n"/>
      <c r="P13" s="74" t="n"/>
    </row>
    <row r="14">
      <c r="O14" s="73" t="n"/>
      <c r="P14" s="74" t="n"/>
    </row>
    <row r="15">
      <c r="O15" s="73" t="n"/>
      <c r="P15" s="74" t="n"/>
    </row>
  </sheetData>
  <mergeCells count="22">
    <mergeCell ref="BR1:DA1"/>
    <mergeCell ref="AO1:BD1"/>
    <mergeCell ref="C1:C11"/>
    <mergeCell ref="E1:E11"/>
    <mergeCell ref="K1:K11"/>
    <mergeCell ref="M1:M11"/>
    <mergeCell ref="O1:O11"/>
    <mergeCell ref="B1:B11"/>
    <mergeCell ref="R1:AA1"/>
    <mergeCell ref="L1:L11"/>
    <mergeCell ref="N1:N11"/>
    <mergeCell ref="DB1:DW1"/>
    <mergeCell ref="G1:G11"/>
    <mergeCell ref="I1:I11"/>
    <mergeCell ref="D1:D11"/>
    <mergeCell ref="AB1:AN1"/>
    <mergeCell ref="BE1:BQ1"/>
    <mergeCell ref="F1:F11"/>
    <mergeCell ref="H1:H11"/>
    <mergeCell ref="J1:J11"/>
    <mergeCell ref="P1:P11"/>
    <mergeCell ref="A1:A11"/>
  </mergeCells>
  <conditionalFormatting sqref="H8:N8">
    <cfRule type="cellIs" priority="226" operator="equal" dxfId="0">
      <formula>"Y"</formula>
    </cfRule>
    <cfRule type="cellIs" priority="225" operator="equal" dxfId="4">
      <formula>"N"</formula>
    </cfRule>
  </conditionalFormatting>
  <conditionalFormatting sqref="M9:N9">
    <cfRule type="cellIs" priority="228" operator="equal" dxfId="0">
      <formula>"Y"</formula>
    </cfRule>
    <cfRule type="cellIs" priority="227" operator="equal" dxfId="4">
      <formula>"N"</formula>
    </cfRule>
  </conditionalFormatting>
  <conditionalFormatting sqref="R5">
    <cfRule type="duplicateValues" priority="438" dxfId="102"/>
  </conditionalFormatting>
  <conditionalFormatting sqref="R6">
    <cfRule type="duplicateValues" priority="439" dxfId="102"/>
  </conditionalFormatting>
  <conditionalFormatting sqref="R7">
    <cfRule type="duplicateValues" priority="440" dxfId="102"/>
  </conditionalFormatting>
  <conditionalFormatting sqref="R8:S8">
    <cfRule type="cellIs" priority="224" operator="equal" dxfId="0">
      <formula>"Y"</formula>
    </cfRule>
    <cfRule type="cellIs" priority="223" operator="equal" dxfId="4">
      <formula>"N"</formula>
    </cfRule>
  </conditionalFormatting>
  <conditionalFormatting sqref="S5">
    <cfRule type="duplicateValues" priority="362" dxfId="102"/>
  </conditionalFormatting>
  <conditionalFormatting sqref="S7">
    <cfRule type="duplicateValues" priority="239" dxfId="102"/>
  </conditionalFormatting>
  <conditionalFormatting sqref="T5">
    <cfRule type="duplicateValues" priority="374" dxfId="102"/>
  </conditionalFormatting>
  <conditionalFormatting sqref="T6">
    <cfRule type="duplicateValues" priority="375" dxfId="102"/>
  </conditionalFormatting>
  <conditionalFormatting sqref="T7">
    <cfRule type="duplicateValues" priority="241" dxfId="102"/>
  </conditionalFormatting>
  <conditionalFormatting sqref="U5">
    <cfRule type="duplicateValues" priority="369" dxfId="102"/>
  </conditionalFormatting>
  <conditionalFormatting sqref="U6">
    <cfRule type="duplicateValues" priority="259" dxfId="102"/>
  </conditionalFormatting>
  <conditionalFormatting sqref="U7">
    <cfRule type="duplicateValues" priority="240" dxfId="102"/>
  </conditionalFormatting>
  <conditionalFormatting sqref="V5">
    <cfRule type="duplicateValues" priority="246" dxfId="102"/>
  </conditionalFormatting>
  <conditionalFormatting sqref="V6">
    <cfRule type="duplicateValues" priority="247" dxfId="102"/>
  </conditionalFormatting>
  <conditionalFormatting sqref="V7">
    <cfRule type="duplicateValues" priority="238" dxfId="102"/>
  </conditionalFormatting>
  <conditionalFormatting sqref="W8:W9">
    <cfRule type="cellIs" priority="220" operator="equal" dxfId="0">
      <formula>"Y"</formula>
    </cfRule>
    <cfRule type="cellIs" priority="219" operator="equal" dxfId="4">
      <formula>"N"</formula>
    </cfRule>
  </conditionalFormatting>
  <conditionalFormatting sqref="X6">
    <cfRule type="duplicateValues" priority="233" dxfId="102"/>
  </conditionalFormatting>
  <conditionalFormatting sqref="X8:AB8">
    <cfRule type="cellIs" priority="211" operator="equal" dxfId="4">
      <formula>"N"</formula>
    </cfRule>
    <cfRule type="cellIs" priority="212" operator="equal" dxfId="0">
      <formula>"Y"</formula>
    </cfRule>
  </conditionalFormatting>
  <conditionalFormatting sqref="Y6">
    <cfRule type="duplicateValues" priority="245" dxfId="102"/>
  </conditionalFormatting>
  <conditionalFormatting sqref="AC8:AC9">
    <cfRule type="cellIs" priority="207" operator="equal" dxfId="4">
      <formula>"N"</formula>
    </cfRule>
    <cfRule type="cellIs" priority="208" operator="equal" dxfId="0">
      <formula>"Y"</formula>
    </cfRule>
  </conditionalFormatting>
  <conditionalFormatting sqref="AD8:AF8">
    <cfRule type="cellIs" priority="201" operator="equal" dxfId="4">
      <formula>"N"</formula>
    </cfRule>
    <cfRule type="cellIs" priority="202" operator="equal" dxfId="0">
      <formula>"Y"</formula>
    </cfRule>
  </conditionalFormatting>
  <conditionalFormatting sqref="AI8:AN8">
    <cfRule type="cellIs" priority="197" operator="equal" dxfId="4">
      <formula>"N"</formula>
    </cfRule>
    <cfRule type="cellIs" priority="198" operator="equal" dxfId="0">
      <formula>"Y"</formula>
    </cfRule>
  </conditionalFormatting>
  <conditionalFormatting sqref="AL9">
    <cfRule type="cellIs" priority="195" operator="equal" dxfId="4">
      <formula>"N"</formula>
    </cfRule>
    <cfRule type="cellIs" priority="196" operator="equal" dxfId="0">
      <formula>"Y"</formula>
    </cfRule>
  </conditionalFormatting>
  <conditionalFormatting sqref="AM6">
    <cfRule type="duplicateValues" priority="389" dxfId="102"/>
  </conditionalFormatting>
  <conditionalFormatting sqref="AP8:AP9">
    <cfRule type="cellIs" priority="192" operator="equal" dxfId="0">
      <formula>"Y"</formula>
    </cfRule>
    <cfRule type="cellIs" priority="191" operator="equal" dxfId="4">
      <formula>"N"</formula>
    </cfRule>
  </conditionalFormatting>
  <conditionalFormatting sqref="AQ8">
    <cfRule type="cellIs" priority="190" operator="equal" dxfId="0">
      <formula>"Y"</formula>
    </cfRule>
    <cfRule type="cellIs" priority="189" operator="equal" dxfId="4">
      <formula>"N"</formula>
    </cfRule>
  </conditionalFormatting>
  <conditionalFormatting sqref="AU8:AU9">
    <cfRule type="cellIs" priority="188" operator="equal" dxfId="0">
      <formula>"Y"</formula>
    </cfRule>
    <cfRule type="cellIs" priority="187" operator="equal" dxfId="4">
      <formula>"N"</formula>
    </cfRule>
  </conditionalFormatting>
  <conditionalFormatting sqref="BA8:BB9">
    <cfRule type="cellIs" priority="177" operator="equal" dxfId="4">
      <formula>"N"</formula>
    </cfRule>
    <cfRule type="cellIs" priority="178" operator="equal" dxfId="0">
      <formula>"Y"</formula>
    </cfRule>
  </conditionalFormatting>
  <conditionalFormatting sqref="R10:DV10 BB8:BD8">
    <cfRule type="cellIs" priority="232" operator="equal" dxfId="0">
      <formula>"Y"</formula>
    </cfRule>
    <cfRule type="cellIs" priority="231" operator="equal" dxfId="4">
      <formula>"N"</formula>
    </cfRule>
  </conditionalFormatting>
  <conditionalFormatting sqref="BD8:BD9">
    <cfRule type="cellIs" priority="172" operator="equal" dxfId="0">
      <formula>"Y"</formula>
    </cfRule>
    <cfRule type="cellIs" priority="171" operator="equal" dxfId="4">
      <formula>"N"</formula>
    </cfRule>
  </conditionalFormatting>
  <conditionalFormatting sqref="BH8:BH9">
    <cfRule type="cellIs" priority="163" operator="equal" dxfId="4">
      <formula>"N"</formula>
    </cfRule>
    <cfRule type="cellIs" priority="164" operator="equal" dxfId="0">
      <formula>"Y"</formula>
    </cfRule>
  </conditionalFormatting>
  <conditionalFormatting sqref="BM6">
    <cfRule type="duplicateValues" priority="244" dxfId="102"/>
  </conditionalFormatting>
  <conditionalFormatting sqref="BT8:BU8">
    <cfRule type="cellIs" priority="160" operator="equal" dxfId="0">
      <formula>"Y"</formula>
    </cfRule>
    <cfRule type="cellIs" priority="159" operator="equal" dxfId="4">
      <formula>"N"</formula>
    </cfRule>
  </conditionalFormatting>
  <conditionalFormatting sqref="CA6">
    <cfRule type="duplicateValues" priority="415" dxfId="102"/>
  </conditionalFormatting>
  <conditionalFormatting sqref="CA8:CA9">
    <cfRule type="cellIs" priority="152" operator="equal" dxfId="0">
      <formula>"Y"</formula>
    </cfRule>
    <cfRule type="cellIs" priority="151" operator="equal" dxfId="4">
      <formula>"N"</formula>
    </cfRule>
  </conditionalFormatting>
  <conditionalFormatting sqref="CB8:CC8">
    <cfRule type="cellIs" priority="144" operator="equal" dxfId="0">
      <formula>"Y"</formula>
    </cfRule>
    <cfRule type="cellIs" priority="143" operator="equal" dxfId="4">
      <formula>"N"</formula>
    </cfRule>
  </conditionalFormatting>
  <conditionalFormatting sqref="CD8:CD9">
    <cfRule type="cellIs" priority="135" operator="equal" dxfId="4">
      <formula>"N"</formula>
    </cfRule>
    <cfRule type="cellIs" priority="136" operator="equal" dxfId="0">
      <formula>"Y"</formula>
    </cfRule>
  </conditionalFormatting>
  <conditionalFormatting sqref="CI5">
    <cfRule type="duplicateValues" priority="410" dxfId="102"/>
  </conditionalFormatting>
  <conditionalFormatting sqref="CI6">
    <cfRule type="duplicateValues" priority="411" dxfId="102"/>
  </conditionalFormatting>
  <conditionalFormatting sqref="CI7">
    <cfRule type="duplicateValues" priority="242" dxfId="102"/>
  </conditionalFormatting>
  <conditionalFormatting sqref="CJ8:CJ9">
    <cfRule type="cellIs" priority="127" operator="equal" dxfId="4">
      <formula>"N"</formula>
    </cfRule>
    <cfRule type="cellIs" priority="128" operator="equal" dxfId="0">
      <formula>"Y"</formula>
    </cfRule>
  </conditionalFormatting>
  <conditionalFormatting sqref="CL8:CN9">
    <cfRule type="cellIs" priority="120" operator="equal" dxfId="0">
      <formula>"Y"</formula>
    </cfRule>
    <cfRule type="cellIs" priority="119" operator="equal" dxfId="4">
      <formula>"N"</formula>
    </cfRule>
  </conditionalFormatting>
  <conditionalFormatting sqref="CQ8:CQ9">
    <cfRule type="cellIs" priority="116" operator="equal" dxfId="0">
      <formula>"Y"</formula>
    </cfRule>
    <cfRule type="cellIs" priority="115" operator="equal" dxfId="4">
      <formula>"N"</formula>
    </cfRule>
  </conditionalFormatting>
  <conditionalFormatting sqref="CR9:CS9">
    <cfRule type="cellIs" priority="104" operator="equal" dxfId="0">
      <formula>"Y"</formula>
    </cfRule>
    <cfRule type="cellIs" priority="103" operator="equal" dxfId="4">
      <formula>"N"</formula>
    </cfRule>
  </conditionalFormatting>
  <conditionalFormatting sqref="CR8:CU8">
    <cfRule type="cellIs" priority="112" operator="equal" dxfId="0">
      <formula>"Y"</formula>
    </cfRule>
    <cfRule type="cellIs" priority="111" operator="equal" dxfId="4">
      <formula>"N"</formula>
    </cfRule>
  </conditionalFormatting>
  <conditionalFormatting sqref="CW8:CW9">
    <cfRule type="cellIs" priority="96" operator="equal" dxfId="0">
      <formula>"Y"</formula>
    </cfRule>
    <cfRule type="cellIs" priority="95" operator="equal" dxfId="4">
      <formula>"N"</formula>
    </cfRule>
  </conditionalFormatting>
  <conditionalFormatting sqref="DA8:DE9">
    <cfRule type="cellIs" priority="4" operator="equal" dxfId="0">
      <formula>"Y"</formula>
    </cfRule>
    <cfRule type="cellIs" priority="3" operator="equal" dxfId="4">
      <formula>"N"</formula>
    </cfRule>
  </conditionalFormatting>
  <conditionalFormatting sqref="DF9">
    <cfRule type="cellIs" priority="19" operator="equal" dxfId="4">
      <formula>"N"</formula>
    </cfRule>
    <cfRule type="cellIs" priority="20" operator="equal" dxfId="0">
      <formula>"Y"</formula>
    </cfRule>
  </conditionalFormatting>
  <conditionalFormatting sqref="DG8:DO9">
    <cfRule type="cellIs" priority="22" operator="equal" dxfId="0">
      <formula>"Y"</formula>
    </cfRule>
    <cfRule type="cellIs" priority="21" operator="equal" dxfId="4">
      <formula>"N"</formula>
    </cfRule>
  </conditionalFormatting>
  <conditionalFormatting sqref="DP8">
    <cfRule type="cellIs" priority="79" operator="equal" dxfId="4">
      <formula>"N"</formula>
    </cfRule>
    <cfRule type="cellIs" priority="80" operator="equal" dxfId="0">
      <formula>"Y"</formula>
    </cfRule>
  </conditionalFormatting>
  <conditionalFormatting sqref="DQ8:DV9">
    <cfRule type="cellIs" priority="48" operator="equal" dxfId="0">
      <formula>"Y"</formula>
    </cfRule>
    <cfRule type="cellIs" priority="47" operator="equal" dxfId="4">
      <formula>"N"</formula>
    </cfRule>
  </conditionalFormatting>
  <conditionalFormatting sqref="DW8:DW10">
    <cfRule type="cellIs" priority="43" operator="equal" dxfId="4">
      <formula>"N"</formula>
    </cfRule>
    <cfRule type="cellIs" priority="44" operator="equal" dxfId="0">
      <formula>"Y"</formula>
    </cfRule>
  </conditionalFormatting>
  <dataValidations count="2">
    <dataValidation sqref="H8:N9 R8:S9 R10:DW10 W8:AF8 W9 AC9 AI8:AN8 AL9 AP8:AQ8 AP9 AU8:AU9 BA8:BD8 BA9 BD9 BH8:BH9 BT8:BU8 CA8:CD8 CA9 CD9 CJ8:CJ9 CL8:CN9 CQ8:CU8 CQ9:CS9 CW8:CW9 DA8:DE8 DA9:DO9 DG8:DW8 DQ9:DW9" showDropDown="0" showInputMessage="1" showErrorMessage="1" allowBlank="1" type="list">
      <formula1>"Y,N"</formula1>
    </dataValidation>
    <dataValidation sqref="O12:O1048576" showDropDown="0" showInputMessage="1" showErrorMessage="1" allowBlank="1" type="list">
      <formula1>"MCS,Test,Propagation"</formula1>
    </dataValidation>
  </dataValidations>
  <pageMargins left="0.7" right="0.7" top="0.75" bottom="0.75" header="0.3" footer="0.3"/>
  <pageSetup orientation="portrait" paperSize="9" horizontalDpi="300" verticalDpi="300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V18"/>
  <sheetViews>
    <sheetView workbookViewId="0">
      <selection activeCell="A12" sqref="A12"/>
    </sheetView>
  </sheetViews>
  <sheetFormatPr baseColWidth="8" defaultColWidth="9" defaultRowHeight="15"/>
  <cols>
    <col width="7.85546875" customWidth="1" style="241" min="1" max="1"/>
    <col width="12.42578125" customWidth="1" style="54" min="2" max="2"/>
    <col width="9" customWidth="1" style="241" min="3" max="3"/>
    <col width="12.42578125" customWidth="1" style="241" min="4" max="4"/>
    <col width="14.42578125" customWidth="1" style="241" min="5" max="5"/>
    <col width="8.85546875" customWidth="1" style="241" min="6" max="6"/>
    <col width="8" customWidth="1" style="55" min="7" max="7"/>
    <col width="8.28515625" customWidth="1" style="55" min="8" max="8"/>
    <col width="11.85546875" customWidth="1" style="42" min="9" max="9"/>
    <col width="8.85546875" customWidth="1" style="241" min="10" max="11"/>
    <col width="11.42578125" customWidth="1" style="241" min="20" max="20"/>
  </cols>
  <sheetData>
    <row r="1" ht="14.85" customHeight="1" s="241">
      <c r="A1" s="220" t="inlineStr">
        <is>
          <t>Brewery</t>
        </is>
      </c>
      <c r="B1" s="247" t="inlineStr">
        <is>
          <t>Test Date</t>
        </is>
      </c>
      <c r="C1" s="220" t="inlineStr">
        <is>
          <t>Brand</t>
        </is>
      </c>
      <c r="D1" s="220" t="inlineStr">
        <is>
          <t>OG Standard</t>
        </is>
      </c>
      <c r="E1" s="220" t="inlineStr">
        <is>
          <t>Brewhosue Line</t>
        </is>
      </c>
      <c r="F1" s="220" t="inlineStr">
        <is>
          <t>Brew No.</t>
        </is>
      </c>
      <c r="G1" s="216" t="inlineStr">
        <is>
          <t>Batch Production Type</t>
        </is>
      </c>
      <c r="H1" s="216" t="inlineStr">
        <is>
          <t>Batch Production Month</t>
        </is>
      </c>
      <c r="I1" s="221" t="inlineStr">
        <is>
          <t>Process</t>
        </is>
      </c>
      <c r="J1" s="252" t="inlineStr">
        <is>
          <t>Cold Wort</t>
        </is>
      </c>
      <c r="K1" s="211" t="n"/>
      <c r="L1" s="211" t="n"/>
      <c r="M1" s="211" t="n"/>
      <c r="N1" s="211" t="n"/>
      <c r="O1" s="211" t="n"/>
      <c r="P1" s="211" t="n"/>
      <c r="Q1" s="211" t="n"/>
      <c r="R1" s="211" t="n"/>
      <c r="S1" s="214" t="n"/>
    </row>
    <row r="2" ht="65.09999999999999" customFormat="1" customHeight="1" s="53">
      <c r="A2" s="217" t="n"/>
      <c r="B2" s="217" t="n"/>
      <c r="C2" s="217" t="n"/>
      <c r="D2" s="217" t="n"/>
      <c r="E2" s="217" t="n"/>
      <c r="F2" s="217" t="n"/>
      <c r="G2" s="217" t="n"/>
      <c r="H2" s="217" t="n"/>
      <c r="I2" s="59" t="inlineStr">
        <is>
          <t>参数英文名</t>
        </is>
      </c>
      <c r="J2" s="60" t="inlineStr">
        <is>
          <t>OG</t>
        </is>
      </c>
      <c r="K2" s="60" t="inlineStr">
        <is>
          <t>pH</t>
        </is>
      </c>
      <c r="L2" s="60" t="inlineStr">
        <is>
          <t>Color</t>
        </is>
      </c>
      <c r="M2" s="60" t="inlineStr">
        <is>
          <t>Calcium</t>
        </is>
      </c>
      <c r="N2" s="60" t="inlineStr">
        <is>
          <t>FAN</t>
        </is>
      </c>
      <c r="O2" s="60" t="inlineStr">
        <is>
          <t>Bitterness</t>
        </is>
      </c>
      <c r="P2" s="60" t="inlineStr">
        <is>
          <t>Sodium</t>
        </is>
      </c>
      <c r="Q2" s="60" t="inlineStr">
        <is>
          <t>Total Acid</t>
        </is>
      </c>
      <c r="R2" s="60" t="inlineStr">
        <is>
          <t>DMS</t>
        </is>
      </c>
      <c r="S2" s="60" t="inlineStr">
        <is>
          <t>Polyphenols</t>
        </is>
      </c>
    </row>
    <row r="3">
      <c r="A3" s="217" t="n"/>
      <c r="B3" s="217" t="n"/>
      <c r="C3" s="217" t="n"/>
      <c r="D3" s="217" t="n"/>
      <c r="E3" s="217" t="n"/>
      <c r="F3" s="217" t="n"/>
      <c r="G3" s="217" t="n"/>
      <c r="H3" s="217" t="n"/>
      <c r="I3" s="59" t="inlineStr">
        <is>
          <t>参数中文名</t>
        </is>
      </c>
      <c r="J3" s="64" t="inlineStr">
        <is>
          <t>OG</t>
        </is>
      </c>
      <c r="K3" s="64" t="inlineStr">
        <is>
          <t>pH</t>
        </is>
      </c>
      <c r="L3" s="64" t="inlineStr">
        <is>
          <t>色度</t>
        </is>
      </c>
      <c r="M3" s="64" t="inlineStr">
        <is>
          <t>钙</t>
        </is>
      </c>
      <c r="N3" s="64" t="inlineStr">
        <is>
          <t>FAN</t>
        </is>
      </c>
      <c r="O3" s="64" t="inlineStr">
        <is>
          <t>苦味质</t>
        </is>
      </c>
      <c r="P3" s="64" t="inlineStr">
        <is>
          <t>钠</t>
        </is>
      </c>
      <c r="Q3" s="64" t="inlineStr">
        <is>
          <t>总酸</t>
        </is>
      </c>
      <c r="R3" s="64" t="inlineStr">
        <is>
          <t>DMS</t>
        </is>
      </c>
      <c r="S3" s="64" t="inlineStr">
        <is>
          <t>多酚</t>
        </is>
      </c>
    </row>
    <row r="4" ht="62.1" customFormat="1" customHeight="1" s="53">
      <c r="A4" s="217" t="n"/>
      <c r="B4" s="217" t="n"/>
      <c r="C4" s="217" t="n"/>
      <c r="D4" s="217" t="n"/>
      <c r="E4" s="217" t="n"/>
      <c r="F4" s="217" t="n"/>
      <c r="G4" s="217" t="n"/>
      <c r="H4" s="217" t="n"/>
      <c r="I4" s="59" t="inlineStr">
        <is>
          <t>Global</t>
        </is>
      </c>
      <c r="J4" s="60" t="inlineStr">
        <is>
          <t>Wort Original Gravity</t>
        </is>
      </c>
      <c r="K4" s="60" t="inlineStr">
        <is>
          <t>Wort pH</t>
        </is>
      </c>
      <c r="L4" s="60" t="inlineStr">
        <is>
          <t>Wort 
Color</t>
        </is>
      </c>
      <c r="M4" s="60" t="inlineStr">
        <is>
          <t>Wort Calcium</t>
        </is>
      </c>
      <c r="N4" s="60" t="inlineStr">
        <is>
          <t>Wort 
FAN</t>
        </is>
      </c>
      <c r="O4" s="60" t="inlineStr">
        <is>
          <t>Wort Bitterness</t>
        </is>
      </c>
      <c r="P4" s="61" t="n"/>
      <c r="Q4" s="61" t="n"/>
      <c r="R4" s="60" t="inlineStr">
        <is>
          <t>Wort DMS</t>
        </is>
      </c>
      <c r="S4" s="60" t="inlineStr">
        <is>
          <t>Total Polyphenols</t>
        </is>
      </c>
    </row>
    <row r="5" ht="30.75" customHeight="1" s="241">
      <c r="A5" s="217" t="n"/>
      <c r="B5" s="217" t="n"/>
      <c r="C5" s="217" t="n"/>
      <c r="D5" s="217" t="n"/>
      <c r="E5" s="217" t="n"/>
      <c r="F5" s="217" t="n"/>
      <c r="G5" s="217" t="n"/>
      <c r="H5" s="217" t="n"/>
      <c r="I5" s="221" t="inlineStr">
        <is>
          <t>DF代码</t>
        </is>
      </c>
      <c r="J5" s="64" t="n"/>
      <c r="K5" s="64" t="n"/>
      <c r="L5" s="64" t="inlineStr">
        <is>
          <t>QA-05054</t>
        </is>
      </c>
      <c r="M5" s="64" t="inlineStr">
        <is>
          <t>QA-05055</t>
        </is>
      </c>
      <c r="N5" s="64" t="inlineStr">
        <is>
          <t>QA-05057</t>
        </is>
      </c>
      <c r="O5" s="117" t="inlineStr">
        <is>
          <t>QA-05058</t>
        </is>
      </c>
      <c r="P5" s="64" t="inlineStr">
        <is>
          <t>QA-05056</t>
        </is>
      </c>
      <c r="Q5" s="117" t="inlineStr">
        <is>
          <t>QA-05059</t>
        </is>
      </c>
      <c r="R5" s="64" t="n"/>
      <c r="S5" s="64" t="n"/>
      <c r="T5" s="53" t="n"/>
    </row>
    <row r="6" ht="15.75" customFormat="1" customHeight="1" s="115">
      <c r="A6" s="217" t="n"/>
      <c r="B6" s="217" t="n"/>
      <c r="C6" s="217" t="n"/>
      <c r="D6" s="217" t="n"/>
      <c r="E6" s="217" t="n"/>
      <c r="F6" s="217" t="n"/>
      <c r="G6" s="217" t="n"/>
      <c r="H6" s="217" t="n"/>
      <c r="I6" s="221" t="inlineStr">
        <is>
          <t>DF中文</t>
        </is>
      </c>
      <c r="J6" s="64" t="n"/>
      <c r="K6" s="64" t="n"/>
      <c r="L6" s="64" t="inlineStr">
        <is>
          <t>色度_冷麦汁_麦汁澄清和冷却_酿造_糖化_麦汁充氧系统_麦汁管路</t>
        </is>
      </c>
      <c r="M6" s="64" t="inlineStr">
        <is>
          <t>钙_冷麦汁_麦汁澄清和冷却_酿造_糖化_麦汁充氧系统_麦汁管路</t>
        </is>
      </c>
      <c r="N6" s="64" t="inlineStr">
        <is>
          <t>FAN_冷麦汁_麦汁澄清和冷却_酿造_糖化_麦汁充氧系统_麦汁管路</t>
        </is>
      </c>
      <c r="O6" s="117" t="inlineStr">
        <is>
          <t>IBU_冷麦汁_麦汁澄清和冷却_酿造_糖化_麦汁充氧系统_麦汁管路</t>
        </is>
      </c>
      <c r="P6" s="117" t="inlineStr">
        <is>
          <t>钠_冷麦汁_麦汁澄清和冷却_酿造_糖化_麦汁充氧系统_麦汁管路</t>
        </is>
      </c>
      <c r="Q6" s="117" t="inlineStr">
        <is>
          <t>总酸_冷麦汁_麦汁澄清和冷却_酿造_糖化_麦汁充氧系统_麦汁管路</t>
        </is>
      </c>
      <c r="R6" s="117" t="n"/>
      <c r="S6" s="117" t="n"/>
      <c r="T6" s="53" t="n"/>
    </row>
    <row r="7" ht="20.25" customFormat="1" customHeight="1" s="115">
      <c r="A7" s="217" t="n"/>
      <c r="B7" s="217" t="n"/>
      <c r="C7" s="217" t="n"/>
      <c r="D7" s="217" t="n"/>
      <c r="E7" s="217" t="n"/>
      <c r="F7" s="217" t="n"/>
      <c r="G7" s="217" t="n"/>
      <c r="H7" s="217" t="n"/>
      <c r="I7" s="221" t="inlineStr">
        <is>
          <t>数据源</t>
        </is>
      </c>
      <c r="J7" s="64" t="inlineStr">
        <is>
          <t>LIMS</t>
        </is>
      </c>
      <c r="K7" s="64" t="inlineStr">
        <is>
          <t>LIMS</t>
        </is>
      </c>
      <c r="L7" s="64" t="inlineStr">
        <is>
          <t>LIMS</t>
        </is>
      </c>
      <c r="M7" s="64" t="inlineStr">
        <is>
          <t>LIMS</t>
        </is>
      </c>
      <c r="N7" s="64" t="inlineStr">
        <is>
          <t>LIMS</t>
        </is>
      </c>
      <c r="O7" s="117" t="inlineStr">
        <is>
          <t>LIMS</t>
        </is>
      </c>
      <c r="P7" s="64" t="inlineStr">
        <is>
          <t>LIMS</t>
        </is>
      </c>
      <c r="Q7" s="117" t="inlineStr">
        <is>
          <t>LIMS</t>
        </is>
      </c>
      <c r="R7" s="64" t="inlineStr">
        <is>
          <t>手动</t>
        </is>
      </c>
      <c r="S7" s="64" t="inlineStr">
        <is>
          <t>手动</t>
        </is>
      </c>
    </row>
    <row r="8" ht="24" customFormat="1" customHeight="1" s="116">
      <c r="A8" s="217" t="n"/>
      <c r="B8" s="217" t="n"/>
      <c r="C8" s="217" t="n"/>
      <c r="D8" s="217" t="n"/>
      <c r="E8" s="217" t="n"/>
      <c r="F8" s="217" t="n"/>
      <c r="G8" s="217" t="n"/>
      <c r="H8" s="217" t="n"/>
      <c r="I8" s="221" t="inlineStr">
        <is>
          <t>是否Sensory PI展示</t>
        </is>
      </c>
      <c r="J8" s="64" t="n"/>
      <c r="K8" s="64" t="n"/>
      <c r="L8" s="64" t="n"/>
      <c r="M8" s="64" t="n"/>
      <c r="N8" s="64" t="n"/>
      <c r="O8" s="64" t="n"/>
      <c r="P8" s="64" t="n"/>
      <c r="Q8" s="64" t="n"/>
      <c r="R8" s="64" t="n"/>
      <c r="S8" s="64" t="n"/>
      <c r="T8" s="115" t="n"/>
      <c r="U8" s="115" t="n"/>
      <c r="V8" s="115" t="n"/>
      <c r="W8" s="115" t="n"/>
      <c r="X8" s="115" t="n"/>
      <c r="Y8" s="115" t="n"/>
      <c r="Z8" s="115" t="n"/>
      <c r="AA8" s="115" t="n"/>
      <c r="AB8" s="115" t="n"/>
      <c r="AC8" s="115" t="n"/>
      <c r="AD8" s="115" t="n"/>
      <c r="AE8" s="115" t="n"/>
      <c r="AF8" s="115" t="n"/>
      <c r="AG8" s="115" t="n"/>
      <c r="AH8" s="115" t="n"/>
      <c r="AI8" s="115" t="n"/>
      <c r="AJ8" s="115" t="n"/>
      <c r="AK8" s="115" t="n"/>
      <c r="AL8" s="115" t="n"/>
      <c r="AM8" s="115" t="n"/>
      <c r="AN8" s="115" t="n"/>
      <c r="AO8" s="115" t="n"/>
      <c r="AP8" s="115" t="n"/>
      <c r="AQ8" s="115" t="n"/>
      <c r="AR8" s="115" t="n"/>
      <c r="AS8" s="115" t="n"/>
      <c r="AT8" s="115" t="n"/>
      <c r="AU8" s="115" t="n"/>
      <c r="AV8" s="115" t="n"/>
      <c r="AW8" s="115" t="n"/>
      <c r="AX8" s="115" t="n"/>
      <c r="AY8" s="115" t="n"/>
      <c r="AZ8" s="115" t="n"/>
      <c r="BA8" s="115" t="n"/>
      <c r="BB8" s="115" t="n"/>
      <c r="BC8" s="115" t="n"/>
      <c r="BD8" s="115" t="n"/>
      <c r="BE8" s="115" t="n"/>
      <c r="BF8" s="115" t="n"/>
      <c r="BG8" s="115" t="n"/>
      <c r="BH8" s="115" t="n"/>
      <c r="BI8" s="115" t="n"/>
      <c r="BJ8" s="115" t="n"/>
      <c r="BK8" s="115" t="n"/>
      <c r="BL8" s="115" t="n"/>
      <c r="BM8" s="115" t="n"/>
      <c r="BN8" s="115" t="n"/>
      <c r="BO8" s="115" t="n"/>
      <c r="BP8" s="115" t="n"/>
      <c r="BQ8" s="115" t="n"/>
      <c r="BR8" s="115" t="n"/>
      <c r="BS8" s="115" t="n"/>
      <c r="BT8" s="115" t="n"/>
      <c r="BU8" s="115" t="n"/>
      <c r="BV8" s="115" t="n"/>
      <c r="BW8" s="115" t="n"/>
      <c r="BX8" s="115" t="n"/>
      <c r="BY8" s="115" t="n"/>
      <c r="BZ8" s="115" t="n"/>
      <c r="CA8" s="115" t="n"/>
      <c r="CB8" s="115" t="n"/>
      <c r="CC8" s="115" t="n"/>
      <c r="CD8" s="115" t="n"/>
      <c r="CE8" s="115" t="n"/>
      <c r="CF8" s="115" t="n"/>
      <c r="CG8" s="115" t="n"/>
      <c r="CH8" s="115" t="n"/>
      <c r="CI8" s="115" t="n"/>
      <c r="CJ8" s="115" t="n"/>
      <c r="CK8" s="115" t="n"/>
      <c r="CL8" s="115" t="n"/>
      <c r="CM8" s="115" t="n"/>
      <c r="CN8" s="115" t="n"/>
      <c r="CO8" s="115" t="n"/>
      <c r="CP8" s="115" t="n"/>
      <c r="CQ8" s="115" t="n"/>
      <c r="CR8" s="115" t="n"/>
      <c r="CS8" s="115" t="n"/>
      <c r="CT8" s="115" t="n"/>
      <c r="CU8" s="115" t="n"/>
      <c r="CV8" s="115" t="n"/>
      <c r="CW8" s="115" t="n"/>
      <c r="CX8" s="115" t="n"/>
      <c r="CY8" s="115" t="n"/>
      <c r="CZ8" s="115" t="n"/>
      <c r="DA8" s="115" t="n"/>
      <c r="DB8" s="115" t="n"/>
      <c r="DC8" s="115" t="n"/>
      <c r="DD8" s="115" t="n"/>
      <c r="DE8" s="115" t="n"/>
      <c r="DF8" s="115" t="n"/>
      <c r="DG8" s="115" t="n"/>
      <c r="DH8" s="115" t="n"/>
      <c r="DI8" s="115" t="n"/>
      <c r="DJ8" s="115" t="n"/>
      <c r="DK8" s="115" t="n"/>
      <c r="DL8" s="115" t="n"/>
      <c r="DM8" s="115" t="n"/>
      <c r="DN8" s="115" t="n"/>
      <c r="DO8" s="115" t="n"/>
      <c r="DP8" s="115" t="n"/>
      <c r="DQ8" s="115" t="n"/>
      <c r="DR8" s="115" t="n"/>
      <c r="DS8" s="115" t="n"/>
      <c r="DT8" s="115" t="n"/>
      <c r="DU8" s="115" t="n"/>
      <c r="DV8" s="115" t="n"/>
    </row>
    <row r="9" customFormat="1" s="116">
      <c r="A9" s="217" t="n"/>
      <c r="B9" s="217" t="n"/>
      <c r="C9" s="217" t="n"/>
      <c r="D9" s="217" t="n"/>
      <c r="E9" s="217" t="n"/>
      <c r="F9" s="217" t="n"/>
      <c r="G9" s="217" t="n"/>
      <c r="H9" s="217" t="n"/>
      <c r="I9" s="221" t="inlineStr">
        <is>
          <t>是否为Key PI</t>
        </is>
      </c>
      <c r="J9" s="64" t="n"/>
      <c r="K9" s="64" t="n"/>
      <c r="L9" s="64" t="n"/>
      <c r="M9" s="64" t="n"/>
      <c r="N9" s="64" t="n"/>
      <c r="O9" s="64" t="n"/>
      <c r="P9" s="64" t="n"/>
      <c r="Q9" s="64" t="n"/>
      <c r="R9" s="64" t="n"/>
      <c r="S9" s="64" t="n"/>
      <c r="T9" s="115" t="n"/>
      <c r="U9" s="115" t="n"/>
      <c r="V9" s="115" t="n"/>
      <c r="W9" s="115" t="n"/>
      <c r="X9" s="115" t="n"/>
      <c r="Y9" s="115" t="n"/>
      <c r="Z9" s="115" t="n"/>
      <c r="AA9" s="115" t="n"/>
      <c r="AB9" s="115" t="n"/>
      <c r="AC9" s="115" t="n"/>
      <c r="AD9" s="115" t="n"/>
      <c r="AE9" s="115" t="n"/>
      <c r="AF9" s="115" t="n"/>
      <c r="AG9" s="115" t="n"/>
      <c r="AH9" s="115" t="n"/>
      <c r="AI9" s="115" t="n"/>
      <c r="AJ9" s="115" t="n"/>
      <c r="AK9" s="115" t="n"/>
      <c r="AL9" s="115" t="n"/>
      <c r="AM9" s="115" t="n"/>
      <c r="AN9" s="115" t="n"/>
      <c r="AO9" s="115" t="n"/>
      <c r="AP9" s="115" t="n"/>
      <c r="AQ9" s="115" t="n"/>
      <c r="AR9" s="115" t="n"/>
      <c r="AS9" s="115" t="n"/>
      <c r="AT9" s="115" t="n"/>
      <c r="AU9" s="115" t="n"/>
      <c r="AV9" s="115" t="n"/>
      <c r="AW9" s="115" t="n"/>
      <c r="AX9" s="115" t="n"/>
      <c r="AY9" s="115" t="n"/>
      <c r="AZ9" s="115" t="n"/>
      <c r="BA9" s="115" t="n"/>
      <c r="BB9" s="115" t="n"/>
      <c r="BC9" s="115" t="n"/>
      <c r="BD9" s="115" t="n"/>
      <c r="BE9" s="115" t="n"/>
      <c r="BF9" s="115" t="n"/>
      <c r="BG9" s="115" t="n"/>
      <c r="BH9" s="115" t="n"/>
      <c r="BI9" s="115" t="n"/>
      <c r="BJ9" s="115" t="n"/>
      <c r="BK9" s="115" t="n"/>
      <c r="BL9" s="115" t="n"/>
      <c r="BM9" s="115" t="n"/>
      <c r="BN9" s="115" t="n"/>
      <c r="BO9" s="115" t="n"/>
      <c r="BP9" s="115" t="n"/>
      <c r="BQ9" s="115" t="n"/>
      <c r="BR9" s="115" t="n"/>
      <c r="BS9" s="115" t="n"/>
      <c r="BT9" s="115" t="n"/>
      <c r="BU9" s="115" t="n"/>
      <c r="BV9" s="115" t="n"/>
      <c r="BW9" s="115" t="n"/>
      <c r="BX9" s="115" t="n"/>
      <c r="BY9" s="115" t="n"/>
      <c r="BZ9" s="115" t="n"/>
      <c r="CA9" s="115" t="n"/>
      <c r="CB9" s="115" t="n"/>
      <c r="CC9" s="115" t="n"/>
      <c r="CD9" s="115" t="n"/>
      <c r="CE9" s="115" t="n"/>
      <c r="CF9" s="115" t="n"/>
      <c r="CG9" s="115" t="n"/>
      <c r="CH9" s="115" t="n"/>
      <c r="CI9" s="115" t="n"/>
      <c r="CJ9" s="115" t="n"/>
      <c r="CK9" s="115" t="n"/>
      <c r="CL9" s="115" t="n"/>
      <c r="CM9" s="115" t="n"/>
      <c r="CN9" s="115" t="n"/>
      <c r="CO9" s="115" t="n"/>
      <c r="CP9" s="115" t="n"/>
      <c r="CQ9" s="115" t="n"/>
      <c r="CR9" s="115" t="n"/>
      <c r="CS9" s="115" t="n"/>
      <c r="CT9" s="115" t="n"/>
      <c r="CU9" s="115" t="n"/>
      <c r="CV9" s="115" t="n"/>
      <c r="CW9" s="115" t="n"/>
      <c r="CX9" s="115" t="n"/>
      <c r="CY9" s="115" t="n"/>
      <c r="CZ9" s="115" t="n"/>
      <c r="DA9" s="115" t="n"/>
      <c r="DB9" s="115" t="n"/>
      <c r="DC9" s="115" t="n"/>
      <c r="DD9" s="115" t="n"/>
      <c r="DE9" s="115" t="n"/>
      <c r="DF9" s="115" t="n"/>
      <c r="DG9" s="115" t="n"/>
      <c r="DH9" s="115" t="n"/>
      <c r="DI9" s="115" t="n"/>
      <c r="DJ9" s="115" t="n"/>
      <c r="DK9" s="115" t="n"/>
      <c r="DL9" s="115" t="n"/>
      <c r="DM9" s="115" t="n"/>
      <c r="DN9" s="115" t="n"/>
      <c r="DO9" s="115" t="n"/>
      <c r="DP9" s="115" t="n"/>
      <c r="DQ9" s="115" t="n"/>
      <c r="DR9" s="115" t="n"/>
      <c r="DS9" s="115" t="n"/>
      <c r="DT9" s="115" t="n"/>
      <c r="DU9" s="115" t="n"/>
      <c r="DV9" s="115" t="n"/>
    </row>
    <row r="10">
      <c r="A10" s="217" t="n"/>
      <c r="B10" s="217" t="n"/>
      <c r="C10" s="217" t="n"/>
      <c r="D10" s="217" t="n"/>
      <c r="E10" s="217" t="n"/>
      <c r="F10" s="217" t="n"/>
      <c r="G10" s="217" t="n"/>
      <c r="H10" s="217" t="n"/>
      <c r="I10" s="221" t="inlineStr">
        <is>
          <t>是否点图展示</t>
        </is>
      </c>
      <c r="J10" s="64" t="inlineStr">
        <is>
          <t>Y</t>
        </is>
      </c>
      <c r="K10" s="64" t="inlineStr">
        <is>
          <t>Y</t>
        </is>
      </c>
      <c r="L10" s="64" t="n"/>
      <c r="M10" s="64" t="inlineStr">
        <is>
          <t>Y</t>
        </is>
      </c>
      <c r="N10" s="64" t="n"/>
      <c r="O10" s="64" t="n"/>
      <c r="P10" s="64" t="n"/>
      <c r="Q10" s="64" t="n"/>
      <c r="R10" s="64" t="n"/>
      <c r="S10" s="64" t="n"/>
      <c r="T10" s="115" t="n"/>
    </row>
    <row r="11">
      <c r="A11" s="218" t="n"/>
      <c r="B11" s="218" t="n"/>
      <c r="C11" s="218" t="n"/>
      <c r="D11" s="218" t="n"/>
      <c r="E11" s="218" t="n"/>
      <c r="F11" s="218" t="n"/>
      <c r="G11" s="218" t="n"/>
      <c r="H11" s="218" t="n"/>
      <c r="I11" s="59" t="inlineStr">
        <is>
          <t>Unit</t>
        </is>
      </c>
      <c r="J11" s="111" t="inlineStr">
        <is>
          <t>Plato</t>
        </is>
      </c>
      <c r="K11" s="70" t="n"/>
      <c r="L11" s="111" t="inlineStr">
        <is>
          <t>EBC</t>
        </is>
      </c>
      <c r="M11" s="111" t="inlineStr">
        <is>
          <t>ppm</t>
        </is>
      </c>
      <c r="N11" s="111" t="inlineStr">
        <is>
          <t>ppm</t>
        </is>
      </c>
      <c r="O11" s="111" t="n"/>
      <c r="P11" s="111" t="inlineStr">
        <is>
          <t>ppm</t>
        </is>
      </c>
      <c r="Q11" s="111" t="inlineStr">
        <is>
          <t>g/100ml</t>
        </is>
      </c>
      <c r="R11" s="111" t="inlineStr">
        <is>
          <t>ppm</t>
        </is>
      </c>
      <c r="S11" s="111" t="inlineStr">
        <is>
          <t>ppm</t>
        </is>
      </c>
      <c r="T11" s="115" t="n"/>
    </row>
    <row r="12">
      <c r="G12" s="73" t="n"/>
      <c r="H12" s="74" t="n"/>
    </row>
    <row r="13">
      <c r="G13" s="73" t="n"/>
      <c r="H13" s="74" t="n"/>
    </row>
    <row r="14">
      <c r="G14" s="73" t="n"/>
      <c r="H14" s="74" t="n"/>
    </row>
    <row r="15">
      <c r="G15" s="73" t="n"/>
      <c r="H15" s="74" t="n"/>
    </row>
    <row r="16">
      <c r="G16" s="73" t="n"/>
      <c r="H16" s="74" t="n"/>
    </row>
    <row r="17">
      <c r="G17" s="73" t="n"/>
      <c r="H17" s="74" t="n"/>
    </row>
    <row r="18">
      <c r="G18" s="73" t="n"/>
      <c r="H18" s="74" t="n"/>
    </row>
  </sheetData>
  <mergeCells count="9">
    <mergeCell ref="C1:C11"/>
    <mergeCell ref="B1:B11"/>
    <mergeCell ref="G1:G11"/>
    <mergeCell ref="E1:E11"/>
    <mergeCell ref="H1:H11"/>
    <mergeCell ref="A1:A11"/>
    <mergeCell ref="D1:D11"/>
    <mergeCell ref="J1:S1"/>
    <mergeCell ref="F1:F11"/>
  </mergeCells>
  <conditionalFormatting sqref="J8 K8:S9">
    <cfRule type="cellIs" priority="213" operator="equal" dxfId="4">
      <formula>"N"</formula>
    </cfRule>
    <cfRule type="cellIs" priority="214" operator="equal" dxfId="0">
      <formula>"Y"</formula>
    </cfRule>
  </conditionalFormatting>
  <conditionalFormatting sqref="J10:S10">
    <cfRule type="cellIs" priority="219" operator="equal" dxfId="4">
      <formula>"N"</formula>
    </cfRule>
    <cfRule type="cellIs" priority="220" operator="equal" dxfId="0">
      <formula>"Y"</formula>
    </cfRule>
  </conditionalFormatting>
  <dataValidations count="2">
    <dataValidation sqref="J8:N9 J10:S10 R8:S9 W8:AF8 W9 AC9 AI8:AN8 AL9 AP8:AQ8 AP9 AU8:AU9 BA8:BD8 BA9 BD9 BH8:BH9 BT8 BZ8:CC8 BZ9 CC9 CI8:CI9 CK8:CM9 CP8:CT8 CP9:CR9 CV8:CV9 CZ8:DD8 CZ9:DN9 DF8:DV8 DP9:DV9" showDropDown="0" showInputMessage="1" showErrorMessage="1" allowBlank="1" type="list">
      <formula1>"Y,N"</formula1>
    </dataValidation>
    <dataValidation sqref="G12:G1048576" showDropDown="0" showInputMessage="1" showErrorMessage="1" allowBlank="1" type="list">
      <formula1>"MCS,Test,Propagation"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S18"/>
  <sheetViews>
    <sheetView topLeftCell="A2" workbookViewId="0">
      <selection activeCell="A12" sqref="A12"/>
    </sheetView>
  </sheetViews>
  <sheetFormatPr baseColWidth="8" defaultColWidth="9" defaultRowHeight="15"/>
  <cols>
    <col width="15.42578125" customWidth="1" style="241" min="1" max="1"/>
    <col width="11.85546875" customWidth="1" style="54" min="2" max="2"/>
    <col width="11.85546875" customWidth="1" style="241" min="3" max="3"/>
    <col width="8" customWidth="1" style="55" min="4" max="4"/>
    <col width="8.28515625" customWidth="1" style="55" min="5" max="5"/>
    <col width="12.85546875" customWidth="1" style="42" min="6" max="6"/>
    <col width="10.42578125" customWidth="1" style="42" min="7" max="7"/>
    <col width="10.42578125" customWidth="1" style="241" min="8" max="14"/>
  </cols>
  <sheetData>
    <row r="1" ht="14.85" customHeight="1" s="241">
      <c r="A1" s="220" t="inlineStr">
        <is>
          <t>Brewery</t>
        </is>
      </c>
      <c r="B1" s="247" t="inlineStr">
        <is>
          <t>Yeast Tank Full Date</t>
        </is>
      </c>
      <c r="C1" s="220" t="inlineStr">
        <is>
          <t>Brand</t>
        </is>
      </c>
      <c r="D1" s="216" t="inlineStr">
        <is>
          <t>Batch Production Type</t>
        </is>
      </c>
      <c r="E1" s="216" t="inlineStr">
        <is>
          <t>Batch Production Month</t>
        </is>
      </c>
      <c r="F1" s="75" t="inlineStr">
        <is>
          <t>Process</t>
        </is>
      </c>
      <c r="G1" s="253" t="inlineStr">
        <is>
          <t>Yeast</t>
        </is>
      </c>
      <c r="H1" s="211" t="n"/>
      <c r="I1" s="211" t="n"/>
      <c r="J1" s="211" t="n"/>
      <c r="K1" s="211" t="n"/>
      <c r="L1" s="211" t="n"/>
      <c r="M1" s="211" t="n"/>
      <c r="N1" s="211" t="n"/>
    </row>
    <row r="2" ht="55.35" customFormat="1" customHeight="1" s="53">
      <c r="A2" s="217" t="n"/>
      <c r="B2" s="217" t="n"/>
      <c r="C2" s="217" t="n"/>
      <c r="D2" s="217" t="n"/>
      <c r="E2" s="217" t="n"/>
      <c r="F2" s="76" t="inlineStr">
        <is>
          <t>参数英文名</t>
        </is>
      </c>
      <c r="G2" s="60" t="inlineStr">
        <is>
          <t>Generation</t>
        </is>
      </c>
      <c r="H2" s="60" t="inlineStr">
        <is>
          <t xml:space="preserve"> Recovery Temp</t>
        </is>
      </c>
      <c r="I2" s="60" t="inlineStr">
        <is>
          <t>24h
Temp</t>
        </is>
      </c>
      <c r="J2" s="223" t="inlineStr">
        <is>
          <t>Time from recovery to below 4℃</t>
        </is>
      </c>
      <c r="K2" s="60" t="inlineStr">
        <is>
          <t>Solids</t>
        </is>
      </c>
      <c r="L2" s="60" t="inlineStr">
        <is>
          <t>Intracellular zinc</t>
        </is>
      </c>
      <c r="M2" s="60" t="inlineStr">
        <is>
          <t>Yeast Death Rate</t>
        </is>
      </c>
      <c r="N2" s="60" t="inlineStr">
        <is>
          <t>Viability</t>
        </is>
      </c>
    </row>
    <row r="3" ht="55.35" customFormat="1" customHeight="1" s="53">
      <c r="A3" s="217" t="n"/>
      <c r="B3" s="217" t="n"/>
      <c r="C3" s="217" t="n"/>
      <c r="D3" s="217" t="n"/>
      <c r="E3" s="217" t="n"/>
      <c r="F3" s="76" t="inlineStr">
        <is>
          <t>参数中文名</t>
        </is>
      </c>
      <c r="G3" s="60" t="inlineStr">
        <is>
          <t>代数</t>
        </is>
      </c>
      <c r="H3" s="60" t="inlineStr">
        <is>
          <t>酵母回收温度</t>
        </is>
      </c>
      <c r="I3" s="60" t="inlineStr">
        <is>
          <t>24h后温度</t>
        </is>
      </c>
      <c r="J3" s="108" t="inlineStr">
        <is>
          <t>从开始回收到降温到4℃以下的时间</t>
        </is>
      </c>
      <c r="K3" s="60" t="inlineStr">
        <is>
          <t>浓度</t>
        </is>
      </c>
      <c r="L3" s="60" t="inlineStr">
        <is>
          <t>酵母锌</t>
        </is>
      </c>
      <c r="M3" s="60" t="inlineStr">
        <is>
          <t>死亡率</t>
        </is>
      </c>
      <c r="N3" s="60" t="inlineStr">
        <is>
          <t>活力=（1-死亡率）</t>
        </is>
      </c>
    </row>
    <row r="4" ht="39.6" customFormat="1" customHeight="1" s="53">
      <c r="A4" s="217" t="n"/>
      <c r="B4" s="217" t="n"/>
      <c r="C4" s="217" t="n"/>
      <c r="D4" s="217" t="n"/>
      <c r="E4" s="217" t="n"/>
      <c r="F4" s="76" t="inlineStr">
        <is>
          <t>Global</t>
        </is>
      </c>
      <c r="G4" s="61" t="n"/>
      <c r="H4" s="60" t="inlineStr">
        <is>
          <t>Temperature at Yeast Drawoff</t>
        </is>
      </c>
      <c r="I4" s="61" t="n"/>
      <c r="J4" s="223" t="n"/>
      <c r="K4" s="60" t="inlineStr">
        <is>
          <t>Solids</t>
        </is>
      </c>
      <c r="L4" s="60" t="inlineStr">
        <is>
          <t>Intracellular zinc</t>
        </is>
      </c>
      <c r="M4" s="61" t="n"/>
      <c r="N4" s="60" t="inlineStr">
        <is>
          <t>Viability</t>
        </is>
      </c>
    </row>
    <row r="5">
      <c r="A5" s="217" t="n"/>
      <c r="B5" s="217" t="n"/>
      <c r="C5" s="217" t="n"/>
      <c r="D5" s="217" t="n"/>
      <c r="E5" s="217" t="n"/>
      <c r="F5" s="76" t="inlineStr">
        <is>
          <t>DF代码</t>
        </is>
      </c>
      <c r="G5" s="64" t="inlineStr">
        <is>
          <t>QA-05143</t>
        </is>
      </c>
      <c r="H5" s="64" t="inlineStr">
        <is>
          <t>BR-40202</t>
        </is>
      </c>
      <c r="I5" s="64" t="inlineStr">
        <is>
          <t>BR-40204</t>
        </is>
      </c>
      <c r="J5" s="77" t="n"/>
      <c r="K5" s="64" t="inlineStr">
        <is>
          <t>QA-05142</t>
        </is>
      </c>
      <c r="L5" s="64" t="inlineStr">
        <is>
          <t>QA-05145</t>
        </is>
      </c>
      <c r="M5" s="64" t="inlineStr">
        <is>
          <t>QA-05141</t>
        </is>
      </c>
      <c r="N5" s="64" t="n"/>
      <c r="O5" s="53" t="n"/>
      <c r="BA5" t="inlineStr">
        <is>
          <t>BR-20942</t>
        </is>
      </c>
      <c r="BB5" t="inlineStr">
        <is>
          <t>BR-20943</t>
        </is>
      </c>
      <c r="BC5" t="inlineStr">
        <is>
          <t>BR-20944</t>
        </is>
      </c>
      <c r="BD5" t="inlineStr">
        <is>
          <t>BR-20945</t>
        </is>
      </c>
      <c r="BK5" t="inlineStr">
        <is>
          <t>BR-21070</t>
        </is>
      </c>
      <c r="BL5" t="inlineStr">
        <is>
          <t>BR-21071</t>
        </is>
      </c>
      <c r="BN5" t="inlineStr">
        <is>
          <t>BR-21072</t>
        </is>
      </c>
      <c r="BW5" t="inlineStr">
        <is>
          <t>BR-21073</t>
        </is>
      </c>
      <c r="CS5" t="inlineStr">
        <is>
          <t>BR-21228</t>
        </is>
      </c>
    </row>
    <row r="6" ht="135" customHeight="1" s="241">
      <c r="A6" s="217" t="n"/>
      <c r="B6" s="217" t="n"/>
      <c r="C6" s="217" t="n"/>
      <c r="D6" s="217" t="n"/>
      <c r="E6" s="217" t="n"/>
      <c r="F6" s="220" t="inlineStr">
        <is>
          <t>DF中文</t>
        </is>
      </c>
      <c r="G6" s="64" t="inlineStr">
        <is>
          <t>代数_生产酵母_生产酵母存储_酿造_酵母工序_酵母存储罐</t>
        </is>
      </c>
      <c r="H6" s="64" t="inlineStr">
        <is>
          <t>生产酵母回收结束实际温度_生产酵母存储_酿造_酵母工序_酵母存储罐</t>
        </is>
      </c>
      <c r="I6" s="64" t="inlineStr">
        <is>
          <t>生产酵母满罐24小时实际温度_生产酵母存储_酿造_酵母工序_酵母存储罐</t>
        </is>
      </c>
      <c r="J6" s="77" t="n"/>
      <c r="K6" s="64" t="inlineStr">
        <is>
          <t>浓度_生产酵母_生产酵母存储_酿造_酵母工序_酵母存储罐</t>
        </is>
      </c>
      <c r="L6" s="64" t="inlineStr">
        <is>
          <t>锌_生产酵母_生产酵母存储_酿造_酵母工序_酵母存储罐</t>
        </is>
      </c>
      <c r="M6" s="64" t="inlineStr">
        <is>
          <t>死亡率_生产酵母_生产酵母存储_酿造_酵母工序_酵母存储罐</t>
        </is>
      </c>
      <c r="N6" s="64" t="n"/>
      <c r="O6" s="53" t="n"/>
      <c r="BB6" t="inlineStr">
        <is>
          <t>满锅压滤麦汁平均OG_麦汁压滤_酿造_糖化_压滤机</t>
        </is>
      </c>
      <c r="BC6" s="114" t="inlineStr">
        <is>
          <t>头道麦汁量和总醪液量比值_麦汁压滤_酿造_糖化_压滤机</t>
        </is>
      </c>
      <c r="BD6" t="inlineStr">
        <is>
          <t>头道麦汁量和满锅压滤麦汁量比值_麦汁压滤_酿造_糖化_压滤机</t>
        </is>
      </c>
      <c r="BK6" t="inlineStr">
        <is>
          <t>过滤麦汁平均温度_进麦汁和升温到SOB_酿造_糖化_煮沸锅</t>
        </is>
      </c>
      <c r="BL6" t="inlineStr">
        <is>
          <t>SOB-KF过滤麦汁平均温度_进麦汁和升温到SOB_酿造_糖化_煮沸锅</t>
        </is>
      </c>
      <c r="BN6" t="inlineStr">
        <is>
          <t>煮沸麦汁满锅温度_满锅煮沸_酿造_糖化_煮沸锅</t>
        </is>
      </c>
      <c r="BW6" t="inlineStr">
        <is>
          <t>酒花添加至KO工艺步骤时间段_满锅煮沸_酿造_糖化_煮沸锅</t>
        </is>
      </c>
      <c r="CS6" t="inlineStr">
        <is>
          <t>主和次流量计偏差率_麦汁充氧_酿造_糖化_麦汁充氧系统</t>
        </is>
      </c>
    </row>
    <row r="7">
      <c r="A7" s="217" t="n"/>
      <c r="B7" s="217" t="n"/>
      <c r="C7" s="217" t="n"/>
      <c r="D7" s="217" t="n"/>
      <c r="E7" s="217" t="n"/>
      <c r="F7" s="220" t="inlineStr">
        <is>
          <t>数据源</t>
        </is>
      </c>
      <c r="G7" s="64" t="inlineStr">
        <is>
          <t>LIMS</t>
        </is>
      </c>
      <c r="H7" s="64" t="inlineStr">
        <is>
          <t>DF</t>
        </is>
      </c>
      <c r="I7" s="64" t="inlineStr">
        <is>
          <t>DF</t>
        </is>
      </c>
      <c r="J7" s="77" t="n"/>
      <c r="K7" s="64" t="inlineStr">
        <is>
          <t>LIMS</t>
        </is>
      </c>
      <c r="L7" s="64" t="inlineStr">
        <is>
          <t>手动</t>
        </is>
      </c>
      <c r="M7" s="64" t="inlineStr">
        <is>
          <t>LIMS</t>
        </is>
      </c>
      <c r="N7" s="64" t="inlineStr">
        <is>
          <t>自动计算</t>
        </is>
      </c>
      <c r="O7" s="53" t="n"/>
      <c r="BU7" t="inlineStr">
        <is>
          <t>暂时不适用</t>
        </is>
      </c>
      <c r="CM7" t="inlineStr">
        <is>
          <t>暂时不适用</t>
        </is>
      </c>
    </row>
    <row r="8" ht="24" customHeight="1" s="241">
      <c r="A8" s="217" t="n"/>
      <c r="B8" s="217" t="n"/>
      <c r="C8" s="217" t="n"/>
      <c r="D8" s="217" t="n"/>
      <c r="E8" s="217" t="n"/>
      <c r="F8" s="221" t="inlineStr">
        <is>
          <t>是否Sensory PI展示</t>
        </is>
      </c>
      <c r="G8" s="64" t="n"/>
      <c r="H8" s="64" t="inlineStr">
        <is>
          <t>Y</t>
        </is>
      </c>
      <c r="I8" s="64" t="n"/>
      <c r="J8" s="64" t="inlineStr">
        <is>
          <t>Y</t>
        </is>
      </c>
      <c r="K8" s="64" t="n"/>
      <c r="L8" s="64" t="inlineStr">
        <is>
          <t>Y</t>
        </is>
      </c>
      <c r="M8" s="64" t="n"/>
      <c r="N8" s="64" t="n"/>
      <c r="O8" s="53" t="n"/>
    </row>
    <row r="9">
      <c r="A9" s="217" t="n"/>
      <c r="B9" s="217" t="n"/>
      <c r="C9" s="217" t="n"/>
      <c r="D9" s="217" t="n"/>
      <c r="E9" s="217" t="n"/>
      <c r="F9" s="221" t="inlineStr">
        <is>
          <t>是否为Key PI</t>
        </is>
      </c>
      <c r="G9" s="64" t="n"/>
      <c r="H9" s="64" t="n"/>
      <c r="I9" s="64" t="n"/>
      <c r="J9" s="77" t="n"/>
      <c r="K9" s="64" t="n"/>
      <c r="L9" s="64" t="n"/>
      <c r="M9" s="64" t="n"/>
      <c r="N9" s="64" t="n"/>
      <c r="O9" s="53" t="n"/>
    </row>
    <row r="10" ht="30" customHeight="1" s="241">
      <c r="A10" s="217" t="n"/>
      <c r="B10" s="217" t="n"/>
      <c r="C10" s="217" t="n"/>
      <c r="D10" s="217" t="n"/>
      <c r="E10" s="217" t="n"/>
      <c r="F10" s="220" t="inlineStr">
        <is>
          <t>是否点图展示</t>
        </is>
      </c>
      <c r="G10" s="64" t="n"/>
      <c r="H10" s="64" t="inlineStr">
        <is>
          <t>Y</t>
        </is>
      </c>
      <c r="I10" s="64" t="inlineStr">
        <is>
          <t>Y</t>
        </is>
      </c>
      <c r="J10" s="77" t="inlineStr">
        <is>
          <t>Y</t>
        </is>
      </c>
      <c r="K10" s="64" t="inlineStr">
        <is>
          <t>Y</t>
        </is>
      </c>
      <c r="L10" s="64" t="n"/>
      <c r="M10" s="64" t="inlineStr">
        <is>
          <t>Y</t>
        </is>
      </c>
      <c r="N10" s="64" t="n"/>
      <c r="O10" s="53" t="n"/>
    </row>
    <row r="11">
      <c r="A11" s="218" t="n"/>
      <c r="B11" s="218" t="n"/>
      <c r="C11" s="218" t="n"/>
      <c r="D11" s="218" t="n"/>
      <c r="E11" s="218" t="n"/>
      <c r="F11" s="76" t="inlineStr">
        <is>
          <t>Unit</t>
        </is>
      </c>
      <c r="G11" s="69" t="n"/>
      <c r="H11" s="70" t="inlineStr">
        <is>
          <t>°C</t>
        </is>
      </c>
      <c r="I11" s="70" t="inlineStr">
        <is>
          <t>°C</t>
        </is>
      </c>
      <c r="J11" s="70" t="inlineStr">
        <is>
          <t>°C</t>
        </is>
      </c>
      <c r="K11" s="70" t="inlineStr">
        <is>
          <t>%</t>
        </is>
      </c>
      <c r="L11" s="70" t="inlineStr">
        <is>
          <t>ppm</t>
        </is>
      </c>
      <c r="M11" s="70" t="inlineStr">
        <is>
          <t>%</t>
        </is>
      </c>
      <c r="N11" s="70" t="inlineStr">
        <is>
          <t>%</t>
        </is>
      </c>
      <c r="O11" s="53" t="n"/>
    </row>
    <row r="12">
      <c r="D12" s="73" t="n"/>
      <c r="E12" s="74" t="n"/>
    </row>
    <row r="13">
      <c r="D13" s="73" t="n"/>
      <c r="E13" s="74" t="n"/>
    </row>
    <row r="14">
      <c r="D14" s="73" t="n"/>
      <c r="E14" s="74" t="n"/>
    </row>
    <row r="15">
      <c r="D15" s="73" t="n"/>
      <c r="E15" s="74" t="n"/>
    </row>
    <row r="16">
      <c r="D16" s="73" t="n"/>
      <c r="E16" s="74" t="n"/>
    </row>
    <row r="17">
      <c r="D17" s="73" t="n"/>
      <c r="E17" s="74" t="n"/>
    </row>
    <row r="18">
      <c r="D18" s="73" t="n"/>
      <c r="E18" s="74" t="n"/>
    </row>
  </sheetData>
  <mergeCells count="6">
    <mergeCell ref="G1:N1"/>
    <mergeCell ref="C1:C11"/>
    <mergeCell ref="B1:B11"/>
    <mergeCell ref="E1:E11"/>
    <mergeCell ref="A1:A11"/>
    <mergeCell ref="D1:D11"/>
  </mergeCells>
  <conditionalFormatting sqref="G10:N10">
    <cfRule type="cellIs" priority="10" operator="equal" dxfId="4">
      <formula>"N"</formula>
    </cfRule>
    <cfRule type="cellIs" priority="11" operator="equal" dxfId="0">
      <formula>"Y"</formula>
    </cfRule>
  </conditionalFormatting>
  <conditionalFormatting sqref="H8">
    <cfRule type="cellIs" priority="5" operator="equal" dxfId="4">
      <formula>"N"</formula>
    </cfRule>
    <cfRule type="cellIs" priority="6" operator="equal" dxfId="0">
      <formula>"Y"</formula>
    </cfRule>
  </conditionalFormatting>
  <conditionalFormatting sqref="J8">
    <cfRule type="cellIs" priority="1" operator="equal" dxfId="4">
      <formula>"N"</formula>
    </cfRule>
    <cfRule type="cellIs" priority="2" operator="equal" dxfId="0">
      <formula>"Y"</formula>
    </cfRule>
  </conditionalFormatting>
  <conditionalFormatting sqref="L8">
    <cfRule type="cellIs" priority="3" operator="equal" dxfId="4">
      <formula>"N"</formula>
    </cfRule>
    <cfRule type="cellIs" priority="4" operator="equal" dxfId="0">
      <formula>"Y"</formula>
    </cfRule>
  </conditionalFormatting>
  <conditionalFormatting sqref="BC6">
    <cfRule type="duplicateValues" priority="7" dxfId="102"/>
  </conditionalFormatting>
  <dataValidations count="2">
    <dataValidation sqref="G10:N10 H8 J8 L8" showDropDown="0" showInputMessage="1" showErrorMessage="1" allowBlank="1" type="list">
      <formula1>"Y,N"</formula1>
    </dataValidation>
    <dataValidation sqref="D12:D1048576" showDropDown="0" showInputMessage="1" showErrorMessage="1" allowBlank="1" type="list">
      <formula1>"MCS,Test,Propagation"</formula1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A18"/>
  <sheetViews>
    <sheetView workbookViewId="0">
      <pane xSplit="8" ySplit="11" topLeftCell="I12" activePane="bottomRight" state="frozen"/>
      <selection pane="topRight" activeCell="A1" sqref="A1"/>
      <selection pane="bottomLeft" activeCell="A1" sqref="A1"/>
      <selection pane="bottomRight" activeCell="I12" sqref="I12"/>
    </sheetView>
  </sheetViews>
  <sheetFormatPr baseColWidth="8" defaultColWidth="9" defaultRowHeight="15"/>
  <cols>
    <col width="9.85546875" customWidth="1" style="241" min="1" max="1"/>
    <col width="9.140625" customWidth="1" style="54" min="2" max="2"/>
    <col width="10.42578125" customWidth="1" style="241" min="3" max="5"/>
    <col width="8" customWidth="1" style="55" min="6" max="6"/>
    <col width="8.28515625" customWidth="1" style="55" min="7" max="7"/>
    <col width="12.85546875" customWidth="1" style="42" min="8" max="8"/>
    <col width="10.42578125" customWidth="1" style="42" min="9" max="12"/>
    <col width="10.42578125" customWidth="1" style="241" min="13" max="16"/>
    <col width="10.42578125" customWidth="1" style="42" min="17" max="17"/>
    <col width="10.42578125" customWidth="1" style="241" min="18" max="21"/>
    <col width="10.42578125" customWidth="1" style="42" min="22" max="22"/>
    <col width="10.42578125" customWidth="1" style="241" min="23" max="25"/>
    <col width="10.42578125" customWidth="1" style="42" min="26" max="26"/>
  </cols>
  <sheetData>
    <row r="1" ht="14.85" customHeight="1" s="241">
      <c r="A1" s="220" t="inlineStr">
        <is>
          <t>Brewery</t>
        </is>
      </c>
      <c r="B1" s="247" t="inlineStr">
        <is>
          <t>Date
 (TK01 Full Date)</t>
        </is>
      </c>
      <c r="C1" s="220" t="inlineStr">
        <is>
          <t>Brand</t>
        </is>
      </c>
      <c r="D1" s="220" t="inlineStr">
        <is>
          <t>Propagation Line</t>
        </is>
      </c>
      <c r="E1" s="220" t="inlineStr">
        <is>
          <t>Yeast Code</t>
        </is>
      </c>
      <c r="F1" s="216" t="inlineStr">
        <is>
          <t>Batch Production Type</t>
        </is>
      </c>
      <c r="G1" s="216" t="inlineStr">
        <is>
          <t>Batch Production Month</t>
        </is>
      </c>
      <c r="H1" s="75" t="inlineStr">
        <is>
          <t>Process</t>
        </is>
      </c>
      <c r="I1" s="253" t="inlineStr">
        <is>
          <t>Yeast Propagation</t>
        </is>
      </c>
      <c r="J1" s="211" t="n"/>
      <c r="K1" s="211" t="n"/>
      <c r="L1" s="211" t="n"/>
      <c r="M1" s="211" t="n"/>
      <c r="N1" s="211" t="n"/>
      <c r="O1" s="211" t="n"/>
      <c r="P1" s="211" t="n"/>
      <c r="Q1" s="211" t="n"/>
      <c r="R1" s="211" t="n"/>
      <c r="S1" s="211" t="n"/>
      <c r="T1" s="211" t="n"/>
      <c r="U1" s="211" t="n"/>
      <c r="V1" s="211" t="n"/>
      <c r="W1" s="211" t="n"/>
      <c r="X1" s="211" t="n"/>
      <c r="Y1" s="211" t="n"/>
      <c r="Z1" s="211" t="n"/>
    </row>
    <row r="2" ht="65.84999999999999" customFormat="1" customHeight="1" s="53">
      <c r="A2" s="217" t="n"/>
      <c r="B2" s="217" t="n"/>
      <c r="C2" s="217" t="n"/>
      <c r="D2" s="217" t="n"/>
      <c r="E2" s="217" t="n"/>
      <c r="F2" s="217" t="n"/>
      <c r="G2" s="217" t="n"/>
      <c r="H2" s="76" t="inlineStr">
        <is>
          <t>参数英文名</t>
        </is>
      </c>
      <c r="I2" s="60" t="inlineStr">
        <is>
          <t>Yeast Slurry % Dead - Receiving</t>
        </is>
      </c>
      <c r="J2" s="60" t="inlineStr">
        <is>
          <t>Yeast  
% Death - Lab End</t>
        </is>
      </c>
      <c r="K2" s="223" t="inlineStr">
        <is>
          <t xml:space="preserve">TK1
Yeast Propagation Hours </t>
        </is>
      </c>
      <c r="L2" s="223" t="inlineStr">
        <is>
          <t>TK1
Yeast Propagation Temp</t>
        </is>
      </c>
      <c r="M2" s="223" t="inlineStr">
        <is>
          <t>TK1
Yeast Propagation YCC before tranfer</t>
        </is>
      </c>
      <c r="N2" s="223" t="inlineStr">
        <is>
          <t>TK1
Yeast Propagation RDF before tranfer</t>
        </is>
      </c>
      <c r="O2" s="223" t="inlineStr">
        <is>
          <t>TK1
Yeast Propagation Death Rate</t>
        </is>
      </c>
      <c r="P2" s="60" t="inlineStr">
        <is>
          <t xml:space="preserve">TK2
Yeast Propagation Hours </t>
        </is>
      </c>
      <c r="Q2" s="60" t="inlineStr">
        <is>
          <t>TK2
Yeast Propagation Temp</t>
        </is>
      </c>
      <c r="R2" s="60" t="inlineStr">
        <is>
          <t>TK2
Yeast Propagation YCC before tranfer</t>
        </is>
      </c>
      <c r="S2" s="60" t="inlineStr">
        <is>
          <t>TK2
Yeast Propagation RDF before tranfer</t>
        </is>
      </c>
      <c r="T2" s="60" t="inlineStr">
        <is>
          <t>TK2
Yeast Propagation Death Rate</t>
        </is>
      </c>
      <c r="U2" s="223" t="inlineStr">
        <is>
          <t xml:space="preserve">TK3
Yeast Propagation Hours </t>
        </is>
      </c>
      <c r="V2" s="223" t="inlineStr">
        <is>
          <t>TK3
Yeast Propagation Temp</t>
        </is>
      </c>
      <c r="W2" s="223" t="inlineStr">
        <is>
          <t>TK3
Yeast Propagation YCC before tranfer</t>
        </is>
      </c>
      <c r="X2" s="223" t="inlineStr">
        <is>
          <t>TK3
Yeast Propagation RDF before tranfer</t>
        </is>
      </c>
      <c r="Y2" s="223" t="inlineStr">
        <is>
          <t>TK3
Propagation Death Rate</t>
        </is>
      </c>
      <c r="Z2" s="60" t="inlineStr">
        <is>
          <t>Total Yeast Propagation Hours</t>
        </is>
      </c>
    </row>
    <row r="3" ht="45" customHeight="1" s="241">
      <c r="A3" s="217" t="n"/>
      <c r="B3" s="217" t="n"/>
      <c r="C3" s="217" t="n"/>
      <c r="D3" s="217" t="n"/>
      <c r="E3" s="217" t="n"/>
      <c r="F3" s="217" t="n"/>
      <c r="G3" s="217" t="n"/>
      <c r="H3" s="220" t="inlineStr">
        <is>
          <t>参数中文名</t>
        </is>
      </c>
      <c r="I3" s="64" t="inlineStr">
        <is>
          <t>酵母泥死亡率</t>
        </is>
      </c>
      <c r="J3" s="64" t="inlineStr">
        <is>
          <t>实验室扩培结束酵母死亡率</t>
        </is>
      </c>
      <c r="K3" s="64" t="inlineStr">
        <is>
          <t>TK1扩培时间</t>
        </is>
      </c>
      <c r="L3" s="64" t="inlineStr">
        <is>
          <t>TK1扩培温度</t>
        </is>
      </c>
      <c r="M3" s="64" t="inlineStr">
        <is>
          <t>TK1转移前YCC</t>
        </is>
      </c>
      <c r="N3" s="64" t="inlineStr">
        <is>
          <t>TK1转移前RDF</t>
        </is>
      </c>
      <c r="O3" s="64" t="inlineStr">
        <is>
          <t>TK1转移前酵母死亡率</t>
        </is>
      </c>
      <c r="P3" s="64" t="inlineStr">
        <is>
          <t>TK2扩培时间</t>
        </is>
      </c>
      <c r="Q3" s="64" t="inlineStr">
        <is>
          <t>TK2扩培温度</t>
        </is>
      </c>
      <c r="R3" s="64" t="inlineStr">
        <is>
          <t>TK2转移前YCC</t>
        </is>
      </c>
      <c r="S3" s="64" t="inlineStr">
        <is>
          <t>TK2转移前RDF</t>
        </is>
      </c>
      <c r="T3" s="64" t="inlineStr">
        <is>
          <t>TK2转移前酵母死亡率</t>
        </is>
      </c>
      <c r="U3" s="64" t="inlineStr">
        <is>
          <t>扩培时间</t>
        </is>
      </c>
      <c r="V3" s="64" t="inlineStr">
        <is>
          <t>扩培温度</t>
        </is>
      </c>
      <c r="W3" s="64" t="inlineStr">
        <is>
          <t>转移前YCC</t>
        </is>
      </c>
      <c r="X3" s="64" t="inlineStr">
        <is>
          <t>转移前RDF</t>
        </is>
      </c>
      <c r="Y3" s="64" t="inlineStr">
        <is>
          <t>转移前酵母死亡率</t>
        </is>
      </c>
      <c r="Z3" s="64" t="inlineStr">
        <is>
          <t>总扩培时间</t>
        </is>
      </c>
    </row>
    <row r="4" ht="65.84999999999999" customFormat="1" customHeight="1" s="53">
      <c r="A4" s="217" t="n"/>
      <c r="B4" s="217" t="n"/>
      <c r="C4" s="217" t="n"/>
      <c r="D4" s="217" t="n"/>
      <c r="E4" s="217" t="n"/>
      <c r="F4" s="217" t="n"/>
      <c r="G4" s="217" t="n"/>
      <c r="H4" s="76" t="inlineStr">
        <is>
          <t>Global</t>
        </is>
      </c>
      <c r="I4" s="60" t="inlineStr">
        <is>
          <t>Yeast Slurry % Dead - Receiving</t>
        </is>
      </c>
      <c r="J4" s="60" t="inlineStr">
        <is>
          <t>Yeast Slurry % Dead - Receiving</t>
        </is>
      </c>
      <c r="K4" s="223" t="n"/>
      <c r="L4" s="223" t="n"/>
      <c r="M4" s="223" t="n"/>
      <c r="N4" s="223" t="n"/>
      <c r="O4" s="60" t="inlineStr">
        <is>
          <t>Yeast Propagation Death Rate - Phase I</t>
        </is>
      </c>
      <c r="P4" s="223" t="n"/>
      <c r="Q4" s="223" t="n"/>
      <c r="R4" s="223" t="n"/>
      <c r="S4" s="223" t="n"/>
      <c r="T4" s="60" t="inlineStr">
        <is>
          <t>Yeast Propagation Death Rate - Phase II</t>
        </is>
      </c>
      <c r="U4" s="223" t="n"/>
      <c r="V4" s="223" t="n"/>
      <c r="W4" s="223" t="n"/>
      <c r="X4" s="223" t="n"/>
      <c r="Y4" s="60" t="inlineStr">
        <is>
          <t>Propagation Death Rate - Phase III</t>
        </is>
      </c>
      <c r="Z4" s="223" t="n"/>
    </row>
    <row r="5" hidden="1" s="241">
      <c r="A5" s="217" t="n"/>
      <c r="B5" s="217" t="n"/>
      <c r="C5" s="217" t="n"/>
      <c r="D5" s="217" t="n"/>
      <c r="E5" s="217" t="n"/>
      <c r="F5" s="217" t="n"/>
      <c r="G5" s="217" t="n"/>
      <c r="H5" s="220" t="inlineStr">
        <is>
          <t>DF 编码</t>
        </is>
      </c>
      <c r="I5" s="64" t="n"/>
      <c r="J5" s="64" t="inlineStr">
        <is>
          <t>BR-40413</t>
        </is>
      </c>
      <c r="K5" s="64" t="inlineStr">
        <is>
          <t>BR-40385</t>
        </is>
      </c>
      <c r="L5" s="64" t="inlineStr">
        <is>
          <t>BR-40381</t>
        </is>
      </c>
      <c r="M5" s="113" t="inlineStr">
        <is>
          <t>BR-40404</t>
        </is>
      </c>
      <c r="N5" s="64" t="inlineStr">
        <is>
          <t>BR-40384</t>
        </is>
      </c>
      <c r="O5" s="64" t="inlineStr">
        <is>
          <t>BR-40405</t>
        </is>
      </c>
      <c r="P5" s="64" t="inlineStr">
        <is>
          <t>BR-40391</t>
        </is>
      </c>
      <c r="Q5" s="64" t="inlineStr">
        <is>
          <t>BR-40387</t>
        </is>
      </c>
      <c r="R5" s="113" t="inlineStr">
        <is>
          <t>BR-40406</t>
        </is>
      </c>
      <c r="S5" t="inlineStr">
        <is>
          <t>BR-40390</t>
        </is>
      </c>
      <c r="T5" s="64" t="inlineStr">
        <is>
          <t>BR-40407</t>
        </is>
      </c>
      <c r="U5" s="64" t="inlineStr">
        <is>
          <t>BR-40397</t>
        </is>
      </c>
      <c r="V5" s="64" t="inlineStr">
        <is>
          <t>BR-40393</t>
        </is>
      </c>
      <c r="W5" s="113" t="inlineStr">
        <is>
          <t>BR-40408</t>
        </is>
      </c>
      <c r="X5" s="64" t="inlineStr">
        <is>
          <t>BR-40396</t>
        </is>
      </c>
      <c r="Y5" s="64" t="inlineStr">
        <is>
          <t>BR-40409</t>
        </is>
      </c>
      <c r="Z5" s="64" t="inlineStr">
        <is>
          <t>BR-40414</t>
        </is>
      </c>
      <c r="AA5" s="53" t="n"/>
    </row>
    <row r="6" hidden="1" ht="120" customHeight="1" s="241">
      <c r="A6" s="217" t="n"/>
      <c r="B6" s="217" t="n"/>
      <c r="C6" s="217" t="n"/>
      <c r="D6" s="217" t="n"/>
      <c r="E6" s="217" t="n"/>
      <c r="F6" s="217" t="n"/>
      <c r="G6" s="217" t="n"/>
      <c r="H6" s="220" t="inlineStr">
        <is>
          <t>DF中文</t>
        </is>
      </c>
      <c r="I6" s="64" t="n"/>
      <c r="J6" s="64" t="inlineStr">
        <is>
          <t>卡氏罐扩培酵母死亡率_卡氏罐扩培_酿造_酵母工序</t>
        </is>
      </c>
      <c r="K6" s="64" t="inlineStr">
        <is>
          <t>工艺步骤时间段_现场一级扩培_酿造_酵母工序_扩培罐</t>
        </is>
      </c>
      <c r="L6" s="64" t="inlineStr">
        <is>
          <t>一级扩培酵母温度_现场一级扩培_酿造_酵母工序_扩培罐</t>
        </is>
      </c>
      <c r="M6" s="64" t="inlineStr">
        <is>
          <t>一级级扩培酵母转移前YCC_现场一级扩培_酿造_酵母工序_扩培罐</t>
        </is>
      </c>
      <c r="N6" s="64" t="inlineStr">
        <is>
          <t>一级扩培酵母RDF_现场一级扩培_酿造_酵母工序_扩培罐</t>
        </is>
      </c>
      <c r="O6" s="64" t="inlineStr">
        <is>
          <t>一级级扩培酵母转移前死亡率_现场一级扩培_酿造_酵母工序_扩培罐</t>
        </is>
      </c>
      <c r="P6" s="64" t="inlineStr">
        <is>
          <t>工艺步骤时间段_现场二级扩培_酿造_酵母工序_扩培罐</t>
        </is>
      </c>
      <c r="Q6" s="64" t="inlineStr">
        <is>
          <t>二级扩培酵母温度_现场二级扩培_酿造_酵母工序_扩培罐</t>
        </is>
      </c>
      <c r="R6" s="64" t="inlineStr">
        <is>
          <t>二级扩培酵母转移前YCC_现场二级扩培_酿造_酵母工序_扩培罐</t>
        </is>
      </c>
      <c r="S6" s="64" t="inlineStr">
        <is>
          <t>二级扩培酵母RDF_现场二级扩培_酿造_酵母工序_扩培罐</t>
        </is>
      </c>
      <c r="T6" s="64" t="inlineStr">
        <is>
          <t>二级扩培酵母转移前死亡率_现场二级扩培_酿造_酵母工序_扩培罐</t>
        </is>
      </c>
      <c r="U6" s="64" t="inlineStr">
        <is>
          <t>工艺步骤时间段_现场三级扩培_酿造_酵母工序_扩培罐</t>
        </is>
      </c>
      <c r="V6" s="64" t="inlineStr">
        <is>
          <t>三级扩培酵母温度_现场三级扩培_酿造_酵母工序_扩培罐</t>
        </is>
      </c>
      <c r="W6" s="64" t="inlineStr">
        <is>
          <t>三级扩培酵母RDF_现场三级扩培_酿造_酵母工序_扩培罐</t>
        </is>
      </c>
      <c r="X6" s="64" t="inlineStr">
        <is>
          <t>三级扩培酵母RDF_现场三级扩培_酿造_酵母工序_扩培罐</t>
        </is>
      </c>
      <c r="Y6" s="64" t="inlineStr">
        <is>
          <t>三级扩培酵母转移前死亡率_现场三级扩培_酿造_酵母工序_扩培罐</t>
        </is>
      </c>
      <c r="Z6" s="64" t="inlineStr">
        <is>
          <t>扩培酵母总工艺步骤时间段_酵母扩培_酿造_酵母工序</t>
        </is>
      </c>
      <c r="AA6" s="53" t="n"/>
    </row>
    <row r="7">
      <c r="A7" s="217" t="n"/>
      <c r="B7" s="217" t="n"/>
      <c r="C7" s="217" t="n"/>
      <c r="D7" s="217" t="n"/>
      <c r="E7" s="217" t="n"/>
      <c r="F7" s="217" t="n"/>
      <c r="G7" s="217" t="n"/>
      <c r="H7" s="220" t="inlineStr">
        <is>
          <t>数据源</t>
        </is>
      </c>
      <c r="I7" s="64" t="inlineStr">
        <is>
          <t>手动</t>
        </is>
      </c>
      <c r="J7" s="64" t="inlineStr">
        <is>
          <t>DF-TSM</t>
        </is>
      </c>
      <c r="K7" s="64" t="inlineStr">
        <is>
          <t>DF</t>
        </is>
      </c>
      <c r="L7" s="64" t="inlineStr">
        <is>
          <t>DF</t>
        </is>
      </c>
      <c r="M7" s="64" t="inlineStr">
        <is>
          <t>DF-TSM</t>
        </is>
      </c>
      <c r="N7" s="64" t="inlineStr">
        <is>
          <t>DF-TSM</t>
        </is>
      </c>
      <c r="O7" s="64" t="inlineStr">
        <is>
          <t>DF-TSM</t>
        </is>
      </c>
      <c r="P7" s="64" t="inlineStr">
        <is>
          <t>DF-TSM</t>
        </is>
      </c>
      <c r="Q7" s="64" t="inlineStr">
        <is>
          <t>DF-TSM</t>
        </is>
      </c>
      <c r="R7" s="64" t="inlineStr">
        <is>
          <t>DF-TSM</t>
        </is>
      </c>
      <c r="S7" s="64" t="inlineStr">
        <is>
          <t>DF-TSM</t>
        </is>
      </c>
      <c r="T7" s="64" t="inlineStr">
        <is>
          <t>DF-TSM</t>
        </is>
      </c>
      <c r="U7" s="64" t="inlineStr">
        <is>
          <t>DF-TSM</t>
        </is>
      </c>
      <c r="V7" s="64" t="inlineStr">
        <is>
          <t>DF-TSM</t>
        </is>
      </c>
      <c r="W7" s="64" t="inlineStr">
        <is>
          <t>DF-TSM</t>
        </is>
      </c>
      <c r="X7" s="64" t="inlineStr">
        <is>
          <t>DF-TSM</t>
        </is>
      </c>
      <c r="Y7" s="64" t="inlineStr">
        <is>
          <t>DF-TSM</t>
        </is>
      </c>
      <c r="Z7" s="64" t="inlineStr">
        <is>
          <t>DF-TSM</t>
        </is>
      </c>
      <c r="AA7" s="53" t="n"/>
    </row>
    <row r="8" ht="24" customHeight="1" s="241">
      <c r="A8" s="217" t="n"/>
      <c r="B8" s="217" t="n"/>
      <c r="C8" s="217" t="n"/>
      <c r="D8" s="217" t="n"/>
      <c r="E8" s="217" t="n"/>
      <c r="F8" s="217" t="n"/>
      <c r="G8" s="217" t="n"/>
      <c r="H8" s="221" t="inlineStr">
        <is>
          <t>是否Sensory PI展示</t>
        </is>
      </c>
      <c r="I8" s="64" t="n"/>
      <c r="J8" s="64" t="n"/>
      <c r="K8" s="64" t="n"/>
      <c r="L8" s="64" t="n"/>
      <c r="M8" s="64" t="n"/>
      <c r="N8" s="64" t="n"/>
      <c r="O8" s="64" t="n"/>
      <c r="P8" s="64" t="n"/>
      <c r="Q8" s="64" t="n"/>
      <c r="R8" s="64" t="n"/>
      <c r="S8" s="64" t="n"/>
      <c r="T8" s="64" t="n"/>
      <c r="U8" s="64" t="n"/>
      <c r="V8" s="64" t="n"/>
      <c r="W8" s="64" t="n"/>
      <c r="X8" s="64" t="n"/>
      <c r="Y8" s="64" t="n"/>
      <c r="Z8" s="64" t="n"/>
      <c r="AA8" s="53" t="n"/>
    </row>
    <row r="9">
      <c r="A9" s="217" t="n"/>
      <c r="B9" s="217" t="n"/>
      <c r="C9" s="217" t="n"/>
      <c r="D9" s="217" t="n"/>
      <c r="E9" s="217" t="n"/>
      <c r="F9" s="217" t="n"/>
      <c r="G9" s="217" t="n"/>
      <c r="H9" s="221" t="inlineStr">
        <is>
          <t>是否为Key PI</t>
        </is>
      </c>
      <c r="I9" s="64" t="n"/>
      <c r="J9" s="64" t="n"/>
      <c r="K9" s="64" t="n"/>
      <c r="L9" s="64" t="n"/>
      <c r="M9" s="64" t="n"/>
      <c r="N9" s="64" t="n"/>
      <c r="O9" s="64" t="n"/>
      <c r="P9" s="64" t="n"/>
      <c r="Q9" s="64" t="n"/>
      <c r="R9" s="64" t="n"/>
      <c r="S9" s="64" t="n"/>
      <c r="T9" s="64" t="n"/>
      <c r="U9" s="64" t="n"/>
      <c r="V9" s="64" t="n"/>
      <c r="W9" s="64" t="n"/>
      <c r="X9" s="64" t="n"/>
      <c r="Y9" s="64" t="n"/>
      <c r="Z9" s="64" t="n"/>
      <c r="AA9" s="53" t="n"/>
    </row>
    <row r="10" ht="30" customHeight="1" s="241">
      <c r="A10" s="217" t="n"/>
      <c r="B10" s="217" t="n"/>
      <c r="C10" s="217" t="n"/>
      <c r="D10" s="217" t="n"/>
      <c r="E10" s="217" t="n"/>
      <c r="F10" s="217" t="n"/>
      <c r="G10" s="217" t="n"/>
      <c r="H10" s="220" t="inlineStr">
        <is>
          <t>是否点图展示</t>
        </is>
      </c>
      <c r="I10" s="64" t="inlineStr">
        <is>
          <t>Y</t>
        </is>
      </c>
      <c r="J10" s="64" t="inlineStr">
        <is>
          <t>Y</t>
        </is>
      </c>
      <c r="K10" s="64" t="inlineStr">
        <is>
          <t>Y</t>
        </is>
      </c>
      <c r="L10" s="64" t="n"/>
      <c r="M10" s="64" t="n"/>
      <c r="N10" s="64" t="n"/>
      <c r="O10" s="64" t="inlineStr">
        <is>
          <t>Y</t>
        </is>
      </c>
      <c r="P10" s="64" t="inlineStr">
        <is>
          <t>Y</t>
        </is>
      </c>
      <c r="Q10" s="64" t="n"/>
      <c r="R10" s="64" t="n"/>
      <c r="S10" s="64" t="n"/>
      <c r="T10" s="64" t="inlineStr">
        <is>
          <t>Y</t>
        </is>
      </c>
      <c r="U10" s="64" t="inlineStr">
        <is>
          <t>Y</t>
        </is>
      </c>
      <c r="V10" s="64" t="n"/>
      <c r="W10" s="64" t="n"/>
      <c r="X10" s="64" t="n"/>
      <c r="Y10" s="64" t="inlineStr">
        <is>
          <t>Y</t>
        </is>
      </c>
      <c r="Z10" s="64" t="inlineStr">
        <is>
          <t>Y</t>
        </is>
      </c>
      <c r="AA10" s="53" t="n"/>
    </row>
    <row r="11">
      <c r="A11" s="218" t="n"/>
      <c r="B11" s="218" t="n"/>
      <c r="C11" s="218" t="n"/>
      <c r="D11" s="218" t="n"/>
      <c r="E11" s="218" t="n"/>
      <c r="F11" s="218" t="n"/>
      <c r="G11" s="218" t="n"/>
      <c r="H11" s="76" t="inlineStr">
        <is>
          <t>Unit</t>
        </is>
      </c>
      <c r="I11" s="69" t="inlineStr">
        <is>
          <t>%</t>
        </is>
      </c>
      <c r="J11" s="69" t="inlineStr">
        <is>
          <t>%</t>
        </is>
      </c>
      <c r="K11" s="69" t="inlineStr">
        <is>
          <t>Hours</t>
        </is>
      </c>
      <c r="L11" s="69" t="inlineStr">
        <is>
          <t>°C</t>
        </is>
      </c>
      <c r="M11" s="70" t="inlineStr">
        <is>
          <t>MM/ml</t>
        </is>
      </c>
      <c r="N11" s="70" t="inlineStr">
        <is>
          <t>%</t>
        </is>
      </c>
      <c r="O11" s="70" t="inlineStr">
        <is>
          <t>%</t>
        </is>
      </c>
      <c r="P11" s="70" t="inlineStr">
        <is>
          <t>Hours</t>
        </is>
      </c>
      <c r="Q11" s="69" t="inlineStr">
        <is>
          <t>°C</t>
        </is>
      </c>
      <c r="R11" s="70" t="inlineStr">
        <is>
          <t>MM/ml</t>
        </is>
      </c>
      <c r="S11" s="70" t="inlineStr">
        <is>
          <t>%</t>
        </is>
      </c>
      <c r="T11" s="70" t="inlineStr">
        <is>
          <t>%</t>
        </is>
      </c>
      <c r="U11" s="70" t="inlineStr">
        <is>
          <t>Hours</t>
        </is>
      </c>
      <c r="V11" s="69" t="inlineStr">
        <is>
          <t>°C</t>
        </is>
      </c>
      <c r="W11" s="70" t="inlineStr">
        <is>
          <t>MM/ml</t>
        </is>
      </c>
      <c r="X11" s="70" t="inlineStr">
        <is>
          <t>%</t>
        </is>
      </c>
      <c r="Y11" s="70" t="inlineStr">
        <is>
          <t>%</t>
        </is>
      </c>
      <c r="Z11" s="70" t="inlineStr">
        <is>
          <t>Hours</t>
        </is>
      </c>
      <c r="AA11" s="53" t="n"/>
    </row>
    <row r="12">
      <c r="F12" s="73" t="n"/>
      <c r="G12" s="74" t="n"/>
    </row>
    <row r="13">
      <c r="F13" s="73" t="n"/>
      <c r="G13" s="74" t="n"/>
    </row>
    <row r="14">
      <c r="F14" s="73" t="n"/>
      <c r="G14" s="74" t="n"/>
    </row>
    <row r="15">
      <c r="F15" s="73" t="n"/>
      <c r="G15" s="74" t="n"/>
    </row>
    <row r="16">
      <c r="F16" s="73" t="n"/>
      <c r="G16" s="74" t="n"/>
    </row>
    <row r="17">
      <c r="F17" s="73" t="n"/>
      <c r="G17" s="74" t="n"/>
    </row>
    <row r="18">
      <c r="F18" s="73" t="n"/>
      <c r="G18" s="74" t="n"/>
    </row>
  </sheetData>
  <mergeCells count="8">
    <mergeCell ref="D1:D11"/>
    <mergeCell ref="C1:C11"/>
    <mergeCell ref="B1:B11"/>
    <mergeCell ref="G1:G11"/>
    <mergeCell ref="E1:E11"/>
    <mergeCell ref="A1:A11"/>
    <mergeCell ref="I1:Z1"/>
    <mergeCell ref="F1:F11"/>
  </mergeCells>
  <conditionalFormatting sqref="I10:Z10">
    <cfRule type="cellIs" priority="36" operator="equal" dxfId="4">
      <formula>"N"</formula>
    </cfRule>
    <cfRule type="cellIs" priority="37" operator="equal" dxfId="0">
      <formula>"Y"</formula>
    </cfRule>
  </conditionalFormatting>
  <conditionalFormatting sqref="M5">
    <cfRule type="duplicateValues" priority="23" dxfId="102"/>
    <cfRule type="duplicateValues" priority="32" dxfId="101"/>
  </conditionalFormatting>
  <conditionalFormatting sqref="R5">
    <cfRule type="duplicateValues" priority="12" dxfId="102"/>
    <cfRule type="duplicateValues" priority="21" dxfId="101"/>
  </conditionalFormatting>
  <conditionalFormatting sqref="W5">
    <cfRule type="duplicateValues" priority="1" dxfId="102"/>
    <cfRule type="duplicateValues" priority="10" dxfId="101"/>
  </conditionalFormatting>
  <dataValidations count="2">
    <dataValidation sqref="I10:Z10" showDropDown="0" showInputMessage="1" showErrorMessage="1" allowBlank="1" type="list">
      <formula1>"Y,N"</formula1>
    </dataValidation>
    <dataValidation sqref="F12:F1048576" showDropDown="0" showInputMessage="1" showErrorMessage="1" allowBlank="1" type="list">
      <formula1>"MCS,Test,Propagation"</formula1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P18"/>
  <sheetViews>
    <sheetView workbookViewId="0">
      <pane xSplit="9" ySplit="11" topLeftCell="J12" activePane="bottomRight" state="frozen"/>
      <selection pane="topRight" activeCell="A1" sqref="A1"/>
      <selection pane="bottomLeft" activeCell="A1" sqref="A1"/>
      <selection pane="bottomRight" activeCell="J12" sqref="J12"/>
    </sheetView>
  </sheetViews>
  <sheetFormatPr baseColWidth="8" defaultColWidth="9" defaultRowHeight="15"/>
  <cols>
    <col width="8.140625" customWidth="1" style="241" min="1" max="1"/>
    <col width="10.85546875" customWidth="1" style="54" min="2" max="2"/>
    <col width="11.42578125" customWidth="1" style="241" min="3" max="6"/>
    <col width="8" customWidth="1" style="55" min="7" max="7"/>
    <col width="8.28515625" customWidth="1" style="55" min="8" max="8"/>
    <col width="14.85546875" customWidth="1" style="42" min="9" max="13"/>
    <col width="10.42578125" customWidth="1" style="42" min="14" max="18"/>
    <col width="10.42578125" customWidth="1" style="241" min="19" max="23"/>
    <col width="10.42578125" customWidth="1" style="42" min="24" max="25"/>
    <col width="8.42578125" customWidth="1" style="241" min="26" max="29"/>
    <col width="10.42578125" customWidth="1" style="241" min="30" max="34"/>
    <col width="9" customWidth="1" style="241" min="35" max="35"/>
    <col width="10.42578125" customWidth="1" style="241" min="36" max="37"/>
    <col width="11.140625" customWidth="1" style="42" min="38" max="41"/>
    <col width="11.140625" customWidth="1" style="241" min="42" max="46"/>
    <col width="11.140625" customWidth="1" style="42" min="47" max="47"/>
    <col width="11.140625" customWidth="1" style="241" min="48" max="93"/>
  </cols>
  <sheetData>
    <row r="1" ht="14.85" customHeight="1" s="241">
      <c r="A1" s="220" t="inlineStr">
        <is>
          <t>Brewery</t>
        </is>
      </c>
      <c r="B1" s="247" t="inlineStr">
        <is>
          <t>Fermentor Full Date</t>
        </is>
      </c>
      <c r="C1" s="220" t="inlineStr">
        <is>
          <t>Brand</t>
        </is>
      </c>
      <c r="D1" s="220" t="inlineStr">
        <is>
          <t>OG Standard</t>
        </is>
      </c>
      <c r="E1" s="220" t="inlineStr">
        <is>
          <t>Fermetor No.</t>
        </is>
      </c>
      <c r="F1" s="220" t="inlineStr">
        <is>
          <t>Brew No.</t>
        </is>
      </c>
      <c r="G1" s="216" t="inlineStr">
        <is>
          <t>Batch Production Type</t>
        </is>
      </c>
      <c r="H1" s="216" t="inlineStr">
        <is>
          <t>Batch Production Month</t>
        </is>
      </c>
      <c r="I1" s="75" t="inlineStr">
        <is>
          <t>Process</t>
        </is>
      </c>
      <c r="J1" s="255" t="inlineStr">
        <is>
          <t>Fermentor Fill</t>
        </is>
      </c>
      <c r="K1" s="237" t="n"/>
      <c r="L1" s="237" t="n"/>
      <c r="M1" s="237" t="n"/>
      <c r="N1" s="237" t="n"/>
      <c r="O1" s="237" t="n"/>
      <c r="P1" s="237" t="n"/>
      <c r="Q1" s="237" t="n"/>
      <c r="R1" s="237" t="n"/>
      <c r="S1" s="237" t="n"/>
      <c r="T1" s="237" t="n"/>
      <c r="U1" s="237" t="n"/>
      <c r="V1" s="237" t="n"/>
      <c r="W1" s="237" t="n"/>
      <c r="X1" s="237" t="n"/>
      <c r="Y1" s="237" t="n"/>
      <c r="Z1" s="237" t="n"/>
      <c r="AA1" s="237" t="n"/>
      <c r="AB1" s="237" t="n"/>
      <c r="AC1" s="237" t="n"/>
      <c r="AD1" s="237" t="n"/>
      <c r="AE1" s="237" t="n"/>
      <c r="AF1" s="237" t="n"/>
      <c r="AG1" s="237" t="n"/>
      <c r="AH1" s="237" t="n"/>
      <c r="AI1" s="237" t="n"/>
      <c r="AJ1" s="237" t="n"/>
      <c r="AK1" s="237" t="n"/>
      <c r="AL1" s="254" t="inlineStr">
        <is>
          <t>Alpha Fermentation</t>
        </is>
      </c>
      <c r="AM1" s="211" t="n"/>
      <c r="AN1" s="211" t="n"/>
      <c r="AO1" s="211" t="n"/>
      <c r="AP1" s="211" t="n"/>
      <c r="AQ1" s="211" t="n"/>
      <c r="AR1" s="211" t="n"/>
      <c r="AS1" s="211" t="n"/>
      <c r="AT1" s="211" t="n"/>
      <c r="AU1" s="211" t="n"/>
      <c r="AV1" s="211" t="n"/>
      <c r="AW1" s="211" t="n"/>
      <c r="AX1" s="211" t="n"/>
      <c r="AY1" s="211" t="n"/>
      <c r="AZ1" s="211" t="n"/>
      <c r="BA1" s="211" t="n"/>
      <c r="BB1" s="211" t="n"/>
      <c r="BC1" s="211" t="n"/>
      <c r="BD1" s="214" t="n"/>
      <c r="BE1" s="251" t="n"/>
      <c r="BF1" s="211" t="n"/>
      <c r="BG1" s="211" t="n"/>
      <c r="BH1" s="211" t="n"/>
      <c r="BI1" s="214" t="n"/>
      <c r="BJ1" s="244" t="inlineStr">
        <is>
          <t>Warm Maturation</t>
        </is>
      </c>
      <c r="BK1" s="237" t="n"/>
      <c r="BL1" s="237" t="n"/>
      <c r="BM1" s="237" t="n"/>
      <c r="BN1" s="237" t="n"/>
      <c r="BO1" s="237" t="n"/>
      <c r="BP1" s="237" t="n"/>
      <c r="BQ1" s="237" t="n"/>
      <c r="BR1" s="237" t="n"/>
      <c r="BS1" s="237" t="n"/>
      <c r="BT1" s="237" t="n"/>
      <c r="BU1" s="237" t="n"/>
      <c r="BV1" s="237" t="n"/>
      <c r="BW1" s="237" t="n"/>
      <c r="BX1" s="237" t="n"/>
      <c r="BY1" s="245" t="n"/>
      <c r="BZ1" s="256" t="inlineStr">
        <is>
          <t>EOC</t>
        </is>
      </c>
      <c r="CA1" s="237" t="n"/>
      <c r="CB1" s="237" t="n"/>
      <c r="CC1" s="237" t="n"/>
      <c r="CD1" s="237" t="n"/>
      <c r="CE1" s="237" t="n"/>
      <c r="CF1" s="237" t="n"/>
      <c r="CG1" s="237" t="n"/>
      <c r="CH1" s="237" t="n"/>
      <c r="CI1" s="237" t="n"/>
      <c r="CJ1" s="237" t="n"/>
      <c r="CK1" s="237" t="n"/>
      <c r="CL1" s="237" t="n"/>
      <c r="CM1" s="237" t="n"/>
      <c r="CN1" s="237" t="n"/>
      <c r="CO1" s="237" t="n"/>
    </row>
    <row r="2" ht="85.34999999999999" customFormat="1" customHeight="1" s="53">
      <c r="A2" s="217" t="n"/>
      <c r="B2" s="217" t="n"/>
      <c r="C2" s="217" t="n"/>
      <c r="D2" s="217" t="n"/>
      <c r="E2" s="217" t="n"/>
      <c r="F2" s="217" t="n"/>
      <c r="G2" s="217" t="n"/>
      <c r="H2" s="217" t="n"/>
      <c r="I2" s="220" t="inlineStr">
        <is>
          <t>参数英文名</t>
        </is>
      </c>
      <c r="J2" s="60" t="inlineStr">
        <is>
          <t>Filling Height</t>
        </is>
      </c>
      <c r="K2" s="60" t="inlineStr">
        <is>
          <t>Filling rate</t>
        </is>
      </c>
      <c r="L2" s="60" t="inlineStr">
        <is>
          <t>Tank Diameter</t>
        </is>
      </c>
      <c r="M2" s="60" t="inlineStr">
        <is>
          <t>Fill Height &amp; Diameter ratio</t>
        </is>
      </c>
      <c r="N2" s="60" t="inlineStr">
        <is>
          <t>Yeast Generation</t>
        </is>
      </c>
      <c r="O2" s="60" t="inlineStr">
        <is>
          <t>Volume -Wort</t>
        </is>
      </c>
      <c r="P2" s="60" t="inlineStr">
        <is>
          <t>Water Push Volume</t>
        </is>
      </c>
      <c r="Q2" s="60" t="inlineStr">
        <is>
          <t>Total Volume</t>
        </is>
      </c>
      <c r="R2" s="60" t="inlineStr">
        <is>
          <t>Yeast Dosage Volume</t>
        </is>
      </c>
      <c r="S2" s="60" t="inlineStr">
        <is>
          <t>Yeast Storage Time</t>
        </is>
      </c>
      <c r="T2" s="60" t="inlineStr">
        <is>
          <t>Yeast Storage Temp</t>
        </is>
      </c>
      <c r="U2" s="60" t="inlineStr">
        <is>
          <t>Pitching Rate</t>
        </is>
      </c>
      <c r="V2" s="60" t="inlineStr">
        <is>
          <t>Pitching Rate - LAB audit</t>
        </is>
      </c>
      <c r="W2" s="60" t="inlineStr">
        <is>
          <t>Pitching Death Rate</t>
        </is>
      </c>
      <c r="X2" s="60" t="inlineStr">
        <is>
          <t>YACT</t>
        </is>
      </c>
      <c r="Y2" s="60" t="inlineStr">
        <is>
          <t>DYA</t>
        </is>
      </c>
      <c r="Z2" s="60" t="inlineStr">
        <is>
          <t>Air injection</t>
        </is>
      </c>
      <c r="AA2" s="223" t="inlineStr">
        <is>
          <t>Two air injection flowmeter Deviation</t>
        </is>
      </c>
      <c r="AB2" s="60" t="inlineStr">
        <is>
          <t>Cold wort DO</t>
        </is>
      </c>
      <c r="AC2" s="60" t="inlineStr">
        <is>
          <t>Total filling time</t>
        </is>
      </c>
      <c r="AD2" s="60" t="inlineStr">
        <is>
          <t xml:space="preserve"> Temp</t>
        </is>
      </c>
      <c r="AE2" s="60" t="inlineStr">
        <is>
          <t>OG</t>
        </is>
      </c>
      <c r="AF2" s="60" t="inlineStr">
        <is>
          <t>pH</t>
        </is>
      </c>
      <c r="AG2" s="60" t="inlineStr">
        <is>
          <t>FAN</t>
        </is>
      </c>
      <c r="AH2" s="60" t="inlineStr">
        <is>
          <t>IBU</t>
        </is>
      </c>
      <c r="AI2" s="60" t="inlineStr">
        <is>
          <t>Color</t>
        </is>
      </c>
      <c r="AJ2" s="60" t="inlineStr">
        <is>
          <t>Wort Limit RDF</t>
        </is>
      </c>
      <c r="AK2" s="60" t="inlineStr">
        <is>
          <t>Wort Limit Extract</t>
        </is>
      </c>
      <c r="AL2" s="60" t="inlineStr">
        <is>
          <t>Attemporation Temperature</t>
        </is>
      </c>
      <c r="AM2" s="60" t="inlineStr">
        <is>
          <t>Attemporation Temperature
Max</t>
        </is>
      </c>
      <c r="AN2" s="60" t="inlineStr">
        <is>
          <t>Attemporation Temperature
Min</t>
        </is>
      </c>
      <c r="AO2" s="60" t="inlineStr">
        <is>
          <t>Attemporation Temperature
Deviation Time</t>
        </is>
      </c>
      <c r="AP2" s="60" t="inlineStr">
        <is>
          <t>Time to attemporation</t>
        </is>
      </c>
      <c r="AQ2" s="60" t="inlineStr">
        <is>
          <t>CO2 recovery start time</t>
        </is>
      </c>
      <c r="AR2" s="60" t="inlineStr">
        <is>
          <t>Alpha fermentation pressure(Maximum)</t>
        </is>
      </c>
      <c r="AS2" s="60" t="inlineStr">
        <is>
          <t>Extract to start  2nd phase</t>
        </is>
      </c>
      <c r="AT2" s="60" t="inlineStr">
        <is>
          <t>2nd Stage Temperature</t>
        </is>
      </c>
      <c r="AU2" s="60" t="inlineStr">
        <is>
          <t>Time to reach 2nd stage rise temperature</t>
        </is>
      </c>
      <c r="AV2" s="60" t="inlineStr">
        <is>
          <t>72h AE</t>
        </is>
      </c>
      <c r="AW2" s="60" t="inlineStr">
        <is>
          <t>Peak YCC</t>
        </is>
      </c>
      <c r="AX2" s="60" t="inlineStr">
        <is>
          <t>Fermentation Velocity</t>
        </is>
      </c>
      <c r="AY2" s="60" t="inlineStr">
        <is>
          <t>Extract to start Full Cooling</t>
        </is>
      </c>
      <c r="AZ2" s="60" t="inlineStr">
        <is>
          <t>Time to harvest - fermentor age</t>
        </is>
      </c>
      <c r="BA2" s="60" t="inlineStr">
        <is>
          <t>EOF to Yeast Harvest</t>
        </is>
      </c>
      <c r="BB2" s="60" t="inlineStr">
        <is>
          <t>Yeast recovery delay time</t>
        </is>
      </c>
      <c r="BC2" s="60" t="inlineStr">
        <is>
          <t>Drop FAN</t>
        </is>
      </c>
      <c r="BD2" s="60" t="inlineStr">
        <is>
          <t>FAN uptake</t>
        </is>
      </c>
      <c r="BE2" s="60" t="inlineStr">
        <is>
          <t>Drop IBU</t>
        </is>
      </c>
      <c r="BF2" s="60" t="inlineStr">
        <is>
          <t>IBU Loss</t>
        </is>
      </c>
      <c r="BG2" s="60" t="inlineStr">
        <is>
          <t>SO2  (EOF)</t>
        </is>
      </c>
      <c r="BH2" s="60" t="inlineStr">
        <is>
          <t>pH  (EOF)</t>
        </is>
      </c>
      <c r="BI2" s="60" t="inlineStr">
        <is>
          <t>Yeast Zinc Calculation</t>
        </is>
      </c>
      <c r="BJ2" s="60" t="inlineStr">
        <is>
          <t>Yeast Beer Dosage Volume</t>
        </is>
      </c>
      <c r="BK2" s="60" t="inlineStr">
        <is>
          <t>Yeast Beer Dosage Ratio</t>
        </is>
      </c>
      <c r="BL2" s="60" t="inlineStr">
        <is>
          <t>0H YCC</t>
        </is>
      </c>
      <c r="BM2" s="60" t="inlineStr">
        <is>
          <t>Mid Point YCC</t>
        </is>
      </c>
      <c r="BN2" s="60" t="inlineStr">
        <is>
          <t>EOC YCC</t>
        </is>
      </c>
      <c r="BO2" s="60" t="inlineStr">
        <is>
          <t>EOC death rate</t>
        </is>
      </c>
      <c r="BP2" s="60" t="inlineStr">
        <is>
          <t>Temperature Maturation tank</t>
        </is>
      </c>
      <c r="BQ2" s="60" t="inlineStr">
        <is>
          <t>Counter Pressure Maturation tank</t>
        </is>
      </c>
      <c r="BR2" s="60" t="inlineStr">
        <is>
          <t>Time in maturation at transfer</t>
        </is>
      </c>
      <c r="BS2" s="60" t="inlineStr">
        <is>
          <t>Fermentation cycle time</t>
        </is>
      </c>
      <c r="BT2" s="60" t="inlineStr">
        <is>
          <t>Fermentation cycle deviation</t>
        </is>
      </c>
      <c r="BU2" s="60" t="inlineStr">
        <is>
          <t>Temperature at transfer</t>
        </is>
      </c>
      <c r="BV2" s="60" t="inlineStr">
        <is>
          <t>Total beer Age</t>
        </is>
      </c>
      <c r="BW2" s="223" t="inlineStr">
        <is>
          <t>Yeast death rate at total beer Age</t>
        </is>
      </c>
      <c r="BX2" s="60" t="inlineStr">
        <is>
          <t>Waiting for centrifuge days after maturation</t>
        </is>
      </c>
      <c r="BY2" s="60" t="inlineStr">
        <is>
          <t>Empty Time</t>
        </is>
      </c>
      <c r="BZ2" s="60" t="inlineStr">
        <is>
          <t xml:space="preserve">Diacetyl </t>
        </is>
      </c>
      <c r="CA2" s="60" t="inlineStr">
        <is>
          <t xml:space="preserve">Pentanedione </t>
        </is>
      </c>
      <c r="CB2" s="60" t="inlineStr">
        <is>
          <t>AA</t>
        </is>
      </c>
      <c r="CC2" s="60" t="inlineStr">
        <is>
          <t xml:space="preserve">Release Diacetyl </t>
        </is>
      </c>
      <c r="CD2" s="60" t="inlineStr">
        <is>
          <t xml:space="preserve">Release
Pentanedione </t>
        </is>
      </c>
      <c r="CE2" s="60" t="inlineStr">
        <is>
          <t>Release
AA</t>
        </is>
      </c>
      <c r="CF2" s="60" t="inlineStr">
        <is>
          <t>OG</t>
        </is>
      </c>
      <c r="CG2" s="60" t="inlineStr">
        <is>
          <t>AE</t>
        </is>
      </c>
      <c r="CH2" s="60" t="inlineStr">
        <is>
          <t>RDF</t>
        </is>
      </c>
      <c r="CI2" s="60" t="inlineStr">
        <is>
          <t>Wort RDF - EOC RDF</t>
        </is>
      </c>
      <c r="CJ2" s="60" t="inlineStr">
        <is>
          <t xml:space="preserve">EOC AE - Limit AE </t>
        </is>
      </c>
      <c r="CK2" s="60" t="inlineStr">
        <is>
          <t>pH</t>
        </is>
      </c>
      <c r="CL2" s="60" t="inlineStr">
        <is>
          <t>Color</t>
        </is>
      </c>
      <c r="CM2" s="60" t="inlineStr">
        <is>
          <t>DO</t>
        </is>
      </c>
      <c r="CN2" s="60" t="inlineStr">
        <is>
          <t>CO2</t>
        </is>
      </c>
      <c r="CO2" s="60" t="inlineStr">
        <is>
          <t>IBU</t>
        </is>
      </c>
    </row>
    <row r="3" ht="37.35" customFormat="1" customHeight="1" s="53">
      <c r="A3" s="217" t="n"/>
      <c r="B3" s="217" t="n"/>
      <c r="C3" s="217" t="n"/>
      <c r="D3" s="217" t="n"/>
      <c r="E3" s="217" t="n"/>
      <c r="F3" s="217" t="n"/>
      <c r="G3" s="217" t="n"/>
      <c r="H3" s="217" t="n"/>
      <c r="I3" s="220" t="inlineStr">
        <is>
          <t>参数中文名</t>
        </is>
      </c>
      <c r="J3" s="61" t="inlineStr">
        <is>
          <t>满罐麦汁高度）</t>
        </is>
      </c>
      <c r="K3" s="61" t="inlineStr">
        <is>
          <t>填充率</t>
        </is>
      </c>
      <c r="L3" s="61" t="inlineStr">
        <is>
          <t>罐直径</t>
        </is>
      </c>
      <c r="M3" s="61" t="inlineStr">
        <is>
          <t>填装高度和直径比</t>
        </is>
      </c>
      <c r="N3" s="61" t="inlineStr">
        <is>
          <t>酵母代数</t>
        </is>
      </c>
      <c r="O3" s="61" t="inlineStr">
        <is>
          <t>满罐麦汁量</t>
        </is>
      </c>
      <c r="P3" s="61" t="inlineStr">
        <is>
          <t>顶水量</t>
        </is>
      </c>
      <c r="Q3" s="61" t="inlineStr">
        <is>
          <t>满罐总量</t>
        </is>
      </c>
      <c r="R3" s="61" t="inlineStr">
        <is>
          <t>酵母添加量</t>
        </is>
      </c>
      <c r="S3" s="61" t="inlineStr">
        <is>
          <t>从快速降温到再次使用时间</t>
        </is>
      </c>
      <c r="T3" s="61" t="inlineStr">
        <is>
          <t>酵母储存温度</t>
        </is>
      </c>
      <c r="U3" s="61" t="inlineStr">
        <is>
          <t>酵母接种量</t>
        </is>
      </c>
      <c r="V3" s="61" t="inlineStr">
        <is>
          <t>酵母接种量-实验室验证</t>
        </is>
      </c>
      <c r="W3" s="106" t="inlineStr">
        <is>
          <t>酵母接种量死亡率</t>
        </is>
      </c>
      <c r="X3" s="61" t="inlineStr">
        <is>
          <t>YACT</t>
        </is>
      </c>
      <c r="Y3" s="61" t="inlineStr">
        <is>
          <t>持续充氧总时间</t>
        </is>
      </c>
      <c r="Z3" s="61" t="inlineStr">
        <is>
          <t>充氧量</t>
        </is>
      </c>
      <c r="AA3" s="99" t="inlineStr">
        <is>
          <t>双充氧流量计的偏离</t>
        </is>
      </c>
      <c r="AB3" s="61" t="inlineStr">
        <is>
          <t>冷麦汁DO</t>
        </is>
      </c>
      <c r="AC3" s="61" t="inlineStr">
        <is>
          <t>满罐时长</t>
        </is>
      </c>
      <c r="AD3" s="61" t="inlineStr">
        <is>
          <t>满罐温度</t>
        </is>
      </c>
      <c r="AE3" s="61" t="inlineStr">
        <is>
          <t>满罐OG</t>
        </is>
      </c>
      <c r="AF3" s="61" t="inlineStr">
        <is>
          <t>进罐pH</t>
        </is>
      </c>
      <c r="AG3" s="61" t="inlineStr">
        <is>
          <t>满罐FAN</t>
        </is>
      </c>
      <c r="AH3" s="61" t="inlineStr">
        <is>
          <t>满罐IBU</t>
        </is>
      </c>
      <c r="AI3" s="61" t="inlineStr">
        <is>
          <t>色度</t>
        </is>
      </c>
      <c r="AJ3" s="61" t="inlineStr">
        <is>
          <t>极限RDF</t>
        </is>
      </c>
      <c r="AK3" s="61" t="inlineStr">
        <is>
          <t>极限AE</t>
        </is>
      </c>
      <c r="AL3" s="61" t="inlineStr">
        <is>
          <t>主酵温度
（平均）</t>
        </is>
      </c>
      <c r="AM3" s="106" t="inlineStr">
        <is>
          <t>主酵最高温度</t>
        </is>
      </c>
      <c r="AN3" s="106" t="inlineStr">
        <is>
          <t>主酵最低温度</t>
        </is>
      </c>
      <c r="AO3" s="106" t="inlineStr">
        <is>
          <t>主酵温度
偏离时间段</t>
        </is>
      </c>
      <c r="AP3" s="61" t="inlineStr">
        <is>
          <t>自由升温时间</t>
        </is>
      </c>
      <c r="AQ3" s="61" t="inlineStr">
        <is>
          <t>CO2回收时间</t>
        </is>
      </c>
      <c r="AR3" s="61" t="inlineStr">
        <is>
          <t>主酵期间发酵罐最大压力</t>
        </is>
      </c>
      <c r="AS3" s="61" t="inlineStr">
        <is>
          <t>二段升温开始糖度</t>
        </is>
      </c>
      <c r="AT3" s="61" t="inlineStr">
        <is>
          <t>二段温度</t>
        </is>
      </c>
      <c r="AU3" s="61" t="inlineStr">
        <is>
          <t>二段升温时间</t>
        </is>
      </c>
      <c r="AV3" s="61" t="inlineStr">
        <is>
          <t>72h 外观糖度</t>
        </is>
      </c>
      <c r="AW3" s="61" t="inlineStr">
        <is>
          <t>峰值酵母数</t>
        </is>
      </c>
      <c r="AX3" s="61" t="inlineStr">
        <is>
          <t>主酵时间</t>
        </is>
      </c>
      <c r="AY3" s="61" t="inlineStr">
        <is>
          <t>AE+2</t>
        </is>
      </c>
      <c r="AZ3" s="61" t="inlineStr">
        <is>
          <t>开始回收酵母时间</t>
        </is>
      </c>
      <c r="BA3" s="61" t="inlineStr">
        <is>
          <t>主酵结束到开始回收时间</t>
        </is>
      </c>
      <c r="BB3" s="61" t="inlineStr">
        <is>
          <t>酵母推迟回收时间</t>
        </is>
      </c>
      <c r="BC3" s="61" t="inlineStr">
        <is>
          <t>主酵结束FAN</t>
        </is>
      </c>
      <c r="BD3" s="61" t="inlineStr">
        <is>
          <t>FAN uptake</t>
        </is>
      </c>
      <c r="BE3" s="61" t="inlineStr">
        <is>
          <t>主酵结束IBU</t>
        </is>
      </c>
      <c r="BF3" s="61" t="inlineStr">
        <is>
          <t>IBU损失</t>
        </is>
      </c>
      <c r="BG3" s="61" t="inlineStr">
        <is>
          <t>主酵结束SO2</t>
        </is>
      </c>
      <c r="BH3" s="61" t="inlineStr">
        <is>
          <t>主酵结束pH</t>
        </is>
      </c>
      <c r="BI3" s="61" t="inlineStr">
        <is>
          <t>酵母锌理论计算</t>
        </is>
      </c>
      <c r="BJ3" s="61" t="inlineStr">
        <is>
          <t>酵母酒添加量</t>
        </is>
      </c>
      <c r="BK3" s="61" t="inlineStr">
        <is>
          <t>酵母酒添加比例</t>
        </is>
      </c>
      <c r="BL3" s="61" t="inlineStr">
        <is>
          <t>0h YCC</t>
        </is>
      </c>
      <c r="BM3" s="61" t="inlineStr">
        <is>
          <t>中间点YCC</t>
        </is>
      </c>
      <c r="BN3" s="61" t="inlineStr">
        <is>
          <t>EOC YCC</t>
        </is>
      </c>
      <c r="BO3" s="61" t="inlineStr">
        <is>
          <t>EOC 酵母死亡率</t>
        </is>
      </c>
      <c r="BP3" s="107" t="inlineStr">
        <is>
          <t>后酵温度
(平均值）</t>
        </is>
      </c>
      <c r="BQ3" s="105" t="inlineStr">
        <is>
          <t>后酵压力</t>
        </is>
      </c>
      <c r="BR3" s="105" t="inlineStr">
        <is>
          <t>后酵时间段</t>
        </is>
      </c>
      <c r="BS3" s="105" t="inlineStr">
        <is>
          <t>发酵周期</t>
        </is>
      </c>
      <c r="BT3" s="61" t="inlineStr">
        <is>
          <t>发酵周期偏离</t>
        </is>
      </c>
      <c r="BU3" s="105" t="inlineStr">
        <is>
          <t>发酵罐开始出酒温度</t>
        </is>
      </c>
      <c r="BV3" s="105" t="inlineStr">
        <is>
          <t>总酒龄</t>
        </is>
      </c>
      <c r="BW3" s="108" t="inlineStr">
        <is>
          <t>总酒龄点的酵母死亡率</t>
        </is>
      </c>
      <c r="BX3" s="61" t="inlineStr">
        <is>
          <t>成熟后至开罐出酒时间</t>
        </is>
      </c>
      <c r="BY3" s="105" t="inlineStr">
        <is>
          <t>空罐时间</t>
        </is>
      </c>
      <c r="BZ3" s="61" t="inlineStr">
        <is>
          <t>EOC 双乙酰</t>
        </is>
      </c>
      <c r="CA3" s="61" t="inlineStr">
        <is>
          <t>EOC 戊二酮</t>
        </is>
      </c>
      <c r="CB3" s="61" t="inlineStr">
        <is>
          <t xml:space="preserve">EOC AA </t>
        </is>
      </c>
      <c r="CC3" s="61" t="inlineStr">
        <is>
          <t>放行 双乙酰</t>
        </is>
      </c>
      <c r="CD3" s="61" t="inlineStr">
        <is>
          <t>放行 戊二酮</t>
        </is>
      </c>
      <c r="CE3" s="61" t="inlineStr">
        <is>
          <t xml:space="preserve">放行 AA </t>
        </is>
      </c>
      <c r="CF3" s="61" t="inlineStr">
        <is>
          <t>原浓</t>
        </is>
      </c>
      <c r="CG3" s="61" t="inlineStr">
        <is>
          <t>外观糖度</t>
        </is>
      </c>
      <c r="CH3" s="61" t="inlineStr">
        <is>
          <t>发酵度</t>
        </is>
      </c>
      <c r="CI3" s="61" t="inlineStr">
        <is>
          <t>发酵度之差</t>
        </is>
      </c>
      <c r="CJ3" s="61" t="inlineStr">
        <is>
          <t>EOC AE - Limit AE</t>
        </is>
      </c>
      <c r="CK3" s="61" t="inlineStr">
        <is>
          <t>pH</t>
        </is>
      </c>
      <c r="CL3" s="61" t="inlineStr">
        <is>
          <t>色度</t>
        </is>
      </c>
      <c r="CM3" s="61" t="inlineStr">
        <is>
          <t>DO</t>
        </is>
      </c>
      <c r="CN3" s="61" t="inlineStr">
        <is>
          <t>CO2</t>
        </is>
      </c>
      <c r="CO3" s="61" t="inlineStr">
        <is>
          <t>苦味质</t>
        </is>
      </c>
    </row>
    <row r="4" ht="58.5" customFormat="1" customHeight="1" s="53">
      <c r="A4" s="217" t="n"/>
      <c r="B4" s="217" t="n"/>
      <c r="C4" s="217" t="n"/>
      <c r="D4" s="217" t="n"/>
      <c r="E4" s="217" t="n"/>
      <c r="F4" s="217" t="n"/>
      <c r="G4" s="217" t="n"/>
      <c r="H4" s="217" t="n"/>
      <c r="I4" s="102" t="inlineStr">
        <is>
          <t>Global</t>
        </is>
      </c>
      <c r="J4" s="61" t="n"/>
      <c r="K4" s="61" t="n"/>
      <c r="L4" s="61" t="n"/>
      <c r="M4" s="61" t="n"/>
      <c r="N4" s="60" t="inlineStr">
        <is>
          <t>Yeast Generation</t>
        </is>
      </c>
      <c r="O4" s="61" t="n"/>
      <c r="P4" s="61" t="n"/>
      <c r="Q4" s="61" t="n"/>
      <c r="R4" s="61" t="n"/>
      <c r="S4" s="60" t="inlineStr">
        <is>
          <t>Storage Time</t>
        </is>
      </c>
      <c r="T4" s="60" t="inlineStr">
        <is>
          <t>Temperature (at storage)</t>
        </is>
      </c>
      <c r="U4" s="60" t="inlineStr">
        <is>
          <t>Yeast Pitching Rate</t>
        </is>
      </c>
      <c r="V4" s="61" t="n"/>
      <c r="W4" s="61" t="n"/>
      <c r="X4" s="60" t="inlineStr">
        <is>
          <t>Yeast Pitching Rate</t>
        </is>
      </c>
      <c r="Y4" s="60" t="inlineStr">
        <is>
          <t>Yeast Pitching Rate</t>
        </is>
      </c>
      <c r="Z4" s="61" t="n"/>
      <c r="AA4" s="223" t="n"/>
      <c r="AB4" s="61" t="n"/>
      <c r="AC4" s="61" t="n"/>
      <c r="AD4" s="60" t="inlineStr">
        <is>
          <t>Fermentor Fill temperature</t>
        </is>
      </c>
      <c r="AE4" s="61" t="n"/>
      <c r="AF4" s="61" t="n"/>
      <c r="AG4" s="61" t="n"/>
      <c r="AH4" s="61" t="n"/>
      <c r="AI4" s="61" t="n"/>
      <c r="AJ4" s="60" t="inlineStr">
        <is>
          <t>Wort RDF</t>
        </is>
      </c>
      <c r="AK4" s="60" t="inlineStr">
        <is>
          <t>Wort Limit Extract</t>
        </is>
      </c>
      <c r="AL4" s="60" t="inlineStr">
        <is>
          <t>Attemporation Temperature</t>
        </is>
      </c>
      <c r="AM4" s="61" t="n"/>
      <c r="AN4" s="61" t="n"/>
      <c r="AO4" s="61" t="n"/>
      <c r="AP4" s="60" t="inlineStr">
        <is>
          <t>Time to attemporation</t>
        </is>
      </c>
      <c r="AQ4" s="60" t="n"/>
      <c r="AR4" s="60" t="n"/>
      <c r="AS4" s="60" t="inlineStr">
        <is>
          <t>Extract to start  2nd phase</t>
        </is>
      </c>
      <c r="AT4" s="60" t="inlineStr">
        <is>
          <t>2nd Stage Temperature</t>
        </is>
      </c>
      <c r="AU4" s="60" t="inlineStr">
        <is>
          <t>Time to reach 2nd stage rise temperature</t>
        </is>
      </c>
      <c r="AV4" s="61" t="n"/>
      <c r="AW4" s="60" t="inlineStr">
        <is>
          <t>Cells in suspension</t>
        </is>
      </c>
      <c r="AX4" s="60" t="inlineStr">
        <is>
          <t>Time to Cool</t>
        </is>
      </c>
      <c r="AY4" s="60" t="inlineStr">
        <is>
          <t>Extract to start Full Cooling</t>
        </is>
      </c>
      <c r="AZ4" s="60" t="inlineStr">
        <is>
          <t>Time to harvest - fermentor age</t>
        </is>
      </c>
      <c r="BA4" s="61" t="n"/>
      <c r="BB4" s="61" t="n"/>
      <c r="BC4" s="60" t="inlineStr">
        <is>
          <t>FAN (EOF)</t>
        </is>
      </c>
      <c r="BD4" s="60" t="inlineStr">
        <is>
          <t>FAN uptake</t>
        </is>
      </c>
      <c r="BE4" s="60" t="inlineStr">
        <is>
          <t>Bitterness  (EOF)</t>
        </is>
      </c>
      <c r="BF4" s="61" t="n"/>
      <c r="BG4" s="60" t="inlineStr">
        <is>
          <t>SO2  (EOF)</t>
        </is>
      </c>
      <c r="BH4" s="60" t="inlineStr">
        <is>
          <t>pH  (EOF)</t>
        </is>
      </c>
      <c r="BI4" s="61" t="n"/>
      <c r="BJ4" s="61" t="n"/>
      <c r="BK4" s="61" t="n"/>
      <c r="BL4" s="60" t="inlineStr">
        <is>
          <t>0 Hr  Cell Count</t>
        </is>
      </c>
      <c r="BM4" s="60" t="inlineStr">
        <is>
          <t>Cell Count Mid Point Warm Maturation</t>
        </is>
      </c>
      <c r="BN4" s="61" t="n"/>
      <c r="BO4" s="61" t="n"/>
      <c r="BP4" s="60" t="inlineStr">
        <is>
          <t>Temperature Maturation tank</t>
        </is>
      </c>
      <c r="BQ4" s="60" t="inlineStr">
        <is>
          <t>Counter Pressure Maturation tank</t>
        </is>
      </c>
      <c r="BR4" s="60" t="inlineStr">
        <is>
          <t>Time in maturation at transfer</t>
        </is>
      </c>
      <c r="BS4" s="60" t="inlineStr">
        <is>
          <t>Fermentation Cycle Time</t>
        </is>
      </c>
      <c r="BT4" s="60" t="n"/>
      <c r="BU4" s="60" t="inlineStr">
        <is>
          <t>Temperature at transfer</t>
        </is>
      </c>
      <c r="BV4" s="61" t="n"/>
      <c r="BW4" s="223" t="n"/>
      <c r="BX4" s="61" t="n"/>
      <c r="BY4" s="61" t="n"/>
      <c r="BZ4" s="60" t="inlineStr">
        <is>
          <t>Diacetyl (EOM)</t>
        </is>
      </c>
      <c r="CA4" s="60" t="inlineStr">
        <is>
          <t>Pentanedione (EOM)</t>
        </is>
      </c>
      <c r="CB4" s="60" t="inlineStr">
        <is>
          <t>Acetaldehyde (EOM)</t>
        </is>
      </c>
      <c r="CC4" s="61" t="n"/>
      <c r="CD4" s="61" t="n"/>
      <c r="CE4" s="61" t="n"/>
      <c r="CF4" s="61" t="n"/>
      <c r="CG4" s="60" t="inlineStr">
        <is>
          <t>Apparent extract</t>
        </is>
      </c>
      <c r="CH4" s="61" t="n"/>
      <c r="CI4" s="61" t="n"/>
      <c r="CJ4" s="61" t="n"/>
      <c r="CK4" s="60" t="inlineStr">
        <is>
          <t>pH (EOF)-Warm</t>
        </is>
      </c>
      <c r="CL4" s="60" t="inlineStr">
        <is>
          <t>Color</t>
        </is>
      </c>
      <c r="CM4" s="61" t="n"/>
      <c r="CN4" s="61" t="n"/>
      <c r="CO4" s="61" t="n"/>
    </row>
    <row r="5" hidden="1" ht="46.5" customFormat="1" customHeight="1" s="53">
      <c r="A5" s="217" t="n"/>
      <c r="B5" s="217" t="n"/>
      <c r="C5" s="217" t="n"/>
      <c r="D5" s="217" t="n"/>
      <c r="E5" s="217" t="n"/>
      <c r="F5" s="217" t="n"/>
      <c r="G5" s="217" t="n"/>
      <c r="H5" s="217" t="n"/>
      <c r="I5" s="220" t="inlineStr">
        <is>
          <t>DF编码</t>
        </is>
      </c>
      <c r="J5" s="61" t="n"/>
      <c r="K5" s="61" t="n"/>
      <c r="L5" s="61" t="n"/>
      <c r="M5" s="61" t="n"/>
      <c r="N5" s="61" t="inlineStr">
        <is>
          <t>QA-05143</t>
        </is>
      </c>
      <c r="O5" s="61" t="inlineStr">
        <is>
          <t>BR-40023</t>
        </is>
      </c>
      <c r="P5" s="61" t="inlineStr">
        <is>
          <t>BR-40022</t>
        </is>
      </c>
      <c r="Q5" s="61" t="inlineStr">
        <is>
          <t>BR-40036</t>
        </is>
      </c>
      <c r="R5" s="61" t="inlineStr">
        <is>
          <t>BR-40037</t>
        </is>
      </c>
      <c r="S5" s="61" t="inlineStr">
        <is>
          <t>BR-40027</t>
        </is>
      </c>
      <c r="T5" s="61" t="inlineStr">
        <is>
          <t>BR-40028</t>
        </is>
      </c>
      <c r="U5" s="61" t="inlineStr">
        <is>
          <t>BR-40030</t>
        </is>
      </c>
      <c r="V5" s="61" t="inlineStr">
        <is>
          <t>QA-05105</t>
        </is>
      </c>
      <c r="X5" s="61" t="inlineStr">
        <is>
          <t>BR-40029</t>
        </is>
      </c>
      <c r="Y5" s="61" t="inlineStr">
        <is>
          <t>BR-40035</t>
        </is>
      </c>
      <c r="Z5" s="61" t="inlineStr">
        <is>
          <t>BR-40033</t>
        </is>
      </c>
      <c r="AA5" s="223" t="inlineStr">
        <is>
          <t>BR-40034</t>
        </is>
      </c>
      <c r="AB5" s="61" t="n"/>
      <c r="AC5" s="61" t="n"/>
      <c r="AD5" s="61" t="inlineStr">
        <is>
          <t>BR-40026</t>
        </is>
      </c>
      <c r="AE5" s="61" t="inlineStr">
        <is>
          <t>QA-05103</t>
        </is>
      </c>
      <c r="AF5" s="61" t="inlineStr">
        <is>
          <t>QA-05102</t>
        </is>
      </c>
      <c r="AG5" s="61" t="inlineStr">
        <is>
          <t>QA-05107</t>
        </is>
      </c>
      <c r="AH5" s="61" t="inlineStr">
        <is>
          <t>QA-05108</t>
        </is>
      </c>
      <c r="AI5" s="61" t="n"/>
      <c r="AJ5" s="61" t="inlineStr">
        <is>
          <t>QA-05100</t>
        </is>
      </c>
      <c r="AK5" s="61" t="inlineStr">
        <is>
          <t>QA-05101</t>
        </is>
      </c>
      <c r="AL5" s="61" t="inlineStr">
        <is>
          <t>BR-40187</t>
        </is>
      </c>
      <c r="AM5" s="61" t="inlineStr">
        <is>
          <t>BR-40208</t>
        </is>
      </c>
      <c r="AN5" s="61" t="inlineStr">
        <is>
          <t>BR-40209</t>
        </is>
      </c>
      <c r="AO5" s="61" t="inlineStr">
        <is>
          <t>BR-40210</t>
        </is>
      </c>
      <c r="AP5" s="61" t="inlineStr">
        <is>
          <t>BR-40183</t>
        </is>
      </c>
      <c r="AQ5" s="61" t="n"/>
      <c r="AR5" s="61" t="n"/>
      <c r="AS5" s="64" t="inlineStr">
        <is>
          <t>BR-40220</t>
        </is>
      </c>
      <c r="AT5" s="61" t="inlineStr">
        <is>
          <t>BR-40218</t>
        </is>
      </c>
      <c r="AU5" s="61" t="inlineStr">
        <is>
          <t>BR-40216</t>
        </is>
      </c>
      <c r="AV5" s="61" t="n"/>
      <c r="AW5" s="61" t="n"/>
      <c r="AX5" s="61" t="inlineStr">
        <is>
          <t>BR-40195</t>
        </is>
      </c>
      <c r="AY5" s="61" t="inlineStr">
        <is>
          <t>BR-40221</t>
        </is>
      </c>
      <c r="AZ5" s="61" t="inlineStr">
        <is>
          <t>BR-40219</t>
        </is>
      </c>
      <c r="BA5" s="61" t="inlineStr">
        <is>
          <t>BR-40196</t>
        </is>
      </c>
      <c r="BB5" s="61" t="n"/>
      <c r="BC5" s="61" t="inlineStr">
        <is>
          <t>QA-05349</t>
        </is>
      </c>
      <c r="BD5" s="61" t="inlineStr">
        <is>
          <t>QA-05167</t>
        </is>
      </c>
      <c r="BE5" s="61" t="inlineStr">
        <is>
          <t>QA-05168</t>
        </is>
      </c>
      <c r="BF5" s="61" t="inlineStr">
        <is>
          <t>QA-05120</t>
        </is>
      </c>
      <c r="BG5" s="61" t="inlineStr">
        <is>
          <t>QA-05120</t>
        </is>
      </c>
      <c r="BH5" s="61" t="n"/>
      <c r="BI5" s="61" t="inlineStr">
        <is>
          <t>QA-05120</t>
        </is>
      </c>
      <c r="BJ5" s="61" t="inlineStr">
        <is>
          <t>BR-40323</t>
        </is>
      </c>
      <c r="BK5" s="61" t="inlineStr">
        <is>
          <t>BR-40404</t>
        </is>
      </c>
      <c r="BL5" s="61" t="inlineStr">
        <is>
          <t>QA-05160</t>
        </is>
      </c>
      <c r="BM5" s="61" t="inlineStr">
        <is>
          <t>QA-05175</t>
        </is>
      </c>
      <c r="BN5" s="61" t="n"/>
      <c r="BO5" s="61" t="n"/>
      <c r="BP5" s="61" t="inlineStr">
        <is>
          <t>BR-40326</t>
        </is>
      </c>
      <c r="BQ5" s="61" t="inlineStr">
        <is>
          <t>BR-40325</t>
        </is>
      </c>
      <c r="BR5" s="61" t="inlineStr">
        <is>
          <t>BR-40324</t>
        </is>
      </c>
      <c r="BS5" s="61" t="inlineStr">
        <is>
          <t>BR-04003</t>
        </is>
      </c>
      <c r="BT5" s="61" t="n"/>
      <c r="BU5" s="61" t="inlineStr">
        <is>
          <t>BR-40350</t>
        </is>
      </c>
      <c r="BV5" s="61" t="inlineStr">
        <is>
          <t>BR-04004</t>
        </is>
      </c>
      <c r="BW5" s="223" t="inlineStr">
        <is>
          <t>BR-04005</t>
        </is>
      </c>
      <c r="BX5" s="61" t="n"/>
      <c r="BY5" s="61" t="inlineStr">
        <is>
          <t>BR-04005</t>
        </is>
      </c>
      <c r="BZ5" s="61" t="inlineStr">
        <is>
          <t>QA-05193</t>
        </is>
      </c>
      <c r="CA5" s="61" t="inlineStr">
        <is>
          <t>QA-05191</t>
        </is>
      </c>
      <c r="CB5" s="61" t="inlineStr">
        <is>
          <t>QA-05194</t>
        </is>
      </c>
      <c r="CC5" s="61" t="inlineStr">
        <is>
          <t>QA-05193</t>
        </is>
      </c>
      <c r="CD5" s="61" t="inlineStr">
        <is>
          <t>QA-05191</t>
        </is>
      </c>
      <c r="CE5" s="61" t="inlineStr">
        <is>
          <t>QA-05194</t>
        </is>
      </c>
      <c r="CF5" s="61" t="inlineStr">
        <is>
          <t>QA-05197</t>
        </is>
      </c>
      <c r="CG5" s="61" t="inlineStr">
        <is>
          <t>QA-05199</t>
        </is>
      </c>
      <c r="CH5" s="61" t="inlineStr">
        <is>
          <t>QA-05198</t>
        </is>
      </c>
      <c r="CI5" s="61" t="n"/>
      <c r="CJ5" s="61" t="n"/>
      <c r="CK5" s="61" t="inlineStr">
        <is>
          <t>QA-05201</t>
        </is>
      </c>
      <c r="CL5" s="61" t="inlineStr">
        <is>
          <t>QA-05206</t>
        </is>
      </c>
      <c r="CM5" s="61" t="n"/>
      <c r="CN5" s="61" t="n"/>
      <c r="CO5" s="61" t="inlineStr">
        <is>
          <t>QA-05203</t>
        </is>
      </c>
    </row>
    <row r="6" hidden="1" ht="104.85" customFormat="1" customHeight="1" s="101">
      <c r="A6" s="217" t="n"/>
      <c r="B6" s="217" t="n"/>
      <c r="C6" s="217" t="n"/>
      <c r="D6" s="217" t="n"/>
      <c r="E6" s="217" t="n"/>
      <c r="F6" s="217" t="n"/>
      <c r="G6" s="217" t="n"/>
      <c r="H6" s="217" t="n"/>
      <c r="I6" s="103" t="inlineStr">
        <is>
          <t>DF中文</t>
        </is>
      </c>
      <c r="J6" s="104" t="n"/>
      <c r="K6" s="104" t="n"/>
      <c r="L6" s="104" t="n"/>
      <c r="M6" s="104" t="n"/>
      <c r="N6" s="104" t="inlineStr">
        <is>
          <t>代数_生产酵母_生产酵母存储_酿造_酵母工序_酵母存储罐</t>
        </is>
      </c>
      <c r="O6" s="104" t="inlineStr">
        <is>
          <t>满罐发酵液量_麦汁满罐_酿造_发酵_发酵罐</t>
        </is>
      </c>
      <c r="P6" s="104" t="inlineStr">
        <is>
          <t>发酵罐进入水量_麦汁满罐_酿造_发酵_发酵罐</t>
        </is>
      </c>
      <c r="Q6" s="104" t="inlineStr">
        <is>
          <t>满罐发酵液总量_麦汁满罐_酿造_发酵_发酵罐</t>
        </is>
      </c>
      <c r="R6" s="104" t="inlineStr">
        <is>
          <t>生产酵母添加量_麦汁满罐_酿造_发酵_发酵罐</t>
        </is>
      </c>
      <c r="S6" s="104" t="inlineStr">
        <is>
          <t>生产酵母存储工艺步骤时间段_麦汁满罐_酿造_发酵_发酵罐</t>
        </is>
      </c>
      <c r="T6" s="104" t="inlineStr">
        <is>
          <t>生产酵母存储温度_麦汁满罐_酿造_发酵_发酵罐</t>
        </is>
      </c>
      <c r="U6" s="104" t="inlineStr">
        <is>
          <t>满罐发酵液YCC_麦汁满罐在线分析_酿造_发酵_发酵罐</t>
        </is>
      </c>
      <c r="V6" s="104" t="inlineStr">
        <is>
          <t>YCC_满罐发酵液_麦汁满罐_酿造_发酵_发酵罐</t>
        </is>
      </c>
      <c r="X6" s="104" t="inlineStr">
        <is>
          <t>生产酵母与氧接触工艺步骤时间段_麦汁满罐_酿造_发酵_发酵罐</t>
        </is>
      </c>
      <c r="Y6" s="104" t="inlineStr">
        <is>
          <t>充氧时间段_麦汁满罐在线分析_酿造_发酵_发酵罐</t>
        </is>
      </c>
      <c r="Z6" s="104" t="inlineStr">
        <is>
          <t>满罐发酵液充氧量（g/hl）_麦汁满罐在线分析_酿造_发酵_发酵罐</t>
        </is>
      </c>
      <c r="AA6" s="109" t="inlineStr">
        <is>
          <t>主和次流量计偏差率_麦汁满罐在线分析_酿造_发酵_发酵罐</t>
        </is>
      </c>
      <c r="AB6" s="104" t="n"/>
      <c r="AC6" s="104" t="n"/>
      <c r="AD6" s="104" t="inlineStr">
        <is>
          <t>满罐发酵液温度_麦汁满罐_酿造_发酵_发酵罐</t>
        </is>
      </c>
      <c r="AE6" s="104" t="inlineStr">
        <is>
          <t>OG_满罐发酵液_麦汁满罐_酿造_发酵_发酵罐</t>
        </is>
      </c>
      <c r="AF6" s="104" t="inlineStr">
        <is>
          <t>pH_满罐发酵液_麦汁满罐_酿造_发酵_发酵罐</t>
        </is>
      </c>
      <c r="AG6" s="104" t="inlineStr">
        <is>
          <t>FAN_满罐发酵液_麦汁满罐_酿造_发酵_发酵罐</t>
        </is>
      </c>
      <c r="AH6" s="104" t="inlineStr">
        <is>
          <t>IBU_满罐发酵液_麦汁满罐_酿造_发酵_发酵罐</t>
        </is>
      </c>
      <c r="AI6" s="104" t="n"/>
      <c r="AJ6" s="104" t="inlineStr">
        <is>
          <t>极限发酵度_满罐发酵液_麦汁满罐_酿造_发酵_发酵罐</t>
        </is>
      </c>
      <c r="AK6" s="104" t="inlineStr">
        <is>
          <t>AE_满罐发酵液_麦汁满罐_酿造_发酵_发酵罐</t>
        </is>
      </c>
      <c r="AL6" s="104" t="inlineStr">
        <is>
          <t>发酵液平均温度_主酵控制_酿造_发酵_发酵罐</t>
        </is>
      </c>
      <c r="AM6" s="104" t="inlineStr">
        <is>
          <t>发酵液最高温度_主酵控制_酿造_发酵_发酵罐</t>
        </is>
      </c>
      <c r="AN6" s="104" t="inlineStr">
        <is>
          <t>发酵液最低温度_主酵控制_酿造_发酵_发酵罐</t>
        </is>
      </c>
      <c r="AO6" s="104" t="inlineStr">
        <is>
          <t>发酵液温度偏离时间段_主酵控制_酿造_发酵_发酵罐</t>
        </is>
      </c>
      <c r="AP6" s="104" t="inlineStr">
        <is>
          <t>工艺步骤时间段_自由升温1_酿造_发酵_发酵罐</t>
        </is>
      </c>
      <c r="AQ6" s="104" t="n"/>
      <c r="AR6" s="104" t="n"/>
      <c r="AS6" s="110" t="inlineStr">
        <is>
          <t>发酵液AE_主酵控制1_酿造_发酵_发酵罐</t>
        </is>
      </c>
      <c r="AT6" s="104" t="inlineStr">
        <is>
          <t>发酵液平均温度_主酵控制2_酿造_发酵_发酵罐</t>
        </is>
      </c>
      <c r="AU6" s="104" t="inlineStr">
        <is>
          <t>工艺步骤时间段_自由升温2_酿造_发酵_发酵罐</t>
        </is>
      </c>
      <c r="AV6" s="104" t="n"/>
      <c r="AW6" s="104" t="n"/>
      <c r="AX6" s="104" t="inlineStr">
        <is>
          <t>发酵液主酵时间_满罐至快速降温开始时间监控_酿造_发酵_发酵罐</t>
        </is>
      </c>
      <c r="AY6" s="104" t="inlineStr">
        <is>
          <t>发酵液AE_快速降温控制_酿造_发酵_发酵罐</t>
        </is>
      </c>
      <c r="AZ6" s="104" t="inlineStr">
        <is>
          <t>工艺步骤时间段_满罐至酵母开始回收时间监控_酿造_发酵_发酵罐</t>
        </is>
      </c>
      <c r="BA6" s="104" t="inlineStr">
        <is>
          <t>工艺步骤时间段_主酵结束至酵母开始回收时间监控_酿造_发酵_发酵罐</t>
        </is>
      </c>
      <c r="BB6" s="104" t="n"/>
      <c r="BC6" s="104" t="inlineStr">
        <is>
          <t>FAN_主酵结束发酵液_主酵_酿造_发酵_发酵罐</t>
        </is>
      </c>
      <c r="BD6" s="104" t="inlineStr">
        <is>
          <t>FAN uptake_主酵结束发酵液_主酵_酿造_发酵_发酵罐</t>
        </is>
      </c>
      <c r="BE6" s="104" t="inlineStr">
        <is>
          <t>IBU Drop_主酵结束发酵液_主酵_酿造_发酵_发酵罐</t>
        </is>
      </c>
      <c r="BF6" s="104" t="inlineStr">
        <is>
          <t>YCC_ 主酵发酵液跟踪样_主酵控制_酿造_发酵_发酵罐</t>
        </is>
      </c>
      <c r="BG6" s="104" t="n"/>
      <c r="BH6" s="104" t="n"/>
      <c r="BI6" s="104" t="n"/>
      <c r="BJ6" s="104" t="inlineStr">
        <is>
          <t>错流酒液量_错流酒添加_酿造_发酵_发酵罐</t>
        </is>
      </c>
      <c r="BK6" s="104" t="inlineStr">
        <is>
          <t>错流酒液和满罐发酵液位总量比值_错流酒添加_酿造_发酵_发酵罐</t>
        </is>
      </c>
      <c r="BL6" s="104" t="inlineStr">
        <is>
          <t>YCC_零小时发酵液_后酵_酿造_发酵_发酵罐</t>
        </is>
      </c>
      <c r="BM6" s="104" t="inlineStr">
        <is>
          <t>YCC_中间点发酵液_后酵_酿造_发酵_发酵罐</t>
        </is>
      </c>
      <c r="BN6" s="104" t="n"/>
      <c r="BO6" s="104" t="n"/>
      <c r="BP6" s="104" t="inlineStr">
        <is>
          <t>后酵发酵液温度_后酵2熟化控制_酿造_发酵_发酵罐</t>
        </is>
      </c>
      <c r="BQ6" s="104" t="inlineStr">
        <is>
          <t>后酵发酵液压力_后酵2熟化控制_酿造_发酵_发酵罐</t>
        </is>
      </c>
      <c r="BR6" s="104" t="inlineStr">
        <is>
          <t>工艺步骤时间段_后酵2熟化控制_酿造_发酵_发酵罐</t>
        </is>
      </c>
      <c r="BS6" s="104" t="inlineStr">
        <is>
          <t>发酵单罐次成熟周期_发酵_酿造_发酵</t>
        </is>
      </c>
      <c r="BT6" s="104" t="n"/>
      <c r="BU6" s="104" t="inlineStr">
        <is>
          <t>步骤开始冷储发酵液中层温度_嫩啤酒出罐_酿造_发酵_发酵罐</t>
        </is>
      </c>
      <c r="BV6" s="104" t="inlineStr">
        <is>
          <t>发酵单罐次占用天数_发酵_酿造_发酵</t>
        </is>
      </c>
      <c r="BW6" s="109" t="inlineStr">
        <is>
          <t>发酵单罐次占用天数_发酵_酿造_发酵</t>
        </is>
      </c>
      <c r="BX6" s="104" t="n"/>
      <c r="BY6" s="104" t="inlineStr">
        <is>
          <t>发酵单罐次酒液存储天数_发酵_酿造_发酵</t>
        </is>
      </c>
      <c r="BZ6" s="104" t="inlineStr">
        <is>
          <t>总P_EOC发酵液_后酵控制_酿造_发酵_发酵罐</t>
        </is>
      </c>
      <c r="CA6" s="104" t="inlineStr">
        <is>
          <t>总D_EOC发酵液_后酵控制_酿造_发酵_发酵罐</t>
        </is>
      </c>
      <c r="CB6" s="104" t="inlineStr">
        <is>
          <t>AA_EOC发酵液_后酵控制_酿造_发酵_发酵罐</t>
        </is>
      </c>
      <c r="CC6" s="104" t="n"/>
      <c r="CD6" s="104" t="n"/>
      <c r="CE6" s="104" t="n"/>
      <c r="CF6" s="104" t="inlineStr">
        <is>
          <t>OG_EOC发酵液_后酵控制_酿造_发酵_发酵罐</t>
        </is>
      </c>
      <c r="CG6" s="104" t="inlineStr">
        <is>
          <t>AE_EOC发酵液_后酵控制_酿造_发酵_发酵罐</t>
        </is>
      </c>
      <c r="CH6" s="104" t="inlineStr">
        <is>
          <t>发酵度_EOC发酵液_后酵控制_酿造_发酵_发酵罐</t>
        </is>
      </c>
      <c r="CI6" s="104" t="n"/>
      <c r="CJ6" s="104" t="n"/>
      <c r="CK6" s="104" t="inlineStr">
        <is>
          <t>pH_EOC发酵液_后酵控制_酿造_发酵_发酵罐</t>
        </is>
      </c>
      <c r="CL6" s="104" t="inlineStr">
        <is>
          <t>色度_EOC发酵液_后酵控制_酿造_发酵_发酵罐</t>
        </is>
      </c>
      <c r="CM6" s="104" t="n"/>
      <c r="CN6" s="104" t="n"/>
      <c r="CO6" s="104" t="inlineStr">
        <is>
          <t>IBU_EOC发酵液_后酵控制_酿造_发酵_发酵罐</t>
        </is>
      </c>
      <c r="CP6" s="53" t="n"/>
    </row>
    <row r="7" customFormat="1" s="53">
      <c r="A7" s="217" t="n"/>
      <c r="B7" s="217" t="n"/>
      <c r="C7" s="217" t="n"/>
      <c r="D7" s="217" t="n"/>
      <c r="E7" s="217" t="n"/>
      <c r="F7" s="217" t="n"/>
      <c r="G7" s="217" t="n"/>
      <c r="H7" s="217" t="n"/>
      <c r="I7" s="220" t="inlineStr">
        <is>
          <t>数据源</t>
        </is>
      </c>
      <c r="J7" s="61" t="n"/>
      <c r="K7" s="61" t="n"/>
      <c r="L7" s="61" t="n"/>
      <c r="M7" s="61" t="n"/>
      <c r="N7" s="61" t="inlineStr">
        <is>
          <t>LIMS</t>
        </is>
      </c>
      <c r="O7" s="61" t="inlineStr">
        <is>
          <t>DF</t>
        </is>
      </c>
      <c r="P7" s="61" t="inlineStr">
        <is>
          <t>DF</t>
        </is>
      </c>
      <c r="Q7" s="61" t="inlineStr">
        <is>
          <t>DF</t>
        </is>
      </c>
      <c r="R7" s="61" t="inlineStr">
        <is>
          <t>DF</t>
        </is>
      </c>
      <c r="S7" s="61" t="inlineStr">
        <is>
          <t>DF</t>
        </is>
      </c>
      <c r="T7" s="61" t="inlineStr">
        <is>
          <t>DF</t>
        </is>
      </c>
      <c r="U7" s="61" t="inlineStr">
        <is>
          <t>DF</t>
        </is>
      </c>
      <c r="V7" s="61" t="inlineStr">
        <is>
          <t>LIMS</t>
        </is>
      </c>
      <c r="W7" s="61" t="inlineStr">
        <is>
          <t>DF-TSM</t>
        </is>
      </c>
      <c r="X7" s="61" t="inlineStr">
        <is>
          <t>DF</t>
        </is>
      </c>
      <c r="Y7" s="61" t="inlineStr">
        <is>
          <t>DF</t>
        </is>
      </c>
      <c r="Z7" s="61" t="inlineStr">
        <is>
          <t>DF</t>
        </is>
      </c>
      <c r="AA7" s="61" t="inlineStr">
        <is>
          <t>DF</t>
        </is>
      </c>
      <c r="AB7" s="61" t="n"/>
      <c r="AC7" s="61" t="n"/>
      <c r="AD7" s="61" t="inlineStr">
        <is>
          <t>DF</t>
        </is>
      </c>
      <c r="AE7" s="61" t="inlineStr">
        <is>
          <t>LIMS</t>
        </is>
      </c>
      <c r="AF7" s="61" t="inlineStr">
        <is>
          <t>LIMS</t>
        </is>
      </c>
      <c r="AG7" s="61" t="inlineStr">
        <is>
          <t>LIMS</t>
        </is>
      </c>
      <c r="AH7" s="61" t="inlineStr">
        <is>
          <t>LIMS</t>
        </is>
      </c>
      <c r="AI7" s="61" t="inlineStr">
        <is>
          <t>LIMS</t>
        </is>
      </c>
      <c r="AJ7" s="61" t="inlineStr">
        <is>
          <t>LIMS</t>
        </is>
      </c>
      <c r="AK7" s="61" t="inlineStr">
        <is>
          <t>LIMS</t>
        </is>
      </c>
      <c r="AL7" s="61" t="inlineStr">
        <is>
          <t>DF</t>
        </is>
      </c>
      <c r="AM7" s="61" t="inlineStr">
        <is>
          <t>DF</t>
        </is>
      </c>
      <c r="AN7" s="61" t="inlineStr">
        <is>
          <t>DF</t>
        </is>
      </c>
      <c r="AO7" s="61" t="inlineStr">
        <is>
          <t>DF</t>
        </is>
      </c>
      <c r="AP7" s="61" t="inlineStr">
        <is>
          <t>DF</t>
        </is>
      </c>
      <c r="AQ7" s="61" t="n"/>
      <c r="AR7" s="61" t="n"/>
      <c r="AS7" s="61" t="inlineStr">
        <is>
          <t>DF-TSM</t>
        </is>
      </c>
      <c r="AT7" s="61" t="inlineStr">
        <is>
          <t>DF</t>
        </is>
      </c>
      <c r="AU7" s="61" t="inlineStr">
        <is>
          <t>DF</t>
        </is>
      </c>
      <c r="AV7" s="61" t="inlineStr">
        <is>
          <t>LIMS</t>
        </is>
      </c>
      <c r="AW7" s="61" t="inlineStr">
        <is>
          <t>LIMS</t>
        </is>
      </c>
      <c r="AX7" s="61" t="n"/>
      <c r="AY7" s="61" t="inlineStr">
        <is>
          <t>DF-TSM</t>
        </is>
      </c>
      <c r="AZ7" s="61" t="inlineStr">
        <is>
          <t>DF</t>
        </is>
      </c>
      <c r="BA7" s="61" t="inlineStr">
        <is>
          <t>DF</t>
        </is>
      </c>
      <c r="BB7" s="61" t="n"/>
      <c r="BC7" s="61" t="inlineStr">
        <is>
          <t>LIMS</t>
        </is>
      </c>
      <c r="BD7" s="61" t="inlineStr">
        <is>
          <t>LIMS</t>
        </is>
      </c>
      <c r="BE7" s="61" t="inlineStr">
        <is>
          <t>LIMS</t>
        </is>
      </c>
      <c r="BF7" s="61" t="inlineStr">
        <is>
          <t>LIMS</t>
        </is>
      </c>
      <c r="BG7" s="61" t="inlineStr">
        <is>
          <t>LIMS</t>
        </is>
      </c>
      <c r="BH7" s="105" t="inlineStr">
        <is>
          <t>手动</t>
        </is>
      </c>
      <c r="BI7" s="61" t="inlineStr">
        <is>
          <t>DF</t>
        </is>
      </c>
      <c r="BJ7" s="61" t="inlineStr">
        <is>
          <t>DF</t>
        </is>
      </c>
      <c r="BK7" s="61" t="inlineStr">
        <is>
          <t>DF</t>
        </is>
      </c>
      <c r="BL7" s="61" t="inlineStr">
        <is>
          <t>LIMS</t>
        </is>
      </c>
      <c r="BM7" s="61" t="inlineStr">
        <is>
          <t>LIMS</t>
        </is>
      </c>
      <c r="BN7" s="61" t="inlineStr">
        <is>
          <t>LIMS</t>
        </is>
      </c>
      <c r="BO7" s="61" t="n"/>
      <c r="BP7" s="61" t="inlineStr">
        <is>
          <t>DF</t>
        </is>
      </c>
      <c r="BQ7" s="61" t="inlineStr">
        <is>
          <t>DF</t>
        </is>
      </c>
      <c r="BR7" s="61" t="inlineStr">
        <is>
          <t>DF</t>
        </is>
      </c>
      <c r="BS7" s="61" t="inlineStr">
        <is>
          <t>DF</t>
        </is>
      </c>
      <c r="BT7" s="61" t="n"/>
      <c r="BU7" s="61" t="inlineStr">
        <is>
          <t>DF</t>
        </is>
      </c>
      <c r="BV7" s="61" t="inlineStr">
        <is>
          <t>DF</t>
        </is>
      </c>
      <c r="BW7" s="223" t="inlineStr">
        <is>
          <t>LIMS</t>
        </is>
      </c>
      <c r="BX7" s="61" t="n"/>
      <c r="BY7" s="61" t="inlineStr">
        <is>
          <t>DF</t>
        </is>
      </c>
      <c r="BZ7" s="61" t="inlineStr">
        <is>
          <t>LIMS</t>
        </is>
      </c>
      <c r="CA7" s="61" t="inlineStr">
        <is>
          <t>LIMS</t>
        </is>
      </c>
      <c r="CB7" s="61" t="inlineStr">
        <is>
          <t>LIMS</t>
        </is>
      </c>
      <c r="CC7" s="61" t="inlineStr">
        <is>
          <t>LIMS</t>
        </is>
      </c>
      <c r="CD7" s="61" t="inlineStr">
        <is>
          <t>LIMS</t>
        </is>
      </c>
      <c r="CE7" s="61" t="inlineStr">
        <is>
          <t>LIMS</t>
        </is>
      </c>
      <c r="CF7" s="61" t="inlineStr">
        <is>
          <t>LIMS</t>
        </is>
      </c>
      <c r="CG7" s="61" t="inlineStr">
        <is>
          <t>LIMS</t>
        </is>
      </c>
      <c r="CH7" s="61" t="inlineStr">
        <is>
          <t>LIMS</t>
        </is>
      </c>
      <c r="CI7" s="61" t="inlineStr">
        <is>
          <t>LIMS</t>
        </is>
      </c>
      <c r="CJ7" s="61" t="inlineStr">
        <is>
          <t>LIMS</t>
        </is>
      </c>
      <c r="CK7" s="61" t="inlineStr">
        <is>
          <t>LIMS</t>
        </is>
      </c>
      <c r="CL7" s="61" t="inlineStr">
        <is>
          <t>LIMS</t>
        </is>
      </c>
      <c r="CM7" s="61" t="inlineStr">
        <is>
          <t>手动</t>
        </is>
      </c>
      <c r="CN7" s="105" t="inlineStr">
        <is>
          <t>手动</t>
        </is>
      </c>
      <c r="CO7" s="61" t="inlineStr">
        <is>
          <t>LIMS</t>
        </is>
      </c>
    </row>
    <row r="8" ht="24" customFormat="1" customHeight="1" s="53">
      <c r="A8" s="217" t="n"/>
      <c r="B8" s="217" t="n"/>
      <c r="C8" s="217" t="n"/>
      <c r="D8" s="217" t="n"/>
      <c r="E8" s="217" t="n"/>
      <c r="F8" s="217" t="n"/>
      <c r="G8" s="217" t="n"/>
      <c r="H8" s="217" t="n"/>
      <c r="I8" s="221" t="inlineStr">
        <is>
          <t>是否Sensory PI展示</t>
        </is>
      </c>
      <c r="J8" s="61" t="n"/>
      <c r="K8" s="61" t="n"/>
      <c r="L8" s="61" t="n"/>
      <c r="M8" s="61" t="n"/>
      <c r="N8" s="64" t="inlineStr">
        <is>
          <t>Y</t>
        </is>
      </c>
      <c r="O8" s="61" t="n"/>
      <c r="P8" s="61" t="n"/>
      <c r="Q8" s="61" t="n"/>
      <c r="R8" s="61" t="n"/>
      <c r="S8" s="64" t="inlineStr">
        <is>
          <t>Y</t>
        </is>
      </c>
      <c r="T8" s="64" t="inlineStr">
        <is>
          <t>Y</t>
        </is>
      </c>
      <c r="U8" s="64" t="inlineStr">
        <is>
          <t>Y</t>
        </is>
      </c>
      <c r="V8" s="61" t="n"/>
      <c r="W8" s="64" t="inlineStr">
        <is>
          <t>Y</t>
        </is>
      </c>
      <c r="X8" s="61" t="n"/>
      <c r="Y8" s="61" t="n"/>
      <c r="Z8" s="64" t="inlineStr">
        <is>
          <t>Y</t>
        </is>
      </c>
      <c r="AA8" s="77" t="inlineStr">
        <is>
          <t>Y</t>
        </is>
      </c>
      <c r="AB8" s="64" t="inlineStr">
        <is>
          <t>Y</t>
        </is>
      </c>
      <c r="AC8" s="64" t="inlineStr">
        <is>
          <t>Y</t>
        </is>
      </c>
      <c r="AD8" s="64" t="inlineStr">
        <is>
          <t>Y</t>
        </is>
      </c>
      <c r="AE8" s="64" t="inlineStr">
        <is>
          <t>Y</t>
        </is>
      </c>
      <c r="AF8" s="64" t="inlineStr">
        <is>
          <t>Y</t>
        </is>
      </c>
      <c r="AG8" s="64" t="inlineStr">
        <is>
          <t>Y</t>
        </is>
      </c>
      <c r="AH8" s="61" t="n"/>
      <c r="AI8" s="61" t="n"/>
      <c r="AJ8" s="64" t="inlineStr">
        <is>
          <t>Y</t>
        </is>
      </c>
      <c r="AK8" s="64" t="inlineStr">
        <is>
          <t>Y</t>
        </is>
      </c>
      <c r="AL8" s="64" t="inlineStr">
        <is>
          <t>Y</t>
        </is>
      </c>
      <c r="AM8" s="61" t="n"/>
      <c r="AN8" s="61" t="n"/>
      <c r="AO8" s="61" t="n"/>
      <c r="AP8" s="64" t="inlineStr">
        <is>
          <t>Y</t>
        </is>
      </c>
      <c r="AQ8" s="64" t="inlineStr">
        <is>
          <t>Y</t>
        </is>
      </c>
      <c r="AR8" s="64" t="inlineStr">
        <is>
          <t>Y</t>
        </is>
      </c>
      <c r="AS8" s="61" t="n"/>
      <c r="AT8" s="61" t="n"/>
      <c r="AU8" s="61" t="n"/>
      <c r="AV8" s="64" t="inlineStr">
        <is>
          <t>Y</t>
        </is>
      </c>
      <c r="AW8" s="64" t="inlineStr">
        <is>
          <t>Y</t>
        </is>
      </c>
      <c r="AX8" s="64" t="inlineStr">
        <is>
          <t>Y</t>
        </is>
      </c>
      <c r="AY8" s="64" t="inlineStr">
        <is>
          <t>Y</t>
        </is>
      </c>
      <c r="AZ8" s="61" t="n"/>
      <c r="BA8" s="61" t="n"/>
      <c r="BB8" s="64" t="inlineStr">
        <is>
          <t>Y</t>
        </is>
      </c>
      <c r="BC8" s="64" t="inlineStr">
        <is>
          <t>Y</t>
        </is>
      </c>
      <c r="BD8" s="64" t="inlineStr">
        <is>
          <t>Y</t>
        </is>
      </c>
      <c r="BE8" s="61" t="n"/>
      <c r="BF8" s="61" t="n"/>
      <c r="BG8" s="64" t="inlineStr">
        <is>
          <t>Y</t>
        </is>
      </c>
      <c r="BH8" s="105" t="n"/>
      <c r="BI8" s="61" t="n"/>
      <c r="BJ8" s="61" t="n"/>
      <c r="BK8" s="61" t="n"/>
      <c r="BL8" s="64" t="inlineStr">
        <is>
          <t>Y</t>
        </is>
      </c>
      <c r="BM8" s="64" t="inlineStr">
        <is>
          <t>Y</t>
        </is>
      </c>
      <c r="BN8" s="64" t="inlineStr">
        <is>
          <t>Y</t>
        </is>
      </c>
      <c r="BO8" s="64" t="inlineStr">
        <is>
          <t>Y</t>
        </is>
      </c>
      <c r="BP8" s="61" t="n"/>
      <c r="BQ8" s="64" t="inlineStr">
        <is>
          <t>Y</t>
        </is>
      </c>
      <c r="BR8" s="61" t="n"/>
      <c r="BS8" s="64" t="inlineStr">
        <is>
          <t>Y</t>
        </is>
      </c>
      <c r="BT8" s="64" t="inlineStr">
        <is>
          <t>Y</t>
        </is>
      </c>
      <c r="BU8" s="64" t="inlineStr">
        <is>
          <t>Y</t>
        </is>
      </c>
      <c r="BV8" s="64" t="inlineStr">
        <is>
          <t>Y</t>
        </is>
      </c>
      <c r="BW8" s="77" t="inlineStr">
        <is>
          <t>Y</t>
        </is>
      </c>
      <c r="BX8" s="64" t="inlineStr">
        <is>
          <t>Y</t>
        </is>
      </c>
      <c r="BY8" s="61" t="n"/>
      <c r="BZ8" s="64" t="inlineStr">
        <is>
          <t>Y</t>
        </is>
      </c>
      <c r="CA8" s="64" t="inlineStr">
        <is>
          <t>Y</t>
        </is>
      </c>
      <c r="CB8" s="64" t="inlineStr">
        <is>
          <t>Y</t>
        </is>
      </c>
      <c r="CC8" s="64" t="inlineStr">
        <is>
          <t>Y</t>
        </is>
      </c>
      <c r="CD8" s="64" t="inlineStr">
        <is>
          <t>Y</t>
        </is>
      </c>
      <c r="CE8" s="64" t="inlineStr">
        <is>
          <t>Y</t>
        </is>
      </c>
      <c r="CF8" s="64" t="inlineStr">
        <is>
          <t>Y</t>
        </is>
      </c>
      <c r="CG8" s="61" t="n"/>
      <c r="CH8" s="64" t="inlineStr">
        <is>
          <t>Y</t>
        </is>
      </c>
      <c r="CI8" s="64" t="inlineStr">
        <is>
          <t>Y</t>
        </is>
      </c>
      <c r="CJ8" s="64" t="inlineStr">
        <is>
          <t>Y</t>
        </is>
      </c>
      <c r="CK8" s="64" t="inlineStr">
        <is>
          <t>Y</t>
        </is>
      </c>
      <c r="CL8" s="64" t="inlineStr">
        <is>
          <t>Y</t>
        </is>
      </c>
      <c r="CM8" s="61" t="n"/>
      <c r="CN8" s="64" t="inlineStr">
        <is>
          <t>Y</t>
        </is>
      </c>
      <c r="CO8" s="64" t="inlineStr">
        <is>
          <t>Y</t>
        </is>
      </c>
    </row>
    <row r="9" customFormat="1" s="53">
      <c r="A9" s="217" t="n"/>
      <c r="B9" s="217" t="n"/>
      <c r="C9" s="217" t="n"/>
      <c r="D9" s="217" t="n"/>
      <c r="E9" s="217" t="n"/>
      <c r="F9" s="217" t="n"/>
      <c r="G9" s="217" t="n"/>
      <c r="H9" s="217" t="n"/>
      <c r="I9" s="221" t="inlineStr">
        <is>
          <t>是否为Key PI</t>
        </is>
      </c>
      <c r="J9" s="61" t="n"/>
      <c r="K9" s="61" t="n"/>
      <c r="L9" s="61" t="n"/>
      <c r="M9" s="61" t="n"/>
      <c r="N9" s="61" t="n"/>
      <c r="O9" s="61" t="n"/>
      <c r="P9" s="61" t="n"/>
      <c r="Q9" s="61" t="n"/>
      <c r="R9" s="61" t="n"/>
      <c r="S9" s="61" t="n"/>
      <c r="T9" s="61" t="n"/>
      <c r="U9" s="61" t="n"/>
      <c r="V9" s="61" t="n"/>
      <c r="W9" s="61" t="n"/>
      <c r="X9" s="61" t="n"/>
      <c r="Y9" s="61" t="n"/>
      <c r="Z9" s="61" t="n"/>
      <c r="AA9" s="223" t="n"/>
      <c r="AB9" s="61" t="n"/>
      <c r="AC9" s="61" t="n"/>
      <c r="AD9" s="61" t="n"/>
      <c r="AE9" s="61" t="n"/>
      <c r="AF9" s="61" t="n"/>
      <c r="AG9" s="61" t="n"/>
      <c r="AH9" s="61" t="n"/>
      <c r="AI9" s="61" t="n"/>
      <c r="AJ9" s="61" t="n"/>
      <c r="AK9" s="61" t="n"/>
      <c r="AL9" s="61" t="n"/>
      <c r="AM9" s="61" t="n"/>
      <c r="AN9" s="61" t="n"/>
      <c r="AO9" s="61" t="n"/>
      <c r="AP9" s="61" t="n"/>
      <c r="AQ9" s="61" t="n"/>
      <c r="AR9" s="61" t="n"/>
      <c r="AS9" s="61" t="n"/>
      <c r="AT9" s="61" t="n"/>
      <c r="AU9" s="61" t="n"/>
      <c r="AV9" s="61" t="n"/>
      <c r="AW9" s="61" t="n"/>
      <c r="AX9" s="61" t="n"/>
      <c r="AY9" s="61" t="n"/>
      <c r="AZ9" s="61" t="n"/>
      <c r="BA9" s="61" t="n"/>
      <c r="BB9" s="61" t="n"/>
      <c r="BC9" s="61" t="n"/>
      <c r="BD9" s="61" t="n"/>
      <c r="BE9" s="61" t="n"/>
      <c r="BF9" s="61" t="n"/>
      <c r="BG9" s="61" t="n"/>
      <c r="BH9" s="105" t="n"/>
      <c r="BI9" s="61" t="n"/>
      <c r="BJ9" s="61" t="n"/>
      <c r="BK9" s="61" t="n"/>
      <c r="BL9" s="61" t="n"/>
      <c r="BM9" s="61" t="n"/>
      <c r="BN9" s="61" t="n"/>
      <c r="BO9" s="61" t="n"/>
      <c r="BP9" s="61" t="n"/>
      <c r="BQ9" s="61" t="n"/>
      <c r="BR9" s="61" t="n"/>
      <c r="BS9" s="61" t="n"/>
      <c r="BT9" s="61" t="n"/>
      <c r="BU9" s="61" t="n"/>
      <c r="BV9" s="61" t="n"/>
      <c r="BW9" s="223" t="n"/>
      <c r="BX9" s="61" t="n"/>
      <c r="BY9" s="61" t="n"/>
      <c r="BZ9" s="61" t="n"/>
      <c r="CA9" s="61" t="n"/>
      <c r="CB9" s="61" t="n"/>
      <c r="CC9" s="61" t="n"/>
      <c r="CD9" s="61" t="n"/>
      <c r="CE9" s="61" t="n"/>
      <c r="CF9" s="61" t="n"/>
      <c r="CG9" s="61" t="n"/>
      <c r="CH9" s="61" t="n"/>
      <c r="CI9" s="61" t="n"/>
      <c r="CJ9" s="61" t="n"/>
      <c r="CK9" s="61" t="n"/>
      <c r="CL9" s="61" t="n"/>
      <c r="CM9" s="61" t="n"/>
      <c r="CN9" s="105" t="n"/>
      <c r="CO9" s="61" t="n"/>
    </row>
    <row r="10" ht="18.75" customFormat="1" customHeight="1" s="53">
      <c r="A10" s="217" t="n"/>
      <c r="B10" s="217" t="n"/>
      <c r="C10" s="217" t="n"/>
      <c r="D10" s="217" t="n"/>
      <c r="E10" s="217" t="n"/>
      <c r="F10" s="217" t="n"/>
      <c r="G10" s="217" t="n"/>
      <c r="H10" s="217" t="n"/>
      <c r="I10" s="220" t="inlineStr">
        <is>
          <t>是否点图展示</t>
        </is>
      </c>
      <c r="J10" s="64" t="n"/>
      <c r="K10" s="64" t="n"/>
      <c r="L10" s="64" t="n"/>
      <c r="M10" s="64" t="n"/>
      <c r="N10" s="64" t="inlineStr">
        <is>
          <t>Y</t>
        </is>
      </c>
      <c r="O10" s="64" t="n"/>
      <c r="P10" s="64" t="n"/>
      <c r="Q10" s="64" t="n"/>
      <c r="R10" s="64" t="n"/>
      <c r="S10" s="64" t="inlineStr">
        <is>
          <t>Y</t>
        </is>
      </c>
      <c r="T10" s="64" t="inlineStr">
        <is>
          <t>Y</t>
        </is>
      </c>
      <c r="U10" s="64" t="inlineStr">
        <is>
          <t>Y</t>
        </is>
      </c>
      <c r="V10" s="64" t="inlineStr">
        <is>
          <t>Y</t>
        </is>
      </c>
      <c r="W10" s="64" t="n"/>
      <c r="X10" s="64" t="inlineStr">
        <is>
          <t>Y</t>
        </is>
      </c>
      <c r="Y10" s="64" t="n"/>
      <c r="Z10" s="64" t="inlineStr">
        <is>
          <t>Y</t>
        </is>
      </c>
      <c r="AA10" s="77" t="inlineStr">
        <is>
          <t>Y</t>
        </is>
      </c>
      <c r="AB10" s="64" t="n"/>
      <c r="AC10" s="64" t="n"/>
      <c r="AD10" s="64" t="inlineStr">
        <is>
          <t>Y</t>
        </is>
      </c>
      <c r="AE10" s="64" t="inlineStr">
        <is>
          <t>Y</t>
        </is>
      </c>
      <c r="AF10" s="64" t="inlineStr">
        <is>
          <t>Y</t>
        </is>
      </c>
      <c r="AG10" s="64" t="inlineStr">
        <is>
          <t>Y</t>
        </is>
      </c>
      <c r="AH10" s="64" t="inlineStr">
        <is>
          <t>Y</t>
        </is>
      </c>
      <c r="AI10" s="64" t="n"/>
      <c r="AJ10" s="64" t="inlineStr">
        <is>
          <t>Y</t>
        </is>
      </c>
      <c r="AK10" s="64" t="inlineStr">
        <is>
          <t>Y</t>
        </is>
      </c>
      <c r="AL10" s="64" t="inlineStr">
        <is>
          <t>Y</t>
        </is>
      </c>
      <c r="AM10" s="64" t="n"/>
      <c r="AN10" s="64" t="n"/>
      <c r="AO10" s="64" t="n"/>
      <c r="AP10" s="64" t="inlineStr">
        <is>
          <t>Y</t>
        </is>
      </c>
      <c r="AQ10" s="64" t="n"/>
      <c r="AR10" s="64" t="n"/>
      <c r="AS10" s="64" t="n"/>
      <c r="AT10" s="64" t="n"/>
      <c r="AU10" s="64" t="n"/>
      <c r="AV10" s="64" t="inlineStr">
        <is>
          <t>Y</t>
        </is>
      </c>
      <c r="AW10" s="64" t="inlineStr">
        <is>
          <t>Y</t>
        </is>
      </c>
      <c r="AX10" s="64" t="inlineStr">
        <is>
          <t>Y</t>
        </is>
      </c>
      <c r="AY10" s="64" t="inlineStr">
        <is>
          <t>Y</t>
        </is>
      </c>
      <c r="AZ10" s="64" t="inlineStr">
        <is>
          <t>Y</t>
        </is>
      </c>
      <c r="BA10" s="64" t="inlineStr">
        <is>
          <t>Y</t>
        </is>
      </c>
      <c r="BB10" s="64" t="n"/>
      <c r="BC10" s="64" t="inlineStr">
        <is>
          <t>Y</t>
        </is>
      </c>
      <c r="BD10" s="64" t="inlineStr">
        <is>
          <t>Y</t>
        </is>
      </c>
      <c r="BE10" s="64" t="inlineStr">
        <is>
          <t>Y</t>
        </is>
      </c>
      <c r="BF10" s="64" t="inlineStr">
        <is>
          <t>Y</t>
        </is>
      </c>
      <c r="BG10" s="64" t="inlineStr">
        <is>
          <t>Y</t>
        </is>
      </c>
      <c r="BH10" s="64" t="n"/>
      <c r="BI10" s="64" t="n"/>
      <c r="BJ10" s="64" t="n"/>
      <c r="BK10" s="64" t="inlineStr">
        <is>
          <t>Y</t>
        </is>
      </c>
      <c r="BL10" s="64" t="inlineStr">
        <is>
          <t>Y</t>
        </is>
      </c>
      <c r="BM10" s="64" t="inlineStr">
        <is>
          <t>Y</t>
        </is>
      </c>
      <c r="BN10" s="64" t="inlineStr">
        <is>
          <t>Y</t>
        </is>
      </c>
      <c r="BO10" s="64" t="n"/>
      <c r="BP10" s="64" t="inlineStr">
        <is>
          <t>Y</t>
        </is>
      </c>
      <c r="BQ10" s="64" t="n"/>
      <c r="BR10" s="64" t="inlineStr">
        <is>
          <t>Y</t>
        </is>
      </c>
      <c r="BS10" s="64" t="inlineStr">
        <is>
          <t>Y</t>
        </is>
      </c>
      <c r="BT10" s="64" t="n"/>
      <c r="BU10" s="64" t="inlineStr">
        <is>
          <t>Y</t>
        </is>
      </c>
      <c r="BV10" s="64" t="inlineStr">
        <is>
          <t>Y</t>
        </is>
      </c>
      <c r="BW10" s="64" t="inlineStr">
        <is>
          <t>Y</t>
        </is>
      </c>
      <c r="BX10" s="64" t="n"/>
      <c r="BY10" s="64" t="n"/>
      <c r="BZ10" s="64" t="inlineStr">
        <is>
          <t>Y</t>
        </is>
      </c>
      <c r="CA10" s="64" t="inlineStr">
        <is>
          <t>Y</t>
        </is>
      </c>
      <c r="CB10" s="64" t="inlineStr">
        <is>
          <t>Y</t>
        </is>
      </c>
      <c r="CC10" s="64" t="inlineStr">
        <is>
          <t>Y</t>
        </is>
      </c>
      <c r="CD10" s="64" t="inlineStr">
        <is>
          <t>Y</t>
        </is>
      </c>
      <c r="CE10" s="64" t="inlineStr">
        <is>
          <t>Y</t>
        </is>
      </c>
      <c r="CF10" s="64" t="n"/>
      <c r="CG10" s="64" t="inlineStr">
        <is>
          <t>Y</t>
        </is>
      </c>
      <c r="CH10" s="64" t="inlineStr">
        <is>
          <t>Y</t>
        </is>
      </c>
      <c r="CI10" s="64" t="inlineStr">
        <is>
          <t>Y</t>
        </is>
      </c>
      <c r="CJ10" s="64" t="inlineStr">
        <is>
          <t>Y</t>
        </is>
      </c>
      <c r="CK10" s="64" t="inlineStr">
        <is>
          <t>Y</t>
        </is>
      </c>
      <c r="CL10" s="64" t="n"/>
      <c r="CM10" s="64" t="n"/>
      <c r="CN10" s="64" t="inlineStr">
        <is>
          <t>Y</t>
        </is>
      </c>
      <c r="CO10" s="64" t="n"/>
    </row>
    <row r="11">
      <c r="A11" s="218" t="n"/>
      <c r="B11" s="218" t="n"/>
      <c r="C11" s="218" t="n"/>
      <c r="D11" s="218" t="n"/>
      <c r="E11" s="218" t="n"/>
      <c r="F11" s="218" t="n"/>
      <c r="G11" s="218" t="n"/>
      <c r="H11" s="218" t="n"/>
      <c r="I11" s="102" t="inlineStr">
        <is>
          <t>Unit</t>
        </is>
      </c>
      <c r="J11" s="69" t="inlineStr">
        <is>
          <t>m</t>
        </is>
      </c>
      <c r="K11" s="69" t="inlineStr">
        <is>
          <t>%</t>
        </is>
      </c>
      <c r="L11" s="69" t="inlineStr">
        <is>
          <t>m</t>
        </is>
      </c>
      <c r="M11" s="69" t="n"/>
      <c r="N11" s="69" t="n"/>
      <c r="O11" s="69" t="inlineStr">
        <is>
          <t>HL</t>
        </is>
      </c>
      <c r="P11" s="69" t="inlineStr">
        <is>
          <t>HL</t>
        </is>
      </c>
      <c r="Q11" s="69" t="inlineStr">
        <is>
          <t>HL</t>
        </is>
      </c>
      <c r="R11" s="69" t="inlineStr">
        <is>
          <t>HL</t>
        </is>
      </c>
      <c r="S11" s="111" t="inlineStr">
        <is>
          <t>Hours</t>
        </is>
      </c>
      <c r="T11" s="111" t="inlineStr">
        <is>
          <t>*C</t>
        </is>
      </c>
      <c r="U11" s="111" t="inlineStr">
        <is>
          <t>MM/ml</t>
        </is>
      </c>
      <c r="V11" s="111" t="inlineStr">
        <is>
          <t>MM/ml</t>
        </is>
      </c>
      <c r="W11" s="111" t="inlineStr">
        <is>
          <t>%</t>
        </is>
      </c>
      <c r="X11" s="69" t="inlineStr">
        <is>
          <t>Hours</t>
        </is>
      </c>
      <c r="Y11" s="69" t="inlineStr">
        <is>
          <t>Hours</t>
        </is>
      </c>
      <c r="Z11" s="70" t="inlineStr">
        <is>
          <t>g/HL</t>
        </is>
      </c>
      <c r="AA11" s="112" t="inlineStr">
        <is>
          <t>%</t>
        </is>
      </c>
      <c r="AB11" s="70" t="inlineStr">
        <is>
          <t>ppm</t>
        </is>
      </c>
      <c r="AC11" s="70" t="inlineStr">
        <is>
          <t>hr</t>
        </is>
      </c>
      <c r="AD11" s="70" t="inlineStr">
        <is>
          <t>°C</t>
        </is>
      </c>
      <c r="AE11" s="70" t="inlineStr">
        <is>
          <t>Plato</t>
        </is>
      </c>
      <c r="AF11" s="70" t="n"/>
      <c r="AG11" s="70" t="inlineStr">
        <is>
          <t>ppm</t>
        </is>
      </c>
      <c r="AH11" s="70" t="n"/>
      <c r="AI11" s="70" t="inlineStr">
        <is>
          <t>EBC</t>
        </is>
      </c>
      <c r="AJ11" s="70" t="inlineStr">
        <is>
          <t>%</t>
        </is>
      </c>
      <c r="AK11" s="70" t="inlineStr">
        <is>
          <t>Plato</t>
        </is>
      </c>
      <c r="AL11" s="69" t="inlineStr">
        <is>
          <t>°C</t>
        </is>
      </c>
      <c r="AM11" s="69" t="inlineStr">
        <is>
          <t>°C</t>
        </is>
      </c>
      <c r="AN11" s="69" t="inlineStr">
        <is>
          <t>°C</t>
        </is>
      </c>
      <c r="AO11" s="69" t="inlineStr">
        <is>
          <t>Hours</t>
        </is>
      </c>
      <c r="AP11" s="69" t="inlineStr">
        <is>
          <t>Hours</t>
        </is>
      </c>
      <c r="AQ11" s="70" t="inlineStr">
        <is>
          <t>hr</t>
        </is>
      </c>
      <c r="AR11" s="70" t="inlineStr">
        <is>
          <t>Bar</t>
        </is>
      </c>
      <c r="AS11" s="70" t="inlineStr">
        <is>
          <t>Plato</t>
        </is>
      </c>
      <c r="AT11" s="69" t="inlineStr">
        <is>
          <t>°C</t>
        </is>
      </c>
      <c r="AU11" s="69" t="inlineStr">
        <is>
          <t>Hours</t>
        </is>
      </c>
      <c r="AV11" s="70" t="inlineStr">
        <is>
          <t>Plato</t>
        </is>
      </c>
      <c r="AW11" s="70" t="inlineStr">
        <is>
          <t>MM/ml</t>
        </is>
      </c>
      <c r="AX11" s="70" t="inlineStr">
        <is>
          <t>Hours</t>
        </is>
      </c>
      <c r="AY11" s="111" t="inlineStr">
        <is>
          <t>Plato</t>
        </is>
      </c>
      <c r="AZ11" s="111" t="inlineStr">
        <is>
          <t>Hours</t>
        </is>
      </c>
      <c r="BA11" s="69" t="inlineStr">
        <is>
          <t>Hours</t>
        </is>
      </c>
      <c r="BB11" s="70" t="inlineStr">
        <is>
          <t>hr</t>
        </is>
      </c>
      <c r="BC11" s="70" t="inlineStr">
        <is>
          <t>ppm</t>
        </is>
      </c>
      <c r="BD11" s="70" t="inlineStr">
        <is>
          <t>ppm</t>
        </is>
      </c>
      <c r="BE11" s="69" t="n"/>
      <c r="BF11" s="69" t="n"/>
      <c r="BG11" s="69" t="inlineStr">
        <is>
          <t>ppm</t>
        </is>
      </c>
      <c r="BH11" s="69" t="n"/>
      <c r="BI11" s="69" t="inlineStr">
        <is>
          <t>ppm</t>
        </is>
      </c>
      <c r="BJ11" s="69" t="inlineStr">
        <is>
          <t>HL</t>
        </is>
      </c>
      <c r="BK11" s="69" t="inlineStr">
        <is>
          <t>%</t>
        </is>
      </c>
      <c r="BL11" s="69" t="inlineStr">
        <is>
          <t>MM/ml</t>
        </is>
      </c>
      <c r="BM11" s="70" t="inlineStr">
        <is>
          <t>MM/ml</t>
        </is>
      </c>
      <c r="BN11" s="70" t="inlineStr">
        <is>
          <t>MM/ml</t>
        </is>
      </c>
      <c r="BO11" s="70" t="inlineStr">
        <is>
          <t>%</t>
        </is>
      </c>
      <c r="BP11" s="69" t="inlineStr">
        <is>
          <t>°C</t>
        </is>
      </c>
      <c r="BQ11" s="69" t="inlineStr">
        <is>
          <t>Bar</t>
        </is>
      </c>
      <c r="BR11" s="70" t="inlineStr">
        <is>
          <t>Day</t>
        </is>
      </c>
      <c r="BS11" s="70" t="inlineStr">
        <is>
          <t>Day</t>
        </is>
      </c>
      <c r="BT11" s="70" t="inlineStr">
        <is>
          <t>Day</t>
        </is>
      </c>
      <c r="BU11" s="70" t="inlineStr">
        <is>
          <t>°C</t>
        </is>
      </c>
      <c r="BV11" s="70" t="inlineStr">
        <is>
          <t>Day</t>
        </is>
      </c>
      <c r="BW11" s="112" t="inlineStr">
        <is>
          <t>%</t>
        </is>
      </c>
      <c r="BX11" s="70" t="inlineStr">
        <is>
          <t>Day</t>
        </is>
      </c>
      <c r="BY11" s="70" t="inlineStr">
        <is>
          <t>Hours</t>
        </is>
      </c>
      <c r="BZ11" s="70" t="inlineStr">
        <is>
          <t>Plato</t>
        </is>
      </c>
      <c r="CA11" s="70" t="inlineStr">
        <is>
          <t>pH</t>
        </is>
      </c>
      <c r="CB11" s="70" t="inlineStr">
        <is>
          <t>ppm</t>
        </is>
      </c>
      <c r="CC11" s="70" t="inlineStr">
        <is>
          <t>ppb</t>
        </is>
      </c>
      <c r="CD11" s="70" t="inlineStr">
        <is>
          <t>ppb</t>
        </is>
      </c>
      <c r="CE11" s="70" t="inlineStr">
        <is>
          <t>ppm</t>
        </is>
      </c>
      <c r="CF11" s="70" t="inlineStr">
        <is>
          <t>Plato</t>
        </is>
      </c>
      <c r="CG11" s="70" t="inlineStr">
        <is>
          <t>Plato</t>
        </is>
      </c>
      <c r="CH11" s="70" t="inlineStr">
        <is>
          <t>%</t>
        </is>
      </c>
      <c r="CI11" s="70" t="inlineStr">
        <is>
          <t>%</t>
        </is>
      </c>
      <c r="CJ11" s="70" t="inlineStr">
        <is>
          <t>Plato</t>
        </is>
      </c>
      <c r="CK11" s="70" t="n"/>
      <c r="CL11" s="70" t="inlineStr">
        <is>
          <t>EBC</t>
        </is>
      </c>
      <c r="CM11" s="70" t="inlineStr">
        <is>
          <t>ppb</t>
        </is>
      </c>
      <c r="CN11" s="70" t="inlineStr">
        <is>
          <t>g/L</t>
        </is>
      </c>
      <c r="CO11" s="70" t="n"/>
      <c r="CP11" s="53" t="n"/>
    </row>
    <row r="12">
      <c r="G12" s="73" t="n"/>
      <c r="H12" s="74" t="n"/>
    </row>
    <row r="13">
      <c r="G13" s="73" t="n"/>
      <c r="H13" s="74" t="n"/>
    </row>
    <row r="14">
      <c r="G14" s="73" t="n"/>
      <c r="H14" s="74" t="n"/>
    </row>
    <row r="15">
      <c r="G15" s="73" t="n"/>
      <c r="H15" s="74" t="n"/>
    </row>
    <row r="16">
      <c r="G16" s="73" t="n"/>
      <c r="H16" s="74" t="n"/>
    </row>
    <row r="17">
      <c r="G17" s="73" t="n"/>
      <c r="H17" s="74" t="n"/>
    </row>
    <row r="18">
      <c r="G18" s="73" t="n"/>
      <c r="H18" s="74" t="n"/>
    </row>
  </sheetData>
  <mergeCells count="13">
    <mergeCell ref="AL1:BD1"/>
    <mergeCell ref="BJ1:BY1"/>
    <mergeCell ref="C1:C11"/>
    <mergeCell ref="B1:B11"/>
    <mergeCell ref="G1:G11"/>
    <mergeCell ref="E1:E11"/>
    <mergeCell ref="J1:AK1"/>
    <mergeCell ref="BZ1:CO1"/>
    <mergeCell ref="H1:H11"/>
    <mergeCell ref="BE1:BI1"/>
    <mergeCell ref="A1:A11"/>
    <mergeCell ref="D1:D11"/>
    <mergeCell ref="F1:F11"/>
  </mergeCells>
  <conditionalFormatting sqref="J10:CO10">
    <cfRule type="cellIs" priority="85" operator="equal" dxfId="4">
      <formula>"N"</formula>
    </cfRule>
    <cfRule type="cellIs" priority="86" operator="equal" dxfId="0">
      <formula>"Y"</formula>
    </cfRule>
  </conditionalFormatting>
  <conditionalFormatting sqref="N8">
    <cfRule type="cellIs" priority="77" operator="equal" dxfId="4">
      <formula>"N"</formula>
    </cfRule>
    <cfRule type="cellIs" priority="78" operator="equal" dxfId="0">
      <formula>"Y"</formula>
    </cfRule>
  </conditionalFormatting>
  <conditionalFormatting sqref="S8:U8">
    <cfRule type="cellIs" priority="71" operator="equal" dxfId="4">
      <formula>"N"</formula>
    </cfRule>
    <cfRule type="cellIs" priority="72" operator="equal" dxfId="0">
      <formula>"Y"</formula>
    </cfRule>
  </conditionalFormatting>
  <conditionalFormatting sqref="W8">
    <cfRule type="cellIs" priority="69" operator="equal" dxfId="4">
      <formula>"N"</formula>
    </cfRule>
    <cfRule type="cellIs" priority="70" operator="equal" dxfId="0">
      <formula>"Y"</formula>
    </cfRule>
  </conditionalFormatting>
  <conditionalFormatting sqref="Z8:AG8">
    <cfRule type="cellIs" priority="65" operator="equal" dxfId="4">
      <formula>"N"</formula>
    </cfRule>
    <cfRule type="cellIs" priority="66" operator="equal" dxfId="0">
      <formula>"Y"</formula>
    </cfRule>
  </conditionalFormatting>
  <conditionalFormatting sqref="AJ8:AL8">
    <cfRule type="cellIs" priority="59" operator="equal" dxfId="4">
      <formula>"N"</formula>
    </cfRule>
    <cfRule type="cellIs" priority="60" operator="equal" dxfId="0">
      <formula>"Y"</formula>
    </cfRule>
  </conditionalFormatting>
  <conditionalFormatting sqref="AP8:AR8">
    <cfRule type="cellIs" priority="57" operator="equal" dxfId="4">
      <formula>"N"</formula>
    </cfRule>
    <cfRule type="cellIs" priority="58" operator="equal" dxfId="0">
      <formula>"Y"</formula>
    </cfRule>
  </conditionalFormatting>
  <conditionalFormatting sqref="AV8:AY8">
    <cfRule type="cellIs" priority="49" operator="equal" dxfId="4">
      <formula>"N"</formula>
    </cfRule>
    <cfRule type="cellIs" priority="50" operator="equal" dxfId="0">
      <formula>"Y"</formula>
    </cfRule>
  </conditionalFormatting>
  <conditionalFormatting sqref="BB8:BD8">
    <cfRule type="cellIs" priority="43" operator="equal" dxfId="4">
      <formula>"N"</formula>
    </cfRule>
    <cfRule type="cellIs" priority="44" operator="equal" dxfId="0">
      <formula>"Y"</formula>
    </cfRule>
  </conditionalFormatting>
  <conditionalFormatting sqref="BG8">
    <cfRule type="cellIs" priority="41" operator="equal" dxfId="4">
      <formula>"N"</formula>
    </cfRule>
    <cfRule type="cellIs" priority="42" operator="equal" dxfId="0">
      <formula>"Y"</formula>
    </cfRule>
  </conditionalFormatting>
  <conditionalFormatting sqref="BL8:BO8">
    <cfRule type="cellIs" priority="35" operator="equal" dxfId="4">
      <formula>"N"</formula>
    </cfRule>
    <cfRule type="cellIs" priority="36" operator="equal" dxfId="0">
      <formula>"Y"</formula>
    </cfRule>
  </conditionalFormatting>
  <conditionalFormatting sqref="BQ8">
    <cfRule type="cellIs" priority="33" operator="equal" dxfId="4">
      <formula>"N"</formula>
    </cfRule>
    <cfRule type="cellIs" priority="34" operator="equal" dxfId="0">
      <formula>"Y"</formula>
    </cfRule>
  </conditionalFormatting>
  <conditionalFormatting sqref="BS8:BX8">
    <cfRule type="cellIs" priority="31" operator="equal" dxfId="4">
      <formula>"N"</formula>
    </cfRule>
    <cfRule type="cellIs" priority="32" operator="equal" dxfId="0">
      <formula>"Y"</formula>
    </cfRule>
  </conditionalFormatting>
  <conditionalFormatting sqref="BZ8:CF8">
    <cfRule type="cellIs" priority="15" operator="equal" dxfId="4">
      <formula>"N"</formula>
    </cfRule>
    <cfRule type="cellIs" priority="16" operator="equal" dxfId="0">
      <formula>"Y"</formula>
    </cfRule>
  </conditionalFormatting>
  <conditionalFormatting sqref="CH8:CL8">
    <cfRule type="cellIs" priority="5" operator="equal" dxfId="4">
      <formula>"N"</formula>
    </cfRule>
    <cfRule type="cellIs" priority="6" operator="equal" dxfId="0">
      <formula>"Y"</formula>
    </cfRule>
  </conditionalFormatting>
  <conditionalFormatting sqref="CN8:CO8">
    <cfRule type="cellIs" priority="1" operator="equal" dxfId="4">
      <formula>"N"</formula>
    </cfRule>
    <cfRule type="cellIs" priority="2" operator="equal" dxfId="0">
      <formula>"Y"</formula>
    </cfRule>
  </conditionalFormatting>
  <dataValidations count="2">
    <dataValidation sqref="J10:CO10 N8 S8:U8 W8 Z8:AG8 AJ8:AL8 AP8:AR8 AV8:AY8 BB8:BD8 BG8 BL8:BO8 BQ8 BS8:BX8 BZ8:CF8 CH8:CL8 CN8:CO8" showDropDown="0" showInputMessage="1" showErrorMessage="1" allowBlank="1" type="list">
      <formula1>"Y,N"</formula1>
    </dataValidation>
    <dataValidation sqref="G12:G1048576" showDropDown="0" showInputMessage="1" showErrorMessage="1" allowBlank="1" type="list">
      <formula1>"MCS,Test,Propagation"</formula1>
    </dataValidation>
  </dataValidations>
  <pageMargins left="0.7" right="0.7" top="0.75" bottom="0.75" header="0.3" footer="0.3"/>
  <pageSetup orientation="portrait" paperSize="9" horizontalDpi="300" verticalDpi="300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2" sqref="A12"/>
    </sheetView>
  </sheetViews>
  <sheetFormatPr baseColWidth="8" defaultColWidth="9" defaultRowHeight="15"/>
  <cols>
    <col width="8.140625" customWidth="1" style="241" min="1" max="1"/>
    <col width="10.85546875" customWidth="1" style="54" min="2" max="2"/>
    <col width="11.42578125" customWidth="1" style="241" min="3" max="5"/>
    <col width="8" customWidth="1" style="55" min="6" max="6"/>
    <col width="8.28515625" customWidth="1" style="55" min="7" max="7"/>
    <col width="14.85546875" customWidth="1" style="42" min="8" max="8"/>
    <col width="11.140625" customWidth="1" style="241" min="9" max="14"/>
  </cols>
  <sheetData>
    <row r="1" ht="14.85" customHeight="1" s="241">
      <c r="A1" s="220" t="inlineStr">
        <is>
          <t>Brewery</t>
        </is>
      </c>
      <c r="B1" s="247" t="inlineStr">
        <is>
          <t>Sampling Time</t>
        </is>
      </c>
      <c r="C1" s="220" t="inlineStr">
        <is>
          <t>Brand</t>
        </is>
      </c>
      <c r="D1" s="220" t="inlineStr">
        <is>
          <t>OG Standard</t>
        </is>
      </c>
      <c r="E1" s="220" t="inlineStr">
        <is>
          <t>Tank No.</t>
        </is>
      </c>
      <c r="F1" s="216" t="inlineStr">
        <is>
          <t>Batch Production Type</t>
        </is>
      </c>
      <c r="G1" s="216" t="inlineStr">
        <is>
          <t>Batch Production Month</t>
        </is>
      </c>
      <c r="H1" s="75" t="inlineStr">
        <is>
          <t>Process</t>
        </is>
      </c>
      <c r="I1" s="249" t="inlineStr">
        <is>
          <t>Cold Aging</t>
        </is>
      </c>
      <c r="J1" s="237" t="n"/>
      <c r="K1" s="237" t="n"/>
      <c r="L1" s="237" t="n"/>
      <c r="M1" s="237" t="n"/>
      <c r="N1" s="237" t="n"/>
    </row>
    <row r="2" ht="45.95" customFormat="1" customHeight="1" s="53">
      <c r="A2" s="217" t="n"/>
      <c r="B2" s="217" t="n"/>
      <c r="C2" s="217" t="n"/>
      <c r="D2" s="217" t="n"/>
      <c r="E2" s="217" t="n"/>
      <c r="F2" s="217" t="n"/>
      <c r="G2" s="217" t="n"/>
      <c r="H2" s="220" t="inlineStr">
        <is>
          <t>参数英文名</t>
        </is>
      </c>
      <c r="I2" s="80" t="inlineStr">
        <is>
          <t>Integrated DO</t>
        </is>
      </c>
      <c r="J2" s="80" t="inlineStr">
        <is>
          <t>DO-Manual</t>
        </is>
      </c>
      <c r="K2" s="60" t="inlineStr">
        <is>
          <t>Temperature at fill Cold Maturation Tank</t>
        </is>
      </c>
      <c r="L2" s="60" t="inlineStr">
        <is>
          <t>Temperature Maturation tank</t>
        </is>
      </c>
      <c r="M2" s="60" t="inlineStr">
        <is>
          <t>pH (EOM)</t>
        </is>
      </c>
      <c r="N2" s="60" t="inlineStr">
        <is>
          <t>Time in Cold Maturation tank</t>
        </is>
      </c>
    </row>
    <row r="3" ht="37.35" customFormat="1" customHeight="1" s="53">
      <c r="A3" s="217" t="n"/>
      <c r="B3" s="217" t="n"/>
      <c r="C3" s="217" t="n"/>
      <c r="D3" s="217" t="n"/>
      <c r="E3" s="217" t="n"/>
      <c r="F3" s="217" t="n"/>
      <c r="G3" s="217" t="n"/>
      <c r="H3" s="220" t="inlineStr">
        <is>
          <t>参数中文名</t>
        </is>
      </c>
      <c r="I3" s="61" t="inlineStr">
        <is>
          <t>冷储DO</t>
        </is>
      </c>
      <c r="J3" s="61" t="inlineStr">
        <is>
          <t>冷储-手持</t>
        </is>
      </c>
      <c r="K3" s="105" t="inlineStr">
        <is>
          <t>满罐高浓酒温度</t>
        </is>
      </c>
      <c r="L3" s="105" t="inlineStr">
        <is>
          <t>CPT 冷储温度</t>
        </is>
      </c>
      <c r="M3" s="61" t="inlineStr">
        <is>
          <t>冷储pH</t>
        </is>
      </c>
      <c r="N3" s="105" t="inlineStr">
        <is>
          <t>冷储时间段</t>
        </is>
      </c>
    </row>
    <row r="4" ht="58.5" customFormat="1" customHeight="1" s="53">
      <c r="A4" s="217" t="n"/>
      <c r="B4" s="217" t="n"/>
      <c r="C4" s="217" t="n"/>
      <c r="D4" s="217" t="n"/>
      <c r="E4" s="217" t="n"/>
      <c r="F4" s="217" t="n"/>
      <c r="G4" s="217" t="n"/>
      <c r="H4" s="102" t="inlineStr">
        <is>
          <t>Global</t>
        </is>
      </c>
      <c r="I4" s="60" t="inlineStr">
        <is>
          <t>Dissolved Oxygen (DO)</t>
        </is>
      </c>
      <c r="J4" s="61" t="n"/>
      <c r="K4" s="60" t="inlineStr">
        <is>
          <t>Temperature at fill Cold Maturation Tank</t>
        </is>
      </c>
      <c r="L4" s="60" t="inlineStr">
        <is>
          <t>Temperature Maturation tank</t>
        </is>
      </c>
      <c r="M4" s="60" t="inlineStr">
        <is>
          <t>pH (EOF)</t>
        </is>
      </c>
      <c r="N4" s="60" t="inlineStr">
        <is>
          <t>Time in Cold Maturation tank</t>
        </is>
      </c>
    </row>
    <row r="5" hidden="1" ht="46.5" customFormat="1" customHeight="1" s="53">
      <c r="A5" s="217" t="n"/>
      <c r="B5" s="217" t="n"/>
      <c r="C5" s="217" t="n"/>
      <c r="D5" s="217" t="n"/>
      <c r="E5" s="217" t="n"/>
      <c r="F5" s="217" t="n"/>
      <c r="G5" s="217" t="n"/>
      <c r="H5" s="220" t="inlineStr">
        <is>
          <t>DF编码</t>
        </is>
      </c>
      <c r="I5" s="61" t="inlineStr">
        <is>
          <t>QA-05255</t>
        </is>
      </c>
      <c r="J5" s="61" t="n"/>
      <c r="K5" s="61" t="inlineStr">
        <is>
          <t>BR-60138</t>
        </is>
      </c>
      <c r="L5" s="61" t="inlineStr">
        <is>
          <t>BR-60139</t>
        </is>
      </c>
      <c r="M5" s="61" t="inlineStr">
        <is>
          <t>QA-05259</t>
        </is>
      </c>
      <c r="N5" s="61" t="inlineStr">
        <is>
          <t>BR-60144</t>
        </is>
      </c>
    </row>
    <row r="6" hidden="1" ht="104.85" customFormat="1" customHeight="1" s="101">
      <c r="A6" s="217" t="n"/>
      <c r="B6" s="217" t="n"/>
      <c r="C6" s="217" t="n"/>
      <c r="D6" s="217" t="n"/>
      <c r="E6" s="217" t="n"/>
      <c r="F6" s="217" t="n"/>
      <c r="G6" s="217" t="n"/>
      <c r="H6" s="103" t="inlineStr">
        <is>
          <t>DF中文</t>
        </is>
      </c>
      <c r="I6" s="104" t="inlineStr">
        <is>
          <t>溶解氧_冷储酒液_嫩啤酒冷储_酿造_过滤_CPT罐</t>
        </is>
      </c>
      <c r="J6" s="104" t="n"/>
      <c r="K6" s="104" t="inlineStr">
        <is>
          <t>步骤开始满罐高浓酒温度_嫩啤酒满罐_酿造_过滤_CPT罐</t>
        </is>
      </c>
      <c r="L6" s="104" t="inlineStr">
        <is>
          <t>CPT冷储酒液温度_嫩啤酒冷储(每小时监控)_酿造_过滤_CPT罐</t>
        </is>
      </c>
      <c r="M6" s="104" t="inlineStr">
        <is>
          <t>pH_冷储酒液_嫩啤酒冷储_酿造_过滤_CPT罐</t>
        </is>
      </c>
      <c r="N6" s="104" t="inlineStr">
        <is>
          <t>工艺步骤时间段_嫩啤酒冷储_酿造_过滤_CPT罐</t>
        </is>
      </c>
    </row>
    <row r="7" customFormat="1" s="53">
      <c r="A7" s="217" t="n"/>
      <c r="B7" s="217" t="n"/>
      <c r="C7" s="217" t="n"/>
      <c r="D7" s="217" t="n"/>
      <c r="E7" s="217" t="n"/>
      <c r="F7" s="217" t="n"/>
      <c r="G7" s="217" t="n"/>
      <c r="H7" s="220" t="inlineStr">
        <is>
          <t>数据源</t>
        </is>
      </c>
      <c r="I7" s="61" t="inlineStr">
        <is>
          <t>LIMS</t>
        </is>
      </c>
      <c r="J7" s="61" t="inlineStr">
        <is>
          <t>DF</t>
        </is>
      </c>
      <c r="K7" s="61" t="inlineStr">
        <is>
          <t>DF</t>
        </is>
      </c>
      <c r="L7" s="61" t="inlineStr">
        <is>
          <t>DF</t>
        </is>
      </c>
      <c r="M7" s="61" t="inlineStr">
        <is>
          <t>LIMS</t>
        </is>
      </c>
      <c r="N7" s="61" t="inlineStr">
        <is>
          <t>LIMS</t>
        </is>
      </c>
    </row>
    <row r="8" ht="24" customFormat="1" customHeight="1" s="53">
      <c r="A8" s="217" t="n"/>
      <c r="B8" s="217" t="n"/>
      <c r="C8" s="217" t="n"/>
      <c r="D8" s="217" t="n"/>
      <c r="E8" s="217" t="n"/>
      <c r="F8" s="217" t="n"/>
      <c r="G8" s="217" t="n"/>
      <c r="H8" s="221" t="inlineStr">
        <is>
          <t>是否Sensory PI展示</t>
        </is>
      </c>
      <c r="I8" s="61" t="n"/>
      <c r="J8" s="61" t="n"/>
      <c r="K8" s="61" t="n"/>
      <c r="L8" s="61" t="n"/>
      <c r="M8" s="61" t="n"/>
      <c r="N8" s="61" t="n"/>
    </row>
    <row r="9" customFormat="1" s="53">
      <c r="A9" s="217" t="n"/>
      <c r="B9" s="217" t="n"/>
      <c r="C9" s="217" t="n"/>
      <c r="D9" s="217" t="n"/>
      <c r="E9" s="217" t="n"/>
      <c r="F9" s="217" t="n"/>
      <c r="G9" s="217" t="n"/>
      <c r="H9" s="221" t="inlineStr">
        <is>
          <t>是否为Key PI</t>
        </is>
      </c>
      <c r="I9" s="61" t="n"/>
      <c r="J9" s="61" t="n"/>
      <c r="K9" s="61" t="n"/>
      <c r="L9" s="61" t="n"/>
      <c r="M9" s="61" t="n"/>
      <c r="N9" s="61" t="n"/>
    </row>
    <row r="10" ht="18.75" customFormat="1" customHeight="1" s="53">
      <c r="A10" s="217" t="n"/>
      <c r="B10" s="217" t="n"/>
      <c r="C10" s="217" t="n"/>
      <c r="D10" s="217" t="n"/>
      <c r="E10" s="217" t="n"/>
      <c r="F10" s="217" t="n"/>
      <c r="G10" s="217" t="n"/>
      <c r="H10" s="220" t="inlineStr">
        <is>
          <t>是否点图展示</t>
        </is>
      </c>
      <c r="I10" s="64" t="inlineStr">
        <is>
          <t>Y</t>
        </is>
      </c>
      <c r="J10" s="64" t="n"/>
      <c r="K10" s="64" t="n"/>
      <c r="L10" s="64" t="inlineStr">
        <is>
          <t>Y</t>
        </is>
      </c>
      <c r="M10" s="64" t="n"/>
      <c r="N10" s="64" t="inlineStr">
        <is>
          <t>Y</t>
        </is>
      </c>
    </row>
    <row r="11">
      <c r="A11" s="218" t="n"/>
      <c r="B11" s="218" t="n"/>
      <c r="C11" s="218" t="n"/>
      <c r="D11" s="218" t="n"/>
      <c r="E11" s="218" t="n"/>
      <c r="F11" s="218" t="n"/>
      <c r="G11" s="218" t="n"/>
      <c r="H11" s="102" t="inlineStr">
        <is>
          <t>Unit</t>
        </is>
      </c>
      <c r="I11" s="69" t="inlineStr">
        <is>
          <t>ppb</t>
        </is>
      </c>
      <c r="J11" s="69" t="inlineStr">
        <is>
          <t>ppb</t>
        </is>
      </c>
      <c r="K11" s="70" t="inlineStr">
        <is>
          <t>°C</t>
        </is>
      </c>
      <c r="L11" s="70" t="inlineStr">
        <is>
          <t>°C</t>
        </is>
      </c>
      <c r="M11" s="69" t="n"/>
      <c r="N11" s="69" t="inlineStr">
        <is>
          <t>Hours</t>
        </is>
      </c>
      <c r="O11" s="53" t="n"/>
    </row>
    <row r="12">
      <c r="F12" s="73" t="n"/>
      <c r="G12" s="74" t="n"/>
    </row>
    <row r="13">
      <c r="F13" s="73" t="n"/>
      <c r="G13" s="74" t="n"/>
    </row>
    <row r="14">
      <c r="F14" s="73" t="n"/>
      <c r="G14" s="74" t="n"/>
    </row>
    <row r="15">
      <c r="F15" s="73" t="n"/>
      <c r="G15" s="74" t="n"/>
    </row>
    <row r="16">
      <c r="F16" s="73" t="n"/>
      <c r="G16" s="74" t="n"/>
    </row>
    <row r="17">
      <c r="F17" s="73" t="n"/>
      <c r="G17" s="74" t="n"/>
    </row>
    <row r="18">
      <c r="F18" s="73" t="n"/>
      <c r="G18" s="74" t="n"/>
    </row>
  </sheetData>
  <mergeCells count="8">
    <mergeCell ref="C1:C11"/>
    <mergeCell ref="B1:B11"/>
    <mergeCell ref="G1:G11"/>
    <mergeCell ref="E1:E11"/>
    <mergeCell ref="I1:N1"/>
    <mergeCell ref="A1:A11"/>
    <mergeCell ref="D1:D11"/>
    <mergeCell ref="F1:F11"/>
  </mergeCells>
  <conditionalFormatting sqref="I10:N10">
    <cfRule type="cellIs" priority="1" operator="equal" dxfId="4">
      <formula>"N"</formula>
    </cfRule>
    <cfRule type="cellIs" priority="2" operator="equal" dxfId="0">
      <formula>"Y"</formula>
    </cfRule>
  </conditionalFormatting>
  <dataValidations count="2">
    <dataValidation sqref="I10:N10" showDropDown="0" showInputMessage="1" showErrorMessage="1" allowBlank="1" type="list">
      <formula1>"Y,N"</formula1>
    </dataValidation>
    <dataValidation sqref="F12:F1048576" showDropDown="0" showInputMessage="1" showErrorMessage="1" allowBlank="1" type="list">
      <formula1>"MCS,Test,Propagation"</formula1>
    </dataValidation>
  </dataValidations>
  <pageMargins left="0.7" right="0.7" top="0.75" bottom="0.75" header="0.3" footer="0.3"/>
  <pageSetup orientation="portrait" paperSize="9" horizontalDpi="300" verticalDpi="300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2" sqref="A12"/>
    </sheetView>
  </sheetViews>
  <sheetFormatPr baseColWidth="8" defaultColWidth="9" defaultRowHeight="15"/>
  <cols>
    <col width="12.140625" customWidth="1" style="241" min="1" max="1"/>
    <col width="12.140625" customWidth="1" style="54" min="2" max="2"/>
    <col width="12.140625" customWidth="1" style="241" min="3" max="5"/>
    <col width="8" customWidth="1" style="55" min="6" max="6"/>
    <col width="8.28515625" customWidth="1" style="55" min="7" max="7"/>
    <col width="19.42578125" customWidth="1" style="42" min="8" max="8"/>
    <col width="11.140625" customWidth="1" style="241" min="9" max="13"/>
  </cols>
  <sheetData>
    <row r="1" ht="14.85" customHeight="1" s="241">
      <c r="A1" s="220" t="inlineStr">
        <is>
          <t>Brewery</t>
        </is>
      </c>
      <c r="B1" s="247" t="inlineStr">
        <is>
          <t>Date</t>
        </is>
      </c>
      <c r="C1" s="220" t="inlineStr">
        <is>
          <t>Brand</t>
        </is>
      </c>
      <c r="D1" s="220" t="inlineStr">
        <is>
          <t>OG Standard</t>
        </is>
      </c>
      <c r="E1" s="220" t="inlineStr">
        <is>
          <t>Fermetor No.</t>
        </is>
      </c>
      <c r="F1" s="216" t="inlineStr">
        <is>
          <t>Batch Production Type</t>
        </is>
      </c>
      <c r="G1" s="216" t="inlineStr">
        <is>
          <t>Batch Production Month</t>
        </is>
      </c>
      <c r="H1" s="75" t="inlineStr">
        <is>
          <t>Process</t>
        </is>
      </c>
      <c r="I1" s="257" t="inlineStr">
        <is>
          <t>Kareusen</t>
        </is>
      </c>
      <c r="J1" s="237" t="n"/>
      <c r="K1" s="237" t="n"/>
      <c r="L1" s="237" t="n"/>
      <c r="M1" s="237" t="n"/>
    </row>
    <row r="2" ht="84" customFormat="1" customHeight="1" s="53">
      <c r="A2" s="217" t="n"/>
      <c r="B2" s="217" t="n"/>
      <c r="C2" s="217" t="n"/>
      <c r="D2" s="217" t="n"/>
      <c r="E2" s="217" t="n"/>
      <c r="F2" s="217" t="n"/>
      <c r="G2" s="217" t="n"/>
      <c r="H2" s="220" t="inlineStr">
        <is>
          <t>参数英文名</t>
        </is>
      </c>
      <c r="I2" s="60" t="inlineStr">
        <is>
          <t>Kraeusen Tank Age</t>
        </is>
      </c>
      <c r="J2" s="60" t="inlineStr">
        <is>
          <t>Kraeusen 
AE</t>
        </is>
      </c>
      <c r="K2" s="60" t="inlineStr">
        <is>
          <t>Kraeusen YCC</t>
        </is>
      </c>
      <c r="L2" s="60" t="inlineStr">
        <is>
          <t>Krausening volume addition</t>
        </is>
      </c>
      <c r="M2" s="60" t="inlineStr">
        <is>
          <t>Krausening volume addition
Ratio</t>
        </is>
      </c>
    </row>
    <row r="3" ht="48" customFormat="1" customHeight="1" s="53">
      <c r="A3" s="217" t="n"/>
      <c r="B3" s="217" t="n"/>
      <c r="C3" s="217" t="n"/>
      <c r="D3" s="217" t="n"/>
      <c r="E3" s="217" t="n"/>
      <c r="F3" s="217" t="n"/>
      <c r="G3" s="217" t="n"/>
      <c r="H3" s="220" t="inlineStr">
        <is>
          <t>参数中文名</t>
        </is>
      </c>
      <c r="I3" s="61" t="inlineStr">
        <is>
          <t>高泡酒酒龄</t>
        </is>
      </c>
      <c r="J3" s="61" t="inlineStr">
        <is>
          <t>高泡酒外观糖度</t>
        </is>
      </c>
      <c r="K3" s="61" t="inlineStr">
        <is>
          <t>高泡酒酵母数</t>
        </is>
      </c>
      <c r="L3" s="61" t="inlineStr">
        <is>
          <t>高泡酒添加量</t>
        </is>
      </c>
      <c r="M3" s="61" t="inlineStr">
        <is>
          <t>高泡酒添加比例</t>
        </is>
      </c>
    </row>
    <row r="4" ht="71.09999999999999" customFormat="1" customHeight="1" s="53">
      <c r="A4" s="217" t="n"/>
      <c r="B4" s="217" t="n"/>
      <c r="C4" s="217" t="n"/>
      <c r="D4" s="217" t="n"/>
      <c r="E4" s="217" t="n"/>
      <c r="F4" s="217" t="n"/>
      <c r="G4" s="217" t="n"/>
      <c r="H4" s="102" t="inlineStr">
        <is>
          <t>Global</t>
        </is>
      </c>
      <c r="I4" s="60" t="inlineStr">
        <is>
          <t>Kraeusen Tank Age</t>
        </is>
      </c>
      <c r="J4" s="61" t="n"/>
      <c r="K4" s="60" t="inlineStr">
        <is>
          <t>Kraeusen Pitch Rate</t>
        </is>
      </c>
      <c r="L4" s="60" t="inlineStr">
        <is>
          <t>Krausening volume addition</t>
        </is>
      </c>
      <c r="M4" s="61" t="n"/>
    </row>
    <row r="5" hidden="1" ht="46.5" customFormat="1" customHeight="1" s="53">
      <c r="A5" s="217" t="n"/>
      <c r="B5" s="217" t="n"/>
      <c r="C5" s="217" t="n"/>
      <c r="D5" s="217" t="n"/>
      <c r="E5" s="217" t="n"/>
      <c r="F5" s="217" t="n"/>
      <c r="G5" s="217" t="n"/>
      <c r="H5" s="220" t="inlineStr">
        <is>
          <t>DF编码</t>
        </is>
      </c>
      <c r="I5" s="61" t="n"/>
      <c r="J5" s="61" t="n"/>
      <c r="K5" s="61" t="n"/>
      <c r="L5" s="61" t="n"/>
      <c r="M5" s="61" t="n"/>
    </row>
    <row r="6" hidden="1" ht="104.85" customFormat="1" customHeight="1" s="101">
      <c r="A6" s="217" t="n"/>
      <c r="B6" s="217" t="n"/>
      <c r="C6" s="217" t="n"/>
      <c r="D6" s="217" t="n"/>
      <c r="E6" s="217" t="n"/>
      <c r="F6" s="217" t="n"/>
      <c r="G6" s="217" t="n"/>
      <c r="H6" s="103" t="inlineStr">
        <is>
          <t>DF中文</t>
        </is>
      </c>
      <c r="I6" s="104" t="n"/>
      <c r="J6" s="104" t="n"/>
      <c r="K6" s="104" t="n"/>
      <c r="L6" s="104" t="n"/>
      <c r="M6" s="104" t="n"/>
    </row>
    <row r="7" customFormat="1" s="53">
      <c r="A7" s="217" t="n"/>
      <c r="B7" s="217" t="n"/>
      <c r="C7" s="217" t="n"/>
      <c r="D7" s="217" t="n"/>
      <c r="E7" s="217" t="n"/>
      <c r="F7" s="217" t="n"/>
      <c r="G7" s="217" t="n"/>
      <c r="H7" s="220" t="inlineStr">
        <is>
          <t>数据源</t>
        </is>
      </c>
      <c r="I7" s="105" t="inlineStr">
        <is>
          <t>TSM</t>
        </is>
      </c>
      <c r="J7" s="105" t="inlineStr">
        <is>
          <t>TSM</t>
        </is>
      </c>
      <c r="K7" s="105" t="inlineStr">
        <is>
          <t>TSM</t>
        </is>
      </c>
      <c r="L7" s="105" t="inlineStr">
        <is>
          <t>TSM</t>
        </is>
      </c>
      <c r="M7" s="105" t="inlineStr">
        <is>
          <t>TSM</t>
        </is>
      </c>
    </row>
    <row r="8" customFormat="1" s="53">
      <c r="A8" s="217" t="n"/>
      <c r="B8" s="217" t="n"/>
      <c r="C8" s="217" t="n"/>
      <c r="D8" s="217" t="n"/>
      <c r="E8" s="217" t="n"/>
      <c r="F8" s="217" t="n"/>
      <c r="G8" s="217" t="n"/>
      <c r="H8" s="221" t="inlineStr">
        <is>
          <t>是否Sensory PI展示</t>
        </is>
      </c>
      <c r="I8" s="105" t="n"/>
      <c r="J8" s="105" t="n"/>
      <c r="K8" s="105" t="n"/>
      <c r="L8" s="105" t="n"/>
      <c r="M8" s="105" t="n"/>
    </row>
    <row r="9" customFormat="1" s="53">
      <c r="A9" s="217" t="n"/>
      <c r="B9" s="217" t="n"/>
      <c r="C9" s="217" t="n"/>
      <c r="D9" s="217" t="n"/>
      <c r="E9" s="217" t="n"/>
      <c r="F9" s="217" t="n"/>
      <c r="G9" s="217" t="n"/>
      <c r="H9" s="221" t="inlineStr">
        <is>
          <t>是否为Key PI</t>
        </is>
      </c>
      <c r="I9" s="105" t="n"/>
      <c r="J9" s="105" t="n"/>
      <c r="K9" s="105" t="n"/>
      <c r="L9" s="105" t="n"/>
      <c r="M9" s="105" t="n"/>
    </row>
    <row r="10" ht="18.75" customFormat="1" customHeight="1" s="53">
      <c r="A10" s="217" t="n"/>
      <c r="B10" s="217" t="n"/>
      <c r="C10" s="217" t="n"/>
      <c r="D10" s="217" t="n"/>
      <c r="E10" s="217" t="n"/>
      <c r="F10" s="217" t="n"/>
      <c r="G10" s="217" t="n"/>
      <c r="H10" s="220" t="inlineStr">
        <is>
          <t>是否点图展示</t>
        </is>
      </c>
      <c r="I10" s="64" t="n"/>
      <c r="J10" s="64" t="n"/>
      <c r="K10" s="64" t="n"/>
      <c r="L10" s="64" t="n"/>
      <c r="M10" s="64" t="n"/>
    </row>
    <row r="11">
      <c r="A11" s="218" t="n"/>
      <c r="B11" s="218" t="n"/>
      <c r="C11" s="218" t="n"/>
      <c r="D11" s="218" t="n"/>
      <c r="E11" s="218" t="n"/>
      <c r="F11" s="218" t="n"/>
      <c r="G11" s="218" t="n"/>
      <c r="H11" s="102" t="inlineStr">
        <is>
          <t>Unit</t>
        </is>
      </c>
      <c r="I11" s="70" t="inlineStr">
        <is>
          <t>Hours</t>
        </is>
      </c>
      <c r="J11" s="70" t="inlineStr">
        <is>
          <t>Plato</t>
        </is>
      </c>
      <c r="K11" s="70" t="inlineStr">
        <is>
          <t>MM/ml</t>
        </is>
      </c>
      <c r="L11" s="70" t="inlineStr">
        <is>
          <t>HL</t>
        </is>
      </c>
      <c r="M11" s="70" t="inlineStr">
        <is>
          <t>%</t>
        </is>
      </c>
    </row>
    <row r="12">
      <c r="F12" s="73" t="n"/>
      <c r="G12" s="74" t="n"/>
    </row>
    <row r="13">
      <c r="F13" s="73" t="n"/>
      <c r="G13" s="74" t="n"/>
    </row>
    <row r="14">
      <c r="F14" s="73" t="n"/>
      <c r="G14" s="74" t="n"/>
    </row>
    <row r="15">
      <c r="F15" s="73" t="n"/>
      <c r="G15" s="74" t="n"/>
    </row>
    <row r="16">
      <c r="F16" s="73" t="n"/>
      <c r="G16" s="74" t="n"/>
    </row>
    <row r="17">
      <c r="F17" s="73" t="n"/>
      <c r="G17" s="74" t="n"/>
    </row>
    <row r="18">
      <c r="F18" s="73" t="n"/>
      <c r="G18" s="74" t="n"/>
    </row>
  </sheetData>
  <mergeCells count="8">
    <mergeCell ref="C1:C11"/>
    <mergeCell ref="B1:B11"/>
    <mergeCell ref="G1:G11"/>
    <mergeCell ref="E1:E11"/>
    <mergeCell ref="A1:A11"/>
    <mergeCell ref="I1:M1"/>
    <mergeCell ref="D1:D11"/>
    <mergeCell ref="F1:F11"/>
  </mergeCells>
  <conditionalFormatting sqref="I10:M10">
    <cfRule type="cellIs" priority="3" operator="equal" dxfId="4">
      <formula>"N"</formula>
    </cfRule>
    <cfRule type="cellIs" priority="4" operator="equal" dxfId="0">
      <formula>"Y"</formula>
    </cfRule>
  </conditionalFormatting>
  <dataValidations count="2">
    <dataValidation sqref="I10:M10" showDropDown="0" showInputMessage="1" showErrorMessage="1" allowBlank="1" type="list">
      <formula1>"Y,N"</formula1>
    </dataValidation>
    <dataValidation sqref="F12:F1048576" showDropDown="0" showInputMessage="1" showErrorMessage="1" allowBlank="1" type="list">
      <formula1>"MCS,Test,Propagation"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2" sqref="A12"/>
    </sheetView>
  </sheetViews>
  <sheetFormatPr baseColWidth="8" defaultColWidth="9" defaultRowHeight="15"/>
  <cols>
    <col width="11.42578125" customWidth="1" style="241" min="1" max="1"/>
    <col width="11.85546875" customWidth="1" style="54" min="2" max="2"/>
    <col width="11.85546875" customWidth="1" style="241" min="3" max="4"/>
    <col width="8" customWidth="1" style="55" min="5" max="5"/>
    <col width="8.28515625" customWidth="1" style="55" min="6" max="6"/>
    <col width="12.85546875" customWidth="1" style="42" min="7" max="7"/>
    <col width="10.42578125" customWidth="1" style="42" min="8" max="8"/>
    <col width="10.42578125" customWidth="1" style="241" min="9" max="11"/>
  </cols>
  <sheetData>
    <row r="1" ht="14.85" customHeight="1" s="241">
      <c r="A1" s="220" t="inlineStr">
        <is>
          <t>Brewery</t>
        </is>
      </c>
      <c r="B1" s="247" t="inlineStr">
        <is>
          <t>Spent Yeast Tank Full Date</t>
        </is>
      </c>
      <c r="C1" s="220" t="inlineStr">
        <is>
          <t>Brand</t>
        </is>
      </c>
      <c r="D1" s="220" t="inlineStr">
        <is>
          <t>Spent Yeast 
Tank No.</t>
        </is>
      </c>
      <c r="E1" s="216" t="inlineStr">
        <is>
          <t>Batch Production Type</t>
        </is>
      </c>
      <c r="F1" s="216" t="inlineStr">
        <is>
          <t>Batch Production Month</t>
        </is>
      </c>
      <c r="G1" s="75" t="inlineStr">
        <is>
          <t>Process</t>
        </is>
      </c>
      <c r="H1" s="258" t="inlineStr">
        <is>
          <t>Beer Recovery</t>
        </is>
      </c>
      <c r="I1" s="237" t="n"/>
      <c r="J1" s="237" t="n"/>
      <c r="K1" s="237" t="n"/>
    </row>
    <row r="2" ht="65.84999999999999" customFormat="1" customHeight="1" s="53">
      <c r="A2" s="217" t="n"/>
      <c r="B2" s="217" t="n"/>
      <c r="C2" s="217" t="n"/>
      <c r="D2" s="217" t="n"/>
      <c r="E2" s="217" t="n"/>
      <c r="F2" s="217" t="n"/>
      <c r="G2" s="76" t="inlineStr">
        <is>
          <t>参数英文名</t>
        </is>
      </c>
      <c r="H2" s="60" t="inlineStr">
        <is>
          <t>Spent yeast Storage Temp</t>
        </is>
      </c>
      <c r="I2" s="60" t="inlineStr">
        <is>
          <t>Spent yeast Storage Time</t>
        </is>
      </c>
      <c r="J2" s="60" t="inlineStr">
        <is>
          <t>Recovered beer storage Temp</t>
        </is>
      </c>
      <c r="K2" s="60" t="inlineStr">
        <is>
          <t>Recovered beer storage Time</t>
        </is>
      </c>
    </row>
    <row r="3" ht="47.1" customFormat="1" customHeight="1" s="53">
      <c r="A3" s="217" t="n"/>
      <c r="B3" s="217" t="n"/>
      <c r="C3" s="217" t="n"/>
      <c r="D3" s="217" t="n"/>
      <c r="E3" s="217" t="n"/>
      <c r="F3" s="217" t="n"/>
      <c r="G3" s="76" t="inlineStr">
        <is>
          <t>参数中文名</t>
        </is>
      </c>
      <c r="H3" s="61" t="inlineStr">
        <is>
          <t>废酵母储存温度</t>
        </is>
      </c>
      <c r="I3" s="61" t="inlineStr">
        <is>
          <t>废酵母储存时间</t>
        </is>
      </c>
      <c r="J3" s="61" t="inlineStr">
        <is>
          <t>废酵母酒储存温度</t>
        </is>
      </c>
      <c r="K3" s="61" t="inlineStr">
        <is>
          <t>酵母酒储存时间</t>
        </is>
      </c>
    </row>
    <row r="4" ht="65.84999999999999" customFormat="1" customHeight="1" s="53">
      <c r="A4" s="217" t="n"/>
      <c r="B4" s="217" t="n"/>
      <c r="C4" s="217" t="n"/>
      <c r="D4" s="217" t="n"/>
      <c r="E4" s="217" t="n"/>
      <c r="F4" s="217" t="n"/>
      <c r="G4" s="76" t="inlineStr">
        <is>
          <t>Global</t>
        </is>
      </c>
      <c r="H4" s="60" t="inlineStr">
        <is>
          <t>Yeast Storage Temperature</t>
        </is>
      </c>
      <c r="I4" s="60" t="inlineStr">
        <is>
          <t>Yeast Storage Duration</t>
        </is>
      </c>
      <c r="J4" s="60" t="inlineStr">
        <is>
          <t>Recovered beer storage temperature</t>
        </is>
      </c>
      <c r="K4" s="60" t="inlineStr">
        <is>
          <t>Recovered beer storage duration</t>
        </is>
      </c>
    </row>
    <row r="5" hidden="1" s="241">
      <c r="A5" s="217" t="n"/>
      <c r="B5" s="217" t="n"/>
      <c r="C5" s="217" t="n"/>
      <c r="D5" s="217" t="n"/>
      <c r="E5" s="217" t="n"/>
      <c r="F5" s="217" t="n"/>
      <c r="G5" s="76" t="inlineStr">
        <is>
          <t>DF 编码</t>
        </is>
      </c>
      <c r="H5" s="64" t="inlineStr">
        <is>
          <t>BR-40519</t>
        </is>
      </c>
      <c r="I5" s="64" t="inlineStr">
        <is>
          <t>BR-40518</t>
        </is>
      </c>
      <c r="J5" s="64" t="inlineStr">
        <is>
          <t>BR-40524</t>
        </is>
      </c>
      <c r="K5" s="64" t="inlineStr">
        <is>
          <t>BR-40523</t>
        </is>
      </c>
    </row>
    <row r="6" hidden="1" ht="105" customHeight="1" s="241">
      <c r="A6" s="217" t="n"/>
      <c r="B6" s="217" t="n"/>
      <c r="C6" s="217" t="n"/>
      <c r="D6" s="217" t="n"/>
      <c r="E6" s="217" t="n"/>
      <c r="F6" s="217" t="n"/>
      <c r="G6" s="220" t="inlineStr">
        <is>
          <t>DF中文</t>
        </is>
      </c>
      <c r="H6" s="64" t="inlineStr">
        <is>
          <t>错流酵母温度_错流酵母存储_酿造_错流工序_酵母存储罐</t>
        </is>
      </c>
      <c r="I6" s="64" t="inlineStr">
        <is>
          <t>工艺步骤时间段_错流酵母存储_酿造_错流工序_酵母存储罐</t>
        </is>
      </c>
      <c r="J6" s="64" t="inlineStr">
        <is>
          <t>错流酵母体积_错流酒液存储_酿造_错流工序_回收酒罐</t>
        </is>
      </c>
      <c r="K6" s="64" t="inlineStr">
        <is>
          <t>错流酵母温度_错流酒液存储_酿造_错流工序_回收酒罐</t>
        </is>
      </c>
    </row>
    <row r="7">
      <c r="A7" s="217" t="n"/>
      <c r="B7" s="217" t="n"/>
      <c r="C7" s="217" t="n"/>
      <c r="D7" s="217" t="n"/>
      <c r="E7" s="217" t="n"/>
      <c r="F7" s="217" t="n"/>
      <c r="G7" s="220" t="inlineStr">
        <is>
          <t>数据源</t>
        </is>
      </c>
      <c r="H7" s="64" t="inlineStr">
        <is>
          <t>DF</t>
        </is>
      </c>
      <c r="I7" s="64" t="inlineStr">
        <is>
          <t>DF</t>
        </is>
      </c>
      <c r="J7" s="64" t="inlineStr">
        <is>
          <t>DF</t>
        </is>
      </c>
      <c r="K7" s="64" t="inlineStr">
        <is>
          <t>DF</t>
        </is>
      </c>
    </row>
    <row r="8" ht="24" customHeight="1" s="241">
      <c r="A8" s="217" t="n"/>
      <c r="B8" s="217" t="n"/>
      <c r="C8" s="217" t="n"/>
      <c r="D8" s="217" t="n"/>
      <c r="E8" s="217" t="n"/>
      <c r="F8" s="217" t="n"/>
      <c r="G8" s="221" t="inlineStr">
        <is>
          <t>是否Sensory PI展示</t>
        </is>
      </c>
      <c r="H8" s="64" t="n"/>
      <c r="I8" s="64" t="n"/>
      <c r="J8" s="64" t="n"/>
      <c r="K8" s="64" t="n"/>
    </row>
    <row r="9">
      <c r="A9" s="217" t="n"/>
      <c r="B9" s="217" t="n"/>
      <c r="C9" s="217" t="n"/>
      <c r="D9" s="217" t="n"/>
      <c r="E9" s="217" t="n"/>
      <c r="F9" s="217" t="n"/>
      <c r="G9" s="221" t="inlineStr">
        <is>
          <t>是否为Key PI</t>
        </is>
      </c>
      <c r="H9" s="64" t="n"/>
      <c r="I9" s="64" t="n"/>
      <c r="J9" s="64" t="n"/>
      <c r="K9" s="64" t="n"/>
    </row>
    <row r="10" ht="30" customHeight="1" s="241">
      <c r="A10" s="217" t="n"/>
      <c r="B10" s="217" t="n"/>
      <c r="C10" s="217" t="n"/>
      <c r="D10" s="217" t="n"/>
      <c r="E10" s="217" t="n"/>
      <c r="F10" s="217" t="n"/>
      <c r="G10" s="220" t="inlineStr">
        <is>
          <t>是否点图展示</t>
        </is>
      </c>
      <c r="H10" s="64" t="inlineStr">
        <is>
          <t>Y</t>
        </is>
      </c>
      <c r="I10" s="64" t="inlineStr">
        <is>
          <t>Y</t>
        </is>
      </c>
      <c r="J10" s="64" t="inlineStr">
        <is>
          <t>Y</t>
        </is>
      </c>
      <c r="K10" s="64" t="inlineStr">
        <is>
          <t>Y</t>
        </is>
      </c>
    </row>
    <row r="11">
      <c r="A11" s="218" t="n"/>
      <c r="B11" s="218" t="n"/>
      <c r="C11" s="218" t="n"/>
      <c r="D11" s="218" t="n"/>
      <c r="E11" s="218" t="n"/>
      <c r="F11" s="218" t="n"/>
      <c r="G11" s="76" t="inlineStr">
        <is>
          <t>Unit</t>
        </is>
      </c>
      <c r="H11" s="69" t="inlineStr">
        <is>
          <t>°C</t>
        </is>
      </c>
      <c r="I11" s="70" t="inlineStr">
        <is>
          <t>Hours</t>
        </is>
      </c>
      <c r="J11" s="70" t="inlineStr">
        <is>
          <t>°C</t>
        </is>
      </c>
      <c r="K11" s="70" t="inlineStr">
        <is>
          <t>Hours</t>
        </is>
      </c>
    </row>
    <row r="12">
      <c r="E12" s="73" t="n"/>
      <c r="F12" s="74" t="n"/>
    </row>
    <row r="13">
      <c r="E13" s="73" t="n"/>
      <c r="F13" s="74" t="n"/>
    </row>
    <row r="14">
      <c r="E14" s="73" t="n"/>
      <c r="F14" s="74" t="n"/>
    </row>
    <row r="15">
      <c r="E15" s="73" t="n"/>
      <c r="F15" s="74" t="n"/>
    </row>
    <row r="16">
      <c r="E16" s="73" t="n"/>
      <c r="F16" s="74" t="n"/>
    </row>
    <row r="17">
      <c r="E17" s="73" t="n"/>
      <c r="F17" s="74" t="n"/>
    </row>
    <row r="18">
      <c r="E18" s="73" t="n"/>
      <c r="F18" s="74" t="n"/>
    </row>
  </sheetData>
  <mergeCells count="7">
    <mergeCell ref="C1:C11"/>
    <mergeCell ref="B1:B11"/>
    <mergeCell ref="E1:E11"/>
    <mergeCell ref="H1:K1"/>
    <mergeCell ref="A1:A11"/>
    <mergeCell ref="D1:D11"/>
    <mergeCell ref="F1:F11"/>
  </mergeCells>
  <conditionalFormatting sqref="H10:K10">
    <cfRule type="cellIs" priority="1" operator="equal" dxfId="4">
      <formula>"N"</formula>
    </cfRule>
    <cfRule type="cellIs" priority="2" operator="equal" dxfId="0">
      <formula>"Y"</formula>
    </cfRule>
  </conditionalFormatting>
  <dataValidations count="2">
    <dataValidation sqref="H10:K10" showDropDown="0" showInputMessage="1" showErrorMessage="1" allowBlank="1" type="list">
      <formula1>"Y,N"</formula1>
    </dataValidation>
    <dataValidation sqref="E12:E1048576" showDropDown="0" showInputMessage="1" showErrorMessage="1" allowBlank="1" type="list">
      <formula1>"MCS,Test,Propagation"</formula1>
    </dataValidation>
  </dataValidation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2" sqref="A12"/>
    </sheetView>
  </sheetViews>
  <sheetFormatPr baseColWidth="8" defaultColWidth="9" defaultRowHeight="15"/>
  <cols>
    <col width="9.85546875" customWidth="1" style="241" min="1" max="1"/>
    <col width="10.42578125" customWidth="1" style="54" min="2" max="2"/>
    <col width="11.85546875" customWidth="1" style="241" min="3" max="3"/>
    <col width="9.42578125" customWidth="1" style="241" min="4" max="4"/>
    <col width="10.85546875" customWidth="1" style="241" min="5" max="5"/>
    <col width="8" customWidth="1" style="55" min="6" max="6"/>
    <col width="8.28515625" customWidth="1" style="55" min="7" max="7"/>
    <col width="12.85546875" customWidth="1" style="42" min="8" max="8"/>
    <col width="10.42578125" customWidth="1" style="241" min="9" max="15"/>
  </cols>
  <sheetData>
    <row r="1">
      <c r="A1" s="220" t="inlineStr">
        <is>
          <t>Brewery</t>
        </is>
      </c>
      <c r="B1" s="247" t="inlineStr">
        <is>
          <t>Test Date</t>
        </is>
      </c>
      <c r="C1" s="220" t="inlineStr">
        <is>
          <t>Brand</t>
        </is>
      </c>
      <c r="D1" s="220" t="inlineStr">
        <is>
          <t>Spent Yeast Tank No.</t>
        </is>
      </c>
      <c r="E1" s="220" t="inlineStr">
        <is>
          <t>Recovered Beer Tank No.</t>
        </is>
      </c>
      <c r="F1" s="216" t="inlineStr">
        <is>
          <t>Batch Production Type</t>
        </is>
      </c>
      <c r="G1" s="216" t="inlineStr">
        <is>
          <t>Batch Production Month</t>
        </is>
      </c>
      <c r="H1" s="75" t="inlineStr">
        <is>
          <t>Process</t>
        </is>
      </c>
      <c r="I1" s="255" t="inlineStr">
        <is>
          <t xml:space="preserve">Cross Flow </t>
        </is>
      </c>
      <c r="J1" s="237" t="n"/>
      <c r="K1" s="237" t="n"/>
      <c r="L1" s="237" t="n"/>
      <c r="M1" s="237" t="n"/>
      <c r="N1" s="237" t="n"/>
      <c r="O1" s="237" t="n"/>
    </row>
    <row r="2" ht="38.25" customFormat="1" customHeight="1" s="53">
      <c r="A2" s="217" t="n"/>
      <c r="B2" s="217" t="n"/>
      <c r="C2" s="217" t="n"/>
      <c r="D2" s="217" t="n"/>
      <c r="E2" s="217" t="n"/>
      <c r="F2" s="217" t="n"/>
      <c r="G2" s="217" t="n"/>
      <c r="H2" s="76" t="inlineStr">
        <is>
          <t>参数英文名</t>
        </is>
      </c>
      <c r="I2" s="60" t="inlineStr">
        <is>
          <t>Recovered beer Fill  Temp</t>
        </is>
      </c>
      <c r="J2" s="60" t="inlineStr">
        <is>
          <t>Recovered beer pH</t>
        </is>
      </c>
      <c r="K2" s="60" t="inlineStr">
        <is>
          <t>Recovered beer Haze @ 90°</t>
        </is>
      </c>
      <c r="L2" s="60" t="inlineStr">
        <is>
          <t>Recovered beer Total Acid</t>
        </is>
      </c>
      <c r="M2" s="60" t="inlineStr">
        <is>
          <t>Recovered beer Diacetyl</t>
        </is>
      </c>
      <c r="N2" s="60" t="inlineStr">
        <is>
          <t>Recovered beer OG</t>
        </is>
      </c>
      <c r="O2" s="60" t="inlineStr">
        <is>
          <t>Recovered beer Fe</t>
        </is>
      </c>
    </row>
    <row r="3" ht="25.5" customFormat="1" customHeight="1" s="53">
      <c r="A3" s="217" t="n"/>
      <c r="B3" s="217" t="n"/>
      <c r="C3" s="217" t="n"/>
      <c r="D3" s="217" t="n"/>
      <c r="E3" s="217" t="n"/>
      <c r="F3" s="217" t="n"/>
      <c r="G3" s="217" t="n"/>
      <c r="H3" s="76" t="inlineStr">
        <is>
          <t>参数中文名</t>
        </is>
      </c>
      <c r="I3" s="61" t="inlineStr">
        <is>
          <t>酵母酒满罐温度</t>
        </is>
      </c>
      <c r="J3" s="61" t="inlineStr">
        <is>
          <t>酵母酒pH</t>
        </is>
      </c>
      <c r="K3" s="61" t="inlineStr">
        <is>
          <t>酵母酒浊度</t>
        </is>
      </c>
      <c r="L3" s="61" t="inlineStr">
        <is>
          <t>酵母酒总酸</t>
        </is>
      </c>
      <c r="M3" s="61" t="inlineStr">
        <is>
          <t>酵母酒双乙酰</t>
        </is>
      </c>
      <c r="N3" s="61" t="inlineStr">
        <is>
          <t>酵母酒原浓</t>
        </is>
      </c>
      <c r="O3" s="61" t="inlineStr">
        <is>
          <t>酵母酒铁</t>
        </is>
      </c>
    </row>
    <row r="4" customFormat="1" s="53">
      <c r="A4" s="217" t="n"/>
      <c r="B4" s="217" t="n"/>
      <c r="C4" s="217" t="n"/>
      <c r="D4" s="217" t="n"/>
      <c r="E4" s="217" t="n"/>
      <c r="F4" s="217" t="n"/>
      <c r="G4" s="217" t="n"/>
      <c r="H4" s="76" t="inlineStr">
        <is>
          <t>Global</t>
        </is>
      </c>
      <c r="I4" s="61" t="n"/>
      <c r="J4" s="61" t="n"/>
      <c r="K4" s="61" t="n"/>
      <c r="L4" s="61" t="n"/>
      <c r="M4" s="61" t="n"/>
      <c r="N4" s="61" t="n"/>
      <c r="O4" s="61" t="n"/>
    </row>
    <row r="5" hidden="1" s="241">
      <c r="A5" s="217" t="n"/>
      <c r="B5" s="217" t="n"/>
      <c r="C5" s="217" t="n"/>
      <c r="D5" s="217" t="n"/>
      <c r="E5" s="217" t="n"/>
      <c r="F5" s="217" t="n"/>
      <c r="G5" s="217" t="n"/>
      <c r="H5" s="76" t="inlineStr">
        <is>
          <t>DF 编码</t>
        </is>
      </c>
      <c r="I5" s="66" t="n"/>
      <c r="J5" s="66" t="inlineStr">
        <is>
          <t>QA-05154</t>
        </is>
      </c>
      <c r="K5" s="64" t="inlineStr">
        <is>
          <t>QA-05153</t>
        </is>
      </c>
      <c r="L5" s="66" t="n"/>
      <c r="M5" s="64" t="n"/>
      <c r="N5" s="64" t="n"/>
      <c r="O5" s="64" t="n"/>
    </row>
    <row r="6" hidden="1" ht="105" customHeight="1" s="241">
      <c r="A6" s="217" t="n"/>
      <c r="B6" s="217" t="n"/>
      <c r="C6" s="217" t="n"/>
      <c r="D6" s="217" t="n"/>
      <c r="E6" s="217" t="n"/>
      <c r="F6" s="217" t="n"/>
      <c r="G6" s="217" t="n"/>
      <c r="H6" s="220" t="inlineStr">
        <is>
          <t>DF中文</t>
        </is>
      </c>
      <c r="I6" s="100" t="n"/>
      <c r="J6" s="100" t="inlineStr">
        <is>
          <t>pH_错流回收酒_错流酒液存储_酿造_错流工序_回收酒罐</t>
        </is>
      </c>
      <c r="K6" s="100" t="inlineStr">
        <is>
          <t>浊度_错流回收酒_错流酒液存储_酿造_错流工序_回收酒罐</t>
        </is>
      </c>
      <c r="L6" s="100" t="n"/>
      <c r="M6" s="100" t="n"/>
      <c r="N6" s="100" t="n"/>
      <c r="O6" s="100" t="n"/>
    </row>
    <row r="7">
      <c r="A7" s="217" t="n"/>
      <c r="B7" s="217" t="n"/>
      <c r="C7" s="217" t="n"/>
      <c r="D7" s="217" t="n"/>
      <c r="E7" s="217" t="n"/>
      <c r="F7" s="217" t="n"/>
      <c r="G7" s="217" t="n"/>
      <c r="H7" s="220" t="inlineStr">
        <is>
          <t>数据源</t>
        </is>
      </c>
      <c r="I7" s="64" t="inlineStr">
        <is>
          <t>手动</t>
        </is>
      </c>
      <c r="J7" s="64" t="inlineStr">
        <is>
          <t>LIMS</t>
        </is>
      </c>
      <c r="K7" s="64" t="inlineStr">
        <is>
          <t>LIMS</t>
        </is>
      </c>
      <c r="L7" s="64" t="inlineStr">
        <is>
          <t>LIMS</t>
        </is>
      </c>
      <c r="M7" s="64" t="inlineStr">
        <is>
          <t>LIMS</t>
        </is>
      </c>
      <c r="N7" s="64" t="inlineStr">
        <is>
          <t>LIMS</t>
        </is>
      </c>
      <c r="O7" s="64" t="inlineStr">
        <is>
          <t>LIMS</t>
        </is>
      </c>
    </row>
    <row r="8" ht="24" customHeight="1" s="241">
      <c r="A8" s="217" t="n"/>
      <c r="B8" s="217" t="n"/>
      <c r="C8" s="217" t="n"/>
      <c r="D8" s="217" t="n"/>
      <c r="E8" s="217" t="n"/>
      <c r="F8" s="217" t="n"/>
      <c r="G8" s="217" t="n"/>
      <c r="H8" s="221" t="inlineStr">
        <is>
          <t>是否Sensory PI展示</t>
        </is>
      </c>
      <c r="I8" s="64" t="n"/>
      <c r="J8" s="64" t="n"/>
      <c r="K8" s="64" t="n"/>
      <c r="L8" s="64" t="n"/>
      <c r="M8" s="64" t="n"/>
      <c r="N8" s="64" t="n"/>
      <c r="O8" s="64" t="n"/>
    </row>
    <row r="9">
      <c r="A9" s="217" t="n"/>
      <c r="B9" s="217" t="n"/>
      <c r="C9" s="217" t="n"/>
      <c r="D9" s="217" t="n"/>
      <c r="E9" s="217" t="n"/>
      <c r="F9" s="217" t="n"/>
      <c r="G9" s="217" t="n"/>
      <c r="H9" s="221" t="inlineStr">
        <is>
          <t>是否为Key PI</t>
        </is>
      </c>
      <c r="I9" s="64" t="n"/>
      <c r="J9" s="64" t="n"/>
      <c r="K9" s="64" t="n"/>
      <c r="L9" s="64" t="n"/>
      <c r="M9" s="64" t="n"/>
      <c r="N9" s="64" t="n"/>
      <c r="O9" s="64" t="n"/>
    </row>
    <row r="10" ht="30" customHeight="1" s="241">
      <c r="A10" s="217" t="n"/>
      <c r="B10" s="217" t="n"/>
      <c r="C10" s="217" t="n"/>
      <c r="D10" s="217" t="n"/>
      <c r="E10" s="217" t="n"/>
      <c r="F10" s="217" t="n"/>
      <c r="G10" s="217" t="n"/>
      <c r="H10" s="220" t="inlineStr">
        <is>
          <t>是否点图展示</t>
        </is>
      </c>
      <c r="I10" s="64" t="n"/>
      <c r="J10" s="64" t="inlineStr">
        <is>
          <t>Y</t>
        </is>
      </c>
      <c r="K10" s="64" t="inlineStr">
        <is>
          <t>Y</t>
        </is>
      </c>
      <c r="L10" s="64" t="inlineStr">
        <is>
          <t>Y</t>
        </is>
      </c>
      <c r="M10" s="64" t="n"/>
      <c r="N10" s="64" t="n"/>
      <c r="O10" s="64" t="n"/>
    </row>
    <row r="11">
      <c r="A11" s="218" t="n"/>
      <c r="B11" s="218" t="n"/>
      <c r="C11" s="218" t="n"/>
      <c r="D11" s="218" t="n"/>
      <c r="E11" s="218" t="n"/>
      <c r="F11" s="218" t="n"/>
      <c r="G11" s="218" t="n"/>
      <c r="H11" s="76" t="inlineStr">
        <is>
          <t>Unit</t>
        </is>
      </c>
      <c r="I11" s="70" t="inlineStr">
        <is>
          <t>°C</t>
        </is>
      </c>
      <c r="J11" s="70" t="n"/>
      <c r="K11" s="70" t="inlineStr">
        <is>
          <t>EBC</t>
        </is>
      </c>
      <c r="L11" s="70" t="inlineStr">
        <is>
          <t>g/100ml</t>
        </is>
      </c>
      <c r="M11" s="70" t="inlineStr">
        <is>
          <t>ppb</t>
        </is>
      </c>
      <c r="N11" s="70" t="inlineStr">
        <is>
          <t>Plato</t>
        </is>
      </c>
      <c r="O11" s="70" t="inlineStr">
        <is>
          <t>ppb</t>
        </is>
      </c>
    </row>
    <row r="12">
      <c r="F12" s="73" t="n"/>
      <c r="G12" s="74" t="n"/>
    </row>
    <row r="13">
      <c r="F13" s="73" t="n"/>
      <c r="G13" s="74" t="n"/>
    </row>
    <row r="14">
      <c r="F14" s="73" t="n"/>
      <c r="G14" s="74" t="n"/>
    </row>
    <row r="15">
      <c r="F15" s="73" t="n"/>
      <c r="G15" s="74" t="n"/>
    </row>
    <row r="16">
      <c r="F16" s="73" t="n"/>
      <c r="G16" s="74" t="n"/>
    </row>
    <row r="17">
      <c r="F17" s="73" t="n"/>
      <c r="G17" s="74" t="n"/>
    </row>
    <row r="18">
      <c r="F18" s="73" t="n"/>
      <c r="G18" s="74" t="n"/>
    </row>
  </sheetData>
  <mergeCells count="8">
    <mergeCell ref="I1:O1"/>
    <mergeCell ref="C1:C11"/>
    <mergeCell ref="B1:B11"/>
    <mergeCell ref="G1:G11"/>
    <mergeCell ref="E1:E11"/>
    <mergeCell ref="A1:A11"/>
    <mergeCell ref="D1:D11"/>
    <mergeCell ref="F1:F11"/>
  </mergeCells>
  <conditionalFormatting sqref="I10:O10">
    <cfRule type="cellIs" priority="3" operator="equal" dxfId="4">
      <formula>"N"</formula>
    </cfRule>
    <cfRule type="cellIs" priority="4" operator="equal" dxfId="0">
      <formula>"Y"</formula>
    </cfRule>
  </conditionalFormatting>
  <dataValidations count="2">
    <dataValidation sqref="I10:O10" showDropDown="0" showInputMessage="1" showErrorMessage="1" allowBlank="1" type="list">
      <formula1>"Y,N"</formula1>
    </dataValidation>
    <dataValidation sqref="F12:F1048576" showDropDown="0" showInputMessage="1" showErrorMessage="1" allowBlank="1" type="list">
      <formula1>"MCS,Test,Propagation"</formula1>
    </dataValidation>
  </dataValidation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V18"/>
  <sheetViews>
    <sheetView topLeftCell="G1" workbookViewId="0">
      <selection activeCell="G12" sqref="G12"/>
    </sheetView>
  </sheetViews>
  <sheetFormatPr baseColWidth="8" defaultColWidth="9" defaultRowHeight="15"/>
  <cols>
    <col width="10.85546875" customWidth="1" style="241" min="1" max="1"/>
    <col width="15.42578125" customWidth="1" style="54" min="2" max="2"/>
    <col width="11.85546875" customWidth="1" style="241" min="3" max="6"/>
    <col width="10.42578125" customWidth="1" style="241" min="7" max="7"/>
    <col width="9.42578125" customWidth="1" style="241" min="8" max="8"/>
    <col width="8" customWidth="1" style="55" min="9" max="9"/>
    <col width="8.28515625" customWidth="1" style="55" min="10" max="10"/>
    <col width="13.140625" customWidth="1" style="42" min="11" max="11"/>
    <col width="10.42578125" customWidth="1" style="42" min="12" max="12"/>
    <col width="11.42578125" customWidth="1" style="42" min="13" max="13"/>
    <col width="12.42578125" customWidth="1" style="241" min="14" max="14"/>
    <col width="10.42578125" customWidth="1" style="241" min="15" max="15"/>
    <col width="10.42578125" customWidth="1" style="42" min="16" max="16"/>
    <col width="10.42578125" customWidth="1" style="241" min="17" max="19"/>
    <col width="12.42578125" customWidth="1" style="241" min="20" max="22"/>
  </cols>
  <sheetData>
    <row r="1">
      <c r="A1" s="220" t="inlineStr">
        <is>
          <t>Brewery</t>
        </is>
      </c>
      <c r="B1" s="247" t="inlineStr">
        <is>
          <t>Centrifuge Start Date</t>
        </is>
      </c>
      <c r="C1" s="220" t="inlineStr">
        <is>
          <t>Brand</t>
        </is>
      </c>
      <c r="D1" s="220" t="inlineStr">
        <is>
          <t>OG Standard</t>
        </is>
      </c>
      <c r="E1" s="220" t="inlineStr">
        <is>
          <t>Centrifuge Line</t>
        </is>
      </c>
      <c r="F1" s="220" t="inlineStr">
        <is>
          <t>Batch No.</t>
        </is>
      </c>
      <c r="G1" s="220" t="inlineStr">
        <is>
          <t>From Tank No.</t>
        </is>
      </c>
      <c r="H1" s="220" t="inlineStr">
        <is>
          <t>BBT No.</t>
        </is>
      </c>
      <c r="I1" s="216" t="inlineStr">
        <is>
          <t>Batch Production Type</t>
        </is>
      </c>
      <c r="J1" s="216" t="inlineStr">
        <is>
          <t>Batch Production Month</t>
        </is>
      </c>
      <c r="K1" s="75" t="inlineStr">
        <is>
          <t>Process</t>
        </is>
      </c>
      <c r="L1" s="255" t="inlineStr">
        <is>
          <t>Centrifuge</t>
        </is>
      </c>
      <c r="M1" s="237" t="n"/>
      <c r="N1" s="237" t="n"/>
      <c r="O1" s="237" t="n"/>
      <c r="P1" s="237" t="n"/>
      <c r="Q1" s="237" t="n"/>
      <c r="R1" s="237" t="n"/>
      <c r="S1" s="259" t="inlineStr">
        <is>
          <t>Chilling</t>
        </is>
      </c>
      <c r="T1" s="237" t="n"/>
      <c r="U1" s="237" t="n"/>
      <c r="V1" s="237" t="n"/>
    </row>
    <row r="2" ht="38.25" customFormat="1" customHeight="1" s="53">
      <c r="A2" s="217" t="n"/>
      <c r="B2" s="217" t="n"/>
      <c r="C2" s="217" t="n"/>
      <c r="D2" s="217" t="n"/>
      <c r="E2" s="217" t="n"/>
      <c r="F2" s="217" t="n"/>
      <c r="G2" s="217" t="n"/>
      <c r="H2" s="217" t="n"/>
      <c r="I2" s="217" t="n"/>
      <c r="J2" s="217" t="n"/>
      <c r="K2" s="76" t="inlineStr">
        <is>
          <t>参数中文名</t>
        </is>
      </c>
      <c r="L2" s="223" t="inlineStr">
        <is>
          <t>Int. inlet DO</t>
        </is>
      </c>
      <c r="M2" s="60" t="inlineStr">
        <is>
          <t>DO - Peak Transfer</t>
        </is>
      </c>
      <c r="N2" s="223" t="inlineStr">
        <is>
          <t>Int. outlet DO</t>
        </is>
      </c>
      <c r="O2" s="60" t="inlineStr">
        <is>
          <t>DO Pick up</t>
        </is>
      </c>
      <c r="P2" s="60" t="inlineStr">
        <is>
          <t>Inlet Turbidity</t>
        </is>
      </c>
      <c r="Q2" s="60" t="inlineStr">
        <is>
          <t>Outlet Turbidity</t>
        </is>
      </c>
      <c r="R2" s="60" t="inlineStr">
        <is>
          <t>Outlet YCC</t>
        </is>
      </c>
      <c r="S2" s="60" t="inlineStr">
        <is>
          <t>Pre Chiller Temperature</t>
        </is>
      </c>
      <c r="T2" s="60" t="inlineStr">
        <is>
          <t>Pre Chiller Highest Temp</t>
        </is>
      </c>
      <c r="U2" s="60" t="inlineStr">
        <is>
          <t>Post Chiller Temp</t>
        </is>
      </c>
      <c r="V2" s="60" t="inlineStr">
        <is>
          <t>Post Chiller Highest Temp</t>
        </is>
      </c>
    </row>
    <row r="3" ht="51" customFormat="1" customHeight="1" s="53">
      <c r="A3" s="217" t="n"/>
      <c r="B3" s="217" t="n"/>
      <c r="C3" s="217" t="n"/>
      <c r="D3" s="217" t="n"/>
      <c r="E3" s="217" t="n"/>
      <c r="F3" s="217" t="n"/>
      <c r="G3" s="217" t="n"/>
      <c r="H3" s="217" t="n"/>
      <c r="I3" s="217" t="n"/>
      <c r="J3" s="217" t="n"/>
      <c r="K3" s="76" t="inlineStr">
        <is>
          <t>参数英文名</t>
        </is>
      </c>
      <c r="L3" s="99" t="inlineStr">
        <is>
          <t>离心进口加权DO</t>
        </is>
      </c>
      <c r="M3" s="61" t="inlineStr">
        <is>
          <t>离心出口DO（最大值）</t>
        </is>
      </c>
      <c r="N3" s="99" t="inlineStr">
        <is>
          <t>离心出口加权DO</t>
        </is>
      </c>
      <c r="O3" s="61" t="inlineStr">
        <is>
          <t>离心增氧（平均值）</t>
        </is>
      </c>
      <c r="P3" s="61" t="inlineStr">
        <is>
          <t>离心入口
浊度</t>
        </is>
      </c>
      <c r="Q3" s="61" t="inlineStr">
        <is>
          <t>离心出口
浊度</t>
        </is>
      </c>
      <c r="R3" s="61" t="inlineStr">
        <is>
          <t>离心出口
YCC</t>
        </is>
      </c>
      <c r="S3" s="61" t="inlineStr">
        <is>
          <t>激冷薄板进口温度
（平均值）</t>
        </is>
      </c>
      <c r="T3" s="61" t="inlineStr">
        <is>
          <t>激冷薄板进口
温度
（最大值）</t>
        </is>
      </c>
      <c r="U3" s="61" t="inlineStr">
        <is>
          <t>激冷薄板出口
温度
（平均值）</t>
        </is>
      </c>
      <c r="V3" s="61" t="inlineStr">
        <is>
          <t>激冷薄板出口
温度
（最大值）</t>
        </is>
      </c>
    </row>
    <row r="4" ht="51" customFormat="1" customHeight="1" s="53">
      <c r="A4" s="217" t="n"/>
      <c r="B4" s="217" t="n"/>
      <c r="C4" s="217" t="n"/>
      <c r="D4" s="217" t="n"/>
      <c r="E4" s="217" t="n"/>
      <c r="F4" s="217" t="n"/>
      <c r="G4" s="217" t="n"/>
      <c r="H4" s="217" t="n"/>
      <c r="I4" s="217" t="n"/>
      <c r="J4" s="217" t="n"/>
      <c r="K4" s="76" t="inlineStr">
        <is>
          <t>Global</t>
        </is>
      </c>
      <c r="L4" s="223" t="n"/>
      <c r="M4" s="60" t="inlineStr">
        <is>
          <t>Dissolved Oxygen - Peak Transfer</t>
        </is>
      </c>
      <c r="N4" s="223" t="inlineStr">
        <is>
          <t>Int. Dissolved Oxygen - Transfer</t>
        </is>
      </c>
      <c r="O4" s="60" t="n"/>
      <c r="P4" s="60" t="n"/>
      <c r="Q4" s="60" t="inlineStr">
        <is>
          <t>Outlet Turbidity</t>
        </is>
      </c>
      <c r="R4" s="60" t="inlineStr">
        <is>
          <t>Cells in suspension Outlet</t>
        </is>
      </c>
      <c r="S4" s="60" t="inlineStr">
        <is>
          <t>Pre Chiller Temperature</t>
        </is>
      </c>
      <c r="T4" s="60" t="n"/>
      <c r="U4" s="60" t="inlineStr">
        <is>
          <t>Post Chiller Temperature</t>
        </is>
      </c>
      <c r="V4" s="60" t="n"/>
    </row>
    <row r="5" hidden="1" customFormat="1" s="53">
      <c r="A5" s="217" t="n"/>
      <c r="B5" s="217" t="n"/>
      <c r="C5" s="217" t="n"/>
      <c r="D5" s="217" t="n"/>
      <c r="E5" s="217" t="n"/>
      <c r="F5" s="217" t="n"/>
      <c r="G5" s="217" t="n"/>
      <c r="H5" s="217" t="n"/>
      <c r="I5" s="217" t="n"/>
      <c r="J5" s="217" t="n"/>
      <c r="K5" s="76" t="inlineStr">
        <is>
          <t>DF代码</t>
        </is>
      </c>
      <c r="L5" s="77" t="inlineStr">
        <is>
          <t>BR-60070</t>
        </is>
      </c>
      <c r="M5" s="64" t="inlineStr">
        <is>
          <t>BR-60099</t>
        </is>
      </c>
      <c r="N5" s="77" t="inlineStr">
        <is>
          <t>BR-60075</t>
        </is>
      </c>
      <c r="O5" s="64" t="inlineStr">
        <is>
          <t>BR-60100</t>
        </is>
      </c>
      <c r="P5" s="64" t="inlineStr">
        <is>
          <t>BR-60069</t>
        </is>
      </c>
      <c r="Q5" s="64" t="inlineStr">
        <is>
          <t>BR-60074</t>
        </is>
      </c>
      <c r="R5" s="64" t="inlineStr">
        <is>
          <t>QA-05245</t>
        </is>
      </c>
      <c r="S5" s="64" t="inlineStr">
        <is>
          <t>BR-60043</t>
        </is>
      </c>
      <c r="T5" s="64" t="inlineStr">
        <is>
          <t>BR-60101</t>
        </is>
      </c>
      <c r="U5" s="64" t="inlineStr">
        <is>
          <t>BR-60092</t>
        </is>
      </c>
      <c r="V5" s="64" t="inlineStr">
        <is>
          <t>BR-60102</t>
        </is>
      </c>
    </row>
    <row r="6" hidden="1" ht="135" customFormat="1" customHeight="1" s="53">
      <c r="A6" s="217" t="n"/>
      <c r="B6" s="217" t="n"/>
      <c r="C6" s="217" t="n"/>
      <c r="D6" s="217" t="n"/>
      <c r="E6" s="217" t="n"/>
      <c r="F6" s="217" t="n"/>
      <c r="G6" s="217" t="n"/>
      <c r="H6" s="217" t="n"/>
      <c r="I6" s="217" t="n"/>
      <c r="J6" s="217" t="n"/>
      <c r="K6" s="220" t="inlineStr">
        <is>
          <t>DF中文</t>
        </is>
      </c>
      <c r="L6" s="77" t="inlineStr">
        <is>
          <t>离心进口酒平均DO_嫩啤酒出罐在线分析(每小时监控)_酿造_过滤_离心机</t>
        </is>
      </c>
      <c r="M6" s="64" t="inlineStr">
        <is>
          <t>离心出口酒液最高DO_嫩啤酒出罐在线分析(每小时监控)_酿造_过滤_离心机</t>
        </is>
      </c>
      <c r="N6" s="77" t="inlineStr">
        <is>
          <t>离心出口酒液平均DO_嫩啤酒出罐在线分析(每小时监控)_酿造_过滤_离心机</t>
        </is>
      </c>
      <c r="O6" s="64" t="inlineStr">
        <is>
          <t>离心酒液平均增DO_嫩啤酒出罐在线分析(每小时监控)_酿造_过滤_离心机</t>
        </is>
      </c>
      <c r="P6" s="64" t="inlineStr">
        <is>
          <t>离心进口酒液平均浊度_嫩啤酒出罐在线分析(每小时监控)_酿造_过滤_离心机</t>
        </is>
      </c>
      <c r="Q6" s="64" t="inlineStr">
        <is>
          <t>离心出口酒液平均浊度_嫩啤酒出罐在线分析(每小时监控)_酿造_过滤_离心机</t>
        </is>
      </c>
      <c r="R6" s="64" t="inlineStr">
        <is>
          <t>YCC_离心机出口酒液_嫩啤酒冷储_酿造_过滤_离心机</t>
        </is>
      </c>
      <c r="S6" s="64" t="inlineStr">
        <is>
          <t>前冷却出口酒液平均温度_嫩啤酒前冷却(每小时监控)_酿造_过滤_啤酒冷却系统</t>
        </is>
      </c>
      <c r="T6" s="64" t="inlineStr">
        <is>
          <t>前冷却出口酒液最高温度_嫩啤酒前冷却（每小时监控）_酿造_过滤_啤酒冷却系统</t>
        </is>
      </c>
      <c r="U6" s="64" t="inlineStr">
        <is>
          <t>后冷却出口酒液平均温度_嫩啤酒后冷却(每小时监控)_酿造_过滤_啤酒冷却系统</t>
        </is>
      </c>
      <c r="V6" s="64" t="inlineStr">
        <is>
          <t>后冷却出口酒液最高温度_嫩啤酒后冷却（每小时监控）_酿造_过滤_啤酒冷却系统</t>
        </is>
      </c>
    </row>
    <row r="7" customFormat="1" s="53">
      <c r="A7" s="217" t="n"/>
      <c r="B7" s="217" t="n"/>
      <c r="C7" s="217" t="n"/>
      <c r="D7" s="217" t="n"/>
      <c r="E7" s="217" t="n"/>
      <c r="F7" s="217" t="n"/>
      <c r="G7" s="217" t="n"/>
      <c r="H7" s="217" t="n"/>
      <c r="I7" s="217" t="n"/>
      <c r="J7" s="217" t="n"/>
      <c r="K7" s="220" t="inlineStr">
        <is>
          <t>数据源</t>
        </is>
      </c>
      <c r="L7" s="77" t="inlineStr">
        <is>
          <t>DF</t>
        </is>
      </c>
      <c r="M7" s="64" t="inlineStr">
        <is>
          <t>DF</t>
        </is>
      </c>
      <c r="N7" s="77" t="inlineStr">
        <is>
          <t>DF</t>
        </is>
      </c>
      <c r="O7" s="64" t="inlineStr">
        <is>
          <t>DF</t>
        </is>
      </c>
      <c r="P7" s="64" t="inlineStr">
        <is>
          <t>DF</t>
        </is>
      </c>
      <c r="Q7" s="64" t="inlineStr">
        <is>
          <t>DF</t>
        </is>
      </c>
      <c r="R7" s="64" t="inlineStr">
        <is>
          <t>手动</t>
        </is>
      </c>
      <c r="S7" s="64" t="inlineStr">
        <is>
          <t>DF</t>
        </is>
      </c>
      <c r="T7" s="64" t="inlineStr">
        <is>
          <t>DF</t>
        </is>
      </c>
      <c r="U7" s="64" t="inlineStr">
        <is>
          <t>DF</t>
        </is>
      </c>
      <c r="V7" s="64" t="inlineStr">
        <is>
          <t>DF</t>
        </is>
      </c>
    </row>
    <row r="8" ht="24" customFormat="1" customHeight="1" s="53">
      <c r="A8" s="217" t="n"/>
      <c r="B8" s="217" t="n"/>
      <c r="C8" s="217" t="n"/>
      <c r="D8" s="217" t="n"/>
      <c r="E8" s="217" t="n"/>
      <c r="F8" s="217" t="n"/>
      <c r="G8" s="217" t="n"/>
      <c r="H8" s="217" t="n"/>
      <c r="I8" s="217" t="n"/>
      <c r="J8" s="217" t="n"/>
      <c r="K8" s="221" t="inlineStr">
        <is>
          <t>是否Sensory PI展示</t>
        </is>
      </c>
      <c r="L8" s="77" t="n"/>
      <c r="M8" s="64" t="n"/>
      <c r="N8" s="77" t="inlineStr">
        <is>
          <t>Y</t>
        </is>
      </c>
      <c r="O8" s="64" t="n"/>
      <c r="P8" s="64" t="n"/>
      <c r="Q8" s="64" t="n"/>
      <c r="R8" s="64" t="n"/>
      <c r="S8" s="64" t="n"/>
      <c r="T8" s="64" t="n"/>
      <c r="U8" s="64" t="inlineStr">
        <is>
          <t>Y</t>
        </is>
      </c>
      <c r="V8" s="64" t="n"/>
    </row>
    <row r="9" customFormat="1" s="53">
      <c r="A9" s="217" t="n"/>
      <c r="B9" s="217" t="n"/>
      <c r="C9" s="217" t="n"/>
      <c r="D9" s="217" t="n"/>
      <c r="E9" s="217" t="n"/>
      <c r="F9" s="217" t="n"/>
      <c r="G9" s="217" t="n"/>
      <c r="H9" s="217" t="n"/>
      <c r="I9" s="217" t="n"/>
      <c r="J9" s="217" t="n"/>
      <c r="K9" s="221" t="inlineStr">
        <is>
          <t>是否为Key PI</t>
        </is>
      </c>
      <c r="L9" s="77" t="n"/>
      <c r="M9" s="64" t="n"/>
      <c r="N9" s="77" t="n"/>
      <c r="O9" s="64" t="n"/>
      <c r="P9" s="64" t="n"/>
      <c r="Q9" s="64" t="n"/>
      <c r="R9" s="64" t="n"/>
      <c r="S9" s="64" t="n"/>
      <c r="T9" s="64" t="n"/>
      <c r="U9" s="64" t="n"/>
      <c r="V9" s="64" t="n"/>
    </row>
    <row r="10" ht="30" customHeight="1" s="241">
      <c r="A10" s="217" t="n"/>
      <c r="B10" s="217" t="n"/>
      <c r="C10" s="217" t="n"/>
      <c r="D10" s="217" t="n"/>
      <c r="E10" s="217" t="n"/>
      <c r="F10" s="217" t="n"/>
      <c r="G10" s="217" t="n"/>
      <c r="H10" s="217" t="n"/>
      <c r="I10" s="217" t="n"/>
      <c r="J10" s="217" t="n"/>
      <c r="K10" s="220" t="inlineStr">
        <is>
          <t>是否点图展示</t>
        </is>
      </c>
      <c r="L10" s="77" t="n"/>
      <c r="M10" s="64" t="n"/>
      <c r="N10" s="77" t="inlineStr">
        <is>
          <t>Y</t>
        </is>
      </c>
      <c r="O10" s="64" t="inlineStr">
        <is>
          <t>Y</t>
        </is>
      </c>
      <c r="P10" s="64" t="n"/>
      <c r="Q10" s="64" t="n"/>
      <c r="R10" s="64" t="inlineStr">
        <is>
          <t>Y</t>
        </is>
      </c>
      <c r="S10" s="64" t="n"/>
      <c r="T10" s="64" t="n"/>
      <c r="U10" s="64" t="inlineStr">
        <is>
          <t>Y</t>
        </is>
      </c>
      <c r="V10" s="64" t="inlineStr">
        <is>
          <t>Y</t>
        </is>
      </c>
    </row>
    <row r="11">
      <c r="A11" s="218" t="n"/>
      <c r="B11" s="218" t="n"/>
      <c r="C11" s="218" t="n"/>
      <c r="D11" s="218" t="n"/>
      <c r="E11" s="218" t="n"/>
      <c r="F11" s="218" t="n"/>
      <c r="G11" s="218" t="n"/>
      <c r="H11" s="218" t="n"/>
      <c r="I11" s="218" t="n"/>
      <c r="J11" s="218" t="n"/>
      <c r="K11" s="76" t="inlineStr">
        <is>
          <t>Unit</t>
        </is>
      </c>
      <c r="L11" s="223" t="inlineStr">
        <is>
          <t>ppb</t>
        </is>
      </c>
      <c r="M11" s="69" t="inlineStr">
        <is>
          <t>ppb</t>
        </is>
      </c>
      <c r="N11" s="223" t="inlineStr">
        <is>
          <t>ppb</t>
        </is>
      </c>
      <c r="O11" s="69" t="inlineStr">
        <is>
          <t>ppb</t>
        </is>
      </c>
      <c r="P11" s="69" t="inlineStr">
        <is>
          <t>EBC</t>
        </is>
      </c>
      <c r="Q11" s="69" t="inlineStr">
        <is>
          <t>EBC</t>
        </is>
      </c>
      <c r="R11" s="69" t="inlineStr">
        <is>
          <t>MM/ml</t>
        </is>
      </c>
      <c r="S11" s="69" t="inlineStr">
        <is>
          <t>°C</t>
        </is>
      </c>
      <c r="T11" s="69" t="inlineStr">
        <is>
          <t>°C</t>
        </is>
      </c>
      <c r="U11" s="69" t="inlineStr">
        <is>
          <t>°C</t>
        </is>
      </c>
      <c r="V11" s="69" t="inlineStr">
        <is>
          <t>°C</t>
        </is>
      </c>
    </row>
    <row r="12">
      <c r="I12" s="73" t="n"/>
      <c r="J12" s="74" t="n"/>
    </row>
    <row r="13">
      <c r="I13" s="73" t="n"/>
      <c r="J13" s="74" t="n"/>
    </row>
    <row r="14">
      <c r="I14" s="73" t="n"/>
      <c r="J14" s="74" t="n"/>
    </row>
    <row r="15">
      <c r="I15" s="73" t="n"/>
      <c r="J15" s="74" t="n"/>
    </row>
    <row r="16">
      <c r="I16" s="73" t="n"/>
      <c r="J16" s="74" t="n"/>
    </row>
    <row r="17">
      <c r="I17" s="73" t="n"/>
      <c r="J17" s="74" t="n"/>
    </row>
    <row r="18">
      <c r="I18" s="73" t="n"/>
      <c r="J18" s="74" t="n"/>
    </row>
  </sheetData>
  <mergeCells count="12">
    <mergeCell ref="C1:C11"/>
    <mergeCell ref="B1:B11"/>
    <mergeCell ref="G1:G11"/>
    <mergeCell ref="E1:E11"/>
    <mergeCell ref="F1:F11"/>
    <mergeCell ref="H1:H11"/>
    <mergeCell ref="I1:I11"/>
    <mergeCell ref="J1:J11"/>
    <mergeCell ref="S1:V1"/>
    <mergeCell ref="A1:A11"/>
    <mergeCell ref="D1:D11"/>
    <mergeCell ref="L1:R1"/>
  </mergeCells>
  <conditionalFormatting sqref="L10:V10">
    <cfRule type="cellIs" priority="7" operator="equal" dxfId="4">
      <formula>"N"</formula>
    </cfRule>
    <cfRule type="cellIs" priority="8" operator="equal" dxfId="0">
      <formula>"Y"</formula>
    </cfRule>
  </conditionalFormatting>
  <conditionalFormatting sqref="N8">
    <cfRule type="cellIs" priority="1" operator="equal" dxfId="4">
      <formula>"N"</formula>
    </cfRule>
    <cfRule type="cellIs" priority="2" operator="equal" dxfId="0">
      <formula>"Y"</formula>
    </cfRule>
  </conditionalFormatting>
  <conditionalFormatting sqref="U8">
    <cfRule type="cellIs" priority="3" operator="equal" dxfId="4">
      <formula>"N"</formula>
    </cfRule>
    <cfRule type="cellIs" priority="4" operator="equal" dxfId="0">
      <formula>"Y"</formula>
    </cfRule>
  </conditionalFormatting>
  <dataValidations count="2">
    <dataValidation sqref="L10:V10 N8 U8" showDropDown="0" showInputMessage="1" showErrorMessage="1" allowBlank="1" type="list">
      <formula1>"Y,N"</formula1>
    </dataValidation>
    <dataValidation sqref="I12:I1048576" showDropDown="0" showInputMessage="1" showErrorMessage="1" allowBlank="1" type="list">
      <formula1>"MCS,Test,Propagation"</formula1>
    </dataValidation>
  </dataValidation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W18"/>
  <sheetViews>
    <sheetView workbookViewId="0">
      <pane xSplit="10" ySplit="11" topLeftCell="K12" activePane="bottomRight" state="frozen"/>
      <selection pane="topRight" activeCell="A1" sqref="A1"/>
      <selection pane="bottomLeft" activeCell="A1" sqref="A1"/>
      <selection pane="bottomRight" activeCell="A12" sqref="A12"/>
    </sheetView>
  </sheetViews>
  <sheetFormatPr baseColWidth="8" defaultColWidth="8.85546875" defaultRowHeight="12"/>
  <cols>
    <col width="11.42578125" customWidth="1" style="21" min="1" max="1"/>
    <col width="11.42578125" customWidth="1" style="55" min="2" max="2"/>
    <col width="8.42578125" customWidth="1" style="21" min="3" max="4"/>
    <col width="11.85546875" customWidth="1" style="21" min="5" max="5"/>
    <col width="8.140625" customWidth="1" style="21" min="6" max="6"/>
    <col width="6.85546875" customWidth="1" style="21" min="7" max="7"/>
    <col width="8" customWidth="1" style="55" min="8" max="8"/>
    <col width="8.28515625" customWidth="1" style="55" min="9" max="9"/>
    <col width="12.85546875" customWidth="1" style="20" min="10" max="10"/>
    <col width="10.42578125" customWidth="1" style="20" min="11" max="13"/>
    <col width="10.42578125" customWidth="1" style="21" min="14" max="20"/>
    <col width="8.85546875" customWidth="1" style="21" min="21" max="21"/>
    <col width="8.85546875" customWidth="1" style="21" min="22" max="16384"/>
  </cols>
  <sheetData>
    <row r="1" ht="15" customHeight="1" s="241">
      <c r="A1" s="221" t="inlineStr">
        <is>
          <t>Brewery</t>
        </is>
      </c>
      <c r="B1" s="216" t="inlineStr">
        <is>
          <t>Filtration Date</t>
        </is>
      </c>
      <c r="C1" s="221" t="inlineStr">
        <is>
          <t>Brand</t>
        </is>
      </c>
      <c r="D1" s="221" t="inlineStr">
        <is>
          <t>OG Standard</t>
        </is>
      </c>
      <c r="E1" s="221" t="inlineStr">
        <is>
          <t>Filtration Line</t>
        </is>
      </c>
      <c r="F1" s="221" t="inlineStr">
        <is>
          <t>From Tank No.</t>
        </is>
      </c>
      <c r="G1" s="221" t="inlineStr">
        <is>
          <t>BBT No.</t>
        </is>
      </c>
      <c r="H1" s="216" t="inlineStr">
        <is>
          <t>Batch Production Type</t>
        </is>
      </c>
      <c r="I1" s="216" t="inlineStr">
        <is>
          <t>Batch Production Month</t>
        </is>
      </c>
      <c r="J1" s="94" t="inlineStr">
        <is>
          <t>Process</t>
        </is>
      </c>
      <c r="K1" s="260" t="inlineStr">
        <is>
          <t>Filtration</t>
        </is>
      </c>
      <c r="L1" s="237" t="n"/>
      <c r="M1" s="237" t="n"/>
      <c r="N1" s="237" t="n"/>
      <c r="O1" s="237" t="n"/>
      <c r="P1" s="237" t="n"/>
      <c r="Q1" s="237" t="n"/>
      <c r="R1" s="237" t="n"/>
      <c r="S1" s="261" t="inlineStr">
        <is>
          <t>Stabilization</t>
        </is>
      </c>
      <c r="T1" s="237" t="n"/>
      <c r="U1" s="237" t="n"/>
      <c r="V1" s="237" t="n"/>
      <c r="W1" s="237" t="n"/>
    </row>
    <row r="2" ht="60" customFormat="1" customHeight="1" s="78">
      <c r="A2" s="217" t="n"/>
      <c r="B2" s="217" t="n"/>
      <c r="C2" s="217" t="n"/>
      <c r="D2" s="217" t="n"/>
      <c r="E2" s="217" t="n"/>
      <c r="F2" s="217" t="n"/>
      <c r="G2" s="217" t="n"/>
      <c r="H2" s="217" t="n"/>
      <c r="I2" s="217" t="n"/>
      <c r="J2" s="59" t="inlineStr">
        <is>
          <t>参数英文名</t>
        </is>
      </c>
      <c r="K2" s="60" t="inlineStr">
        <is>
          <t>Kieselguhr iron - fine</t>
        </is>
      </c>
      <c r="L2" s="60" t="inlineStr">
        <is>
          <t>Kieselguhr iron - medium</t>
        </is>
      </c>
      <c r="M2" s="80" t="inlineStr">
        <is>
          <t>DO  - Filtration Inlet</t>
        </is>
      </c>
      <c r="N2" s="80" t="inlineStr">
        <is>
          <t>Beer Temp – Filtration Inlet</t>
        </is>
      </c>
      <c r="O2" s="80" t="inlineStr">
        <is>
          <t>Beer Highest Temp – Filtration Inlet</t>
        </is>
      </c>
      <c r="P2" s="80" t="inlineStr">
        <is>
          <t>Start-up Peak D.O.</t>
        </is>
      </c>
      <c r="Q2" s="80" t="inlineStr">
        <is>
          <t>Start-up DO</t>
        </is>
      </c>
      <c r="R2" s="80" t="inlineStr">
        <is>
          <t>Haze @ 90°</t>
        </is>
      </c>
      <c r="S2" s="80" t="inlineStr">
        <is>
          <t>Re-PVPP Dosage Rate</t>
        </is>
      </c>
      <c r="T2" s="80" t="inlineStr">
        <is>
          <t>One-way PVPP Dosage Rate</t>
        </is>
      </c>
      <c r="U2" s="80" t="inlineStr">
        <is>
          <t>Re-PVPP Concentration</t>
        </is>
      </c>
      <c r="V2" s="80" t="inlineStr">
        <is>
          <t>Silica Hydrogel dosage</t>
        </is>
      </c>
      <c r="W2" s="80" t="inlineStr">
        <is>
          <t>Silica Hydrogel Contact Time</t>
        </is>
      </c>
    </row>
    <row r="3" ht="36" customFormat="1" customHeight="1" s="78">
      <c r="A3" s="217" t="n"/>
      <c r="B3" s="217" t="n"/>
      <c r="C3" s="217" t="n"/>
      <c r="D3" s="217" t="n"/>
      <c r="E3" s="217" t="n"/>
      <c r="F3" s="217" t="n"/>
      <c r="G3" s="217" t="n"/>
      <c r="H3" s="217" t="n"/>
      <c r="I3" s="217" t="n"/>
      <c r="J3" s="59" t="inlineStr">
        <is>
          <t>参数中文名</t>
        </is>
      </c>
      <c r="K3" s="61" t="inlineStr">
        <is>
          <t>硅藻土中铁 - 细土</t>
        </is>
      </c>
      <c r="L3" s="61" t="inlineStr">
        <is>
          <t>硅藻土中铁 - 中土</t>
        </is>
      </c>
      <c r="M3" s="82" t="inlineStr">
        <is>
          <t>过滤机进口
DO
（平均值）</t>
        </is>
      </c>
      <c r="N3" s="82" t="inlineStr">
        <is>
          <t>过滤机入口
温度
（平均值）</t>
        </is>
      </c>
      <c r="O3" s="82" t="inlineStr">
        <is>
          <t>过滤机入口
温度
（最大值）</t>
        </is>
      </c>
      <c r="P3" s="82" t="inlineStr">
        <is>
          <t>启动过滤最大DO</t>
        </is>
      </c>
      <c r="Q3" s="82" t="inlineStr">
        <is>
          <t>启动过滤DO</t>
        </is>
      </c>
      <c r="R3" s="82" t="inlineStr">
        <is>
          <t>过滤机出口浊度（平均值）</t>
        </is>
      </c>
      <c r="S3" s="82" t="inlineStr">
        <is>
          <t>再生PVPP
添加量</t>
        </is>
      </c>
      <c r="T3" s="82" t="inlineStr">
        <is>
          <t>一次性
PVPP
添加量</t>
        </is>
      </c>
      <c r="U3" s="82" t="inlineStr">
        <is>
          <t>再生PVPP
浓度</t>
        </is>
      </c>
      <c r="V3" s="82" t="inlineStr">
        <is>
          <t>硅胶添加量</t>
        </is>
      </c>
      <c r="W3" s="82" t="inlineStr">
        <is>
          <t>硅胶接触时间</t>
        </is>
      </c>
    </row>
    <row r="4" ht="72" customFormat="1" customHeight="1" s="78">
      <c r="A4" s="217" t="n"/>
      <c r="B4" s="217" t="n"/>
      <c r="C4" s="217" t="n"/>
      <c r="D4" s="217" t="n"/>
      <c r="E4" s="217" t="n"/>
      <c r="F4" s="217" t="n"/>
      <c r="G4" s="217" t="n"/>
      <c r="H4" s="217" t="n"/>
      <c r="I4" s="217" t="n"/>
      <c r="J4" s="59" t="inlineStr">
        <is>
          <t>Global</t>
        </is>
      </c>
      <c r="K4" s="80" t="n"/>
      <c r="L4" s="80" t="n"/>
      <c r="M4" s="80" t="inlineStr">
        <is>
          <t>Dissolved oxygen  - Filtration Inlet</t>
        </is>
      </c>
      <c r="N4" s="80" t="inlineStr">
        <is>
          <t>Beer Temperature – Immediately Prior to Filtration</t>
        </is>
      </c>
      <c r="O4" s="80" t="n"/>
      <c r="P4" s="80" t="inlineStr">
        <is>
          <t>Filter Start-up Peak D.O.</t>
        </is>
      </c>
      <c r="Q4" s="80" t="inlineStr">
        <is>
          <t>Filter Start-up DO</t>
        </is>
      </c>
      <c r="R4" s="80" t="inlineStr">
        <is>
          <t>Haze @ 90°</t>
        </is>
      </c>
      <c r="S4" s="80" t="inlineStr">
        <is>
          <t>Regenerable PVPP Dosage Rate</t>
        </is>
      </c>
      <c r="T4" s="80" t="inlineStr">
        <is>
          <t>One-way PVPP Dosage Rate</t>
        </is>
      </c>
      <c r="U4" s="80" t="n"/>
      <c r="V4" s="80" t="inlineStr">
        <is>
          <t>Silica Hydrogel dosage</t>
        </is>
      </c>
      <c r="W4" s="80" t="inlineStr">
        <is>
          <t>Silica Hydrogel Gel Addition Rate</t>
        </is>
      </c>
    </row>
    <row r="5">
      <c r="A5" s="217" t="n"/>
      <c r="B5" s="217" t="n"/>
      <c r="C5" s="217" t="n"/>
      <c r="D5" s="217" t="n"/>
      <c r="E5" s="217" t="n"/>
      <c r="F5" s="217" t="n"/>
      <c r="G5" s="217" t="n"/>
      <c r="H5" s="217" t="n"/>
      <c r="I5" s="217" t="n"/>
      <c r="J5" s="221" t="inlineStr">
        <is>
          <t>DF代码</t>
        </is>
      </c>
      <c r="K5" s="85" t="n"/>
      <c r="L5" s="85" t="n"/>
      <c r="M5" s="85" t="inlineStr">
        <is>
          <t>BR-60216</t>
        </is>
      </c>
      <c r="N5" s="95" t="inlineStr">
        <is>
          <t>BR-60296</t>
        </is>
      </c>
      <c r="O5" s="95" t="inlineStr">
        <is>
          <t>BR-60368</t>
        </is>
      </c>
      <c r="P5" s="95" t="inlineStr">
        <is>
          <t>BR-60319</t>
        </is>
      </c>
      <c r="Q5" s="95" t="inlineStr">
        <is>
          <t>BR-60320</t>
        </is>
      </c>
      <c r="R5" s="95" t="inlineStr">
        <is>
          <t>BR-60302</t>
        </is>
      </c>
      <c r="S5" s="95" t="inlineStr">
        <is>
          <t>BR-60653</t>
        </is>
      </c>
      <c r="T5" s="95" t="inlineStr">
        <is>
          <t>BR-60660</t>
        </is>
      </c>
      <c r="U5" s="95" t="inlineStr">
        <is>
          <t>BR-60659</t>
        </is>
      </c>
      <c r="V5" s="95" t="inlineStr">
        <is>
          <t>BR-60661</t>
        </is>
      </c>
      <c r="W5" s="95" t="inlineStr">
        <is>
          <t>BR-60662</t>
        </is>
      </c>
    </row>
    <row r="6" ht="96" customHeight="1" s="241">
      <c r="A6" s="217" t="n"/>
      <c r="B6" s="217" t="n"/>
      <c r="C6" s="217" t="n"/>
      <c r="D6" s="217" t="n"/>
      <c r="E6" s="217" t="n"/>
      <c r="F6" s="217" t="n"/>
      <c r="G6" s="217" t="n"/>
      <c r="H6" s="217" t="n"/>
      <c r="I6" s="217" t="n"/>
      <c r="J6" s="221" t="inlineStr">
        <is>
          <t>DF中文</t>
        </is>
      </c>
      <c r="K6" s="96" t="n"/>
      <c r="L6" s="96" t="n"/>
      <c r="M6" s="96" t="inlineStr">
        <is>
          <t>前缓冲罐酒液平均DO_走酒(每小时监控)_酿造_过滤_啤酒前缓冲系统</t>
        </is>
      </c>
      <c r="N6" s="97" t="inlineStr">
        <is>
          <t>KGF进口酒液平均温度_KGF过滤(每小时监控)_酿造_过滤_硅藻土过滤</t>
        </is>
      </c>
      <c r="O6" s="97" t="inlineStr">
        <is>
          <t>KGF进口酒液最高温度_KGF过滤(每小时监控)_酿造_过滤_硅藻土过滤</t>
        </is>
      </c>
      <c r="P6" s="97" t="inlineStr">
        <is>
          <t>KGF出口酒液过滤启动DO_KGF过滤在线分析(每小时监控)_酿造_过滤_硅藻土过滤</t>
        </is>
      </c>
      <c r="Q6" s="97" t="inlineStr">
        <is>
          <t>KGF出口酒液过滤启动5minDO_KGF过滤在线分析(每小时监控)_酿造_过滤_硅藻土过滤</t>
        </is>
      </c>
      <c r="R6" s="97" t="inlineStr">
        <is>
          <t>KGF出口酒液浊度90°角_KGF过滤在线分析(每小时监控)_酿造_过滤_硅藻土过滤</t>
        </is>
      </c>
      <c r="S6" s="97" t="inlineStr">
        <is>
          <t>满罐清酒PVPP添加量_清酒满罐在线分析_酿造_清酒工序_清酒罐</t>
        </is>
      </c>
      <c r="T6" s="97" t="inlineStr">
        <is>
          <t>满罐清酒一次性PVPP添加量_清酒满罐在线分析_酿造_清酒工序_清酒罐</t>
        </is>
      </c>
      <c r="U6" s="97" t="inlineStr">
        <is>
          <t>满罐清酒PVPP添加量浓度_清酒满罐在线分析_酿造_清酒工序_清酒罐</t>
        </is>
      </c>
      <c r="V6" s="97" t="inlineStr">
        <is>
          <t>满罐清酒硅胶添加量_清酒满罐在线分析_酿造_清酒工序_清酒罐</t>
        </is>
      </c>
      <c r="W6" s="97" t="inlineStr">
        <is>
          <t>满罐清酒硅胶接触时间段_清酒满罐在线分析_酿造_清酒工序_清酒罐</t>
        </is>
      </c>
    </row>
    <row r="7">
      <c r="A7" s="217" t="n"/>
      <c r="B7" s="217" t="n"/>
      <c r="C7" s="217" t="n"/>
      <c r="D7" s="217" t="n"/>
      <c r="E7" s="217" t="n"/>
      <c r="F7" s="217" t="n"/>
      <c r="G7" s="217" t="n"/>
      <c r="H7" s="217" t="n"/>
      <c r="I7" s="217" t="n"/>
      <c r="J7" s="221" t="inlineStr">
        <is>
          <t>数据源</t>
        </is>
      </c>
      <c r="K7" s="95" t="n"/>
      <c r="L7" s="95" t="n"/>
      <c r="M7" s="95" t="inlineStr">
        <is>
          <t>DF</t>
        </is>
      </c>
      <c r="N7" s="95" t="inlineStr">
        <is>
          <t>DF</t>
        </is>
      </c>
      <c r="O7" s="95" t="inlineStr">
        <is>
          <t>DF</t>
        </is>
      </c>
      <c r="P7" s="95" t="inlineStr">
        <is>
          <t>DF</t>
        </is>
      </c>
      <c r="Q7" s="95" t="inlineStr">
        <is>
          <t>DF</t>
        </is>
      </c>
      <c r="R7" s="95" t="inlineStr">
        <is>
          <t>DF</t>
        </is>
      </c>
      <c r="S7" s="95" t="inlineStr">
        <is>
          <t>DF</t>
        </is>
      </c>
      <c r="T7" s="95" t="inlineStr">
        <is>
          <t>DF</t>
        </is>
      </c>
      <c r="U7" s="95" t="inlineStr">
        <is>
          <t>DF</t>
        </is>
      </c>
      <c r="V7" s="95" t="inlineStr">
        <is>
          <t>DF</t>
        </is>
      </c>
      <c r="W7" s="95" t="inlineStr">
        <is>
          <t>DF</t>
        </is>
      </c>
    </row>
    <row r="8" ht="24" customHeight="1" s="241">
      <c r="A8" s="217" t="n"/>
      <c r="B8" s="217" t="n"/>
      <c r="C8" s="217" t="n"/>
      <c r="D8" s="217" t="n"/>
      <c r="E8" s="217" t="n"/>
      <c r="F8" s="217" t="n"/>
      <c r="G8" s="217" t="n"/>
      <c r="H8" s="217" t="n"/>
      <c r="I8" s="217" t="n"/>
      <c r="J8" s="221" t="inlineStr">
        <is>
          <t>是否Sensory PI展示</t>
        </is>
      </c>
      <c r="K8" s="83" t="inlineStr">
        <is>
          <t>Y</t>
        </is>
      </c>
      <c r="L8" s="83" t="inlineStr">
        <is>
          <t>Y</t>
        </is>
      </c>
      <c r="M8" s="95" t="n"/>
      <c r="N8" s="95" t="n"/>
      <c r="O8" s="95" t="n"/>
      <c r="P8" s="95" t="n"/>
      <c r="Q8" s="95" t="n"/>
      <c r="R8" s="95" t="n"/>
      <c r="S8" s="95" t="n"/>
      <c r="T8" s="95" t="n"/>
      <c r="U8" s="95" t="n"/>
      <c r="V8" s="95" t="n"/>
      <c r="W8" s="95" t="n"/>
    </row>
    <row r="9">
      <c r="A9" s="217" t="n"/>
      <c r="B9" s="217" t="n"/>
      <c r="C9" s="217" t="n"/>
      <c r="D9" s="217" t="n"/>
      <c r="E9" s="217" t="n"/>
      <c r="F9" s="217" t="n"/>
      <c r="G9" s="217" t="n"/>
      <c r="H9" s="217" t="n"/>
      <c r="I9" s="217" t="n"/>
      <c r="J9" s="221" t="inlineStr">
        <is>
          <t>是否为Key PI</t>
        </is>
      </c>
      <c r="K9" s="95" t="n"/>
      <c r="L9" s="95" t="n"/>
      <c r="M9" s="95" t="n"/>
      <c r="N9" s="95" t="n"/>
      <c r="O9" s="95" t="n"/>
      <c r="P9" s="95" t="n"/>
      <c r="Q9" s="95" t="n"/>
      <c r="R9" s="95" t="n"/>
      <c r="S9" s="95" t="n"/>
      <c r="T9" s="95" t="n"/>
      <c r="U9" s="95" t="n"/>
      <c r="V9" s="95" t="n"/>
      <c r="W9" s="95" t="n"/>
    </row>
    <row r="10">
      <c r="A10" s="217" t="n"/>
      <c r="B10" s="217" t="n"/>
      <c r="C10" s="217" t="n"/>
      <c r="D10" s="217" t="n"/>
      <c r="E10" s="217" t="n"/>
      <c r="F10" s="217" t="n"/>
      <c r="G10" s="217" t="n"/>
      <c r="H10" s="217" t="n"/>
      <c r="I10" s="217" t="n"/>
      <c r="J10" s="221" t="inlineStr">
        <is>
          <t>是否点图展示</t>
        </is>
      </c>
      <c r="K10" s="83" t="n"/>
      <c r="L10" s="83" t="n"/>
      <c r="M10" s="83" t="n"/>
      <c r="N10" s="83" t="inlineStr">
        <is>
          <t>Y</t>
        </is>
      </c>
      <c r="O10" s="83" t="inlineStr">
        <is>
          <t>Y</t>
        </is>
      </c>
      <c r="P10" s="83" t="n"/>
      <c r="Q10" s="83" t="inlineStr">
        <is>
          <t>Y</t>
        </is>
      </c>
      <c r="R10" s="83" t="n"/>
      <c r="S10" s="83" t="n"/>
      <c r="T10" s="83" t="n"/>
      <c r="U10" s="83" t="n"/>
      <c r="V10" s="83" t="n"/>
      <c r="W10" s="83" t="n"/>
    </row>
    <row r="11" ht="12.75" customHeight="1" s="241">
      <c r="A11" s="218" t="n"/>
      <c r="B11" s="218" t="n"/>
      <c r="C11" s="218" t="n"/>
      <c r="D11" s="218" t="n"/>
      <c r="E11" s="218" t="n"/>
      <c r="F11" s="218" t="n"/>
      <c r="G11" s="218" t="n"/>
      <c r="H11" s="218" t="n"/>
      <c r="I11" s="218" t="n"/>
      <c r="J11" s="59" t="inlineStr">
        <is>
          <t>Unit</t>
        </is>
      </c>
      <c r="K11" s="69" t="inlineStr">
        <is>
          <t>ppm</t>
        </is>
      </c>
      <c r="L11" s="69" t="inlineStr">
        <is>
          <t>ppm</t>
        </is>
      </c>
      <c r="M11" s="91" t="inlineStr">
        <is>
          <t>ppb</t>
        </is>
      </c>
      <c r="N11" s="91" t="inlineStr">
        <is>
          <t>°C</t>
        </is>
      </c>
      <c r="O11" s="91" t="inlineStr">
        <is>
          <t>°C</t>
        </is>
      </c>
      <c r="P11" s="91" t="inlineStr">
        <is>
          <t>ppb</t>
        </is>
      </c>
      <c r="Q11" s="91" t="inlineStr">
        <is>
          <t>ppb</t>
        </is>
      </c>
      <c r="R11" s="91" t="inlineStr">
        <is>
          <t>EBC</t>
        </is>
      </c>
      <c r="S11" s="91" t="inlineStr">
        <is>
          <t>g/HL</t>
        </is>
      </c>
      <c r="T11" s="91" t="inlineStr">
        <is>
          <t>g/HL</t>
        </is>
      </c>
      <c r="U11" s="91" t="inlineStr">
        <is>
          <t>%</t>
        </is>
      </c>
      <c r="V11" s="91" t="inlineStr">
        <is>
          <t>g/HL</t>
        </is>
      </c>
      <c r="W11" s="91" t="inlineStr">
        <is>
          <t>min</t>
        </is>
      </c>
    </row>
    <row r="12">
      <c r="H12" s="73" t="n"/>
      <c r="I12" s="74" t="n"/>
    </row>
    <row r="13">
      <c r="H13" s="73" t="n"/>
      <c r="I13" s="74" t="n"/>
    </row>
    <row r="14">
      <c r="H14" s="73" t="n"/>
      <c r="I14" s="74" t="n"/>
    </row>
    <row r="15">
      <c r="H15" s="73" t="n"/>
      <c r="I15" s="74" t="n"/>
    </row>
    <row r="16">
      <c r="H16" s="73" t="n"/>
      <c r="I16" s="74" t="n"/>
    </row>
    <row r="17">
      <c r="H17" s="73" t="n"/>
      <c r="I17" s="74" t="n"/>
    </row>
    <row r="18">
      <c r="H18" s="73" t="n"/>
      <c r="I18" s="74" t="n"/>
    </row>
  </sheetData>
  <mergeCells count="11">
    <mergeCell ref="K1:R1"/>
    <mergeCell ref="C1:C11"/>
    <mergeCell ref="B1:B11"/>
    <mergeCell ref="S1:W1"/>
    <mergeCell ref="E1:E11"/>
    <mergeCell ref="G1:G11"/>
    <mergeCell ref="H1:H11"/>
    <mergeCell ref="I1:I11"/>
    <mergeCell ref="A1:A11"/>
    <mergeCell ref="D1:D11"/>
    <mergeCell ref="F1:F11"/>
  </mergeCells>
  <conditionalFormatting sqref="K8:L8">
    <cfRule type="cellIs" priority="1" operator="equal" dxfId="4">
      <formula>"N"</formula>
    </cfRule>
    <cfRule type="cellIs" priority="2" operator="equal" dxfId="0">
      <formula>"Y"</formula>
    </cfRule>
  </conditionalFormatting>
  <conditionalFormatting sqref="K10:W10">
    <cfRule type="cellIs" priority="11" operator="equal" dxfId="4">
      <formula>"N"</formula>
    </cfRule>
    <cfRule type="cellIs" priority="12" operator="equal" dxfId="0">
      <formula>"Y"</formula>
    </cfRule>
  </conditionalFormatting>
  <dataValidations count="2">
    <dataValidation sqref="K8:L8 K10:W10" showDropDown="0" showInputMessage="1" showErrorMessage="1" allowBlank="1" type="list">
      <formula1>"Y,N"</formula1>
    </dataValidation>
    <dataValidation sqref="H12:H1048576" showDropDown="0" showInputMessage="1" showErrorMessage="1" allowBlank="1" type="list">
      <formula1>"MCS,Test,Propagation"</formula1>
    </dataValidation>
  </dataValidations>
  <pageMargins left="0.7" right="0.7" top="0.75" bottom="0.75" header="0.3" footer="0.3"/>
  <pageSetup orientation="portrait" paperSize="9" horizontalDpi="300" verticalDpi="300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D18"/>
  <sheetViews>
    <sheetView workbookViewId="0">
      <pane xSplit="10" ySplit="11" topLeftCell="K12" activePane="bottomRight" state="frozen"/>
      <selection pane="topRight" activeCell="A1" sqref="A1"/>
      <selection pane="bottomLeft" activeCell="A1" sqref="A1"/>
      <selection pane="bottomRight" activeCell="A12" sqref="A12"/>
    </sheetView>
  </sheetViews>
  <sheetFormatPr baseColWidth="8" defaultColWidth="8.85546875" defaultRowHeight="12"/>
  <cols>
    <col width="10.42578125" customWidth="1" style="21" min="1" max="1"/>
    <col width="10.42578125" customWidth="1" style="55" min="2" max="2"/>
    <col width="10.42578125" customWidth="1" style="21" min="3" max="4"/>
    <col width="10.85546875" customWidth="1" style="21" min="5" max="5"/>
    <col width="8.85546875" customWidth="1" style="21" min="6" max="7"/>
    <col width="8" customWidth="1" style="55" min="8" max="8"/>
    <col width="8.28515625" customWidth="1" style="55" min="9" max="9"/>
    <col width="12.85546875" customWidth="1" style="20" min="10" max="10"/>
    <col width="11" customWidth="1" style="21" min="11" max="12"/>
    <col width="10.42578125" customWidth="1" style="21" min="13" max="15"/>
    <col width="11" customWidth="1" style="20" min="16" max="16"/>
    <col width="8.85546875" customWidth="1" style="21" min="17" max="23"/>
    <col width="11" customWidth="1" style="21" min="24" max="24"/>
    <col width="10.42578125" customWidth="1" style="21" min="25" max="25"/>
    <col width="8.85546875" customWidth="1" style="20" min="26" max="29"/>
    <col width="8.85546875" customWidth="1" style="21" min="30" max="30"/>
    <col width="8.85546875" customWidth="1" style="21" min="31" max="16384"/>
  </cols>
  <sheetData>
    <row r="1" ht="14.85" customHeight="1" s="241">
      <c r="A1" s="221" t="inlineStr">
        <is>
          <t>Brewery</t>
        </is>
      </c>
      <c r="B1" s="216" t="inlineStr">
        <is>
          <t>BBT Full Date</t>
        </is>
      </c>
      <c r="C1" s="221" t="inlineStr">
        <is>
          <t>Brand</t>
        </is>
      </c>
      <c r="D1" s="221" t="inlineStr">
        <is>
          <t>OG Standard</t>
        </is>
      </c>
      <c r="E1" s="221" t="inlineStr">
        <is>
          <t>Filtration Line</t>
        </is>
      </c>
      <c r="F1" s="221" t="inlineStr">
        <is>
          <t>From Tank No.</t>
        </is>
      </c>
      <c r="G1" s="221" t="inlineStr">
        <is>
          <t>BBT No.</t>
        </is>
      </c>
      <c r="H1" s="216" t="inlineStr">
        <is>
          <t>Batch Production Type</t>
        </is>
      </c>
      <c r="I1" s="216" t="inlineStr">
        <is>
          <t>Batch Production Month</t>
        </is>
      </c>
      <c r="J1" s="221" t="inlineStr">
        <is>
          <t>Process</t>
        </is>
      </c>
      <c r="K1" s="238" t="inlineStr">
        <is>
          <t>BBT</t>
        </is>
      </c>
      <c r="L1" s="211" t="n"/>
      <c r="M1" s="211" t="n"/>
      <c r="N1" s="211" t="n"/>
      <c r="O1" s="211" t="n"/>
      <c r="P1" s="211" t="n"/>
      <c r="Q1" s="211" t="n"/>
      <c r="R1" s="211" t="n"/>
      <c r="S1" s="211" t="n"/>
      <c r="T1" s="211" t="n"/>
      <c r="U1" s="211" t="n"/>
      <c r="V1" s="211" t="n"/>
      <c r="W1" s="211" t="n"/>
      <c r="X1" s="211" t="n"/>
      <c r="Y1" s="211" t="n"/>
      <c r="Z1" s="211" t="n"/>
      <c r="AA1" s="211" t="n"/>
      <c r="AB1" s="211" t="n"/>
      <c r="AC1" s="214" t="n"/>
    </row>
    <row r="2" ht="43.5" customFormat="1" customHeight="1" s="78">
      <c r="A2" s="217" t="n"/>
      <c r="B2" s="217" t="n"/>
      <c r="C2" s="217" t="n"/>
      <c r="D2" s="217" t="n"/>
      <c r="E2" s="217" t="n"/>
      <c r="F2" s="217" t="n"/>
      <c r="G2" s="217" t="n"/>
      <c r="H2" s="217" t="n"/>
      <c r="I2" s="217" t="n"/>
      <c r="J2" s="59" t="inlineStr">
        <is>
          <t>参数英文名</t>
        </is>
      </c>
      <c r="K2" s="80" t="inlineStr">
        <is>
          <t>Integrated DO</t>
        </is>
      </c>
      <c r="L2" s="80" t="inlineStr">
        <is>
          <t>DO-Manual</t>
        </is>
      </c>
      <c r="M2" s="80" t="inlineStr">
        <is>
          <t>OE</t>
        </is>
      </c>
      <c r="N2" s="80" t="inlineStr">
        <is>
          <t>AE</t>
        </is>
      </c>
      <c r="O2" s="80" t="inlineStr">
        <is>
          <t>RDF</t>
        </is>
      </c>
      <c r="P2" s="80" t="inlineStr">
        <is>
          <t>pH</t>
        </is>
      </c>
      <c r="Q2" s="80" t="inlineStr">
        <is>
          <t>Color</t>
        </is>
      </c>
      <c r="R2" s="80" t="inlineStr">
        <is>
          <t>Color-L</t>
        </is>
      </c>
      <c r="S2" s="80" t="inlineStr">
        <is>
          <t>Color-A</t>
        </is>
      </c>
      <c r="T2" s="80" t="inlineStr">
        <is>
          <t>Color-B</t>
        </is>
      </c>
      <c r="U2" s="80" t="inlineStr">
        <is>
          <t>Haze @ 90°</t>
        </is>
      </c>
      <c r="V2" s="80" t="inlineStr">
        <is>
          <t>CO2</t>
        </is>
      </c>
      <c r="W2" s="80" t="inlineStr">
        <is>
          <t xml:space="preserve">Bitterness </t>
        </is>
      </c>
      <c r="X2" s="80" t="inlineStr">
        <is>
          <t>Iron</t>
        </is>
      </c>
      <c r="Y2" s="80" t="inlineStr">
        <is>
          <t>Polyphenols</t>
        </is>
      </c>
      <c r="Z2" s="80" t="inlineStr">
        <is>
          <t>Blending Water 
Temp</t>
        </is>
      </c>
      <c r="AA2" s="80" t="inlineStr">
        <is>
          <t>Temp @at Full</t>
        </is>
      </c>
      <c r="AB2" s="80" t="inlineStr">
        <is>
          <t>Temp @Before Release</t>
        </is>
      </c>
      <c r="AC2" s="80" t="inlineStr">
        <is>
          <t>Storage Time</t>
        </is>
      </c>
      <c r="AD2" s="81" t="inlineStr">
        <is>
          <t>BBT releasing int. DO</t>
        </is>
      </c>
    </row>
    <row r="3" ht="25.5" customFormat="1" customHeight="1" s="78">
      <c r="A3" s="217" t="n"/>
      <c r="B3" s="217" t="n"/>
      <c r="C3" s="217" t="n"/>
      <c r="D3" s="217" t="n"/>
      <c r="E3" s="217" t="n"/>
      <c r="F3" s="217" t="n"/>
      <c r="G3" s="217" t="n"/>
      <c r="H3" s="217" t="n"/>
      <c r="I3" s="217" t="n"/>
      <c r="J3" s="59" t="inlineStr">
        <is>
          <t>参数中文名</t>
        </is>
      </c>
      <c r="K3" s="82" t="inlineStr">
        <is>
          <t>累计DO-在线</t>
        </is>
      </c>
      <c r="L3" s="82" t="inlineStr">
        <is>
          <t>BBT DO-手持</t>
        </is>
      </c>
      <c r="M3" s="82" t="inlineStr">
        <is>
          <t>原浓</t>
        </is>
      </c>
      <c r="N3" s="82" t="inlineStr">
        <is>
          <t>外观糖度</t>
        </is>
      </c>
      <c r="O3" s="82" t="inlineStr">
        <is>
          <t>RDF</t>
        </is>
      </c>
      <c r="P3" s="82" t="inlineStr">
        <is>
          <t>pH</t>
        </is>
      </c>
      <c r="Q3" s="82" t="inlineStr">
        <is>
          <t>色度</t>
        </is>
      </c>
      <c r="R3" s="82" t="inlineStr">
        <is>
          <t>色度L</t>
        </is>
      </c>
      <c r="S3" s="82" t="inlineStr">
        <is>
          <t>色度A</t>
        </is>
      </c>
      <c r="T3" s="82" t="inlineStr">
        <is>
          <t>色度B</t>
        </is>
      </c>
      <c r="U3" s="82" t="inlineStr">
        <is>
          <t>浊度</t>
        </is>
      </c>
      <c r="V3" s="82" t="inlineStr">
        <is>
          <t>CO2</t>
        </is>
      </c>
      <c r="W3" s="82" t="inlineStr">
        <is>
          <t>苦味质</t>
        </is>
      </c>
      <c r="X3" s="82" t="inlineStr">
        <is>
          <t>铁</t>
        </is>
      </c>
      <c r="Y3" s="82" t="inlineStr">
        <is>
          <t>多酚</t>
        </is>
      </c>
      <c r="Z3" s="82" t="inlineStr">
        <is>
          <t>稀释水温度</t>
        </is>
      </c>
      <c r="AA3" s="82" t="inlineStr">
        <is>
          <t>BBT满罐温度</t>
        </is>
      </c>
      <c r="AB3" s="82" t="inlineStr">
        <is>
          <t>BBT放行温度</t>
        </is>
      </c>
      <c r="AC3" s="82" t="inlineStr">
        <is>
          <t>BBT储存时间</t>
        </is>
      </c>
      <c r="AD3" s="81" t="inlineStr">
        <is>
          <t>BBT送酒加权DO</t>
        </is>
      </c>
    </row>
    <row r="4" ht="42" customFormat="1" customHeight="1" s="78">
      <c r="A4" s="217" t="n"/>
      <c r="B4" s="217" t="n"/>
      <c r="C4" s="217" t="n"/>
      <c r="D4" s="217" t="n"/>
      <c r="E4" s="217" t="n"/>
      <c r="F4" s="217" t="n"/>
      <c r="G4" s="217" t="n"/>
      <c r="H4" s="217" t="n"/>
      <c r="I4" s="217" t="n"/>
      <c r="J4" s="59" t="inlineStr">
        <is>
          <t>Global</t>
        </is>
      </c>
      <c r="K4" s="80" t="inlineStr">
        <is>
          <t>Dissolved Oxygen (DO)</t>
        </is>
      </c>
      <c r="L4" s="80" t="n"/>
      <c r="M4" s="80" t="inlineStr">
        <is>
          <t>Original Extract (OE)</t>
        </is>
      </c>
      <c r="N4" s="80" t="inlineStr">
        <is>
          <t>Apparent extract</t>
        </is>
      </c>
      <c r="O4" s="80" t="inlineStr">
        <is>
          <t>RDF</t>
        </is>
      </c>
      <c r="P4" s="80" t="inlineStr">
        <is>
          <t>BBT pH</t>
        </is>
      </c>
      <c r="Q4" s="80" t="inlineStr">
        <is>
          <t>Color</t>
        </is>
      </c>
      <c r="R4" s="82" t="n"/>
      <c r="S4" s="82" t="n"/>
      <c r="T4" s="82" t="n"/>
      <c r="U4" s="80" t="inlineStr">
        <is>
          <t>Haze @ 90°</t>
        </is>
      </c>
      <c r="V4" s="80" t="inlineStr">
        <is>
          <t>CO2 BBT</t>
        </is>
      </c>
      <c r="W4" s="80" t="inlineStr">
        <is>
          <t>Bitterness BBT</t>
        </is>
      </c>
      <c r="X4" s="80" t="inlineStr">
        <is>
          <t>Iron</t>
        </is>
      </c>
      <c r="Y4" s="80" t="inlineStr">
        <is>
          <t>Polyphenol after stabilization</t>
        </is>
      </c>
      <c r="Z4" s="83" t="n"/>
      <c r="AA4" s="83" t="n"/>
      <c r="AB4" s="83" t="n"/>
      <c r="AC4" s="83" t="n"/>
      <c r="AD4" s="84" t="n"/>
    </row>
    <row r="5" hidden="1" s="241">
      <c r="A5" s="217" t="n"/>
      <c r="B5" s="217" t="n"/>
      <c r="C5" s="217" t="n"/>
      <c r="D5" s="217" t="n"/>
      <c r="E5" s="217" t="n"/>
      <c r="F5" s="217" t="n"/>
      <c r="G5" s="217" t="n"/>
      <c r="H5" s="217" t="n"/>
      <c r="I5" s="217" t="n"/>
      <c r="J5" s="221" t="inlineStr">
        <is>
          <t>DF代码</t>
        </is>
      </c>
      <c r="K5" s="83" t="inlineStr">
        <is>
          <t>QA-05305</t>
        </is>
      </c>
      <c r="L5" s="83" t="n"/>
      <c r="M5" s="83" t="inlineStr">
        <is>
          <t>QA-05318</t>
        </is>
      </c>
      <c r="N5" s="83" t="inlineStr">
        <is>
          <t>QA-05309</t>
        </is>
      </c>
      <c r="O5" s="83" t="n"/>
      <c r="P5" s="83" t="inlineStr">
        <is>
          <t>QA-05313</t>
        </is>
      </c>
      <c r="Q5" s="83" t="inlineStr">
        <is>
          <t>QA-05312</t>
        </is>
      </c>
      <c r="R5" s="83" t="n"/>
      <c r="S5" s="83" t="n"/>
      <c r="T5" s="83" t="n"/>
      <c r="U5" s="83" t="inlineStr">
        <is>
          <t>QA-05314</t>
        </is>
      </c>
      <c r="V5" s="83" t="inlineStr">
        <is>
          <t>QA-05307</t>
        </is>
      </c>
      <c r="W5" s="83" t="inlineStr">
        <is>
          <t>QA-05316</t>
        </is>
      </c>
      <c r="X5" s="83" t="inlineStr">
        <is>
          <t>QA-05308</t>
        </is>
      </c>
      <c r="Y5" s="83" t="inlineStr">
        <is>
          <t>QA-05317</t>
        </is>
      </c>
      <c r="Z5" s="85" t="inlineStr">
        <is>
          <t>BR-60654</t>
        </is>
      </c>
      <c r="AA5" s="85" t="inlineStr">
        <is>
          <t>BR-60654</t>
        </is>
      </c>
      <c r="AB5" s="85" t="inlineStr">
        <is>
          <t>BR-60652</t>
        </is>
      </c>
      <c r="AC5" s="85" t="inlineStr">
        <is>
          <t>BR-60653</t>
        </is>
      </c>
      <c r="AD5" s="86" t="inlineStr">
        <is>
          <t>BR-60654</t>
        </is>
      </c>
    </row>
    <row r="6" hidden="1" ht="84" customFormat="1" customHeight="1" s="79">
      <c r="A6" s="217" t="n"/>
      <c r="B6" s="217" t="n"/>
      <c r="C6" s="217" t="n"/>
      <c r="D6" s="217" t="n"/>
      <c r="E6" s="217" t="n"/>
      <c r="F6" s="217" t="n"/>
      <c r="G6" s="217" t="n"/>
      <c r="H6" s="217" t="n"/>
      <c r="I6" s="217" t="n"/>
      <c r="J6" s="65" t="inlineStr">
        <is>
          <t>DF中文</t>
        </is>
      </c>
      <c r="K6" s="87" t="inlineStr">
        <is>
          <t>溶解氧_清酒_清酒存储_酿造_清酒工序_清酒罐</t>
        </is>
      </c>
      <c r="L6" s="87" t="n"/>
      <c r="M6" s="83" t="inlineStr">
        <is>
          <t>OG_清酒_清酒存储_酿造_清酒工序_清酒罐</t>
        </is>
      </c>
      <c r="N6" s="87" t="inlineStr">
        <is>
          <t>AE_清酒_清酒存储_酿造_清酒工序_清酒罐</t>
        </is>
      </c>
      <c r="O6" s="87" t="n"/>
      <c r="P6" s="87" t="inlineStr">
        <is>
          <t>pH_清酒_清酒存储_酿造_清酒工序_清酒罐</t>
        </is>
      </c>
      <c r="Q6" s="87" t="inlineStr">
        <is>
          <t>色度_清酒_清酒存储_酿造_清酒工序_清酒罐</t>
        </is>
      </c>
      <c r="R6" s="87" t="n"/>
      <c r="S6" s="87" t="n"/>
      <c r="T6" s="87" t="n"/>
      <c r="U6" s="87" t="inlineStr">
        <is>
          <t>浊度90°_清酒_清酒存储_酿造_清酒工序_清酒罐</t>
        </is>
      </c>
      <c r="V6" s="87" t="inlineStr">
        <is>
          <t>二氧化碳_清酒_清酒存储_酿造_清酒工序_清酒罐</t>
        </is>
      </c>
      <c r="W6" s="87" t="inlineStr">
        <is>
          <t>IBU_清酒_清酒存储_酿造_清酒工序_清酒罐</t>
        </is>
      </c>
      <c r="X6" s="87" t="inlineStr">
        <is>
          <t>铁_清酒_清酒存储_酿造_清酒工序_清酒罐</t>
        </is>
      </c>
      <c r="Y6" s="87" t="inlineStr">
        <is>
          <t>多酚_清酒_清酒存储_酿造_清酒工序_清酒罐</t>
        </is>
      </c>
      <c r="Z6" s="87" t="inlineStr">
        <is>
          <t>满罐清酒稀释水平均温度_清酒满罐在线分析_酿造_清酒工序_清酒罐</t>
        </is>
      </c>
      <c r="AA6" s="87" t="inlineStr">
        <is>
          <t>满罐清酒温度_清酒满罐_酿造_清酒工序_清酒罐</t>
        </is>
      </c>
      <c r="AB6" s="87" t="inlineStr">
        <is>
          <t>步骤开始出罐清酒温度_清酒送包装_酿造_清酒工序_清酒罐</t>
        </is>
      </c>
      <c r="AC6" s="87" t="inlineStr">
        <is>
          <t>清酒存储工艺时间段_清酒存储_酿造_清酒工序_清酒罐</t>
        </is>
      </c>
      <c r="AD6" s="88" t="inlineStr">
        <is>
          <t>清酒存储工艺时间段_清酒存储_酿造_清酒工序_清酒罐</t>
        </is>
      </c>
    </row>
    <row r="7" customFormat="1" s="79">
      <c r="A7" s="217" t="n"/>
      <c r="B7" s="217" t="n"/>
      <c r="C7" s="217" t="n"/>
      <c r="D7" s="217" t="n"/>
      <c r="E7" s="217" t="n"/>
      <c r="F7" s="217" t="n"/>
      <c r="G7" s="217" t="n"/>
      <c r="H7" s="217" t="n"/>
      <c r="I7" s="217" t="n"/>
      <c r="J7" s="65" t="inlineStr">
        <is>
          <t>数据源</t>
        </is>
      </c>
      <c r="K7" s="87" t="inlineStr">
        <is>
          <t>LIMS</t>
        </is>
      </c>
      <c r="L7" s="87" t="inlineStr">
        <is>
          <t>LIMS</t>
        </is>
      </c>
      <c r="M7" s="87" t="inlineStr">
        <is>
          <t>LIMS</t>
        </is>
      </c>
      <c r="N7" s="87" t="inlineStr">
        <is>
          <t>LIMS</t>
        </is>
      </c>
      <c r="O7" s="87" t="inlineStr">
        <is>
          <t>LIMS</t>
        </is>
      </c>
      <c r="P7" s="87" t="inlineStr">
        <is>
          <t>LIMS</t>
        </is>
      </c>
      <c r="Q7" s="87" t="inlineStr">
        <is>
          <t>LIMS</t>
        </is>
      </c>
      <c r="R7" s="87" t="inlineStr">
        <is>
          <t>LIMS</t>
        </is>
      </c>
      <c r="S7" s="87" t="inlineStr">
        <is>
          <t>LIMS</t>
        </is>
      </c>
      <c r="T7" s="87" t="inlineStr">
        <is>
          <t>LIMS</t>
        </is>
      </c>
      <c r="U7" s="87" t="inlineStr">
        <is>
          <t>LIMS</t>
        </is>
      </c>
      <c r="V7" s="87" t="inlineStr">
        <is>
          <t>LIMS</t>
        </is>
      </c>
      <c r="W7" s="87" t="inlineStr">
        <is>
          <t>LIMS</t>
        </is>
      </c>
      <c r="X7" s="87" t="inlineStr">
        <is>
          <t>LIMS</t>
        </is>
      </c>
      <c r="Y7" s="87" t="inlineStr">
        <is>
          <t>LIMS</t>
        </is>
      </c>
      <c r="Z7" s="89" t="inlineStr">
        <is>
          <t>DF</t>
        </is>
      </c>
      <c r="AA7" s="89" t="inlineStr">
        <is>
          <t>DF</t>
        </is>
      </c>
      <c r="AB7" s="89" t="inlineStr">
        <is>
          <t>DF</t>
        </is>
      </c>
      <c r="AC7" s="89" t="inlineStr">
        <is>
          <t>DF</t>
        </is>
      </c>
      <c r="AD7" s="90" t="inlineStr">
        <is>
          <t>DF</t>
        </is>
      </c>
    </row>
    <row r="8" ht="24" customFormat="1" customHeight="1" s="79">
      <c r="A8" s="217" t="n"/>
      <c r="B8" s="217" t="n"/>
      <c r="C8" s="217" t="n"/>
      <c r="D8" s="217" t="n"/>
      <c r="E8" s="217" t="n"/>
      <c r="F8" s="217" t="n"/>
      <c r="G8" s="217" t="n"/>
      <c r="H8" s="217" t="n"/>
      <c r="I8" s="217" t="n"/>
      <c r="J8" s="221" t="inlineStr">
        <is>
          <t>是否Sensory PI展示</t>
        </is>
      </c>
      <c r="K8" s="83" t="inlineStr">
        <is>
          <t>Y</t>
        </is>
      </c>
      <c r="L8" s="87" t="n"/>
      <c r="M8" s="87" t="n"/>
      <c r="N8" s="87" t="n"/>
      <c r="O8" s="87" t="n"/>
      <c r="P8" s="87" t="n"/>
      <c r="Q8" s="87" t="n"/>
      <c r="R8" s="87" t="n"/>
      <c r="S8" s="87" t="n"/>
      <c r="T8" s="87" t="n"/>
      <c r="U8" s="87" t="n"/>
      <c r="V8" s="87" t="n"/>
      <c r="W8" s="87" t="n"/>
      <c r="X8" s="87" t="n"/>
      <c r="Y8" s="87" t="n"/>
      <c r="Z8" s="83" t="inlineStr">
        <is>
          <t>Y</t>
        </is>
      </c>
      <c r="AA8" s="83" t="inlineStr">
        <is>
          <t>Y</t>
        </is>
      </c>
      <c r="AB8" s="89" t="n"/>
      <c r="AC8" s="89" t="n"/>
      <c r="AD8" s="90" t="n"/>
    </row>
    <row r="9" customFormat="1" s="79">
      <c r="A9" s="217" t="n"/>
      <c r="B9" s="217" t="n"/>
      <c r="C9" s="217" t="n"/>
      <c r="D9" s="217" t="n"/>
      <c r="E9" s="217" t="n"/>
      <c r="F9" s="217" t="n"/>
      <c r="G9" s="217" t="n"/>
      <c r="H9" s="217" t="n"/>
      <c r="I9" s="217" t="n"/>
      <c r="J9" s="221" t="inlineStr">
        <is>
          <t>是否为Key PI</t>
        </is>
      </c>
      <c r="K9" s="87" t="n"/>
      <c r="L9" s="87" t="n"/>
      <c r="M9" s="87" t="n"/>
      <c r="N9" s="87" t="n"/>
      <c r="O9" s="87" t="n"/>
      <c r="P9" s="87" t="n"/>
      <c r="Q9" s="87" t="n"/>
      <c r="R9" s="87" t="n"/>
      <c r="S9" s="87" t="n"/>
      <c r="T9" s="87" t="n"/>
      <c r="U9" s="87" t="n"/>
      <c r="V9" s="87" t="n"/>
      <c r="W9" s="87" t="n"/>
      <c r="X9" s="87" t="n"/>
      <c r="Y9" s="87" t="n"/>
      <c r="Z9" s="83" t="inlineStr">
        <is>
          <t>Y</t>
        </is>
      </c>
      <c r="AA9" s="89" t="n"/>
      <c r="AB9" s="89" t="n"/>
      <c r="AC9" s="89" t="n"/>
      <c r="AD9" s="90" t="n"/>
    </row>
    <row r="10">
      <c r="A10" s="217" t="n"/>
      <c r="B10" s="217" t="n"/>
      <c r="C10" s="217" t="n"/>
      <c r="D10" s="217" t="n"/>
      <c r="E10" s="217" t="n"/>
      <c r="F10" s="217" t="n"/>
      <c r="G10" s="217" t="n"/>
      <c r="H10" s="217" t="n"/>
      <c r="I10" s="217" t="n"/>
      <c r="J10" s="221" t="inlineStr">
        <is>
          <t>是否点图展示</t>
        </is>
      </c>
      <c r="K10" s="83" t="inlineStr">
        <is>
          <t>Y</t>
        </is>
      </c>
      <c r="L10" s="83" t="n"/>
      <c r="M10" s="83" t="inlineStr">
        <is>
          <t>Y</t>
        </is>
      </c>
      <c r="N10" s="83" t="inlineStr">
        <is>
          <t>Y</t>
        </is>
      </c>
      <c r="O10" s="83" t="inlineStr">
        <is>
          <t>Y</t>
        </is>
      </c>
      <c r="P10" s="83" t="inlineStr">
        <is>
          <t>Y</t>
        </is>
      </c>
      <c r="Q10" s="83" t="inlineStr">
        <is>
          <t>Y</t>
        </is>
      </c>
      <c r="R10" s="83" t="inlineStr">
        <is>
          <t>Y</t>
        </is>
      </c>
      <c r="S10" s="83" t="inlineStr">
        <is>
          <t>Y</t>
        </is>
      </c>
      <c r="T10" s="83" t="inlineStr">
        <is>
          <t>Y</t>
        </is>
      </c>
      <c r="U10" s="83" t="inlineStr">
        <is>
          <t>Y</t>
        </is>
      </c>
      <c r="V10" s="83" t="inlineStr">
        <is>
          <t>Y</t>
        </is>
      </c>
      <c r="W10" s="83" t="inlineStr">
        <is>
          <t>Y</t>
        </is>
      </c>
      <c r="X10" s="83" t="inlineStr">
        <is>
          <t>Y</t>
        </is>
      </c>
      <c r="Y10" s="83" t="n"/>
      <c r="Z10" s="83" t="inlineStr">
        <is>
          <t>Y</t>
        </is>
      </c>
      <c r="AA10" s="83" t="inlineStr">
        <is>
          <t>Y</t>
        </is>
      </c>
      <c r="AB10" s="83" t="inlineStr">
        <is>
          <t>Y</t>
        </is>
      </c>
      <c r="AC10" s="83" t="inlineStr">
        <is>
          <t>Y</t>
        </is>
      </c>
      <c r="AD10" s="84" t="inlineStr">
        <is>
          <t>Y</t>
        </is>
      </c>
    </row>
    <row r="11">
      <c r="A11" s="218" t="n"/>
      <c r="B11" s="218" t="n"/>
      <c r="C11" s="218" t="n"/>
      <c r="D11" s="218" t="n"/>
      <c r="E11" s="218" t="n"/>
      <c r="F11" s="218" t="n"/>
      <c r="G11" s="218" t="n"/>
      <c r="H11" s="218" t="n"/>
      <c r="I11" s="218" t="n"/>
      <c r="J11" s="59" t="inlineStr">
        <is>
          <t>Unit</t>
        </is>
      </c>
      <c r="K11" s="91" t="inlineStr">
        <is>
          <t>ppb</t>
        </is>
      </c>
      <c r="L11" s="91" t="inlineStr">
        <is>
          <t>ppb</t>
        </is>
      </c>
      <c r="M11" s="92" t="inlineStr">
        <is>
          <t>Plato</t>
        </is>
      </c>
      <c r="N11" s="91" t="inlineStr">
        <is>
          <t>Plato</t>
        </is>
      </c>
      <c r="O11" s="92" t="inlineStr">
        <is>
          <t>%</t>
        </is>
      </c>
      <c r="P11" s="91" t="inlineStr">
        <is>
          <t>pH</t>
        </is>
      </c>
      <c r="Q11" s="91" t="inlineStr">
        <is>
          <t>EBC</t>
        </is>
      </c>
      <c r="R11" s="91" t="inlineStr">
        <is>
          <t>EBC</t>
        </is>
      </c>
      <c r="S11" s="91" t="inlineStr">
        <is>
          <t>EBC</t>
        </is>
      </c>
      <c r="T11" s="91" t="inlineStr">
        <is>
          <t>EBC</t>
        </is>
      </c>
      <c r="U11" s="91" t="inlineStr">
        <is>
          <t>EBC</t>
        </is>
      </c>
      <c r="V11" s="91" t="inlineStr">
        <is>
          <t>g/L</t>
        </is>
      </c>
      <c r="W11" s="91" t="n"/>
      <c r="X11" s="92" t="inlineStr">
        <is>
          <t>ppm</t>
        </is>
      </c>
      <c r="Y11" s="92" t="inlineStr">
        <is>
          <t>ppm</t>
        </is>
      </c>
      <c r="Z11" s="92" t="inlineStr">
        <is>
          <t>°C</t>
        </is>
      </c>
      <c r="AA11" s="92" t="inlineStr">
        <is>
          <t>°C</t>
        </is>
      </c>
      <c r="AB11" s="92" t="inlineStr">
        <is>
          <t>°C</t>
        </is>
      </c>
      <c r="AC11" s="92" t="inlineStr">
        <is>
          <t>Hours</t>
        </is>
      </c>
      <c r="AD11" s="93" t="inlineStr">
        <is>
          <t>ppb</t>
        </is>
      </c>
    </row>
    <row r="12">
      <c r="H12" s="73" t="n"/>
      <c r="I12" s="74" t="n"/>
    </row>
    <row r="13">
      <c r="H13" s="73" t="n"/>
      <c r="I13" s="74" t="n"/>
    </row>
    <row r="14">
      <c r="H14" s="73" t="n"/>
      <c r="I14" s="74" t="n"/>
    </row>
    <row r="15">
      <c r="H15" s="73" t="n"/>
      <c r="I15" s="74" t="n"/>
    </row>
    <row r="16">
      <c r="H16" s="73" t="n"/>
      <c r="I16" s="74" t="n"/>
    </row>
    <row r="17">
      <c r="H17" s="73" t="n"/>
      <c r="I17" s="74" t="n"/>
    </row>
    <row r="18">
      <c r="H18" s="73" t="n"/>
      <c r="I18" s="74" t="n"/>
    </row>
  </sheetData>
  <mergeCells count="10">
    <mergeCell ref="C1:C11"/>
    <mergeCell ref="B1:B11"/>
    <mergeCell ref="G1:G11"/>
    <mergeCell ref="E1:E11"/>
    <mergeCell ref="I1:I11"/>
    <mergeCell ref="H1:H11"/>
    <mergeCell ref="A1:A11"/>
    <mergeCell ref="D1:D11"/>
    <mergeCell ref="K1:AC1"/>
    <mergeCell ref="F1:F11"/>
  </mergeCells>
  <conditionalFormatting sqref="K8">
    <cfRule type="cellIs" priority="1" operator="equal" dxfId="4">
      <formula>"N"</formula>
    </cfRule>
    <cfRule type="cellIs" priority="2" operator="equal" dxfId="0">
      <formula>"Y"</formula>
    </cfRule>
  </conditionalFormatting>
  <conditionalFormatting sqref="K10:AD10">
    <cfRule type="cellIs" priority="9" operator="equal" dxfId="4">
      <formula>"N"</formula>
    </cfRule>
    <cfRule type="cellIs" priority="10" operator="equal" dxfId="0">
      <formula>"Y"</formula>
    </cfRule>
  </conditionalFormatting>
  <conditionalFormatting sqref="Z8:Z9">
    <cfRule type="cellIs" priority="5" operator="equal" dxfId="4">
      <formula>"N"</formula>
    </cfRule>
    <cfRule type="cellIs" priority="6" operator="equal" dxfId="0">
      <formula>"Y"</formula>
    </cfRule>
  </conditionalFormatting>
  <conditionalFormatting sqref="AA8">
    <cfRule type="cellIs" priority="3" operator="equal" dxfId="4">
      <formula>"N"</formula>
    </cfRule>
    <cfRule type="cellIs" priority="4" operator="equal" dxfId="0">
      <formula>"Y"</formula>
    </cfRule>
  </conditionalFormatting>
  <dataValidations count="2">
    <dataValidation sqref="K8 K10:AD10 Z8:AA8 Z9" showDropDown="0" showInputMessage="1" showErrorMessage="1" allowBlank="1" type="list">
      <formula1>"Y,N"</formula1>
    </dataValidation>
    <dataValidation sqref="H12:H1048576" showDropDown="0" showInputMessage="1" showErrorMessage="1" allowBlank="1" type="list">
      <formula1>"MCS,Test,Propagation"</formula1>
    </dataValidation>
  </dataValidation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W18"/>
  <sheetViews>
    <sheetView workbookViewId="0">
      <pane xSplit="10" ySplit="11" topLeftCell="K12" activePane="bottomRight" state="frozen"/>
      <selection pane="topRight" activeCell="A1" sqref="A1"/>
      <selection pane="bottomLeft" activeCell="A1" sqref="A1"/>
      <selection pane="bottomRight" activeCell="A12" sqref="A12"/>
    </sheetView>
  </sheetViews>
  <sheetFormatPr baseColWidth="8" defaultColWidth="9" defaultRowHeight="15"/>
  <cols>
    <col width="12.42578125" customWidth="1" style="241" min="1" max="1"/>
    <col width="15.42578125" customWidth="1" style="54" min="2" max="2"/>
    <col width="11.85546875" customWidth="1" style="241" min="3" max="7"/>
    <col width="8" customWidth="1" style="55" min="8" max="8"/>
    <col width="8.28515625" customWidth="1" style="55" min="9" max="9"/>
    <col width="12.85546875" customWidth="1" style="42" min="10" max="10"/>
    <col width="10.42578125" customWidth="1" style="241" min="11" max="14"/>
    <col width="11.42578125" customWidth="1" style="241" min="15" max="15"/>
  </cols>
  <sheetData>
    <row r="1" ht="14.85" customHeight="1" s="241">
      <c r="A1" s="220" t="inlineStr">
        <is>
          <t>Brewery</t>
        </is>
      </c>
      <c r="B1" s="247" t="inlineStr">
        <is>
          <t>Sampling Date</t>
        </is>
      </c>
      <c r="C1" s="220" t="inlineStr">
        <is>
          <t>Brand
(母液品牌，不含OG）</t>
        </is>
      </c>
      <c r="D1" s="220" t="inlineStr">
        <is>
          <t>Packaging Line</t>
        </is>
      </c>
      <c r="E1" s="220" t="inlineStr">
        <is>
          <t>Size</t>
        </is>
      </c>
      <c r="F1" s="220" t="inlineStr">
        <is>
          <t>BBT No.</t>
        </is>
      </c>
      <c r="G1" s="220" t="inlineStr">
        <is>
          <t>Valve No.</t>
        </is>
      </c>
      <c r="H1" s="216" t="inlineStr">
        <is>
          <t>Batch Production Type</t>
        </is>
      </c>
      <c r="I1" s="216" t="inlineStr">
        <is>
          <t>Batch Production Month</t>
        </is>
      </c>
      <c r="J1" s="75" t="inlineStr">
        <is>
          <t>Process</t>
        </is>
      </c>
      <c r="K1" s="255" t="inlineStr">
        <is>
          <t>PQI</t>
        </is>
      </c>
      <c r="L1" s="237" t="n"/>
      <c r="M1" s="237" t="n"/>
      <c r="N1" s="237" t="n"/>
      <c r="O1" s="237" t="n"/>
      <c r="P1" s="237" t="n"/>
      <c r="Q1" s="237" t="n"/>
      <c r="R1" s="237" t="n"/>
      <c r="S1" s="237" t="n"/>
      <c r="T1" s="237" t="n"/>
      <c r="U1" s="237" t="n"/>
      <c r="V1" s="237" t="n"/>
      <c r="W1" s="237" t="n"/>
    </row>
    <row r="2" ht="48" customFormat="1" customHeight="1" s="53">
      <c r="A2" s="217" t="n"/>
      <c r="B2" s="217" t="n"/>
      <c r="C2" s="217" t="n"/>
      <c r="D2" s="217" t="n"/>
      <c r="E2" s="217" t="n"/>
      <c r="F2" s="217" t="n"/>
      <c r="G2" s="217" t="n"/>
      <c r="H2" s="217" t="n"/>
      <c r="I2" s="217" t="n"/>
      <c r="J2" s="76" t="inlineStr">
        <is>
          <t>参数英文名</t>
        </is>
      </c>
      <c r="K2" s="60" t="inlineStr">
        <is>
          <t>BBT DO</t>
        </is>
      </c>
      <c r="L2" s="60" t="inlineStr">
        <is>
          <t>BBT CO2</t>
        </is>
      </c>
      <c r="M2" s="60" t="inlineStr">
        <is>
          <t>HSO</t>
        </is>
      </c>
      <c r="N2" s="60" t="inlineStr">
        <is>
          <t>DO</t>
        </is>
      </c>
      <c r="O2" s="60" t="inlineStr">
        <is>
          <t>TPO</t>
        </is>
      </c>
      <c r="P2" s="60" t="inlineStr">
        <is>
          <t>TPO AVE</t>
        </is>
      </c>
      <c r="Q2" s="60" t="inlineStr">
        <is>
          <t>TPO radar maximum data</t>
        </is>
      </c>
      <c r="R2" s="60" t="inlineStr">
        <is>
          <t>TPO &lt;=40ppb percent</t>
        </is>
      </c>
      <c r="S2" s="60" t="inlineStr">
        <is>
          <t>CO2</t>
        </is>
      </c>
      <c r="T2" s="60" t="inlineStr">
        <is>
          <t>CO2 AVE</t>
        </is>
      </c>
      <c r="U2" s="60" t="inlineStr">
        <is>
          <t>Filling Level</t>
        </is>
      </c>
      <c r="V2" s="60" t="inlineStr">
        <is>
          <t>Filling Level AVE</t>
        </is>
      </c>
      <c r="W2" s="60" t="inlineStr">
        <is>
          <t>Filling level deviation</t>
        </is>
      </c>
    </row>
    <row r="3" ht="48" customFormat="1" customHeight="1" s="53">
      <c r="A3" s="217" t="n"/>
      <c r="B3" s="217" t="n"/>
      <c r="C3" s="217" t="n"/>
      <c r="D3" s="217" t="n"/>
      <c r="E3" s="217" t="n"/>
      <c r="F3" s="217" t="n"/>
      <c r="G3" s="217" t="n"/>
      <c r="H3" s="217" t="n"/>
      <c r="I3" s="217" t="n"/>
      <c r="J3" s="76" t="inlineStr">
        <is>
          <t>参数中文名</t>
        </is>
      </c>
      <c r="K3" s="61" t="inlineStr">
        <is>
          <t>BBT DO</t>
        </is>
      </c>
      <c r="L3" s="61" t="inlineStr">
        <is>
          <t>BBT CO2</t>
        </is>
      </c>
      <c r="M3" s="61" t="inlineStr">
        <is>
          <t>HSO</t>
        </is>
      </c>
      <c r="N3" s="61" t="inlineStr">
        <is>
          <t>DO</t>
        </is>
      </c>
      <c r="O3" s="61" t="inlineStr">
        <is>
          <t>TPO</t>
        </is>
      </c>
      <c r="P3" s="61" t="inlineStr">
        <is>
          <t>TPO平均值</t>
        </is>
      </c>
      <c r="Q3" s="61" t="inlineStr">
        <is>
          <t>TPO雷达图最大值</t>
        </is>
      </c>
      <c r="R3" s="61" t="inlineStr">
        <is>
          <t>TPO&lt;=40ppb比例</t>
        </is>
      </c>
      <c r="S3" s="61" t="inlineStr">
        <is>
          <t>CO2</t>
        </is>
      </c>
      <c r="T3" s="61" t="inlineStr">
        <is>
          <t>CO2平均值</t>
        </is>
      </c>
      <c r="U3" s="61" t="inlineStr">
        <is>
          <t>容量</t>
        </is>
      </c>
      <c r="V3" s="61" t="inlineStr">
        <is>
          <t>容量平均值</t>
        </is>
      </c>
      <c r="W3" s="61" t="inlineStr">
        <is>
          <t>灌装液位偏离</t>
        </is>
      </c>
    </row>
    <row r="4" ht="33" customFormat="1" customHeight="1" s="53">
      <c r="A4" s="217" t="n"/>
      <c r="B4" s="217" t="n"/>
      <c r="C4" s="217" t="n"/>
      <c r="D4" s="217" t="n"/>
      <c r="E4" s="217" t="n"/>
      <c r="F4" s="217" t="n"/>
      <c r="G4" s="217" t="n"/>
      <c r="H4" s="217" t="n"/>
      <c r="I4" s="217" t="n"/>
      <c r="J4" s="76" t="inlineStr">
        <is>
          <t>Global</t>
        </is>
      </c>
      <c r="K4" s="61" t="n"/>
      <c r="L4" s="61" t="n"/>
      <c r="M4" s="61" t="n"/>
      <c r="N4" s="61" t="n"/>
      <c r="O4" s="61" t="n"/>
      <c r="P4" s="61" t="n"/>
      <c r="Q4" s="61" t="n"/>
      <c r="R4" s="61" t="n"/>
      <c r="S4" s="61" t="n"/>
      <c r="T4" s="61" t="n"/>
      <c r="U4" s="61" t="n"/>
      <c r="V4" s="61" t="n"/>
      <c r="W4" s="61" t="n"/>
    </row>
    <row r="5" hidden="1" ht="30" customHeight="1" s="241">
      <c r="A5" s="217" t="n"/>
      <c r="B5" s="217" t="n"/>
      <c r="C5" s="217" t="n"/>
      <c r="D5" s="217" t="n"/>
      <c r="E5" s="217" t="n"/>
      <c r="F5" s="217" t="n"/>
      <c r="G5" s="217" t="n"/>
      <c r="H5" s="217" t="n"/>
      <c r="I5" s="217" t="n"/>
      <c r="J5" s="220" t="inlineStr">
        <is>
          <t>DF编码</t>
        </is>
      </c>
      <c r="K5" s="64" t="inlineStr">
        <is>
          <t>QA-05305</t>
        </is>
      </c>
      <c r="L5" s="64" t="inlineStr">
        <is>
          <t>QA-05307</t>
        </is>
      </c>
      <c r="M5" s="64" t="n"/>
      <c r="N5" s="64" t="inlineStr">
        <is>
          <t>QA-10132</t>
        </is>
      </c>
      <c r="O5" s="64" t="inlineStr">
        <is>
          <t>QA-10375</t>
        </is>
      </c>
      <c r="P5" s="64" t="n"/>
      <c r="Q5" s="64" t="n"/>
      <c r="R5" s="64" t="n"/>
      <c r="S5" s="64" t="inlineStr">
        <is>
          <t>QA-10374</t>
        </is>
      </c>
      <c r="T5" s="64" t="n"/>
      <c r="U5" s="64" t="inlineStr">
        <is>
          <t>QA-10379</t>
        </is>
      </c>
      <c r="V5" s="64" t="inlineStr">
        <is>
          <t>QA-10380</t>
        </is>
      </c>
      <c r="W5" s="64" t="inlineStr">
        <is>
          <t>QA-10380</t>
        </is>
      </c>
    </row>
    <row r="6" hidden="1" ht="120" customHeight="1" s="241">
      <c r="A6" s="217" t="n"/>
      <c r="B6" s="217" t="n"/>
      <c r="C6" s="217" t="n"/>
      <c r="D6" s="217" t="n"/>
      <c r="E6" s="217" t="n"/>
      <c r="F6" s="217" t="n"/>
      <c r="G6" s="217" t="n"/>
      <c r="H6" s="217" t="n"/>
      <c r="I6" s="217" t="n"/>
      <c r="J6" s="220" t="inlineStr">
        <is>
          <t>DF中文</t>
        </is>
      </c>
      <c r="K6" s="64" t="inlineStr">
        <is>
          <t>溶解氧_清酒_清酒存储_酿造_清酒工序_清酒罐</t>
        </is>
      </c>
      <c r="L6" s="64" t="inlineStr">
        <is>
          <t>二氧化碳_清酒_清酒存储_酿造_清酒工序_清酒罐</t>
        </is>
      </c>
      <c r="M6" s="64" t="n"/>
      <c r="N6" s="64" t="inlineStr">
        <is>
          <t>DO_灌酒机进口酒液_灌酒_包装_瓶装线_灌酒机</t>
        </is>
      </c>
      <c r="O6" s="64" t="inlineStr">
        <is>
          <t>TPO单值_灌酒机出口产品_灌酒_包装_听装线_灌酒机</t>
        </is>
      </c>
      <c r="P6" s="64" t="n"/>
      <c r="Q6" s="64" t="n"/>
      <c r="R6" s="64" t="n"/>
      <c r="S6" s="64" t="inlineStr">
        <is>
          <t>CO2单值_灌酒机出口产品_灌酒_包装_听装线_灌酒机</t>
        </is>
      </c>
      <c r="T6" s="64" t="n"/>
      <c r="U6" s="64" t="inlineStr">
        <is>
          <t>容量单值_灌酒机出口产品_灌酒_包装_听装线_灌酒机</t>
        </is>
      </c>
      <c r="V6" s="64" t="inlineStr">
        <is>
          <t>容量平均值_灌酒机出口产品_灌酒_包装_听装线_灌酒机</t>
        </is>
      </c>
      <c r="W6" s="64" t="inlineStr">
        <is>
          <t>容量平均值_灌酒机出口产品_灌酒_包装_听装线_灌酒机</t>
        </is>
      </c>
    </row>
    <row r="7">
      <c r="A7" s="217" t="n"/>
      <c r="B7" s="217" t="n"/>
      <c r="C7" s="217" t="n"/>
      <c r="D7" s="217" t="n"/>
      <c r="E7" s="217" t="n"/>
      <c r="F7" s="217" t="n"/>
      <c r="G7" s="217" t="n"/>
      <c r="H7" s="217" t="n"/>
      <c r="I7" s="217" t="n"/>
      <c r="J7" s="220" t="inlineStr">
        <is>
          <t>数据源</t>
        </is>
      </c>
      <c r="K7" s="64" t="inlineStr">
        <is>
          <t>LIMS</t>
        </is>
      </c>
      <c r="L7" s="64" t="inlineStr">
        <is>
          <t>LIMS</t>
        </is>
      </c>
      <c r="M7" s="64" t="inlineStr">
        <is>
          <t>LIMS</t>
        </is>
      </c>
      <c r="N7" s="64" t="inlineStr">
        <is>
          <t>LIMS</t>
        </is>
      </c>
      <c r="O7" s="64" t="inlineStr">
        <is>
          <t>LIMS</t>
        </is>
      </c>
      <c r="P7" s="64" t="inlineStr">
        <is>
          <t>LIMS</t>
        </is>
      </c>
      <c r="Q7" s="64" t="n"/>
      <c r="R7" s="64" t="n"/>
      <c r="S7" s="64" t="inlineStr">
        <is>
          <t>LIMS</t>
        </is>
      </c>
      <c r="T7" s="64" t="inlineStr">
        <is>
          <t>LIMS</t>
        </is>
      </c>
      <c r="U7" s="64" t="inlineStr">
        <is>
          <t>LIMS</t>
        </is>
      </c>
      <c r="V7" s="64" t="inlineStr">
        <is>
          <t>LIMS</t>
        </is>
      </c>
      <c r="W7" s="64" t="n"/>
    </row>
    <row r="8" ht="24" customHeight="1" s="241">
      <c r="A8" s="217" t="n"/>
      <c r="B8" s="217" t="n"/>
      <c r="C8" s="217" t="n"/>
      <c r="D8" s="217" t="n"/>
      <c r="E8" s="217" t="n"/>
      <c r="F8" s="217" t="n"/>
      <c r="G8" s="217" t="n"/>
      <c r="H8" s="217" t="n"/>
      <c r="I8" s="217" t="n"/>
      <c r="J8" s="221" t="inlineStr">
        <is>
          <t>是否Sensory PI展示</t>
        </is>
      </c>
      <c r="K8" s="64" t="inlineStr">
        <is>
          <t>Y</t>
        </is>
      </c>
      <c r="L8" s="64" t="n"/>
      <c r="M8" s="64" t="n"/>
      <c r="N8" s="64" t="n"/>
      <c r="O8" s="64" t="n"/>
      <c r="P8" s="64" t="inlineStr">
        <is>
          <t>Y</t>
        </is>
      </c>
      <c r="Q8" s="64" t="inlineStr">
        <is>
          <t>Y</t>
        </is>
      </c>
      <c r="R8" s="64" t="inlineStr">
        <is>
          <t>Y</t>
        </is>
      </c>
      <c r="S8" s="64" t="n"/>
      <c r="T8" s="64" t="n"/>
      <c r="U8" s="64" t="n"/>
      <c r="V8" s="64" t="n"/>
      <c r="W8" s="64" t="inlineStr">
        <is>
          <t>Y</t>
        </is>
      </c>
    </row>
    <row r="9">
      <c r="A9" s="217" t="n"/>
      <c r="B9" s="217" t="n"/>
      <c r="C9" s="217" t="n"/>
      <c r="D9" s="217" t="n"/>
      <c r="E9" s="217" t="n"/>
      <c r="F9" s="217" t="n"/>
      <c r="G9" s="217" t="n"/>
      <c r="H9" s="217" t="n"/>
      <c r="I9" s="217" t="n"/>
      <c r="J9" s="221" t="inlineStr">
        <is>
          <t>是否为Key PI</t>
        </is>
      </c>
      <c r="K9" s="64" t="n"/>
      <c r="L9" s="64" t="n"/>
      <c r="M9" s="64" t="n"/>
      <c r="N9" s="64" t="n"/>
      <c r="O9" s="64" t="n"/>
      <c r="P9" s="64" t="inlineStr">
        <is>
          <t>Y</t>
        </is>
      </c>
      <c r="Q9" s="64" t="inlineStr">
        <is>
          <t>Y</t>
        </is>
      </c>
      <c r="R9" s="64" t="inlineStr">
        <is>
          <t>Y</t>
        </is>
      </c>
      <c r="S9" s="64" t="n"/>
      <c r="T9" s="64" t="n"/>
      <c r="U9" s="64" t="n"/>
      <c r="V9" s="64" t="n"/>
      <c r="W9" s="64" t="n"/>
    </row>
    <row r="10" ht="30" customHeight="1" s="241">
      <c r="A10" s="217" t="n"/>
      <c r="B10" s="217" t="n"/>
      <c r="C10" s="217" t="n"/>
      <c r="D10" s="217" t="n"/>
      <c r="E10" s="217" t="n"/>
      <c r="F10" s="217" t="n"/>
      <c r="G10" s="217" t="n"/>
      <c r="H10" s="217" t="n"/>
      <c r="I10" s="217" t="n"/>
      <c r="J10" s="220" t="inlineStr">
        <is>
          <t>是否点图展示</t>
        </is>
      </c>
      <c r="K10" s="64" t="n"/>
      <c r="L10" s="64" t="n"/>
      <c r="M10" s="64" t="inlineStr">
        <is>
          <t>Y</t>
        </is>
      </c>
      <c r="N10" s="64" t="n"/>
      <c r="O10" s="64" t="inlineStr">
        <is>
          <t>Y</t>
        </is>
      </c>
      <c r="P10" s="64" t="n"/>
      <c r="Q10" s="64" t="n"/>
      <c r="R10" s="64" t="n"/>
      <c r="S10" s="64" t="n"/>
      <c r="T10" s="64" t="n"/>
      <c r="U10" s="64" t="n"/>
      <c r="V10" s="64" t="inlineStr">
        <is>
          <t>Y</t>
        </is>
      </c>
      <c r="W10" s="64" t="n"/>
    </row>
    <row r="11">
      <c r="A11" s="218" t="n"/>
      <c r="B11" s="218" t="n"/>
      <c r="C11" s="218" t="n"/>
      <c r="D11" s="218" t="n"/>
      <c r="E11" s="218" t="n"/>
      <c r="F11" s="218" t="n"/>
      <c r="G11" s="218" t="n"/>
      <c r="H11" s="218" t="n"/>
      <c r="I11" s="218" t="n"/>
      <c r="J11" s="76" t="inlineStr">
        <is>
          <t>Unit</t>
        </is>
      </c>
      <c r="K11" s="70" t="inlineStr">
        <is>
          <t>ppb</t>
        </is>
      </c>
      <c r="L11" s="70" t="inlineStr">
        <is>
          <t>g/L</t>
        </is>
      </c>
      <c r="M11" s="70" t="inlineStr">
        <is>
          <t>ml</t>
        </is>
      </c>
      <c r="N11" s="69" t="inlineStr">
        <is>
          <t>ppb</t>
        </is>
      </c>
      <c r="O11" s="69" t="inlineStr">
        <is>
          <t>ppb</t>
        </is>
      </c>
      <c r="P11" s="69" t="inlineStr">
        <is>
          <t>ppb</t>
        </is>
      </c>
      <c r="Q11" s="69" t="inlineStr">
        <is>
          <t>ppb</t>
        </is>
      </c>
      <c r="R11" s="69" t="inlineStr">
        <is>
          <t>ppb</t>
        </is>
      </c>
      <c r="S11" s="69" t="inlineStr">
        <is>
          <t>g/L</t>
        </is>
      </c>
      <c r="T11" s="69" t="inlineStr">
        <is>
          <t>g/L</t>
        </is>
      </c>
      <c r="U11" s="69" t="inlineStr">
        <is>
          <t>ml</t>
        </is>
      </c>
      <c r="V11" s="69" t="inlineStr">
        <is>
          <t>ml</t>
        </is>
      </c>
      <c r="W11" s="69" t="inlineStr">
        <is>
          <t>ml</t>
        </is>
      </c>
    </row>
    <row r="12">
      <c r="H12" s="73" t="n"/>
      <c r="I12" s="74" t="n"/>
    </row>
    <row r="13">
      <c r="H13" s="73" t="n"/>
      <c r="I13" s="74" t="n"/>
    </row>
    <row r="14">
      <c r="H14" s="73" t="n"/>
      <c r="I14" s="74" t="n"/>
    </row>
    <row r="15">
      <c r="H15" s="73" t="n"/>
      <c r="I15" s="74" t="n"/>
    </row>
    <row r="16">
      <c r="H16" s="73" t="n"/>
      <c r="I16" s="74" t="n"/>
    </row>
    <row r="17">
      <c r="H17" s="73" t="n"/>
      <c r="I17" s="74" t="n"/>
    </row>
    <row r="18">
      <c r="H18" s="73" t="n"/>
      <c r="I18" s="74" t="n"/>
    </row>
  </sheetData>
  <mergeCells count="10">
    <mergeCell ref="C1:C11"/>
    <mergeCell ref="B1:B11"/>
    <mergeCell ref="G1:G11"/>
    <mergeCell ref="E1:E11"/>
    <mergeCell ref="I1:I11"/>
    <mergeCell ref="H1:H11"/>
    <mergeCell ref="A1:A11"/>
    <mergeCell ref="D1:D11"/>
    <mergeCell ref="K1:W1"/>
    <mergeCell ref="F1:F11"/>
  </mergeCells>
  <conditionalFormatting sqref="K8">
    <cfRule type="cellIs" priority="11" operator="equal" dxfId="4">
      <formula>"N"</formula>
    </cfRule>
    <cfRule type="cellIs" priority="12" operator="equal" dxfId="0">
      <formula>"Y"</formula>
    </cfRule>
  </conditionalFormatting>
  <conditionalFormatting sqref="K10:W10">
    <cfRule type="cellIs" priority="17" operator="equal" dxfId="4">
      <formula>"N"</formula>
    </cfRule>
    <cfRule type="cellIs" priority="18" operator="equal" dxfId="0">
      <formula>"Y"</formula>
    </cfRule>
  </conditionalFormatting>
  <conditionalFormatting sqref="O8">
    <cfRule type="cellIs" priority="3" operator="equal" dxfId="4">
      <formula>"N"</formula>
    </cfRule>
    <cfRule type="cellIs" priority="4" operator="equal" dxfId="0">
      <formula>"Y"</formula>
    </cfRule>
  </conditionalFormatting>
  <conditionalFormatting sqref="P8:R9">
    <cfRule type="cellIs" priority="5" operator="equal" dxfId="4">
      <formula>"N"</formula>
    </cfRule>
    <cfRule type="cellIs" priority="6" operator="equal" dxfId="0">
      <formula>"Y"</formula>
    </cfRule>
  </conditionalFormatting>
  <conditionalFormatting sqref="W8">
    <cfRule type="cellIs" priority="1" operator="equal" dxfId="4">
      <formula>"N"</formula>
    </cfRule>
    <cfRule type="cellIs" priority="2" operator="equal" dxfId="0">
      <formula>"Y"</formula>
    </cfRule>
  </conditionalFormatting>
  <dataValidations count="2">
    <dataValidation sqref="K8 K10:W10 O8:R8 P9:R9 W8" showDropDown="0" showInputMessage="1" showErrorMessage="1" allowBlank="1" type="list">
      <formula1>"Y,N"</formula1>
    </dataValidation>
    <dataValidation sqref="H12:H1048576" showDropDown="0" showInputMessage="1" showErrorMessage="1" allowBlank="1" type="list">
      <formula1>"MCS,Test,Propagation"</formula1>
    </dataValidation>
  </dataValidation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2" sqref="A12"/>
    </sheetView>
  </sheetViews>
  <sheetFormatPr baseColWidth="8" defaultColWidth="9" defaultRowHeight="15"/>
  <cols>
    <col width="13.140625" customWidth="1" style="241" min="1" max="1"/>
    <col width="15.42578125" customWidth="1" style="54" min="2" max="2"/>
    <col width="11.85546875" customWidth="1" style="241" min="3" max="5"/>
    <col width="8" customWidth="1" style="55" min="6" max="6"/>
    <col width="8.28515625" customWidth="1" style="55" min="7" max="7"/>
    <col width="12.85546875" customWidth="1" style="42" min="8" max="8"/>
    <col width="10.42578125" customWidth="1" style="42" min="9" max="9"/>
    <col width="10.42578125" customWidth="1" style="241" min="10" max="14"/>
  </cols>
  <sheetData>
    <row r="1" ht="14.85" customHeight="1" s="241">
      <c r="A1" s="220" t="inlineStr">
        <is>
          <t>Brewery</t>
        </is>
      </c>
      <c r="B1" s="247" t="inlineStr">
        <is>
          <t>Sampling Data</t>
        </is>
      </c>
      <c r="C1" s="220" t="inlineStr">
        <is>
          <t>Brand
(母液品牌，不含OG）</t>
        </is>
      </c>
      <c r="D1" s="220" t="inlineStr">
        <is>
          <t>Packaging Line</t>
        </is>
      </c>
      <c r="E1" s="220" t="inlineStr">
        <is>
          <t>Size</t>
        </is>
      </c>
      <c r="F1" s="216" t="inlineStr">
        <is>
          <t>Batch Production Type</t>
        </is>
      </c>
      <c r="G1" s="216" t="inlineStr">
        <is>
          <t>Batch Production Month</t>
        </is>
      </c>
      <c r="H1" s="75" t="inlineStr">
        <is>
          <t>Process</t>
        </is>
      </c>
      <c r="I1" s="258" t="inlineStr">
        <is>
          <t>PU</t>
        </is>
      </c>
      <c r="J1" s="237" t="n"/>
      <c r="K1" s="237" t="n"/>
      <c r="L1" s="237" t="n"/>
      <c r="M1" s="237" t="n"/>
      <c r="N1" s="237" t="n"/>
    </row>
    <row r="2" ht="65.84999999999999" customFormat="1" customHeight="1" s="53">
      <c r="A2" s="217" t="n"/>
      <c r="B2" s="217" t="n"/>
      <c r="C2" s="217" t="n"/>
      <c r="D2" s="217" t="n"/>
      <c r="E2" s="217" t="n"/>
      <c r="F2" s="217" t="n"/>
      <c r="G2" s="217" t="n"/>
      <c r="H2" s="76" t="inlineStr">
        <is>
          <t>参数英文名</t>
        </is>
      </c>
      <c r="I2" s="60" t="inlineStr">
        <is>
          <t>PU</t>
        </is>
      </c>
      <c r="J2" s="60" t="inlineStr">
        <is>
          <t>Pasteurization Time</t>
        </is>
      </c>
      <c r="K2" s="60" t="inlineStr">
        <is>
          <t>Highest Beer Temp</t>
        </is>
      </c>
      <c r="L2" s="60" t="inlineStr">
        <is>
          <t>Highest Water Temp</t>
        </is>
      </c>
      <c r="M2" s="60" t="inlineStr">
        <is>
          <t>BOT</t>
        </is>
      </c>
      <c r="N2" s="60" t="inlineStr">
        <is>
          <t>Cold Core Temp</t>
        </is>
      </c>
    </row>
    <row r="3" ht="65.84999999999999" customFormat="1" customHeight="1" s="53">
      <c r="A3" s="217" t="n"/>
      <c r="B3" s="217" t="n"/>
      <c r="C3" s="217" t="n"/>
      <c r="D3" s="217" t="n"/>
      <c r="E3" s="217" t="n"/>
      <c r="F3" s="217" t="n"/>
      <c r="G3" s="217" t="n"/>
      <c r="H3" s="76" t="inlineStr">
        <is>
          <t>参数中文名</t>
        </is>
      </c>
      <c r="I3" s="61" t="inlineStr">
        <is>
          <t>PU值</t>
        </is>
      </c>
      <c r="J3" s="61" t="inlineStr">
        <is>
          <t>杀菌时间</t>
        </is>
      </c>
      <c r="K3" s="61" t="inlineStr">
        <is>
          <t>最高酒温</t>
        </is>
      </c>
      <c r="L3" s="61" t="inlineStr">
        <is>
          <t>最高水温</t>
        </is>
      </c>
      <c r="M3" s="61" t="inlineStr">
        <is>
          <t>出口酒温</t>
        </is>
      </c>
      <c r="N3" s="61" t="inlineStr">
        <is>
          <t>冷核温度</t>
        </is>
      </c>
    </row>
    <row r="4" ht="65.84999999999999" customFormat="1" customHeight="1" s="53">
      <c r="A4" s="217" t="n"/>
      <c r="B4" s="217" t="n"/>
      <c r="C4" s="217" t="n"/>
      <c r="D4" s="217" t="n"/>
      <c r="E4" s="217" t="n"/>
      <c r="F4" s="217" t="n"/>
      <c r="G4" s="217" t="n"/>
      <c r="H4" s="76" t="inlineStr">
        <is>
          <t>Global</t>
        </is>
      </c>
      <c r="I4" s="61" t="n"/>
      <c r="J4" s="61" t="n"/>
      <c r="K4" s="61" t="n"/>
      <c r="L4" s="61" t="n"/>
      <c r="M4" s="61" t="n"/>
      <c r="N4" s="61" t="n"/>
    </row>
    <row r="5" hidden="1" s="241">
      <c r="A5" s="217" t="n"/>
      <c r="B5" s="217" t="n"/>
      <c r="C5" s="217" t="n"/>
      <c r="D5" s="217" t="n"/>
      <c r="E5" s="217" t="n"/>
      <c r="F5" s="217" t="n"/>
      <c r="G5" s="217" t="n"/>
      <c r="H5" s="220" t="inlineStr">
        <is>
          <t>DF代码</t>
        </is>
      </c>
      <c r="I5" s="64" t="n"/>
      <c r="J5" s="64" t="n"/>
      <c r="K5" s="64" t="n"/>
      <c r="L5" s="64" t="n"/>
      <c r="M5" s="64" t="n"/>
      <c r="N5" s="64" t="n"/>
    </row>
    <row r="6" hidden="1" s="241">
      <c r="A6" s="217" t="n"/>
      <c r="B6" s="217" t="n"/>
      <c r="C6" s="217" t="n"/>
      <c r="D6" s="217" t="n"/>
      <c r="E6" s="217" t="n"/>
      <c r="F6" s="217" t="n"/>
      <c r="G6" s="217" t="n"/>
      <c r="H6" s="220" t="inlineStr">
        <is>
          <t>DF中文</t>
        </is>
      </c>
      <c r="I6" s="64" t="n"/>
      <c r="J6" s="64" t="n"/>
      <c r="K6" s="64" t="n"/>
      <c r="L6" s="64" t="n"/>
      <c r="M6" s="64" t="n"/>
      <c r="N6" s="64" t="n"/>
    </row>
    <row r="7">
      <c r="A7" s="217" t="n"/>
      <c r="B7" s="217" t="n"/>
      <c r="C7" s="217" t="n"/>
      <c r="D7" s="217" t="n"/>
      <c r="E7" s="217" t="n"/>
      <c r="F7" s="217" t="n"/>
      <c r="G7" s="217" t="n"/>
      <c r="H7" s="220" t="inlineStr">
        <is>
          <t>数据源</t>
        </is>
      </c>
      <c r="I7" s="64" t="inlineStr">
        <is>
          <t>LIMS</t>
        </is>
      </c>
      <c r="J7" s="64" t="inlineStr">
        <is>
          <t>LIMS</t>
        </is>
      </c>
      <c r="K7" s="64" t="inlineStr">
        <is>
          <t>LIMS</t>
        </is>
      </c>
      <c r="L7" s="64" t="inlineStr">
        <is>
          <t>LIMS</t>
        </is>
      </c>
      <c r="M7" s="64" t="inlineStr">
        <is>
          <t>LIMS</t>
        </is>
      </c>
      <c r="N7" s="64" t="inlineStr">
        <is>
          <t>LIMS</t>
        </is>
      </c>
    </row>
    <row r="8" ht="24" customHeight="1" s="241">
      <c r="A8" s="217" t="n"/>
      <c r="B8" s="217" t="n"/>
      <c r="C8" s="217" t="n"/>
      <c r="D8" s="217" t="n"/>
      <c r="E8" s="217" t="n"/>
      <c r="F8" s="217" t="n"/>
      <c r="G8" s="217" t="n"/>
      <c r="H8" s="221" t="inlineStr">
        <is>
          <t>是否Sensory PI展示</t>
        </is>
      </c>
      <c r="I8" s="64" t="inlineStr">
        <is>
          <t>Y</t>
        </is>
      </c>
      <c r="J8" s="64" t="inlineStr">
        <is>
          <t>Y</t>
        </is>
      </c>
      <c r="K8" s="64" t="n"/>
      <c r="L8" s="64" t="n"/>
      <c r="M8" s="64" t="inlineStr">
        <is>
          <t>Y</t>
        </is>
      </c>
      <c r="N8" s="64" t="n"/>
    </row>
    <row r="9">
      <c r="A9" s="217" t="n"/>
      <c r="B9" s="217" t="n"/>
      <c r="C9" s="217" t="n"/>
      <c r="D9" s="217" t="n"/>
      <c r="E9" s="217" t="n"/>
      <c r="F9" s="217" t="n"/>
      <c r="G9" s="217" t="n"/>
      <c r="H9" s="221" t="inlineStr">
        <is>
          <t>是否为Key PI</t>
        </is>
      </c>
      <c r="I9" s="64" t="inlineStr">
        <is>
          <t>Y</t>
        </is>
      </c>
      <c r="J9" s="64" t="inlineStr">
        <is>
          <t>Y</t>
        </is>
      </c>
      <c r="K9" s="64" t="n"/>
      <c r="L9" s="64" t="n"/>
      <c r="M9" s="64" t="inlineStr">
        <is>
          <t>Y</t>
        </is>
      </c>
      <c r="N9" s="64" t="n"/>
    </row>
    <row r="10" ht="30" customHeight="1" s="241">
      <c r="A10" s="217" t="n"/>
      <c r="B10" s="217" t="n"/>
      <c r="C10" s="217" t="n"/>
      <c r="D10" s="217" t="n"/>
      <c r="E10" s="217" t="n"/>
      <c r="F10" s="217" t="n"/>
      <c r="G10" s="217" t="n"/>
      <c r="H10" s="220" t="inlineStr">
        <is>
          <t>是否点图展示</t>
        </is>
      </c>
      <c r="I10" s="64" t="inlineStr">
        <is>
          <t>Y</t>
        </is>
      </c>
      <c r="J10" s="77" t="inlineStr">
        <is>
          <t>Y</t>
        </is>
      </c>
      <c r="K10" s="64" t="n"/>
      <c r="L10" s="64" t="n"/>
      <c r="M10" s="64" t="inlineStr">
        <is>
          <t>Y</t>
        </is>
      </c>
      <c r="N10" s="64" t="n"/>
    </row>
    <row r="11">
      <c r="A11" s="218" t="n"/>
      <c r="B11" s="218" t="n"/>
      <c r="C11" s="218" t="n"/>
      <c r="D11" s="218" t="n"/>
      <c r="E11" s="218" t="n"/>
      <c r="F11" s="218" t="n"/>
      <c r="G11" s="218" t="n"/>
      <c r="H11" s="76" t="inlineStr">
        <is>
          <t>Unit</t>
        </is>
      </c>
      <c r="I11" s="69" t="n"/>
      <c r="J11" s="70" t="inlineStr">
        <is>
          <t>min</t>
        </is>
      </c>
      <c r="K11" s="70" t="inlineStr">
        <is>
          <t>*C</t>
        </is>
      </c>
      <c r="L11" s="70" t="inlineStr">
        <is>
          <t>*C</t>
        </is>
      </c>
      <c r="M11" s="70" t="inlineStr">
        <is>
          <t>*C</t>
        </is>
      </c>
      <c r="N11" s="70" t="inlineStr">
        <is>
          <t>*C</t>
        </is>
      </c>
    </row>
    <row r="12">
      <c r="F12" s="73" t="n"/>
      <c r="G12" s="74" t="n"/>
    </row>
    <row r="13">
      <c r="F13" s="73" t="n"/>
      <c r="G13" s="74" t="n"/>
    </row>
    <row r="14">
      <c r="F14" s="73" t="n"/>
      <c r="G14" s="74" t="n"/>
    </row>
    <row r="15">
      <c r="F15" s="73" t="n"/>
      <c r="G15" s="74" t="n"/>
    </row>
    <row r="16">
      <c r="F16" s="73" t="n"/>
      <c r="G16" s="74" t="n"/>
    </row>
    <row r="17">
      <c r="F17" s="73" t="n"/>
      <c r="G17" s="74" t="n"/>
    </row>
    <row r="18">
      <c r="F18" s="73" t="n"/>
      <c r="G18" s="74" t="n"/>
    </row>
  </sheetData>
  <mergeCells count="8">
    <mergeCell ref="C1:C11"/>
    <mergeCell ref="B1:B11"/>
    <mergeCell ref="G1:G11"/>
    <mergeCell ref="E1:E11"/>
    <mergeCell ref="I1:N1"/>
    <mergeCell ref="A1:A11"/>
    <mergeCell ref="D1:D11"/>
    <mergeCell ref="F1:F11"/>
  </mergeCells>
  <conditionalFormatting sqref="I8:J9">
    <cfRule type="cellIs" priority="5" operator="equal" dxfId="4">
      <formula>"N"</formula>
    </cfRule>
    <cfRule type="cellIs" priority="6" operator="equal" dxfId="0">
      <formula>"Y"</formula>
    </cfRule>
  </conditionalFormatting>
  <conditionalFormatting sqref="I10:N10">
    <cfRule type="cellIs" priority="19" operator="equal" dxfId="4">
      <formula>"N"</formula>
    </cfRule>
    <cfRule type="cellIs" priority="20" operator="equal" dxfId="0">
      <formula>"Y"</formula>
    </cfRule>
  </conditionalFormatting>
  <conditionalFormatting sqref="M8:M9">
    <cfRule type="cellIs" priority="1" operator="equal" dxfId="4">
      <formula>"N"</formula>
    </cfRule>
    <cfRule type="cellIs" priority="2" operator="equal" dxfId="0">
      <formula>"Y"</formula>
    </cfRule>
  </conditionalFormatting>
  <dataValidations count="2">
    <dataValidation sqref="I8:J9 I10:N10 M8:M9" showDropDown="0" showInputMessage="1" showErrorMessage="1" allowBlank="1" type="list">
      <formula1>"Y,N"</formula1>
    </dataValidation>
    <dataValidation sqref="F12:F1048576" showDropDown="0" showInputMessage="1" showErrorMessage="1" allowBlank="1" type="list">
      <formula1>"MCS,Test,Propagation"</formula1>
    </dataValidation>
  </dataValidation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2" sqref="A12"/>
    </sheetView>
  </sheetViews>
  <sheetFormatPr baseColWidth="8" defaultColWidth="9" defaultRowHeight="15"/>
  <cols>
    <col width="15.42578125" customWidth="1" style="241" min="1" max="1"/>
    <col width="15.42578125" customWidth="1" style="54" min="2" max="2"/>
    <col width="15.42578125" customWidth="1" style="241" min="3" max="3"/>
    <col width="11.85546875" customWidth="1" style="241" min="4" max="6"/>
    <col width="8" customWidth="1" style="55" min="7" max="7"/>
    <col width="8.28515625" customWidth="1" style="55" min="8" max="8"/>
    <col width="12.85546875" customWidth="1" style="42" min="9" max="9"/>
    <col width="10.42578125" customWidth="1" style="241" min="10" max="13"/>
  </cols>
  <sheetData>
    <row r="1" ht="14.85" customHeight="1" s="241">
      <c r="A1" s="220" t="inlineStr">
        <is>
          <t>Brewery</t>
        </is>
      </c>
      <c r="B1" s="247" t="inlineStr">
        <is>
          <t>Sampling Date</t>
        </is>
      </c>
      <c r="C1" s="220" t="inlineStr">
        <is>
          <t>Brand</t>
        </is>
      </c>
      <c r="D1" s="220" t="inlineStr">
        <is>
          <t>Packaging Line</t>
        </is>
      </c>
      <c r="E1" s="220" t="inlineStr">
        <is>
          <t>Bottle Resource</t>
        </is>
      </c>
      <c r="F1" s="220" t="inlineStr">
        <is>
          <t>Caustic Vessel No.</t>
        </is>
      </c>
      <c r="G1" s="216" t="inlineStr">
        <is>
          <t>Batch Production Type</t>
        </is>
      </c>
      <c r="H1" s="216" t="inlineStr">
        <is>
          <t>Batch Production Month</t>
        </is>
      </c>
      <c r="I1" s="75" t="inlineStr">
        <is>
          <t>Process</t>
        </is>
      </c>
      <c r="J1" s="255" t="inlineStr">
        <is>
          <t>Bottle Washer</t>
        </is>
      </c>
      <c r="K1" s="237" t="n"/>
      <c r="L1" s="237" t="n"/>
      <c r="M1" s="237" t="n"/>
    </row>
    <row r="2" ht="65.84999999999999" customFormat="1" customHeight="1" s="53">
      <c r="A2" s="217" t="n"/>
      <c r="B2" s="217" t="n"/>
      <c r="C2" s="217" t="n"/>
      <c r="D2" s="217" t="n"/>
      <c r="E2" s="217" t="n"/>
      <c r="F2" s="217" t="n"/>
      <c r="G2" s="217" t="n"/>
      <c r="H2" s="217" t="n"/>
      <c r="I2" s="76" t="inlineStr">
        <is>
          <t>参数英文名</t>
        </is>
      </c>
      <c r="J2" s="60" t="inlineStr">
        <is>
          <t>Caustic % in Line</t>
        </is>
      </c>
      <c r="K2" s="60" t="inlineStr">
        <is>
          <t>Total Caustic %</t>
        </is>
      </c>
      <c r="L2" s="60" t="inlineStr">
        <is>
          <t>Effective Caustic %</t>
        </is>
      </c>
      <c r="M2" s="60" t="inlineStr">
        <is>
          <t xml:space="preserve"> Rinse water pressure</t>
        </is>
      </c>
    </row>
    <row r="3" ht="39.95" customFormat="1" customHeight="1" s="53">
      <c r="A3" s="217" t="n"/>
      <c r="B3" s="217" t="n"/>
      <c r="C3" s="217" t="n"/>
      <c r="D3" s="217" t="n"/>
      <c r="E3" s="217" t="n"/>
      <c r="F3" s="217" t="n"/>
      <c r="G3" s="217" t="n"/>
      <c r="H3" s="217" t="n"/>
      <c r="I3" s="76" t="inlineStr">
        <is>
          <t>参数中文名</t>
        </is>
      </c>
      <c r="J3" s="61" t="inlineStr">
        <is>
          <t>在线碱浓</t>
        </is>
      </c>
      <c r="K3" s="61" t="inlineStr">
        <is>
          <t>总碱浓</t>
        </is>
      </c>
      <c r="L3" s="61" t="inlineStr">
        <is>
          <t>有效碱浓</t>
        </is>
      </c>
      <c r="M3" s="61" t="inlineStr">
        <is>
          <t>冲瓶水压力</t>
        </is>
      </c>
    </row>
    <row r="4" ht="38.85" customFormat="1" customHeight="1" s="53">
      <c r="A4" s="217" t="n"/>
      <c r="B4" s="217" t="n"/>
      <c r="C4" s="217" t="n"/>
      <c r="D4" s="217" t="n"/>
      <c r="E4" s="217" t="n"/>
      <c r="F4" s="217" t="n"/>
      <c r="G4" s="217" t="n"/>
      <c r="H4" s="217" t="n"/>
      <c r="I4" s="76" t="inlineStr">
        <is>
          <t>Global</t>
        </is>
      </c>
      <c r="J4" s="61" t="n"/>
      <c r="K4" s="61" t="n"/>
      <c r="L4" s="61" t="n"/>
      <c r="M4" s="61" t="n"/>
    </row>
    <row r="5" hidden="1" ht="65.84999999999999" customFormat="1" customHeight="1" s="53">
      <c r="A5" s="217" t="n"/>
      <c r="B5" s="217" t="n"/>
      <c r="C5" s="217" t="n"/>
      <c r="D5" s="217" t="n"/>
      <c r="E5" s="217" t="n"/>
      <c r="F5" s="217" t="n"/>
      <c r="G5" s="217" t="n"/>
      <c r="H5" s="217" t="n"/>
      <c r="I5" s="220" t="inlineStr">
        <is>
          <t>DF代码</t>
        </is>
      </c>
      <c r="J5" s="61" t="n"/>
      <c r="K5" s="61" t="n"/>
      <c r="L5" s="61" t="n"/>
      <c r="M5" s="61" t="n"/>
    </row>
    <row r="6" hidden="1" s="241">
      <c r="A6" s="217" t="n"/>
      <c r="B6" s="217" t="n"/>
      <c r="C6" s="217" t="n"/>
      <c r="D6" s="217" t="n"/>
      <c r="E6" s="217" t="n"/>
      <c r="F6" s="217" t="n"/>
      <c r="G6" s="217" t="n"/>
      <c r="H6" s="217" t="n"/>
      <c r="I6" s="220" t="inlineStr">
        <is>
          <t>DF中文</t>
        </is>
      </c>
      <c r="J6" s="61" t="n"/>
      <c r="K6" s="61" t="n"/>
      <c r="L6" s="61" t="n"/>
      <c r="M6" s="61" t="n"/>
    </row>
    <row r="7">
      <c r="A7" s="217" t="n"/>
      <c r="B7" s="217" t="n"/>
      <c r="C7" s="217" t="n"/>
      <c r="D7" s="217" t="n"/>
      <c r="E7" s="217" t="n"/>
      <c r="F7" s="217" t="n"/>
      <c r="G7" s="217" t="n"/>
      <c r="H7" s="217" t="n"/>
      <c r="I7" s="220" t="inlineStr">
        <is>
          <t>数据源</t>
        </is>
      </c>
      <c r="J7" s="64" t="inlineStr">
        <is>
          <t>LIMS</t>
        </is>
      </c>
      <c r="K7" s="64" t="inlineStr">
        <is>
          <t>LIMS</t>
        </is>
      </c>
      <c r="L7" s="64" t="inlineStr">
        <is>
          <t>LIMS</t>
        </is>
      </c>
      <c r="M7" s="64" t="n"/>
    </row>
    <row r="8" ht="24" customHeight="1" s="241">
      <c r="A8" s="217" t="n"/>
      <c r="B8" s="217" t="n"/>
      <c r="C8" s="217" t="n"/>
      <c r="D8" s="217" t="n"/>
      <c r="E8" s="217" t="n"/>
      <c r="F8" s="217" t="n"/>
      <c r="G8" s="217" t="n"/>
      <c r="H8" s="217" t="n"/>
      <c r="I8" s="221" t="inlineStr">
        <is>
          <t>是否Sensory PI展示</t>
        </is>
      </c>
      <c r="J8" s="64" t="n"/>
      <c r="K8" s="64" t="n"/>
      <c r="L8" s="64" t="n"/>
      <c r="M8" s="64" t="inlineStr">
        <is>
          <t>Y</t>
        </is>
      </c>
    </row>
    <row r="9">
      <c r="A9" s="217" t="n"/>
      <c r="B9" s="217" t="n"/>
      <c r="C9" s="217" t="n"/>
      <c r="D9" s="217" t="n"/>
      <c r="E9" s="217" t="n"/>
      <c r="F9" s="217" t="n"/>
      <c r="G9" s="217" t="n"/>
      <c r="H9" s="217" t="n"/>
      <c r="I9" s="221" t="inlineStr">
        <is>
          <t>是否为Key PI</t>
        </is>
      </c>
      <c r="J9" s="64" t="n"/>
      <c r="K9" s="64" t="n"/>
      <c r="L9" s="64" t="n"/>
      <c r="M9" s="64" t="inlineStr">
        <is>
          <t>Y</t>
        </is>
      </c>
    </row>
    <row r="10" ht="30" customHeight="1" s="241">
      <c r="A10" s="217" t="n"/>
      <c r="B10" s="217" t="n"/>
      <c r="C10" s="217" t="n"/>
      <c r="D10" s="217" t="n"/>
      <c r="E10" s="217" t="n"/>
      <c r="F10" s="217" t="n"/>
      <c r="G10" s="217" t="n"/>
      <c r="H10" s="217" t="n"/>
      <c r="I10" s="220" t="inlineStr">
        <is>
          <t>是否点图展示</t>
        </is>
      </c>
      <c r="J10" s="64" t="n"/>
      <c r="K10" s="64" t="n"/>
      <c r="L10" s="64" t="inlineStr">
        <is>
          <t>Y</t>
        </is>
      </c>
      <c r="M10" s="64" t="n"/>
    </row>
    <row r="11">
      <c r="A11" s="218" t="n"/>
      <c r="B11" s="218" t="n"/>
      <c r="C11" s="218" t="n"/>
      <c r="D11" s="218" t="n"/>
      <c r="E11" s="218" t="n"/>
      <c r="F11" s="218" t="n"/>
      <c r="G11" s="218" t="n"/>
      <c r="H11" s="218" t="n"/>
      <c r="I11" s="76" t="inlineStr">
        <is>
          <t>Unit</t>
        </is>
      </c>
      <c r="J11" s="70" t="inlineStr">
        <is>
          <t>%</t>
        </is>
      </c>
      <c r="K11" s="70" t="inlineStr">
        <is>
          <t>%</t>
        </is>
      </c>
      <c r="L11" s="70" t="inlineStr">
        <is>
          <t>%</t>
        </is>
      </c>
      <c r="M11" s="70" t="inlineStr">
        <is>
          <t>Bar</t>
        </is>
      </c>
    </row>
    <row r="12">
      <c r="G12" s="73" t="n"/>
      <c r="H12" s="74" t="n"/>
    </row>
    <row r="13">
      <c r="G13" s="73" t="n"/>
      <c r="H13" s="74" t="n"/>
    </row>
    <row r="14">
      <c r="G14" s="73" t="n"/>
      <c r="H14" s="74" t="n"/>
    </row>
    <row r="15">
      <c r="G15" s="73" t="n"/>
      <c r="H15" s="74" t="n"/>
    </row>
    <row r="16">
      <c r="G16" s="73" t="n"/>
      <c r="H16" s="74" t="n"/>
    </row>
    <row r="17">
      <c r="G17" s="73" t="n"/>
      <c r="H17" s="74" t="n"/>
    </row>
    <row r="18">
      <c r="G18" s="73" t="n"/>
      <c r="H18" s="74" t="n"/>
    </row>
  </sheetData>
  <mergeCells count="9">
    <mergeCell ref="C1:C11"/>
    <mergeCell ref="B1:B11"/>
    <mergeCell ref="G1:G11"/>
    <mergeCell ref="E1:E11"/>
    <mergeCell ref="J1:M1"/>
    <mergeCell ref="H1:H11"/>
    <mergeCell ref="A1:A11"/>
    <mergeCell ref="D1:D11"/>
    <mergeCell ref="F1:F11"/>
  </mergeCells>
  <conditionalFormatting sqref="J10:M10">
    <cfRule type="cellIs" priority="9" operator="equal" dxfId="4">
      <formula>"N"</formula>
    </cfRule>
    <cfRule type="cellIs" priority="10" operator="equal" dxfId="0">
      <formula>"Y"</formula>
    </cfRule>
  </conditionalFormatting>
  <conditionalFormatting sqref="M8:M9">
    <cfRule type="cellIs" priority="1" operator="equal" dxfId="4">
      <formula>"N"</formula>
    </cfRule>
    <cfRule type="cellIs" priority="2" operator="equal" dxfId="0">
      <formula>"Y"</formula>
    </cfRule>
  </conditionalFormatting>
  <conditionalFormatting sqref="M11">
    <cfRule type="cellIs" priority="5" operator="equal" dxfId="4">
      <formula>"N"</formula>
    </cfRule>
    <cfRule type="cellIs" priority="6" operator="equal" dxfId="0">
      <formula>"Y"</formula>
    </cfRule>
  </conditionalFormatting>
  <dataValidations count="2">
    <dataValidation sqref="J10:M10 M8:M9" showDropDown="0" showInputMessage="1" showErrorMessage="1" allowBlank="1" type="list">
      <formula1>"Y,N"</formula1>
    </dataValidation>
    <dataValidation sqref="G12:G1048576" showDropDown="0" showInputMessage="1" showErrorMessage="1" allowBlank="1" type="list">
      <formula1>"MCS,Test,Propagation"</formula1>
    </dataValidation>
  </dataValidation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L18"/>
  <sheetViews>
    <sheetView workbookViewId="0">
      <pane xSplit="9" ySplit="11" topLeftCell="J12" activePane="bottomRight" state="frozen"/>
      <selection pane="topRight" activeCell="A1" sqref="A1"/>
      <selection pane="bottomLeft" activeCell="A1" sqref="A1"/>
      <selection pane="bottomRight" activeCell="A12" sqref="A12"/>
    </sheetView>
  </sheetViews>
  <sheetFormatPr baseColWidth="8" defaultColWidth="9" defaultRowHeight="15"/>
  <cols>
    <col width="9" customWidth="1" style="241" min="1" max="1"/>
    <col width="8.85546875" customWidth="1" style="54" min="2" max="2"/>
    <col width="5.85546875" customWidth="1" style="241" min="3" max="3"/>
    <col width="10" customWidth="1" style="241" min="4" max="4"/>
    <col width="11" customWidth="1" style="241" min="5" max="5"/>
    <col width="11.85546875" customWidth="1" style="241" min="6" max="6"/>
    <col width="8" customWidth="1" style="55" min="7" max="7"/>
    <col width="8.28515625" customWidth="1" style="55" min="8" max="8"/>
    <col width="12.85546875" customWidth="1" style="42" min="9" max="9"/>
    <col width="10.42578125" customWidth="1" style="42" min="19" max="19"/>
    <col width="10.42578125" customWidth="1" style="241" min="20" max="20"/>
    <col width="10.42578125" customWidth="1" style="241" min="22" max="26"/>
  </cols>
  <sheetData>
    <row r="1" ht="14.85" customHeight="1" s="241">
      <c r="A1" s="220" t="inlineStr">
        <is>
          <t>Brewery</t>
        </is>
      </c>
      <c r="B1" s="247" t="inlineStr">
        <is>
          <t>Pacakged Date</t>
        </is>
      </c>
      <c r="C1" s="220" t="inlineStr">
        <is>
          <t>Brand</t>
        </is>
      </c>
      <c r="D1" s="220" t="inlineStr">
        <is>
          <t>Standard OG</t>
        </is>
      </c>
      <c r="E1" s="220" t="inlineStr">
        <is>
          <t>Shipment date</t>
        </is>
      </c>
      <c r="F1" s="220" t="inlineStr">
        <is>
          <t>Packaging type</t>
        </is>
      </c>
      <c r="G1" s="216" t="inlineStr">
        <is>
          <t>Batch Production Type</t>
        </is>
      </c>
      <c r="H1" s="216" t="inlineStr">
        <is>
          <t>Batch Production Month</t>
        </is>
      </c>
      <c r="I1" s="221" t="inlineStr">
        <is>
          <t>Process</t>
        </is>
      </c>
      <c r="J1" s="248" t="inlineStr">
        <is>
          <t>Finish Beer</t>
        </is>
      </c>
      <c r="K1" s="211" t="n"/>
      <c r="L1" s="211" t="n"/>
      <c r="M1" s="211" t="n"/>
      <c r="N1" s="211" t="n"/>
      <c r="O1" s="211" t="n"/>
      <c r="P1" s="211" t="n"/>
      <c r="Q1" s="211" t="n"/>
      <c r="R1" s="211" t="n"/>
      <c r="S1" s="211" t="n"/>
      <c r="T1" s="211" t="n"/>
      <c r="U1" s="211" t="n"/>
      <c r="V1" s="211" t="n"/>
      <c r="W1" s="211" t="n"/>
      <c r="X1" s="211" t="n"/>
      <c r="Y1" s="211" t="n"/>
      <c r="Z1" s="211" t="n"/>
      <c r="AA1" s="211" t="n"/>
      <c r="AB1" s="211" t="n"/>
      <c r="AC1" s="211" t="n"/>
      <c r="AD1" s="211" t="n"/>
      <c r="AE1" s="211" t="n"/>
      <c r="AF1" s="211" t="n"/>
      <c r="AG1" s="211" t="n"/>
      <c r="AH1" s="211" t="n"/>
      <c r="AI1" s="211" t="n"/>
      <c r="AJ1" s="211" t="n"/>
      <c r="AK1" s="214" t="n"/>
      <c r="AL1" s="58" t="inlineStr">
        <is>
          <t>BCM</t>
        </is>
      </c>
    </row>
    <row r="2" ht="65.84999999999999" customFormat="1" customHeight="1" s="53">
      <c r="A2" s="217" t="n"/>
      <c r="B2" s="217" t="n"/>
      <c r="C2" s="217" t="n"/>
      <c r="D2" s="217" t="n"/>
      <c r="E2" s="217" t="n"/>
      <c r="F2" s="217" t="n"/>
      <c r="G2" s="217" t="n"/>
      <c r="H2" s="217" t="n"/>
      <c r="I2" s="59" t="inlineStr">
        <is>
          <t>参数英文名</t>
        </is>
      </c>
      <c r="J2" s="60" t="inlineStr">
        <is>
          <t>OE</t>
        </is>
      </c>
      <c r="K2" s="60" t="inlineStr">
        <is>
          <t>AE</t>
        </is>
      </c>
      <c r="L2" s="60" t="inlineStr">
        <is>
          <t>RDF</t>
        </is>
      </c>
      <c r="M2" s="60" t="inlineStr">
        <is>
          <t>ABV</t>
        </is>
      </c>
      <c r="N2" s="60" t="inlineStr">
        <is>
          <t>Color</t>
        </is>
      </c>
      <c r="O2" s="60" t="inlineStr">
        <is>
          <t>Color-L</t>
        </is>
      </c>
      <c r="P2" s="60" t="inlineStr">
        <is>
          <t>Color-A</t>
        </is>
      </c>
      <c r="Q2" s="60" t="inlineStr">
        <is>
          <t>Color-B</t>
        </is>
      </c>
      <c r="R2" s="60" t="inlineStr">
        <is>
          <t>pH</t>
        </is>
      </c>
      <c r="S2" s="60" t="inlineStr">
        <is>
          <t>Bitterness</t>
        </is>
      </c>
      <c r="T2" s="60" t="inlineStr">
        <is>
          <t>Foam</t>
        </is>
      </c>
      <c r="U2" s="60" t="inlineStr">
        <is>
          <t>CO2</t>
        </is>
      </c>
      <c r="V2" s="60" t="inlineStr">
        <is>
          <t>Haze @ 90°</t>
        </is>
      </c>
      <c r="W2" s="60" t="inlineStr">
        <is>
          <t>Forcing Test</t>
        </is>
      </c>
      <c r="X2" s="60" t="inlineStr">
        <is>
          <t>Iron</t>
        </is>
      </c>
      <c r="Y2" s="60" t="inlineStr">
        <is>
          <t>SO2</t>
        </is>
      </c>
      <c r="Z2" s="60" t="inlineStr">
        <is>
          <t>SO2 loss</t>
        </is>
      </c>
      <c r="AA2" s="60" t="inlineStr">
        <is>
          <t>Diacetyl</t>
        </is>
      </c>
      <c r="AB2" s="60" t="inlineStr">
        <is>
          <t xml:space="preserve">Pentanedione </t>
        </is>
      </c>
      <c r="AC2" s="60" t="inlineStr">
        <is>
          <t>Acetaldehyde</t>
        </is>
      </c>
      <c r="AD2" s="60" t="inlineStr">
        <is>
          <t>Calcium</t>
        </is>
      </c>
      <c r="AE2" s="60" t="inlineStr">
        <is>
          <t>Protein</t>
        </is>
      </c>
      <c r="AF2" s="60" t="inlineStr">
        <is>
          <t>Polyphenols</t>
        </is>
      </c>
      <c r="AG2" s="60" t="inlineStr">
        <is>
          <t>DMS</t>
        </is>
      </c>
      <c r="AH2" s="60" t="inlineStr">
        <is>
          <t>FAN</t>
        </is>
      </c>
      <c r="AI2" s="60" t="inlineStr">
        <is>
          <t>4VG</t>
        </is>
      </c>
      <c r="AJ2" s="60" t="inlineStr">
        <is>
          <t>Linaloop</t>
        </is>
      </c>
      <c r="AK2" s="60" t="inlineStr">
        <is>
          <t>Shipment date</t>
        </is>
      </c>
      <c r="AL2" s="60" t="inlineStr">
        <is>
          <t>BCM</t>
        </is>
      </c>
    </row>
    <row r="3" ht="65.84999999999999" customFormat="1" customHeight="1" s="53">
      <c r="A3" s="217" t="n"/>
      <c r="B3" s="217" t="n"/>
      <c r="C3" s="217" t="n"/>
      <c r="D3" s="217" t="n"/>
      <c r="E3" s="217" t="n"/>
      <c r="F3" s="217" t="n"/>
      <c r="G3" s="217" t="n"/>
      <c r="H3" s="217" t="n"/>
      <c r="I3" s="59" t="inlineStr">
        <is>
          <t>参数中文名</t>
        </is>
      </c>
      <c r="J3" s="61" t="inlineStr">
        <is>
          <t>原浓</t>
        </is>
      </c>
      <c r="K3" s="61" t="inlineStr">
        <is>
          <t>外观糖度</t>
        </is>
      </c>
      <c r="L3" s="61" t="inlineStr">
        <is>
          <t>发酵度</t>
        </is>
      </c>
      <c r="M3" s="61" t="inlineStr">
        <is>
          <t>酒精度</t>
        </is>
      </c>
      <c r="N3" s="61" t="inlineStr">
        <is>
          <t>色度</t>
        </is>
      </c>
      <c r="O3" s="61" t="inlineStr">
        <is>
          <t>色度L</t>
        </is>
      </c>
      <c r="P3" s="61" t="inlineStr">
        <is>
          <t>色度A</t>
        </is>
      </c>
      <c r="Q3" s="61" t="inlineStr">
        <is>
          <t>色度B</t>
        </is>
      </c>
      <c r="R3" s="61" t="inlineStr">
        <is>
          <t>pH</t>
        </is>
      </c>
      <c r="S3" s="61" t="inlineStr">
        <is>
          <t>苦味质</t>
        </is>
      </c>
      <c r="T3" s="61" t="inlineStr">
        <is>
          <t>泡持</t>
        </is>
      </c>
      <c r="U3" s="61" t="inlineStr">
        <is>
          <t>CO2</t>
        </is>
      </c>
      <c r="V3" s="61" t="inlineStr">
        <is>
          <t>浊度 @ 90°</t>
        </is>
      </c>
      <c r="W3" s="61" t="inlineStr">
        <is>
          <t>强化浊度</t>
        </is>
      </c>
      <c r="X3" s="61" t="inlineStr">
        <is>
          <t>铁</t>
        </is>
      </c>
      <c r="Y3" s="61" t="inlineStr">
        <is>
          <t>SO2</t>
        </is>
      </c>
      <c r="Z3" s="61" t="inlineStr">
        <is>
          <t>SO2损失</t>
        </is>
      </c>
      <c r="AA3" s="61" t="inlineStr">
        <is>
          <t>双乙酰</t>
        </is>
      </c>
      <c r="AB3" s="61" t="inlineStr">
        <is>
          <t>戊二酮</t>
        </is>
      </c>
      <c r="AC3" s="61" t="inlineStr">
        <is>
          <t>乙醛</t>
        </is>
      </c>
      <c r="AD3" s="61" t="inlineStr">
        <is>
          <t>钙</t>
        </is>
      </c>
      <c r="AE3" s="61" t="inlineStr">
        <is>
          <t>蛋白</t>
        </is>
      </c>
      <c r="AF3" s="61" t="inlineStr">
        <is>
          <t>多酚</t>
        </is>
      </c>
      <c r="AG3" s="61" t="inlineStr">
        <is>
          <t>二甲基硫</t>
        </is>
      </c>
      <c r="AH3" s="61" t="inlineStr">
        <is>
          <t>氨基氮</t>
        </is>
      </c>
      <c r="AI3" s="61" t="inlineStr">
        <is>
          <t>4VG</t>
        </is>
      </c>
      <c r="AJ3" s="61" t="inlineStr">
        <is>
          <t>里纳醇</t>
        </is>
      </c>
      <c r="AK3" s="233" t="inlineStr">
        <is>
          <t>寄样日期</t>
        </is>
      </c>
      <c r="AL3" s="63" t="inlineStr">
        <is>
          <t>啤酒接触材料</t>
        </is>
      </c>
    </row>
    <row r="4" ht="65.84999999999999" customFormat="1" customHeight="1" s="53">
      <c r="A4" s="217" t="n"/>
      <c r="B4" s="217" t="n"/>
      <c r="C4" s="217" t="n"/>
      <c r="D4" s="217" t="n"/>
      <c r="E4" s="217" t="n"/>
      <c r="F4" s="217" t="n"/>
      <c r="G4" s="217" t="n"/>
      <c r="H4" s="217" t="n"/>
      <c r="I4" s="59" t="inlineStr">
        <is>
          <t>Global</t>
        </is>
      </c>
      <c r="J4" s="61" t="n"/>
      <c r="K4" s="60" t="inlineStr">
        <is>
          <t>Apparent extract</t>
        </is>
      </c>
      <c r="L4" s="60" t="inlineStr">
        <is>
          <t>RDF</t>
        </is>
      </c>
      <c r="M4" s="61" t="n"/>
      <c r="N4" s="60" t="inlineStr">
        <is>
          <t>Color</t>
        </is>
      </c>
      <c r="O4" s="61" t="n"/>
      <c r="P4" s="61" t="n"/>
      <c r="Q4" s="61" t="n"/>
      <c r="R4" s="61" t="n"/>
      <c r="S4" s="60" t="inlineStr">
        <is>
          <t>Bitterness</t>
        </is>
      </c>
      <c r="T4" s="60" t="inlineStr">
        <is>
          <t>Foam stability</t>
        </is>
      </c>
      <c r="U4" s="60" t="inlineStr">
        <is>
          <t>CO2 Content</t>
        </is>
      </c>
      <c r="V4" s="60" t="inlineStr">
        <is>
          <t>Haze @ 90°</t>
        </is>
      </c>
      <c r="W4" s="60" t="inlineStr">
        <is>
          <t>Haze Forcing Test</t>
        </is>
      </c>
      <c r="X4" s="60" t="inlineStr">
        <is>
          <t>Iron</t>
        </is>
      </c>
      <c r="Y4" s="60" t="inlineStr">
        <is>
          <t>SO2</t>
        </is>
      </c>
      <c r="Z4" s="61" t="n"/>
      <c r="AA4" s="60" t="inlineStr">
        <is>
          <t>Total Diacetyl</t>
        </is>
      </c>
      <c r="AB4" s="60" t="n"/>
      <c r="AC4" s="60" t="inlineStr">
        <is>
          <t>Acetaldehyde</t>
        </is>
      </c>
      <c r="AD4" s="60" t="inlineStr">
        <is>
          <t>Calcium</t>
        </is>
      </c>
      <c r="AE4" s="60" t="inlineStr">
        <is>
          <t>Protein</t>
        </is>
      </c>
      <c r="AF4" s="60" t="inlineStr">
        <is>
          <t>Polyphenols</t>
        </is>
      </c>
      <c r="AG4" s="60" t="inlineStr">
        <is>
          <t>DMS</t>
        </is>
      </c>
      <c r="AH4" s="61" t="n"/>
      <c r="AI4" s="61" t="n"/>
      <c r="AJ4" s="61" t="n"/>
      <c r="AK4" s="61" t="n"/>
      <c r="AL4" s="64" t="n"/>
    </row>
    <row r="5" hidden="1" ht="45.6" customFormat="1" customHeight="1" s="53">
      <c r="A5" s="217" t="n"/>
      <c r="B5" s="217" t="n"/>
      <c r="C5" s="217" t="n"/>
      <c r="D5" s="217" t="n"/>
      <c r="E5" s="217" t="n"/>
      <c r="F5" s="217" t="n"/>
      <c r="G5" s="217" t="n"/>
      <c r="H5" s="217" t="n"/>
      <c r="I5" s="221" t="inlineStr">
        <is>
          <t>DF代码</t>
        </is>
      </c>
      <c r="J5" s="61" t="n"/>
      <c r="K5" s="61" t="n"/>
      <c r="L5" s="61" t="n"/>
      <c r="M5" s="61" t="n"/>
      <c r="N5" s="61" t="n"/>
      <c r="O5" s="61" t="n"/>
      <c r="P5" s="61" t="n"/>
      <c r="Q5" s="61" t="n"/>
      <c r="R5" s="61" t="n"/>
      <c r="S5" s="61" t="n"/>
      <c r="T5" s="61" t="n"/>
      <c r="U5" s="61" t="n"/>
      <c r="V5" s="61" t="n"/>
      <c r="W5" s="61" t="n"/>
      <c r="X5" s="61" t="n"/>
      <c r="Y5" s="61" t="n"/>
      <c r="Z5" s="61" t="n"/>
      <c r="AA5" s="61" t="n"/>
      <c r="AB5" s="61" t="n"/>
      <c r="AC5" s="61" t="n"/>
      <c r="AD5" s="61" t="n"/>
      <c r="AE5" s="61" t="n"/>
      <c r="AF5" s="61" t="n"/>
      <c r="AG5" s="61" t="n"/>
      <c r="AH5" s="61" t="n"/>
      <c r="AI5" s="61" t="n"/>
      <c r="AJ5" s="61" t="n"/>
      <c r="AK5" s="61" t="n"/>
      <c r="AL5" s="64" t="n"/>
    </row>
    <row r="6" hidden="1" ht="14.25" customHeight="1" s="241">
      <c r="A6" s="217" t="n"/>
      <c r="B6" s="217" t="n"/>
      <c r="C6" s="217" t="n"/>
      <c r="D6" s="217" t="n"/>
      <c r="E6" s="217" t="n"/>
      <c r="F6" s="217" t="n"/>
      <c r="G6" s="217" t="n"/>
      <c r="H6" s="217" t="n"/>
      <c r="I6" s="65" t="inlineStr">
        <is>
          <t>DF中文</t>
        </is>
      </c>
      <c r="J6" s="64" t="n"/>
      <c r="K6" s="64" t="n"/>
      <c r="L6" s="64" t="n"/>
      <c r="M6" s="64" t="n"/>
      <c r="N6" s="64" t="n"/>
      <c r="O6" s="64" t="n"/>
      <c r="P6" s="64" t="n"/>
      <c r="Q6" s="64" t="n"/>
      <c r="R6" s="64" t="n"/>
      <c r="S6" s="64" t="n"/>
      <c r="T6" s="64" t="n"/>
      <c r="U6" s="64" t="n"/>
      <c r="V6" s="64" t="n"/>
      <c r="W6" s="64" t="n"/>
      <c r="X6" s="64" t="n"/>
      <c r="Y6" s="64" t="n"/>
      <c r="Z6" s="64" t="n"/>
      <c r="AA6" s="64" t="n"/>
      <c r="AB6" s="64" t="n"/>
      <c r="AC6" s="64" t="n"/>
      <c r="AD6" s="64" t="n"/>
      <c r="AE6" s="64" t="n"/>
      <c r="AF6" s="64" t="n"/>
      <c r="AG6" s="64" t="n"/>
      <c r="AH6" s="64" t="n"/>
      <c r="AI6" s="64" t="n"/>
      <c r="AJ6" s="64" t="n"/>
      <c r="AK6" s="64" t="n"/>
      <c r="AL6" s="66" t="n"/>
    </row>
    <row r="7">
      <c r="A7" s="217" t="n"/>
      <c r="B7" s="217" t="n"/>
      <c r="C7" s="217" t="n"/>
      <c r="D7" s="217" t="n"/>
      <c r="E7" s="217" t="n"/>
      <c r="F7" s="217" t="n"/>
      <c r="G7" s="217" t="n"/>
      <c r="H7" s="217" t="n"/>
      <c r="I7" s="65" t="inlineStr">
        <is>
          <t>数据源</t>
        </is>
      </c>
      <c r="J7" s="64" t="inlineStr">
        <is>
          <t>LIMS</t>
        </is>
      </c>
      <c r="K7" s="64" t="inlineStr">
        <is>
          <t>LIMS</t>
        </is>
      </c>
      <c r="L7" s="64" t="inlineStr">
        <is>
          <t>LIMS</t>
        </is>
      </c>
      <c r="M7" s="64" t="inlineStr">
        <is>
          <t>LIMS</t>
        </is>
      </c>
      <c r="N7" s="64" t="inlineStr">
        <is>
          <t>LIMS</t>
        </is>
      </c>
      <c r="O7" s="64" t="inlineStr">
        <is>
          <t>LIMS</t>
        </is>
      </c>
      <c r="P7" s="64" t="inlineStr">
        <is>
          <t>LIMS</t>
        </is>
      </c>
      <c r="Q7" s="64" t="inlineStr">
        <is>
          <t>LIMS</t>
        </is>
      </c>
      <c r="R7" s="64" t="inlineStr">
        <is>
          <t>LIMS</t>
        </is>
      </c>
      <c r="S7" s="64" t="inlineStr">
        <is>
          <t>LIMS</t>
        </is>
      </c>
      <c r="T7" s="64" t="inlineStr">
        <is>
          <t>LIMS</t>
        </is>
      </c>
      <c r="U7" s="64" t="inlineStr">
        <is>
          <t>LIMS</t>
        </is>
      </c>
      <c r="V7" s="64" t="inlineStr">
        <is>
          <t>LIMS</t>
        </is>
      </c>
      <c r="W7" s="64" t="inlineStr">
        <is>
          <t>LIMS</t>
        </is>
      </c>
      <c r="X7" s="64" t="inlineStr">
        <is>
          <t>LIMS</t>
        </is>
      </c>
      <c r="Y7" s="64" t="inlineStr">
        <is>
          <t>LIMS</t>
        </is>
      </c>
      <c r="Z7" s="64" t="inlineStr">
        <is>
          <t>LIMS</t>
        </is>
      </c>
      <c r="AA7" s="64" t="inlineStr">
        <is>
          <t>LIMS</t>
        </is>
      </c>
      <c r="AB7" s="64" t="n"/>
      <c r="AC7" s="64" t="inlineStr">
        <is>
          <t>LIMS</t>
        </is>
      </c>
      <c r="AD7" s="64" t="inlineStr">
        <is>
          <t>LIMS</t>
        </is>
      </c>
      <c r="AE7" s="64" t="inlineStr">
        <is>
          <t>LIMS</t>
        </is>
      </c>
      <c r="AF7" s="64" t="inlineStr">
        <is>
          <t>LIMS</t>
        </is>
      </c>
      <c r="AG7" s="64" t="inlineStr">
        <is>
          <t>LIMS</t>
        </is>
      </c>
      <c r="AH7" s="64" t="n"/>
      <c r="AI7" s="64" t="n"/>
      <c r="AJ7" s="64" t="n"/>
      <c r="AK7" s="64" t="n"/>
      <c r="AL7" s="66" t="n"/>
    </row>
    <row r="8" ht="24" customHeight="1" s="241">
      <c r="A8" s="217" t="n"/>
      <c r="B8" s="217" t="n"/>
      <c r="C8" s="217" t="n"/>
      <c r="D8" s="217" t="n"/>
      <c r="E8" s="217" t="n"/>
      <c r="F8" s="217" t="n"/>
      <c r="G8" s="217" t="n"/>
      <c r="H8" s="217" t="n"/>
      <c r="I8" s="221" t="inlineStr">
        <is>
          <t>是否Sensory PI展示</t>
        </is>
      </c>
      <c r="J8" s="64" t="inlineStr">
        <is>
          <t>Y</t>
        </is>
      </c>
      <c r="K8" s="64" t="inlineStr">
        <is>
          <t>Y</t>
        </is>
      </c>
      <c r="L8" s="64" t="inlineStr">
        <is>
          <t>Y</t>
        </is>
      </c>
      <c r="M8" s="64" t="inlineStr">
        <is>
          <t>Y</t>
        </is>
      </c>
      <c r="N8" s="64" t="inlineStr">
        <is>
          <t>Y</t>
        </is>
      </c>
      <c r="O8" s="64" t="n"/>
      <c r="P8" s="64" t="n"/>
      <c r="Q8" s="64" t="n"/>
      <c r="R8" s="64" t="inlineStr">
        <is>
          <t>Y</t>
        </is>
      </c>
      <c r="S8" s="64" t="inlineStr">
        <is>
          <t>Y</t>
        </is>
      </c>
      <c r="T8" s="64" t="inlineStr">
        <is>
          <t>Y</t>
        </is>
      </c>
      <c r="U8" s="64" t="inlineStr">
        <is>
          <t>Y</t>
        </is>
      </c>
      <c r="V8" s="64" t="inlineStr">
        <is>
          <t>Y</t>
        </is>
      </c>
      <c r="W8" s="64" t="n"/>
      <c r="X8" s="64" t="inlineStr">
        <is>
          <t>Y</t>
        </is>
      </c>
      <c r="Y8" s="64" t="inlineStr">
        <is>
          <t>Y</t>
        </is>
      </c>
      <c r="Z8" s="64" t="inlineStr">
        <is>
          <t>Y</t>
        </is>
      </c>
      <c r="AA8" s="64" t="inlineStr">
        <is>
          <t>Y</t>
        </is>
      </c>
      <c r="AB8" s="64" t="inlineStr">
        <is>
          <t>Y</t>
        </is>
      </c>
      <c r="AC8" s="64" t="inlineStr">
        <is>
          <t>Y</t>
        </is>
      </c>
      <c r="AD8" s="64" t="n"/>
      <c r="AE8" s="64" t="n"/>
      <c r="AF8" s="64" t="inlineStr">
        <is>
          <t>Y</t>
        </is>
      </c>
      <c r="AG8" s="64" t="n"/>
      <c r="AH8" s="64" t="inlineStr">
        <is>
          <t>Y</t>
        </is>
      </c>
      <c r="AI8" s="64" t="inlineStr">
        <is>
          <t>Y</t>
        </is>
      </c>
      <c r="AJ8" s="64" t="inlineStr">
        <is>
          <t>Y</t>
        </is>
      </c>
      <c r="AK8" s="64" t="inlineStr">
        <is>
          <t>Y</t>
        </is>
      </c>
      <c r="AL8" s="64" t="inlineStr">
        <is>
          <t>Y</t>
        </is>
      </c>
    </row>
    <row r="9">
      <c r="A9" s="217" t="n"/>
      <c r="B9" s="217" t="n"/>
      <c r="C9" s="217" t="n"/>
      <c r="D9" s="217" t="n"/>
      <c r="E9" s="217" t="n"/>
      <c r="F9" s="217" t="n"/>
      <c r="G9" s="217" t="n"/>
      <c r="H9" s="217" t="n"/>
      <c r="I9" s="221" t="inlineStr">
        <is>
          <t>是否为Key PI</t>
        </is>
      </c>
      <c r="J9" s="64" t="inlineStr">
        <is>
          <t>Y</t>
        </is>
      </c>
      <c r="K9" s="64" t="inlineStr">
        <is>
          <t>Y</t>
        </is>
      </c>
      <c r="L9" s="64" t="inlineStr">
        <is>
          <t>Y</t>
        </is>
      </c>
      <c r="M9" s="64" t="n"/>
      <c r="N9" s="64" t="n"/>
      <c r="O9" s="64" t="n"/>
      <c r="P9" s="64" t="n"/>
      <c r="Q9" s="64" t="n"/>
      <c r="R9" s="64" t="inlineStr">
        <is>
          <t>Y</t>
        </is>
      </c>
      <c r="S9" s="64" t="inlineStr">
        <is>
          <t>Y</t>
        </is>
      </c>
      <c r="T9" s="64" t="inlineStr">
        <is>
          <t>Y</t>
        </is>
      </c>
      <c r="U9" s="64" t="inlineStr">
        <is>
          <t>Y</t>
        </is>
      </c>
      <c r="V9" s="64" t="n"/>
      <c r="W9" s="64" t="n"/>
      <c r="X9" s="64" t="inlineStr">
        <is>
          <t>Y</t>
        </is>
      </c>
      <c r="Y9" s="64" t="inlineStr">
        <is>
          <t>Y</t>
        </is>
      </c>
      <c r="Z9" s="64" t="inlineStr">
        <is>
          <t>Y</t>
        </is>
      </c>
      <c r="AA9" s="64" t="inlineStr">
        <is>
          <t>Y</t>
        </is>
      </c>
      <c r="AB9" s="64" t="n"/>
      <c r="AC9" s="64" t="inlineStr">
        <is>
          <t>Y</t>
        </is>
      </c>
      <c r="AD9" s="64" t="n"/>
      <c r="AE9" s="64" t="n"/>
      <c r="AF9" s="64" t="n"/>
      <c r="AG9" s="64" t="n"/>
      <c r="AH9" s="64" t="inlineStr">
        <is>
          <t>Y</t>
        </is>
      </c>
      <c r="AI9" s="64" t="inlineStr">
        <is>
          <t>Y</t>
        </is>
      </c>
      <c r="AJ9" s="64" t="inlineStr">
        <is>
          <t>Y</t>
        </is>
      </c>
      <c r="AK9" s="64" t="inlineStr">
        <is>
          <t>Y</t>
        </is>
      </c>
      <c r="AL9" s="64" t="inlineStr">
        <is>
          <t>Y</t>
        </is>
      </c>
    </row>
    <row r="10">
      <c r="A10" s="217" t="n"/>
      <c r="B10" s="217" t="n"/>
      <c r="C10" s="217" t="n"/>
      <c r="D10" s="217" t="n"/>
      <c r="E10" s="217" t="n"/>
      <c r="F10" s="217" t="n"/>
      <c r="G10" s="217" t="n"/>
      <c r="H10" s="217" t="n"/>
      <c r="I10" s="221" t="inlineStr">
        <is>
          <t>是否点图展示</t>
        </is>
      </c>
      <c r="J10" s="64" t="inlineStr">
        <is>
          <t>Y</t>
        </is>
      </c>
      <c r="K10" s="64" t="n"/>
      <c r="L10" s="64" t="n"/>
      <c r="M10" s="64" t="n"/>
      <c r="N10" s="64" t="n"/>
      <c r="O10" s="64" t="n"/>
      <c r="P10" s="64" t="n"/>
      <c r="Q10" s="64" t="n"/>
      <c r="R10" s="64" t="n"/>
      <c r="S10" s="64" t="n"/>
      <c r="T10" s="64" t="inlineStr">
        <is>
          <t>Y</t>
        </is>
      </c>
      <c r="U10" s="64" t="inlineStr">
        <is>
          <t>Y</t>
        </is>
      </c>
      <c r="V10" s="64" t="n"/>
      <c r="W10" s="64" t="inlineStr">
        <is>
          <t>Y</t>
        </is>
      </c>
      <c r="X10" s="64" t="n"/>
      <c r="Y10" s="64" t="inlineStr">
        <is>
          <t>Y</t>
        </is>
      </c>
      <c r="Z10" s="64" t="inlineStr">
        <is>
          <t>Y</t>
        </is>
      </c>
      <c r="AA10" s="64" t="inlineStr">
        <is>
          <t>Y</t>
        </is>
      </c>
      <c r="AB10" s="64" t="n"/>
      <c r="AC10" s="64" t="inlineStr">
        <is>
          <t>Y</t>
        </is>
      </c>
      <c r="AD10" s="64" t="n"/>
      <c r="AE10" s="64" t="n"/>
      <c r="AF10" s="64" t="n"/>
      <c r="AG10" s="64" t="n"/>
      <c r="AH10" s="64" t="n"/>
      <c r="AI10" s="64" t="n"/>
      <c r="AJ10" s="64" t="n"/>
      <c r="AK10" s="64" t="n"/>
      <c r="AL10" s="66" t="n"/>
    </row>
    <row r="11">
      <c r="A11" s="218" t="n"/>
      <c r="B11" s="218" t="n"/>
      <c r="C11" s="218" t="n"/>
      <c r="D11" s="218" t="n"/>
      <c r="E11" s="218" t="n"/>
      <c r="F11" s="218" t="n"/>
      <c r="G11" s="218" t="n"/>
      <c r="H11" s="218" t="n"/>
      <c r="I11" s="67" t="inlineStr">
        <is>
          <t>Unit</t>
        </is>
      </c>
      <c r="J11" s="68" t="inlineStr">
        <is>
          <t>Plato</t>
        </is>
      </c>
      <c r="K11" s="69" t="inlineStr">
        <is>
          <t>Plato</t>
        </is>
      </c>
      <c r="L11" s="69" t="inlineStr">
        <is>
          <t>%</t>
        </is>
      </c>
      <c r="M11" s="69" t="inlineStr">
        <is>
          <t>%</t>
        </is>
      </c>
      <c r="N11" s="69" t="inlineStr">
        <is>
          <t>EBC</t>
        </is>
      </c>
      <c r="O11" s="69" t="inlineStr">
        <is>
          <t>EBC</t>
        </is>
      </c>
      <c r="P11" s="69" t="inlineStr">
        <is>
          <t>EBC</t>
        </is>
      </c>
      <c r="Q11" s="69" t="inlineStr">
        <is>
          <t>EBC</t>
        </is>
      </c>
      <c r="R11" s="69" t="n"/>
      <c r="S11" s="69" t="inlineStr">
        <is>
          <t>ppm</t>
        </is>
      </c>
      <c r="T11" s="70" t="inlineStr">
        <is>
          <t>sec</t>
        </is>
      </c>
      <c r="U11" s="69" t="inlineStr">
        <is>
          <t>g/L</t>
        </is>
      </c>
      <c r="V11" s="70" t="inlineStr">
        <is>
          <t>EBC</t>
        </is>
      </c>
      <c r="W11" s="70" t="inlineStr">
        <is>
          <t>EBC</t>
        </is>
      </c>
      <c r="X11" s="70" t="inlineStr">
        <is>
          <t>ppm</t>
        </is>
      </c>
      <c r="Y11" s="69" t="inlineStr">
        <is>
          <t>ppm</t>
        </is>
      </c>
      <c r="Z11" s="69" t="inlineStr">
        <is>
          <t>ppm</t>
        </is>
      </c>
      <c r="AA11" s="69" t="inlineStr">
        <is>
          <t>ppb</t>
        </is>
      </c>
      <c r="AB11" s="69" t="inlineStr">
        <is>
          <t>ppm</t>
        </is>
      </c>
      <c r="AC11" s="69" t="inlineStr">
        <is>
          <t>ppm</t>
        </is>
      </c>
      <c r="AD11" s="69" t="inlineStr">
        <is>
          <t>ppm</t>
        </is>
      </c>
      <c r="AE11" s="69" t="inlineStr">
        <is>
          <t>%</t>
        </is>
      </c>
      <c r="AF11" s="69" t="inlineStr">
        <is>
          <t>ppm</t>
        </is>
      </c>
      <c r="AG11" s="69" t="inlineStr">
        <is>
          <t>ppm</t>
        </is>
      </c>
      <c r="AH11" s="69" t="inlineStr">
        <is>
          <t>ppm</t>
        </is>
      </c>
      <c r="AI11" s="69" t="inlineStr">
        <is>
          <t>ppm</t>
        </is>
      </c>
      <c r="AJ11" s="69" t="inlineStr">
        <is>
          <t>ppm</t>
        </is>
      </c>
      <c r="AK11" s="69" t="inlineStr">
        <is>
          <t>ppm</t>
        </is>
      </c>
      <c r="AL11" s="69" t="n"/>
    </row>
    <row r="12">
      <c r="B12" s="71" t="n"/>
      <c r="D12" s="72" t="n"/>
      <c r="E12" s="72" t="n"/>
      <c r="F12" s="72" t="n"/>
      <c r="G12" s="73" t="n"/>
      <c r="H12" s="74" t="n"/>
    </row>
    <row r="13">
      <c r="B13" s="71" t="n"/>
      <c r="D13" s="72" t="n"/>
      <c r="E13" s="72" t="n"/>
      <c r="F13" s="72" t="n"/>
      <c r="G13" s="73" t="n"/>
      <c r="H13" s="74" t="n"/>
    </row>
    <row r="14">
      <c r="G14" s="73" t="n"/>
      <c r="H14" s="74" t="n"/>
    </row>
    <row r="15">
      <c r="G15" s="73" t="n"/>
      <c r="H15" s="74" t="n"/>
    </row>
    <row r="16">
      <c r="G16" s="73" t="n"/>
      <c r="H16" s="74" t="n"/>
    </row>
    <row r="17">
      <c r="G17" s="73" t="n"/>
      <c r="H17" s="74" t="n"/>
    </row>
    <row r="18">
      <c r="G18" s="73" t="n"/>
      <c r="H18" s="74" t="n"/>
    </row>
  </sheetData>
  <mergeCells count="9">
    <mergeCell ref="J1:AK1"/>
    <mergeCell ref="C1:C11"/>
    <mergeCell ref="G1:G11"/>
    <mergeCell ref="E1:E11"/>
    <mergeCell ref="B1:B11"/>
    <mergeCell ref="H1:H11"/>
    <mergeCell ref="A1:A11"/>
    <mergeCell ref="D1:D11"/>
    <mergeCell ref="F1:F11"/>
  </mergeCells>
  <conditionalFormatting sqref="J8:L9">
    <cfRule type="cellIs" priority="51" operator="equal" dxfId="4">
      <formula>"N"</formula>
    </cfRule>
    <cfRule type="cellIs" priority="52" operator="equal" dxfId="0">
      <formula>"Y"</formula>
    </cfRule>
  </conditionalFormatting>
  <conditionalFormatting sqref="J10:AK10">
    <cfRule type="cellIs" priority="69" operator="equal" dxfId="4">
      <formula>"N"</formula>
    </cfRule>
    <cfRule type="cellIs" priority="70" operator="equal" dxfId="0">
      <formula>"Y"</formula>
    </cfRule>
  </conditionalFormatting>
  <conditionalFormatting sqref="M8:N8">
    <cfRule type="cellIs" priority="55" operator="equal" dxfId="4">
      <formula>"N"</formula>
    </cfRule>
    <cfRule type="cellIs" priority="56" operator="equal" dxfId="0">
      <formula>"Y"</formula>
    </cfRule>
  </conditionalFormatting>
  <conditionalFormatting sqref="R8:T9">
    <cfRule type="cellIs" priority="33" operator="equal" dxfId="4">
      <formula>"N"</formula>
    </cfRule>
    <cfRule type="cellIs" priority="34" operator="equal" dxfId="0">
      <formula>"Y"</formula>
    </cfRule>
  </conditionalFormatting>
  <conditionalFormatting sqref="U9">
    <cfRule type="cellIs" priority="37" operator="equal" dxfId="4">
      <formula>"N"</formula>
    </cfRule>
    <cfRule type="cellIs" priority="38" operator="equal" dxfId="0">
      <formula>"Y"</formula>
    </cfRule>
  </conditionalFormatting>
  <conditionalFormatting sqref="U8:V8">
    <cfRule type="cellIs" priority="39" operator="equal" dxfId="4">
      <formula>"N"</formula>
    </cfRule>
    <cfRule type="cellIs" priority="40" operator="equal" dxfId="0">
      <formula>"Y"</formula>
    </cfRule>
  </conditionalFormatting>
  <conditionalFormatting sqref="X8:AC9">
    <cfRule type="cellIs" priority="15" operator="equal" dxfId="4">
      <formula>"N"</formula>
    </cfRule>
    <cfRule type="cellIs" priority="16" operator="equal" dxfId="0">
      <formula>"Y"</formula>
    </cfRule>
  </conditionalFormatting>
  <conditionalFormatting sqref="AF8">
    <cfRule type="cellIs" priority="13" operator="equal" dxfId="4">
      <formula>"N"</formula>
    </cfRule>
    <cfRule type="cellIs" priority="14" operator="equal" dxfId="0">
      <formula>"Y"</formula>
    </cfRule>
  </conditionalFormatting>
  <conditionalFormatting sqref="AH8:AL9">
    <cfRule type="cellIs" priority="1" operator="equal" dxfId="4">
      <formula>"N"</formula>
    </cfRule>
    <cfRule type="cellIs" priority="2" operator="equal" dxfId="0">
      <formula>"Y"</formula>
    </cfRule>
  </conditionalFormatting>
  <dataValidations count="2">
    <dataValidation sqref="J8:N8 J9:L9 J10:AK10 R8:V8 R9:U9 X8:AC9 AF8 AH8:AL9" showDropDown="0" showInputMessage="1" showErrorMessage="1" allowBlank="1" type="list">
      <formula1>"Y,N"</formula1>
    </dataValidation>
    <dataValidation sqref="G12:G1048576" showDropDown="0" showInputMessage="1" showErrorMessage="1" allowBlank="1" type="list">
      <formula1>"MCS,Test,Propagation"</formula1>
    </dataValidation>
  </dataValidation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P164"/>
  <sheetViews>
    <sheetView workbookViewId="0">
      <selection activeCell="A1" sqref="A1:L1"/>
    </sheetView>
  </sheetViews>
  <sheetFormatPr baseColWidth="8" defaultColWidth="9" defaultRowHeight="15"/>
  <cols>
    <col width="12.140625" customWidth="1" style="241" min="1" max="1"/>
    <col width="13.42578125" customWidth="1" style="241" min="2" max="2"/>
    <col hidden="1" width="19.42578125" customWidth="1" style="241" min="3" max="3"/>
    <col width="29.85546875" customWidth="1" style="241" min="4" max="4"/>
    <col hidden="1" width="23.42578125" customWidth="1" style="241" min="5" max="5"/>
    <col width="39.42578125" customWidth="1" style="241" min="6" max="6"/>
    <col width="11" customWidth="1" style="241" min="7" max="7"/>
    <col hidden="1" width="8.85546875" customWidth="1" style="241" min="8" max="12"/>
    <col width="8.85546875" customWidth="1" style="42" min="14" max="14"/>
    <col hidden="1" width="20.140625" customWidth="1" style="42" min="15" max="15"/>
    <col width="37.42578125" customWidth="1" style="241" min="16" max="16"/>
    <col width="10.42578125" customWidth="1" style="241" min="21" max="21"/>
  </cols>
  <sheetData>
    <row r="1" ht="28.5" customHeight="1" s="241">
      <c r="A1" s="262" t="inlineStr">
        <is>
          <t>Global Dot Graph</t>
        </is>
      </c>
    </row>
    <row r="2" ht="39.6" customHeight="1" s="241">
      <c r="A2" s="43" t="inlineStr">
        <is>
          <t>Process Stream</t>
        </is>
      </c>
      <c r="B2" s="43" t="inlineStr">
        <is>
          <t>Process Sub Stream</t>
        </is>
      </c>
      <c r="C2" s="43" t="inlineStr">
        <is>
          <t>Process Step</t>
        </is>
      </c>
      <c r="D2" s="43" t="inlineStr">
        <is>
          <t>Process Block</t>
        </is>
      </c>
      <c r="E2" s="43" t="inlineStr">
        <is>
          <t>PTS Parameter Code</t>
        </is>
      </c>
      <c r="F2" s="43" t="inlineStr">
        <is>
          <t>PTS Parameter Name</t>
        </is>
      </c>
      <c r="G2" s="43" t="inlineStr">
        <is>
          <t>Unit Of Measure</t>
        </is>
      </c>
      <c r="H2" s="44" t="inlineStr">
        <is>
          <t>Red Tolerance Min (LSL)</t>
        </is>
      </c>
      <c r="I2" s="45" t="inlineStr">
        <is>
          <t>Yellow Tolerance Min (LCL)</t>
        </is>
      </c>
      <c r="J2" s="46" t="inlineStr">
        <is>
          <t>Target</t>
        </is>
      </c>
      <c r="K2" s="45" t="inlineStr">
        <is>
          <t>Yellow Tolerance Max (UCL)</t>
        </is>
      </c>
      <c r="L2" s="44" t="inlineStr">
        <is>
          <t>Red Tolerance Max (USL)</t>
        </is>
      </c>
      <c r="O2" s="42" t="inlineStr">
        <is>
          <t>Process</t>
        </is>
      </c>
      <c r="P2" t="inlineStr">
        <is>
          <t>Remark</t>
        </is>
      </c>
    </row>
    <row r="3">
      <c r="A3" s="47" t="inlineStr">
        <is>
          <t>Brewing</t>
        </is>
      </c>
      <c r="B3" s="47" t="inlineStr">
        <is>
          <t>Brewhouse</t>
        </is>
      </c>
      <c r="C3" s="47" t="inlineStr">
        <is>
          <t>Brewhouse</t>
        </is>
      </c>
      <c r="D3" s="47" t="inlineStr">
        <is>
          <t>Adjunct Cooker</t>
        </is>
      </c>
      <c r="E3" s="47" t="inlineStr">
        <is>
          <t>P.BR.BH.ADJ.0016</t>
        </is>
      </c>
      <c r="F3" s="47" t="inlineStr">
        <is>
          <t>Adjunct Cooker Cycle Duration</t>
        </is>
      </c>
      <c r="G3" s="47" t="inlineStr">
        <is>
          <t>min</t>
        </is>
      </c>
      <c r="H3" s="47" t="n">
        <v>1</v>
      </c>
      <c r="I3" s="47" t="n">
        <v>3</v>
      </c>
      <c r="J3" s="47" t="n">
        <v>5</v>
      </c>
      <c r="K3" s="47" t="n">
        <v>7</v>
      </c>
      <c r="L3" s="47" t="n">
        <v>9</v>
      </c>
      <c r="M3" s="48" t="n"/>
      <c r="N3" s="49" t="inlineStr">
        <is>
          <t>Y</t>
        </is>
      </c>
      <c r="O3" s="42" t="inlineStr">
        <is>
          <t>Adjunct Cooker</t>
        </is>
      </c>
    </row>
    <row r="4">
      <c r="A4" s="50" t="inlineStr">
        <is>
          <t>Brewing</t>
        </is>
      </c>
      <c r="B4" s="50" t="inlineStr">
        <is>
          <t>Brewhouse</t>
        </is>
      </c>
      <c r="C4" s="50" t="inlineStr">
        <is>
          <t>Brewhouse</t>
        </is>
      </c>
      <c r="D4" s="50" t="inlineStr">
        <is>
          <t>Wort Boiling</t>
        </is>
      </c>
      <c r="E4" s="50" t="inlineStr">
        <is>
          <t>P.BR.BH.BOI.0002</t>
        </is>
      </c>
      <c r="F4" s="50" t="inlineStr">
        <is>
          <t>Total Boiling Time (Duration)</t>
        </is>
      </c>
      <c r="G4" s="50" t="inlineStr">
        <is>
          <t>min</t>
        </is>
      </c>
      <c r="H4" s="50" t="n">
        <v>80</v>
      </c>
      <c r="I4" s="50" t="inlineStr">
        <is>
          <t>-</t>
        </is>
      </c>
      <c r="J4" s="50" t="inlineStr">
        <is>
          <t>-</t>
        </is>
      </c>
      <c r="K4" s="50" t="inlineStr">
        <is>
          <t>-</t>
        </is>
      </c>
      <c r="L4" s="50" t="inlineStr">
        <is>
          <t>-</t>
        </is>
      </c>
      <c r="M4" s="48" t="n"/>
      <c r="N4" s="49" t="inlineStr">
        <is>
          <t>Y</t>
        </is>
      </c>
      <c r="O4" s="42" t="inlineStr">
        <is>
          <t>Kettle</t>
        </is>
      </c>
    </row>
    <row r="5">
      <c r="A5" s="47" t="inlineStr">
        <is>
          <t>Brewing</t>
        </is>
      </c>
      <c r="B5" s="47" t="inlineStr">
        <is>
          <t>Brewhouse</t>
        </is>
      </c>
      <c r="C5" s="47" t="inlineStr">
        <is>
          <t>Brewhouse</t>
        </is>
      </c>
      <c r="D5" s="47" t="inlineStr">
        <is>
          <t>Wort Boiling</t>
        </is>
      </c>
      <c r="E5" s="47" t="inlineStr">
        <is>
          <t>P.BR.BH.BOI.0008</t>
        </is>
      </c>
      <c r="F5" s="47" t="inlineStr">
        <is>
          <t>Kettle Full Boil Duration</t>
        </is>
      </c>
      <c r="G5" s="47" t="inlineStr">
        <is>
          <t>min</t>
        </is>
      </c>
      <c r="H5" s="47" t="n">
        <v>60</v>
      </c>
      <c r="I5" s="47" t="inlineStr">
        <is>
          <t>-</t>
        </is>
      </c>
      <c r="J5" s="47" t="n">
        <v>60</v>
      </c>
      <c r="K5" s="47" t="inlineStr">
        <is>
          <t>-</t>
        </is>
      </c>
      <c r="L5" s="47" t="n">
        <v>65</v>
      </c>
      <c r="M5" s="48" t="n"/>
      <c r="N5" s="49" t="inlineStr">
        <is>
          <t>Y</t>
        </is>
      </c>
      <c r="O5" s="42" t="inlineStr">
        <is>
          <t>Kettle</t>
        </is>
      </c>
    </row>
    <row r="6">
      <c r="A6" s="50" t="inlineStr">
        <is>
          <t>Brewing</t>
        </is>
      </c>
      <c r="B6" s="50" t="inlineStr">
        <is>
          <t>Brewhouse</t>
        </is>
      </c>
      <c r="C6" s="50" t="inlineStr">
        <is>
          <t>Brewhouse</t>
        </is>
      </c>
      <c r="D6" s="50" t="inlineStr">
        <is>
          <t>Wort Boiling</t>
        </is>
      </c>
      <c r="E6" s="50" t="inlineStr">
        <is>
          <t>P.BR.BH.BOI.0009</t>
        </is>
      </c>
      <c r="F6" s="50" t="inlineStr">
        <is>
          <t>Kettle Knockout Duration</t>
        </is>
      </c>
      <c r="G6" s="50" t="inlineStr">
        <is>
          <t>min</t>
        </is>
      </c>
      <c r="H6" s="50" t="inlineStr"/>
      <c r="I6" s="50" t="n">
        <v>1</v>
      </c>
      <c r="J6" s="50" t="n">
        <v>10</v>
      </c>
      <c r="K6" s="50" t="n">
        <v>20</v>
      </c>
      <c r="L6" s="50" t="inlineStr">
        <is>
          <t>-</t>
        </is>
      </c>
      <c r="M6" s="48" t="n"/>
      <c r="N6" s="49" t="inlineStr">
        <is>
          <t>Y</t>
        </is>
      </c>
      <c r="O6" s="42" t="inlineStr">
        <is>
          <t>Kettle</t>
        </is>
      </c>
    </row>
    <row r="7">
      <c r="A7" s="47" t="inlineStr">
        <is>
          <t>Brewing</t>
        </is>
      </c>
      <c r="B7" s="47" t="inlineStr">
        <is>
          <t>Brewhouse</t>
        </is>
      </c>
      <c r="C7" s="47" t="inlineStr">
        <is>
          <t>Brewhouse</t>
        </is>
      </c>
      <c r="D7" s="47" t="inlineStr">
        <is>
          <t>Wort Boiling</t>
        </is>
      </c>
      <c r="E7" s="47" t="inlineStr">
        <is>
          <t>P.BR.BH.BOI.0018</t>
        </is>
      </c>
      <c r="F7" s="47" t="inlineStr">
        <is>
          <t>External Calandria Exit Temperature</t>
        </is>
      </c>
      <c r="G7" s="47" t="inlineStr">
        <is>
          <t>°C</t>
        </is>
      </c>
      <c r="H7" s="47" t="inlineStr">
        <is>
          <t>-</t>
        </is>
      </c>
      <c r="I7" s="47" t="n">
        <v>1</v>
      </c>
      <c r="J7" s="47" t="n">
        <v>3</v>
      </c>
      <c r="K7" s="47" t="n">
        <v>4</v>
      </c>
      <c r="L7" s="47" t="inlineStr">
        <is>
          <t>-</t>
        </is>
      </c>
      <c r="M7" s="48" t="n"/>
      <c r="N7" s="49" t="inlineStr">
        <is>
          <t>Y</t>
        </is>
      </c>
      <c r="O7" s="42" t="inlineStr">
        <is>
          <t>Kettle</t>
        </is>
      </c>
    </row>
    <row r="8">
      <c r="A8" s="50" t="inlineStr">
        <is>
          <t>Brewing</t>
        </is>
      </c>
      <c r="B8" s="50" t="inlineStr">
        <is>
          <t>Brewhouse</t>
        </is>
      </c>
      <c r="C8" s="50" t="inlineStr">
        <is>
          <t>Brewhouse</t>
        </is>
      </c>
      <c r="D8" s="50" t="inlineStr">
        <is>
          <t>Wort Boiling</t>
        </is>
      </c>
      <c r="E8" s="50" t="inlineStr">
        <is>
          <t>P.BR.BH.BOI.0020</t>
        </is>
      </c>
      <c r="F8" s="50" t="inlineStr">
        <is>
          <t>1st Hops Addition - Time After Start of Boil</t>
        </is>
      </c>
      <c r="G8" s="50" t="inlineStr">
        <is>
          <t>min</t>
        </is>
      </c>
      <c r="H8" s="50" t="inlineStr">
        <is>
          <t>-</t>
        </is>
      </c>
      <c r="I8" s="50" t="inlineStr">
        <is>
          <t>-</t>
        </is>
      </c>
      <c r="J8" s="50" t="inlineStr">
        <is>
          <t>-</t>
        </is>
      </c>
      <c r="K8" s="50" t="inlineStr">
        <is>
          <t>-</t>
        </is>
      </c>
      <c r="L8" s="50" t="inlineStr">
        <is>
          <t>-</t>
        </is>
      </c>
      <c r="M8" s="48" t="n"/>
      <c r="N8" s="49" t="inlineStr">
        <is>
          <t>Y</t>
        </is>
      </c>
      <c r="O8" s="42" t="inlineStr">
        <is>
          <t>Kettle</t>
        </is>
      </c>
    </row>
    <row r="9">
      <c r="A9" s="47" t="inlineStr">
        <is>
          <t>Brewing</t>
        </is>
      </c>
      <c r="B9" s="47" t="inlineStr">
        <is>
          <t>Brewhouse</t>
        </is>
      </c>
      <c r="C9" s="47" t="inlineStr">
        <is>
          <t>Brewhouse</t>
        </is>
      </c>
      <c r="D9" s="47" t="inlineStr">
        <is>
          <t>Wort Boiling</t>
        </is>
      </c>
      <c r="E9" s="47" t="inlineStr">
        <is>
          <t>P.BR.BH.BOI.0024</t>
        </is>
      </c>
      <c r="F9" s="47" t="inlineStr">
        <is>
          <t>Evaporation - Kettle Full to Empty</t>
        </is>
      </c>
      <c r="G9" s="47" t="inlineStr">
        <is>
          <t>%</t>
        </is>
      </c>
      <c r="H9" s="47" t="inlineStr">
        <is>
          <t>-</t>
        </is>
      </c>
      <c r="I9" s="47" t="inlineStr">
        <is>
          <t>-</t>
        </is>
      </c>
      <c r="J9" s="47" t="inlineStr">
        <is>
          <t>-</t>
        </is>
      </c>
      <c r="K9" s="47" t="inlineStr">
        <is>
          <t>-</t>
        </is>
      </c>
      <c r="L9" s="47" t="inlineStr">
        <is>
          <t>-</t>
        </is>
      </c>
      <c r="M9" s="48" t="n"/>
      <c r="N9" s="49" t="inlineStr">
        <is>
          <t>Y</t>
        </is>
      </c>
      <c r="O9" s="42" t="inlineStr">
        <is>
          <t>Kettle</t>
        </is>
      </c>
    </row>
    <row r="10">
      <c r="A10" s="50" t="inlineStr">
        <is>
          <t>Brewing</t>
        </is>
      </c>
      <c r="B10" s="50" t="inlineStr">
        <is>
          <t>Brewhouse</t>
        </is>
      </c>
      <c r="C10" s="50" t="inlineStr">
        <is>
          <t>Brewhouse</t>
        </is>
      </c>
      <c r="D10" s="50" t="inlineStr">
        <is>
          <t>Wort Boiling</t>
        </is>
      </c>
      <c r="E10" s="50" t="inlineStr">
        <is>
          <t>P.BR.BH.BOI.0025</t>
        </is>
      </c>
      <c r="F10" s="50" t="inlineStr">
        <is>
          <t>Total Evaporation  - Conventional Boiling</t>
        </is>
      </c>
      <c r="G10" s="50" t="inlineStr">
        <is>
          <t>%</t>
        </is>
      </c>
      <c r="H10" s="50" t="inlineStr">
        <is>
          <t>-</t>
        </is>
      </c>
      <c r="I10" s="50" t="n">
        <v>0</v>
      </c>
      <c r="J10" s="50" t="n">
        <v>13</v>
      </c>
      <c r="K10" s="50" t="n">
        <v>15</v>
      </c>
      <c r="L10" s="50" t="inlineStr">
        <is>
          <t>-</t>
        </is>
      </c>
      <c r="M10" s="48" t="n"/>
      <c r="N10" s="49" t="inlineStr">
        <is>
          <t>Y</t>
        </is>
      </c>
      <c r="O10" s="42" t="inlineStr">
        <is>
          <t>Kettle</t>
        </is>
      </c>
    </row>
    <row r="11">
      <c r="A11" s="47" t="inlineStr">
        <is>
          <t>Brewing</t>
        </is>
      </c>
      <c r="B11" s="47" t="inlineStr">
        <is>
          <t>Brewhouse</t>
        </is>
      </c>
      <c r="C11" s="47" t="inlineStr">
        <is>
          <t>Brewhouse</t>
        </is>
      </c>
      <c r="D11" s="47" t="inlineStr">
        <is>
          <t>Wort Boiling</t>
        </is>
      </c>
      <c r="E11" s="47" t="inlineStr">
        <is>
          <t>P.BR.BH.BOI.0026</t>
        </is>
      </c>
      <c r="F11" s="47" t="inlineStr">
        <is>
          <t>Total Evaporation - Multiple Step Boiling</t>
        </is>
      </c>
      <c r="G11" s="47" t="inlineStr">
        <is>
          <t>%</t>
        </is>
      </c>
      <c r="H11" s="47" t="inlineStr">
        <is>
          <t>-</t>
        </is>
      </c>
      <c r="I11" s="47" t="n">
        <v>7.8</v>
      </c>
      <c r="J11" s="47" t="n">
        <v>8</v>
      </c>
      <c r="K11" s="47" t="n">
        <v>8.199999999999999</v>
      </c>
      <c r="L11" s="47" t="inlineStr">
        <is>
          <t>-</t>
        </is>
      </c>
      <c r="M11" s="48" t="n"/>
      <c r="N11" s="49" t="inlineStr">
        <is>
          <t>Y</t>
        </is>
      </c>
      <c r="O11" s="42" t="inlineStr">
        <is>
          <t>Kettle</t>
        </is>
      </c>
    </row>
    <row r="12">
      <c r="A12" s="50" t="inlineStr">
        <is>
          <t>Brewing</t>
        </is>
      </c>
      <c r="B12" s="50" t="inlineStr">
        <is>
          <t>Brewhouse</t>
        </is>
      </c>
      <c r="C12" s="50" t="inlineStr">
        <is>
          <t>Brewhouse</t>
        </is>
      </c>
      <c r="D12" s="50" t="inlineStr">
        <is>
          <t>Wort Boiling</t>
        </is>
      </c>
      <c r="E12" s="50" t="inlineStr">
        <is>
          <t>P.BR.BH.BOI.0036</t>
        </is>
      </c>
      <c r="F12" s="50" t="inlineStr">
        <is>
          <t>Kettle Full Temperature</t>
        </is>
      </c>
      <c r="G12" s="50" t="inlineStr">
        <is>
          <t>°C</t>
        </is>
      </c>
      <c r="H12" s="50" t="inlineStr">
        <is>
          <t>-</t>
        </is>
      </c>
      <c r="I12" s="50" t="inlineStr">
        <is>
          <t>-</t>
        </is>
      </c>
      <c r="J12" s="50" t="inlineStr">
        <is>
          <t>-</t>
        </is>
      </c>
      <c r="K12" s="50" t="inlineStr">
        <is>
          <t>-</t>
        </is>
      </c>
      <c r="L12" s="50" t="inlineStr">
        <is>
          <t>-</t>
        </is>
      </c>
      <c r="M12" s="48" t="n"/>
      <c r="N12" s="49" t="inlineStr">
        <is>
          <t>Y</t>
        </is>
      </c>
      <c r="O12" s="42" t="inlineStr">
        <is>
          <t>Kettle</t>
        </is>
      </c>
    </row>
    <row r="13">
      <c r="A13" s="47" t="inlineStr">
        <is>
          <t>Brewing</t>
        </is>
      </c>
      <c r="B13" s="47" t="inlineStr">
        <is>
          <t>Brewhouse</t>
        </is>
      </c>
      <c r="C13" s="47" t="inlineStr">
        <is>
          <t>Brewhouse</t>
        </is>
      </c>
      <c r="D13" s="47" t="inlineStr">
        <is>
          <t>Wort Boiling</t>
        </is>
      </c>
      <c r="E13" s="47" t="inlineStr">
        <is>
          <t>P.BR.BH.BOI.0040</t>
        </is>
      </c>
      <c r="F13" s="47" t="inlineStr">
        <is>
          <t>Evaporation - SOB to Kettle Empty</t>
        </is>
      </c>
      <c r="G13" s="47" t="inlineStr">
        <is>
          <t>%</t>
        </is>
      </c>
      <c r="H13" s="47" t="n">
        <v>4</v>
      </c>
      <c r="I13" s="47" t="n">
        <v>4.5</v>
      </c>
      <c r="J13" s="47" t="n">
        <v>5</v>
      </c>
      <c r="K13" s="47" t="n">
        <v>5.5</v>
      </c>
      <c r="L13" s="47" t="n">
        <v>6</v>
      </c>
      <c r="M13" s="48" t="n"/>
      <c r="N13" s="49" t="inlineStr">
        <is>
          <t>Y</t>
        </is>
      </c>
      <c r="O13" s="42" t="inlineStr">
        <is>
          <t>Kettle</t>
        </is>
      </c>
    </row>
    <row r="14">
      <c r="A14" s="50" t="inlineStr">
        <is>
          <t>Brewing</t>
        </is>
      </c>
      <c r="B14" s="50" t="inlineStr">
        <is>
          <t>Brewhouse</t>
        </is>
      </c>
      <c r="C14" s="50" t="inlineStr">
        <is>
          <t>Brewhouse</t>
        </is>
      </c>
      <c r="D14" s="50" t="inlineStr">
        <is>
          <t>Wort Boiling</t>
        </is>
      </c>
      <c r="E14" s="50" t="inlineStr">
        <is>
          <t>P.BR.BH.BOI.0042</t>
        </is>
      </c>
      <c r="F14" s="50" t="inlineStr">
        <is>
          <t>Total Steam Used - Total per Brew</t>
        </is>
      </c>
      <c r="G14" s="50" t="inlineStr">
        <is>
          <t>kg</t>
        </is>
      </c>
      <c r="H14" s="50" t="inlineStr">
        <is>
          <t>-</t>
        </is>
      </c>
      <c r="I14" s="50" t="inlineStr">
        <is>
          <t>-</t>
        </is>
      </c>
      <c r="J14" s="50" t="inlineStr">
        <is>
          <t>-</t>
        </is>
      </c>
      <c r="K14" s="50" t="inlineStr">
        <is>
          <t>-</t>
        </is>
      </c>
      <c r="L14" s="50" t="inlineStr">
        <is>
          <t>-</t>
        </is>
      </c>
      <c r="M14" s="48" t="n"/>
      <c r="N14" s="49" t="inlineStr">
        <is>
          <t>Y</t>
        </is>
      </c>
      <c r="O14" s="42" t="inlineStr">
        <is>
          <t>Kettle</t>
        </is>
      </c>
    </row>
    <row r="15">
      <c r="A15" s="47" t="inlineStr">
        <is>
          <t>Brewing</t>
        </is>
      </c>
      <c r="B15" s="47" t="inlineStr">
        <is>
          <t>Brewhouse</t>
        </is>
      </c>
      <c r="C15" s="47" t="inlineStr">
        <is>
          <t>Brewhouse</t>
        </is>
      </c>
      <c r="D15" s="47" t="inlineStr">
        <is>
          <t>Wort Boiling</t>
        </is>
      </c>
      <c r="E15" s="47" t="inlineStr">
        <is>
          <t>P.BR.BH.BOI.0044</t>
        </is>
      </c>
      <c r="F15" s="47" t="inlineStr">
        <is>
          <t>Knockout Extract</t>
        </is>
      </c>
      <c r="G15" s="47" t="inlineStr">
        <is>
          <t>°P</t>
        </is>
      </c>
      <c r="H15" s="47" t="inlineStr">
        <is>
          <t>-</t>
        </is>
      </c>
      <c r="I15" s="47" t="inlineStr">
        <is>
          <t>-</t>
        </is>
      </c>
      <c r="J15" s="47" t="inlineStr">
        <is>
          <t>-</t>
        </is>
      </c>
      <c r="K15" s="47" t="inlineStr">
        <is>
          <t>-</t>
        </is>
      </c>
      <c r="L15" s="47" t="inlineStr">
        <is>
          <t>-</t>
        </is>
      </c>
      <c r="M15" s="48" t="n"/>
      <c r="N15" s="49" t="inlineStr">
        <is>
          <t>Y</t>
        </is>
      </c>
      <c r="O15" s="42" t="inlineStr">
        <is>
          <t>Kettle</t>
        </is>
      </c>
    </row>
    <row r="16">
      <c r="A16" s="50" t="inlineStr">
        <is>
          <t>Brewing</t>
        </is>
      </c>
      <c r="B16" s="50" t="inlineStr">
        <is>
          <t>Brewhouse</t>
        </is>
      </c>
      <c r="C16" s="50" t="inlineStr">
        <is>
          <t>Brewhouse</t>
        </is>
      </c>
      <c r="D16" s="50" t="inlineStr">
        <is>
          <t>Wort Boiling</t>
        </is>
      </c>
      <c r="E16" s="50" t="inlineStr">
        <is>
          <t>P.BR.BH.BOI.0048</t>
        </is>
      </c>
      <c r="F16" s="50" t="inlineStr">
        <is>
          <t>Tap to Start of Boil Duration</t>
        </is>
      </c>
      <c r="G16" s="50" t="inlineStr">
        <is>
          <t>min</t>
        </is>
      </c>
      <c r="H16" s="50" t="inlineStr">
        <is>
          <t>-</t>
        </is>
      </c>
      <c r="I16" s="50" t="inlineStr">
        <is>
          <t>-</t>
        </is>
      </c>
      <c r="J16" s="50" t="inlineStr">
        <is>
          <t>-</t>
        </is>
      </c>
      <c r="K16" s="50" t="inlineStr">
        <is>
          <t>-</t>
        </is>
      </c>
      <c r="L16" s="50" t="inlineStr">
        <is>
          <t>-</t>
        </is>
      </c>
      <c r="M16" s="48" t="n"/>
      <c r="N16" s="49" t="inlineStr">
        <is>
          <t>Y</t>
        </is>
      </c>
      <c r="O16" s="42" t="inlineStr">
        <is>
          <t>Kettle</t>
        </is>
      </c>
    </row>
    <row r="17">
      <c r="A17" s="47" t="inlineStr">
        <is>
          <t>Brewing</t>
        </is>
      </c>
      <c r="B17" s="47" t="inlineStr">
        <is>
          <t>Brewhouse</t>
        </is>
      </c>
      <c r="C17" s="47" t="inlineStr">
        <is>
          <t>Brewhouse</t>
        </is>
      </c>
      <c r="D17" s="47" t="inlineStr">
        <is>
          <t>Wort Boiling</t>
        </is>
      </c>
      <c r="E17" s="47" t="inlineStr">
        <is>
          <t>P.BR.BH.BOI.0055</t>
        </is>
      </c>
      <c r="F17" s="47" t="inlineStr">
        <is>
          <t>Kettle full volume</t>
        </is>
      </c>
      <c r="G17" s="47" t="inlineStr">
        <is>
          <t>hL</t>
        </is>
      </c>
      <c r="H17" s="47" t="inlineStr">
        <is>
          <t>-</t>
        </is>
      </c>
      <c r="I17" s="47" t="inlineStr">
        <is>
          <t>-</t>
        </is>
      </c>
      <c r="J17" s="47" t="inlineStr">
        <is>
          <t>-</t>
        </is>
      </c>
      <c r="K17" s="47" t="inlineStr">
        <is>
          <t>-</t>
        </is>
      </c>
      <c r="L17" s="47" t="inlineStr">
        <is>
          <t>-</t>
        </is>
      </c>
      <c r="M17" s="48" t="n"/>
      <c r="N17" s="49" t="inlineStr">
        <is>
          <t>Y</t>
        </is>
      </c>
      <c r="O17" s="42" t="inlineStr">
        <is>
          <t>Kettle</t>
        </is>
      </c>
    </row>
    <row r="18">
      <c r="A18" s="50" t="inlineStr">
        <is>
          <t>Brewing</t>
        </is>
      </c>
      <c r="B18" s="50" t="inlineStr">
        <is>
          <t>Brewhouse</t>
        </is>
      </c>
      <c r="C18" s="50" t="inlineStr">
        <is>
          <t>Brewhouse</t>
        </is>
      </c>
      <c r="D18" s="50" t="inlineStr">
        <is>
          <t>Lauter Tun</t>
        </is>
      </c>
      <c r="E18" s="50" t="inlineStr">
        <is>
          <t>P.BR.BH.LTN.0001</t>
        </is>
      </c>
      <c r="F18" s="50" t="inlineStr">
        <is>
          <t>Vorlauf Duration</t>
        </is>
      </c>
      <c r="G18" s="50" t="inlineStr">
        <is>
          <t>min</t>
        </is>
      </c>
      <c r="H18" s="50" t="inlineStr">
        <is>
          <t>-</t>
        </is>
      </c>
      <c r="I18" s="50" t="inlineStr">
        <is>
          <t>-</t>
        </is>
      </c>
      <c r="J18" s="50" t="inlineStr">
        <is>
          <t>-</t>
        </is>
      </c>
      <c r="K18" s="50" t="inlineStr">
        <is>
          <t>-</t>
        </is>
      </c>
      <c r="L18" s="50" t="inlineStr">
        <is>
          <t>-</t>
        </is>
      </c>
      <c r="M18" s="48" t="n"/>
      <c r="N18" s="49" t="inlineStr">
        <is>
          <t>Y</t>
        </is>
      </c>
      <c r="O18" s="42" t="inlineStr">
        <is>
          <t>Lauter Tun</t>
        </is>
      </c>
    </row>
    <row r="19">
      <c r="A19" s="47" t="inlineStr">
        <is>
          <t>Brewing</t>
        </is>
      </c>
      <c r="B19" s="47" t="inlineStr">
        <is>
          <t>Brewhouse</t>
        </is>
      </c>
      <c r="C19" s="47" t="inlineStr">
        <is>
          <t>Brewhouse</t>
        </is>
      </c>
      <c r="D19" s="47" t="inlineStr">
        <is>
          <t>Lauter Tun</t>
        </is>
      </c>
      <c r="E19" s="47" t="inlineStr">
        <is>
          <t>P.BR.BH.LTN.0002</t>
        </is>
      </c>
      <c r="F19" s="47" t="inlineStr">
        <is>
          <t>First Wort Extract</t>
        </is>
      </c>
      <c r="G19" s="47" t="inlineStr">
        <is>
          <t>°P</t>
        </is>
      </c>
      <c r="H19" s="47" t="inlineStr">
        <is>
          <t>-</t>
        </is>
      </c>
      <c r="I19" s="47" t="inlineStr">
        <is>
          <t>T-1.0</t>
        </is>
      </c>
      <c r="J19" s="47" t="inlineStr">
        <is>
          <t>-</t>
        </is>
      </c>
      <c r="K19" s="47" t="inlineStr">
        <is>
          <t>T+2.0</t>
        </is>
      </c>
      <c r="L19" s="47" t="inlineStr">
        <is>
          <t>-</t>
        </is>
      </c>
      <c r="M19" s="48" t="n"/>
      <c r="N19" s="49" t="inlineStr">
        <is>
          <t>Y</t>
        </is>
      </c>
      <c r="O19" s="42" t="inlineStr">
        <is>
          <t>Lauter Tun</t>
        </is>
      </c>
    </row>
    <row r="20">
      <c r="A20" s="50" t="inlineStr">
        <is>
          <t>Brewing</t>
        </is>
      </c>
      <c r="B20" s="50" t="inlineStr">
        <is>
          <t>Brewhouse</t>
        </is>
      </c>
      <c r="C20" s="50" t="inlineStr">
        <is>
          <t>Brewhouse</t>
        </is>
      </c>
      <c r="D20" s="50" t="inlineStr">
        <is>
          <t>Lauter Tun</t>
        </is>
      </c>
      <c r="E20" s="50" t="inlineStr">
        <is>
          <t>P.BR.BH.LTN.0007</t>
        </is>
      </c>
      <c r="F20" s="50" t="inlineStr">
        <is>
          <t>Weak Wort Extract (Last Runnings)</t>
        </is>
      </c>
      <c r="G20" s="50" t="inlineStr">
        <is>
          <t>°P</t>
        </is>
      </c>
      <c r="H20" s="50" t="n">
        <v>0</v>
      </c>
      <c r="I20" s="50" t="n">
        <v>0.5</v>
      </c>
      <c r="J20" s="50" t="n">
        <v>1</v>
      </c>
      <c r="K20" s="50" t="n">
        <v>1.5</v>
      </c>
      <c r="L20" s="50" t="n">
        <v>2</v>
      </c>
      <c r="M20" s="48" t="n"/>
      <c r="N20" s="49" t="inlineStr">
        <is>
          <t>Y</t>
        </is>
      </c>
      <c r="O20" s="42" t="inlineStr">
        <is>
          <t>Lauter Tun</t>
        </is>
      </c>
    </row>
    <row r="21">
      <c r="A21" s="47" t="inlineStr">
        <is>
          <t>Brewing</t>
        </is>
      </c>
      <c r="B21" s="47" t="inlineStr">
        <is>
          <t>Brewhouse</t>
        </is>
      </c>
      <c r="C21" s="47" t="inlineStr">
        <is>
          <t>Brewhouse</t>
        </is>
      </c>
      <c r="D21" s="47" t="inlineStr">
        <is>
          <t>Lauter Tun</t>
        </is>
      </c>
      <c r="E21" s="47" t="inlineStr">
        <is>
          <t>P.BR.BH.LTN.0008</t>
        </is>
      </c>
      <c r="F21" s="47" t="inlineStr">
        <is>
          <t>Lautering Duration</t>
        </is>
      </c>
      <c r="G21" s="47" t="inlineStr">
        <is>
          <t>min</t>
        </is>
      </c>
      <c r="H21" s="47" t="inlineStr">
        <is>
          <t>-</t>
        </is>
      </c>
      <c r="I21" s="47" t="n">
        <v>70</v>
      </c>
      <c r="J21" s="47" t="n">
        <v>75</v>
      </c>
      <c r="K21" s="47" t="n">
        <v>120</v>
      </c>
      <c r="L21" s="47" t="inlineStr">
        <is>
          <t>-</t>
        </is>
      </c>
      <c r="M21" s="48" t="n"/>
      <c r="N21" s="49" t="inlineStr">
        <is>
          <t>Y</t>
        </is>
      </c>
      <c r="O21" s="42" t="inlineStr">
        <is>
          <t>Lauter Tun</t>
        </is>
      </c>
    </row>
    <row r="22">
      <c r="A22" s="50" t="inlineStr">
        <is>
          <t>Brewing</t>
        </is>
      </c>
      <c r="B22" s="50" t="inlineStr">
        <is>
          <t>Brewhouse</t>
        </is>
      </c>
      <c r="C22" s="50" t="inlineStr">
        <is>
          <t>Brewhouse</t>
        </is>
      </c>
      <c r="D22" s="50" t="inlineStr">
        <is>
          <t>Lauter Tun</t>
        </is>
      </c>
      <c r="E22" s="50" t="inlineStr">
        <is>
          <t>P.BR.BH.LTN.0009</t>
        </is>
      </c>
      <c r="F22" s="50" t="inlineStr">
        <is>
          <t>Sparge Water Temperature</t>
        </is>
      </c>
      <c r="G22" s="50" t="inlineStr">
        <is>
          <t>°C</t>
        </is>
      </c>
      <c r="H22" s="50" t="inlineStr">
        <is>
          <t>-</t>
        </is>
      </c>
      <c r="I22" s="50" t="n">
        <v>74</v>
      </c>
      <c r="J22" s="50" t="n">
        <v>78</v>
      </c>
      <c r="K22" s="50" t="n">
        <v>80</v>
      </c>
      <c r="L22" s="50" t="inlineStr">
        <is>
          <t>-</t>
        </is>
      </c>
      <c r="M22" s="48" t="n"/>
      <c r="N22" s="49" t="inlineStr">
        <is>
          <t>Y</t>
        </is>
      </c>
      <c r="O22" s="42" t="inlineStr">
        <is>
          <t>Lauter Tun</t>
        </is>
      </c>
    </row>
    <row r="23">
      <c r="A23" s="47" t="inlineStr">
        <is>
          <t>Brewing</t>
        </is>
      </c>
      <c r="B23" s="47" t="inlineStr">
        <is>
          <t>Brewhouse</t>
        </is>
      </c>
      <c r="C23" s="47" t="inlineStr">
        <is>
          <t>Brewhouse</t>
        </is>
      </c>
      <c r="D23" s="47" t="inlineStr">
        <is>
          <t>Lauter Tun</t>
        </is>
      </c>
      <c r="E23" s="47" t="inlineStr">
        <is>
          <t>P.BR.BH.LTN.0010</t>
        </is>
      </c>
      <c r="F23" s="47" t="inlineStr">
        <is>
          <t>Sparge Water pH</t>
        </is>
      </c>
      <c r="G23" s="47" t="inlineStr">
        <is>
          <t>pH</t>
        </is>
      </c>
      <c r="H23" s="47" t="n">
        <v>5.5</v>
      </c>
      <c r="I23" s="47" t="n">
        <v>5.5</v>
      </c>
      <c r="J23" s="47" t="n">
        <v>6</v>
      </c>
      <c r="K23" s="47" t="n">
        <v>6.5</v>
      </c>
      <c r="L23" s="47" t="n">
        <v>7.5</v>
      </c>
      <c r="M23" s="48" t="n"/>
      <c r="N23" s="49" t="inlineStr">
        <is>
          <t>Y</t>
        </is>
      </c>
      <c r="O23" s="42" t="inlineStr">
        <is>
          <t>Sparge Water</t>
        </is>
      </c>
    </row>
    <row r="24">
      <c r="A24" s="50" t="inlineStr">
        <is>
          <t>Brewing</t>
        </is>
      </c>
      <c r="B24" s="50" t="inlineStr">
        <is>
          <t>Brewhouse</t>
        </is>
      </c>
      <c r="C24" s="50" t="inlineStr">
        <is>
          <t>Brewhouse</t>
        </is>
      </c>
      <c r="D24" s="50" t="inlineStr">
        <is>
          <t>Lauter Tun</t>
        </is>
      </c>
      <c r="E24" s="50" t="inlineStr">
        <is>
          <t>P.BR.BH.LTN.0012</t>
        </is>
      </c>
      <c r="F24" s="50" t="inlineStr">
        <is>
          <t>Sparge Water Alkalinity</t>
        </is>
      </c>
      <c r="G24" s="50" t="inlineStr">
        <is>
          <t>ppm</t>
        </is>
      </c>
      <c r="H24" s="50" t="n">
        <v>0</v>
      </c>
      <c r="I24" s="50" t="n">
        <v>3</v>
      </c>
      <c r="J24" s="50" t="inlineStr">
        <is>
          <t>-</t>
        </is>
      </c>
      <c r="K24" s="50" t="n">
        <v>8</v>
      </c>
      <c r="L24" s="50" t="n">
        <v>30</v>
      </c>
      <c r="M24" s="48" t="n"/>
      <c r="N24" s="49" t="inlineStr">
        <is>
          <t>Y</t>
        </is>
      </c>
      <c r="O24" s="42" t="inlineStr">
        <is>
          <t>Mash Water</t>
        </is>
      </c>
    </row>
    <row r="25">
      <c r="A25" s="47" t="inlineStr">
        <is>
          <t>Brewing</t>
        </is>
      </c>
      <c r="B25" s="47" t="inlineStr">
        <is>
          <t>Brewhouse</t>
        </is>
      </c>
      <c r="C25" s="47" t="inlineStr">
        <is>
          <t>Brewhouse</t>
        </is>
      </c>
      <c r="D25" s="47" t="inlineStr">
        <is>
          <t>Lauter Tun</t>
        </is>
      </c>
      <c r="E25" s="47" t="inlineStr">
        <is>
          <t>P.BR.BH.LTN.0013</t>
        </is>
      </c>
      <c r="F25" s="47" t="inlineStr">
        <is>
          <t>Sparge Water Free Chlorine</t>
        </is>
      </c>
      <c r="G25" s="47" t="inlineStr">
        <is>
          <t>ppm</t>
        </is>
      </c>
      <c r="H25" s="47" t="n">
        <v>0.05</v>
      </c>
      <c r="I25" s="47" t="inlineStr">
        <is>
          <t>-</t>
        </is>
      </c>
      <c r="J25" s="47" t="inlineStr">
        <is>
          <t>-</t>
        </is>
      </c>
      <c r="K25" s="47" t="inlineStr">
        <is>
          <t>-</t>
        </is>
      </c>
      <c r="L25" s="47" t="n">
        <v>0.2</v>
      </c>
      <c r="M25" s="48" t="n"/>
      <c r="N25" s="49" t="inlineStr">
        <is>
          <t>Y</t>
        </is>
      </c>
      <c r="O25" s="42" t="inlineStr">
        <is>
          <t>Mash Water</t>
        </is>
      </c>
    </row>
    <row r="26">
      <c r="A26" s="50" t="inlineStr">
        <is>
          <t>Brewing</t>
        </is>
      </c>
      <c r="B26" s="50" t="inlineStr">
        <is>
          <t>Brewhouse</t>
        </is>
      </c>
      <c r="C26" s="50" t="inlineStr">
        <is>
          <t>Brewhouse</t>
        </is>
      </c>
      <c r="D26" s="50" t="inlineStr">
        <is>
          <t>Mash Filter</t>
        </is>
      </c>
      <c r="E26" s="50" t="inlineStr">
        <is>
          <t>P.BR.BH.MSF.0001</t>
        </is>
      </c>
      <c r="F26" s="50" t="inlineStr">
        <is>
          <t>First Wort Extract</t>
        </is>
      </c>
      <c r="G26" s="50" t="inlineStr">
        <is>
          <t>°P</t>
        </is>
      </c>
      <c r="H26" s="50" t="n">
        <v>19.5</v>
      </c>
      <c r="I26" s="50" t="n">
        <v>20.5</v>
      </c>
      <c r="J26" s="50" t="n">
        <v>21.5</v>
      </c>
      <c r="K26" s="50" t="n">
        <v>22.5</v>
      </c>
      <c r="L26" s="50" t="n">
        <v>23.5</v>
      </c>
      <c r="M26" s="48" t="n"/>
      <c r="N26" s="49" t="inlineStr">
        <is>
          <t>Y</t>
        </is>
      </c>
      <c r="O26" s="42" t="inlineStr">
        <is>
          <t>Mash Filter</t>
        </is>
      </c>
    </row>
    <row r="27">
      <c r="A27" s="47" t="inlineStr">
        <is>
          <t>Brewing</t>
        </is>
      </c>
      <c r="B27" s="47" t="inlineStr">
        <is>
          <t>Brewhouse</t>
        </is>
      </c>
      <c r="C27" s="47" t="inlineStr">
        <is>
          <t>Brewhouse</t>
        </is>
      </c>
      <c r="D27" s="47" t="inlineStr">
        <is>
          <t>Mash Filter</t>
        </is>
      </c>
      <c r="E27" s="47" t="inlineStr">
        <is>
          <t>P.BR.BH.MSF.0006</t>
        </is>
      </c>
      <c r="F27" s="47" t="inlineStr">
        <is>
          <t>Weak Wort Extract (Last Runnings)</t>
        </is>
      </c>
      <c r="G27" s="47" t="inlineStr">
        <is>
          <t>°P</t>
        </is>
      </c>
      <c r="H27" s="47" t="inlineStr">
        <is>
          <t>-</t>
        </is>
      </c>
      <c r="I27" s="47" t="n">
        <v>0.5</v>
      </c>
      <c r="J27" s="47" t="n">
        <v>1</v>
      </c>
      <c r="K27" s="47" t="n">
        <v>1.5</v>
      </c>
      <c r="L27" s="47" t="n">
        <v>3</v>
      </c>
      <c r="M27" s="48" t="n"/>
      <c r="N27" s="49" t="inlineStr">
        <is>
          <t>Y</t>
        </is>
      </c>
      <c r="O27" s="42" t="inlineStr">
        <is>
          <t>Mash Filter</t>
        </is>
      </c>
    </row>
    <row r="28">
      <c r="A28" s="50" t="inlineStr">
        <is>
          <t>Brewing</t>
        </is>
      </c>
      <c r="B28" s="50" t="inlineStr">
        <is>
          <t>Brewhouse</t>
        </is>
      </c>
      <c r="C28" s="50" t="inlineStr">
        <is>
          <t>Brewhouse</t>
        </is>
      </c>
      <c r="D28" s="50" t="inlineStr">
        <is>
          <t>Mash Filter</t>
        </is>
      </c>
      <c r="E28" s="50" t="inlineStr">
        <is>
          <t>P.BR.BH.MSF.0007</t>
        </is>
      </c>
      <c r="F28" s="50" t="inlineStr">
        <is>
          <t>Total Wort Filtering Duration</t>
        </is>
      </c>
      <c r="G28" s="50" t="inlineStr">
        <is>
          <t>min</t>
        </is>
      </c>
      <c r="H28" s="50" t="inlineStr">
        <is>
          <t>-</t>
        </is>
      </c>
      <c r="I28" s="50" t="inlineStr">
        <is>
          <t>-</t>
        </is>
      </c>
      <c r="J28" s="50" t="inlineStr">
        <is>
          <t>-</t>
        </is>
      </c>
      <c r="K28" s="50" t="inlineStr">
        <is>
          <t>-</t>
        </is>
      </c>
      <c r="L28" s="50" t="inlineStr">
        <is>
          <t>-</t>
        </is>
      </c>
      <c r="M28" s="48" t="n"/>
      <c r="N28" s="49" t="inlineStr">
        <is>
          <t>Y</t>
        </is>
      </c>
      <c r="O28" s="42" t="inlineStr">
        <is>
          <t>Mash Filter</t>
        </is>
      </c>
    </row>
    <row r="29">
      <c r="A29" s="47" t="inlineStr">
        <is>
          <t>Brewing</t>
        </is>
      </c>
      <c r="B29" s="47" t="inlineStr">
        <is>
          <t>Brewhouse</t>
        </is>
      </c>
      <c r="C29" s="47" t="inlineStr">
        <is>
          <t>Brewhouse</t>
        </is>
      </c>
      <c r="D29" s="47" t="inlineStr">
        <is>
          <t>Mash Filter</t>
        </is>
      </c>
      <c r="E29" s="47" t="inlineStr">
        <is>
          <t>P.BR.BH.MSF.0008</t>
        </is>
      </c>
      <c r="F29" s="47" t="inlineStr">
        <is>
          <t>Sparge Water Temperature</t>
        </is>
      </c>
      <c r="G29" s="47" t="inlineStr">
        <is>
          <t>°C</t>
        </is>
      </c>
      <c r="H29" s="47" t="inlineStr">
        <is>
          <t>-</t>
        </is>
      </c>
      <c r="I29" s="47" t="n">
        <v>74</v>
      </c>
      <c r="J29" s="47" t="n">
        <v>78</v>
      </c>
      <c r="K29" s="47" t="n">
        <v>81</v>
      </c>
      <c r="L29" s="47" t="inlineStr">
        <is>
          <t>-</t>
        </is>
      </c>
      <c r="M29" s="48" t="n"/>
      <c r="N29" s="49" t="inlineStr">
        <is>
          <t>Y</t>
        </is>
      </c>
      <c r="O29" s="42" t="inlineStr">
        <is>
          <t>Mash Filter</t>
        </is>
      </c>
    </row>
    <row r="30">
      <c r="A30" s="50" t="inlineStr">
        <is>
          <t>Brewing</t>
        </is>
      </c>
      <c r="B30" s="50" t="inlineStr">
        <is>
          <t>Brewhouse</t>
        </is>
      </c>
      <c r="C30" s="50" t="inlineStr">
        <is>
          <t>Brewhouse</t>
        </is>
      </c>
      <c r="D30" s="50" t="inlineStr">
        <is>
          <t>Mash Filter</t>
        </is>
      </c>
      <c r="E30" s="50" t="inlineStr">
        <is>
          <t>P.BR.BH.MSF.0009</t>
        </is>
      </c>
      <c r="F30" s="50" t="inlineStr">
        <is>
          <t>Sparge Water pH</t>
        </is>
      </c>
      <c r="G30" s="50" t="inlineStr">
        <is>
          <t>pH</t>
        </is>
      </c>
      <c r="H30" s="50" t="n">
        <v>5.5</v>
      </c>
      <c r="I30" s="50" t="n">
        <v>5.5</v>
      </c>
      <c r="J30" s="50" t="n">
        <v>6</v>
      </c>
      <c r="K30" s="50" t="n">
        <v>6.5</v>
      </c>
      <c r="L30" s="50" t="n">
        <v>7</v>
      </c>
      <c r="M30" s="48" t="n"/>
      <c r="N30" s="49" t="inlineStr">
        <is>
          <t>Y</t>
        </is>
      </c>
      <c r="O30" s="42" t="inlineStr">
        <is>
          <t>Sparge Water</t>
        </is>
      </c>
    </row>
    <row r="31">
      <c r="A31" s="47" t="inlineStr">
        <is>
          <t>Brewing</t>
        </is>
      </c>
      <c r="B31" s="47" t="inlineStr">
        <is>
          <t>Brewhouse</t>
        </is>
      </c>
      <c r="C31" s="47" t="inlineStr">
        <is>
          <t>Brewhouse</t>
        </is>
      </c>
      <c r="D31" s="47" t="inlineStr">
        <is>
          <t>Mash Filter</t>
        </is>
      </c>
      <c r="E31" s="47" t="inlineStr">
        <is>
          <t>P.BR.BH.MSF.0011</t>
        </is>
      </c>
      <c r="F31" s="47" t="inlineStr">
        <is>
          <t>Sparge Water Alkalinity</t>
        </is>
      </c>
      <c r="G31" s="47" t="inlineStr">
        <is>
          <t>ppm</t>
        </is>
      </c>
      <c r="H31" s="47" t="inlineStr">
        <is>
          <t>-</t>
        </is>
      </c>
      <c r="I31" s="47" t="inlineStr">
        <is>
          <t>-</t>
        </is>
      </c>
      <c r="J31" s="47" t="inlineStr">
        <is>
          <t>-</t>
        </is>
      </c>
      <c r="K31" s="47" t="inlineStr">
        <is>
          <t>-</t>
        </is>
      </c>
      <c r="L31" s="47" t="inlineStr">
        <is>
          <t>-</t>
        </is>
      </c>
      <c r="M31" s="48" t="n"/>
      <c r="N31" s="49" t="inlineStr">
        <is>
          <t>Y</t>
        </is>
      </c>
      <c r="O31" s="42" t="inlineStr">
        <is>
          <t>Mash Water</t>
        </is>
      </c>
    </row>
    <row r="32">
      <c r="A32" s="50" t="inlineStr">
        <is>
          <t>Brewing</t>
        </is>
      </c>
      <c r="B32" s="50" t="inlineStr">
        <is>
          <t>Brewhouse</t>
        </is>
      </c>
      <c r="C32" s="50" t="inlineStr">
        <is>
          <t>Brewhouse</t>
        </is>
      </c>
      <c r="D32" s="50" t="inlineStr">
        <is>
          <t>Mash Filter</t>
        </is>
      </c>
      <c r="E32" s="50" t="inlineStr">
        <is>
          <t>P.BR.BH.MSF.0015</t>
        </is>
      </c>
      <c r="F32" s="50" t="inlineStr">
        <is>
          <t>Sparge Water Free Chlorine</t>
        </is>
      </c>
      <c r="G32" s="50" t="inlineStr">
        <is>
          <t>ppm</t>
        </is>
      </c>
      <c r="H32" s="50" t="n">
        <v>0.1</v>
      </c>
      <c r="I32" s="50" t="n">
        <v>0.1</v>
      </c>
      <c r="J32" s="50" t="inlineStr">
        <is>
          <t>-</t>
        </is>
      </c>
      <c r="K32" s="50" t="n">
        <v>0.2</v>
      </c>
      <c r="L32" s="50" t="n">
        <v>0.5</v>
      </c>
      <c r="M32" s="48" t="n"/>
      <c r="N32" s="49" t="inlineStr">
        <is>
          <t>Y</t>
        </is>
      </c>
      <c r="O32" s="42" t="inlineStr">
        <is>
          <t>Mash Water</t>
        </is>
      </c>
    </row>
    <row r="33">
      <c r="A33" s="47" t="inlineStr">
        <is>
          <t>Brewing</t>
        </is>
      </c>
      <c r="B33" s="47" t="inlineStr">
        <is>
          <t>Brewhouse</t>
        </is>
      </c>
      <c r="C33" s="47" t="inlineStr">
        <is>
          <t>Brewhouse</t>
        </is>
      </c>
      <c r="D33" s="47" t="inlineStr">
        <is>
          <t>Mashing</t>
        </is>
      </c>
      <c r="E33" s="47" t="inlineStr">
        <is>
          <t>P.BR.BH.MSH.0009</t>
        </is>
      </c>
      <c r="F33" s="47" t="inlineStr">
        <is>
          <t>Mash-In Temperature Malt</t>
        </is>
      </c>
      <c r="G33" s="47" t="inlineStr">
        <is>
          <t>°C</t>
        </is>
      </c>
      <c r="H33" s="47" t="n">
        <v>41</v>
      </c>
      <c r="I33" s="47" t="n">
        <v>43</v>
      </c>
      <c r="J33" s="47" t="n">
        <v>45</v>
      </c>
      <c r="K33" s="47" t="n">
        <v>47</v>
      </c>
      <c r="L33" s="47" t="n">
        <v>49</v>
      </c>
      <c r="M33" s="48" t="n"/>
      <c r="N33" s="49" t="inlineStr">
        <is>
          <t>Y</t>
        </is>
      </c>
      <c r="O33" s="42" t="inlineStr">
        <is>
          <t>Mash Tun</t>
        </is>
      </c>
    </row>
    <row r="34">
      <c r="A34" s="50" t="inlineStr">
        <is>
          <t>Brewing</t>
        </is>
      </c>
      <c r="B34" s="50" t="inlineStr">
        <is>
          <t>Brewhouse</t>
        </is>
      </c>
      <c r="C34" s="50" t="inlineStr">
        <is>
          <t>Brewhouse</t>
        </is>
      </c>
      <c r="D34" s="50" t="inlineStr">
        <is>
          <t>Mashing</t>
        </is>
      </c>
      <c r="E34" s="50" t="inlineStr">
        <is>
          <t>P.BR.BH.MSH.0015</t>
        </is>
      </c>
      <c r="F34" s="50" t="inlineStr">
        <is>
          <t>Mash Cooker Pumpback Temperature</t>
        </is>
      </c>
      <c r="G34" s="50" t="inlineStr">
        <is>
          <t>°C</t>
        </is>
      </c>
      <c r="H34" s="50" t="n">
        <v>61</v>
      </c>
      <c r="I34" s="50" t="n">
        <v>63</v>
      </c>
      <c r="J34" s="50" t="n">
        <v>64</v>
      </c>
      <c r="K34" s="50" t="n">
        <v>65</v>
      </c>
      <c r="L34" s="50" t="n">
        <v>67</v>
      </c>
      <c r="M34" s="48" t="n"/>
      <c r="N34" s="49" t="inlineStr">
        <is>
          <t>Y</t>
        </is>
      </c>
      <c r="O34" s="42" t="inlineStr">
        <is>
          <t>Mash Tun</t>
        </is>
      </c>
    </row>
    <row r="35">
      <c r="A35" s="47" t="inlineStr">
        <is>
          <t>Brewing</t>
        </is>
      </c>
      <c r="B35" s="47" t="inlineStr">
        <is>
          <t>Brewhouse</t>
        </is>
      </c>
      <c r="C35" s="47" t="inlineStr">
        <is>
          <t>Brewhouse</t>
        </is>
      </c>
      <c r="D35" s="47" t="inlineStr">
        <is>
          <t>Mashing</t>
        </is>
      </c>
      <c r="E35" s="47" t="inlineStr">
        <is>
          <t>P.BR.BH.MSH.0028</t>
        </is>
      </c>
      <c r="F35" s="47" t="inlineStr">
        <is>
          <t>Total Mash Vessel Occupancy Duration</t>
        </is>
      </c>
      <c r="G35" s="47" t="inlineStr">
        <is>
          <t>min</t>
        </is>
      </c>
      <c r="H35" s="47" t="inlineStr">
        <is>
          <t>-</t>
        </is>
      </c>
      <c r="I35" s="47" t="inlineStr">
        <is>
          <t>-</t>
        </is>
      </c>
      <c r="J35" s="47" t="inlineStr">
        <is>
          <t>-</t>
        </is>
      </c>
      <c r="K35" s="47" t="inlineStr">
        <is>
          <t>-</t>
        </is>
      </c>
      <c r="L35" s="47" t="inlineStr">
        <is>
          <t>-</t>
        </is>
      </c>
      <c r="M35" s="48" t="n"/>
      <c r="N35" s="49" t="inlineStr">
        <is>
          <t>Y</t>
        </is>
      </c>
      <c r="O35" s="42" t="inlineStr">
        <is>
          <t>Mash Tun</t>
        </is>
      </c>
    </row>
    <row r="36">
      <c r="A36" s="50" t="inlineStr">
        <is>
          <t>Brewing</t>
        </is>
      </c>
      <c r="B36" s="50" t="inlineStr">
        <is>
          <t>Brewhouse</t>
        </is>
      </c>
      <c r="C36" s="50" t="inlineStr">
        <is>
          <t>Brewhouse</t>
        </is>
      </c>
      <c r="D36" s="50" t="inlineStr">
        <is>
          <t>Wort Cooling</t>
        </is>
      </c>
      <c r="E36" s="50" t="inlineStr">
        <is>
          <t>P.BR.BH.WCO.0002</t>
        </is>
      </c>
      <c r="F36" s="50" t="inlineStr">
        <is>
          <t>Color</t>
        </is>
      </c>
      <c r="G36" s="50" t="inlineStr">
        <is>
          <t>°EBC</t>
        </is>
      </c>
      <c r="H36" s="50" t="inlineStr">
        <is>
          <t>-</t>
        </is>
      </c>
      <c r="I36" s="50" t="inlineStr">
        <is>
          <t>-</t>
        </is>
      </c>
      <c r="J36" s="50" t="inlineStr">
        <is>
          <t>-</t>
        </is>
      </c>
      <c r="K36" s="50" t="inlineStr">
        <is>
          <t>-</t>
        </is>
      </c>
      <c r="L36" s="50" t="inlineStr">
        <is>
          <t>-</t>
        </is>
      </c>
      <c r="M36" s="48" t="n"/>
      <c r="N36" s="49" t="inlineStr">
        <is>
          <t>Y</t>
        </is>
      </c>
      <c r="O36" s="42" t="inlineStr">
        <is>
          <t>Cold Wort</t>
        </is>
      </c>
    </row>
    <row r="37">
      <c r="A37" s="47" t="inlineStr">
        <is>
          <t>Brewing</t>
        </is>
      </c>
      <c r="B37" s="47" t="inlineStr">
        <is>
          <t>Brewhouse</t>
        </is>
      </c>
      <c r="C37" s="47" t="inlineStr">
        <is>
          <t>Brewhouse</t>
        </is>
      </c>
      <c r="D37" s="47" t="inlineStr">
        <is>
          <t>Wort Cooling</t>
        </is>
      </c>
      <c r="E37" s="47" t="inlineStr">
        <is>
          <t>P.BR.BH.WCO.0006</t>
        </is>
      </c>
      <c r="F37" s="47" t="inlineStr">
        <is>
          <t>Wort FAN</t>
        </is>
      </c>
      <c r="G37" s="47" t="inlineStr">
        <is>
          <t>ppm</t>
        </is>
      </c>
      <c r="H37" s="47" t="inlineStr">
        <is>
          <t>-</t>
        </is>
      </c>
      <c r="I37" s="47" t="inlineStr">
        <is>
          <t>-</t>
        </is>
      </c>
      <c r="J37" s="47" t="inlineStr">
        <is>
          <t>-</t>
        </is>
      </c>
      <c r="K37" s="47" t="inlineStr">
        <is>
          <t>-</t>
        </is>
      </c>
      <c r="L37" s="47" t="inlineStr">
        <is>
          <t>-</t>
        </is>
      </c>
      <c r="M37" s="48" t="n"/>
      <c r="N37" s="49" t="inlineStr">
        <is>
          <t>Y</t>
        </is>
      </c>
      <c r="O37" s="42" t="inlineStr">
        <is>
          <t>Cold Wort</t>
        </is>
      </c>
    </row>
    <row r="38">
      <c r="A38" s="50" t="inlineStr">
        <is>
          <t>Brewing</t>
        </is>
      </c>
      <c r="B38" s="50" t="inlineStr">
        <is>
          <t>Brewhouse</t>
        </is>
      </c>
      <c r="C38" s="50" t="inlineStr">
        <is>
          <t>Brewhouse</t>
        </is>
      </c>
      <c r="D38" s="50" t="inlineStr">
        <is>
          <t>Wort Cooling</t>
        </is>
      </c>
      <c r="E38" s="50" t="inlineStr">
        <is>
          <t>P.BR.BH.WCO.0007</t>
        </is>
      </c>
      <c r="F38" s="50" t="inlineStr">
        <is>
          <t>Wort Bitterness</t>
        </is>
      </c>
      <c r="G38" s="50" t="inlineStr">
        <is>
          <t>BU</t>
        </is>
      </c>
      <c r="H38" s="50" t="inlineStr">
        <is>
          <t>-</t>
        </is>
      </c>
      <c r="I38" s="50" t="inlineStr">
        <is>
          <t>-</t>
        </is>
      </c>
      <c r="J38" s="50" t="inlineStr">
        <is>
          <t>-</t>
        </is>
      </c>
      <c r="K38" s="50" t="inlineStr">
        <is>
          <t>-</t>
        </is>
      </c>
      <c r="L38" s="50" t="inlineStr">
        <is>
          <t>-</t>
        </is>
      </c>
      <c r="M38" s="48" t="n"/>
      <c r="N38" s="49" t="inlineStr">
        <is>
          <t>Y</t>
        </is>
      </c>
      <c r="O38" s="42" t="inlineStr">
        <is>
          <t>Cold Wort</t>
        </is>
      </c>
    </row>
    <row r="39">
      <c r="A39" s="47" t="inlineStr">
        <is>
          <t>Brewing</t>
        </is>
      </c>
      <c r="B39" s="47" t="inlineStr">
        <is>
          <t>Brewhouse</t>
        </is>
      </c>
      <c r="C39" s="47" t="inlineStr">
        <is>
          <t>Brewhouse</t>
        </is>
      </c>
      <c r="D39" s="47" t="inlineStr">
        <is>
          <t>Wort Cooling</t>
        </is>
      </c>
      <c r="E39" s="47" t="inlineStr">
        <is>
          <t>P.BR.BH.WCO.0008</t>
        </is>
      </c>
      <c r="F39" s="47" t="inlineStr">
        <is>
          <t>RDF</t>
        </is>
      </c>
      <c r="G39" s="47" t="inlineStr">
        <is>
          <t>°P</t>
        </is>
      </c>
      <c r="H39" s="47" t="n">
        <v>70</v>
      </c>
      <c r="I39" s="47" t="inlineStr">
        <is>
          <t>-</t>
        </is>
      </c>
      <c r="J39" s="47" t="n">
        <v>71</v>
      </c>
      <c r="K39" s="47" t="inlineStr">
        <is>
          <t>-</t>
        </is>
      </c>
      <c r="L39" s="47" t="inlineStr">
        <is>
          <t>-</t>
        </is>
      </c>
      <c r="M39" s="48" t="n"/>
      <c r="N39" s="49" t="inlineStr">
        <is>
          <t>Y</t>
        </is>
      </c>
      <c r="O39" s="42" t="inlineStr">
        <is>
          <t>Fermentor Fill</t>
        </is>
      </c>
    </row>
    <row r="40">
      <c r="A40" s="50" t="inlineStr">
        <is>
          <t>Brewing</t>
        </is>
      </c>
      <c r="B40" s="50" t="inlineStr">
        <is>
          <t>Brewhouse</t>
        </is>
      </c>
      <c r="C40" s="50" t="inlineStr">
        <is>
          <t>Brewhouse</t>
        </is>
      </c>
      <c r="D40" s="50" t="inlineStr">
        <is>
          <t>Wort Cooling</t>
        </is>
      </c>
      <c r="E40" s="50" t="inlineStr">
        <is>
          <t>P.BR.BH.WCO.0009</t>
        </is>
      </c>
      <c r="F40" s="50" t="inlineStr">
        <is>
          <t>Wort DMS</t>
        </is>
      </c>
      <c r="G40" s="50" t="inlineStr">
        <is>
          <t>ppm</t>
        </is>
      </c>
      <c r="H40" s="50" t="n">
        <v>8</v>
      </c>
      <c r="I40" s="50" t="n">
        <v>9</v>
      </c>
      <c r="J40" s="50" t="n">
        <v>10</v>
      </c>
      <c r="K40" s="50" t="n">
        <v>11</v>
      </c>
      <c r="L40" s="50" t="n">
        <v>12</v>
      </c>
      <c r="M40" s="48" t="n"/>
      <c r="N40" s="49" t="inlineStr">
        <is>
          <t>Y</t>
        </is>
      </c>
      <c r="O40" s="42" t="inlineStr">
        <is>
          <t>Cold Wort</t>
        </is>
      </c>
    </row>
    <row r="41">
      <c r="A41" s="47" t="inlineStr">
        <is>
          <t>Brewing</t>
        </is>
      </c>
      <c r="B41" s="47" t="inlineStr">
        <is>
          <t>Brewhouse</t>
        </is>
      </c>
      <c r="C41" s="47" t="inlineStr">
        <is>
          <t>Brewhouse</t>
        </is>
      </c>
      <c r="D41" s="47" t="inlineStr">
        <is>
          <t>Wort Cooling</t>
        </is>
      </c>
      <c r="E41" s="47" t="inlineStr">
        <is>
          <t>P.BR.BH.WCO.0011</t>
        </is>
      </c>
      <c r="F41" s="47" t="inlineStr">
        <is>
          <t>Total Polyphenols</t>
        </is>
      </c>
      <c r="G41" s="47" t="inlineStr">
        <is>
          <t>ppm</t>
        </is>
      </c>
      <c r="H41" s="47" t="inlineStr">
        <is>
          <t>-</t>
        </is>
      </c>
      <c r="I41" s="47" t="inlineStr">
        <is>
          <t>-</t>
        </is>
      </c>
      <c r="J41" s="47" t="inlineStr">
        <is>
          <t>-</t>
        </is>
      </c>
      <c r="K41" s="47" t="inlineStr">
        <is>
          <t>-</t>
        </is>
      </c>
      <c r="L41" s="47" t="inlineStr">
        <is>
          <t>-</t>
        </is>
      </c>
      <c r="M41" s="48" t="n"/>
      <c r="N41" s="49" t="inlineStr">
        <is>
          <t>Y</t>
        </is>
      </c>
      <c r="O41" s="42" t="inlineStr">
        <is>
          <t>Cold Wort</t>
        </is>
      </c>
    </row>
    <row r="42">
      <c r="A42" s="50" t="inlineStr">
        <is>
          <t>Brewing</t>
        </is>
      </c>
      <c r="B42" s="50" t="inlineStr">
        <is>
          <t>Brewhouse</t>
        </is>
      </c>
      <c r="C42" s="50" t="inlineStr">
        <is>
          <t>Brewhouse</t>
        </is>
      </c>
      <c r="D42" s="50" t="inlineStr">
        <is>
          <t>Wort Cooling</t>
        </is>
      </c>
      <c r="E42" s="50" t="inlineStr">
        <is>
          <t>P.BR.BH.WCO.0012</t>
        </is>
      </c>
      <c r="F42" s="50" t="inlineStr">
        <is>
          <t>Wort Calcium</t>
        </is>
      </c>
      <c r="G42" s="50" t="inlineStr">
        <is>
          <t>ppm</t>
        </is>
      </c>
      <c r="H42" s="50" t="inlineStr">
        <is>
          <t>-</t>
        </is>
      </c>
      <c r="I42" s="50" t="inlineStr">
        <is>
          <t>-</t>
        </is>
      </c>
      <c r="J42" s="50" t="inlineStr">
        <is>
          <t>-</t>
        </is>
      </c>
      <c r="K42" s="50" t="inlineStr">
        <is>
          <t>-</t>
        </is>
      </c>
      <c r="L42" s="50" t="inlineStr">
        <is>
          <t>-</t>
        </is>
      </c>
      <c r="M42" s="48" t="n"/>
      <c r="N42" s="49" t="inlineStr">
        <is>
          <t>Y</t>
        </is>
      </c>
      <c r="O42" s="42" t="inlineStr">
        <is>
          <t>Cold Wort</t>
        </is>
      </c>
    </row>
    <row r="43">
      <c r="A43" s="47" t="inlineStr">
        <is>
          <t>Brewing</t>
        </is>
      </c>
      <c r="B43" s="47" t="inlineStr">
        <is>
          <t>Brewhouse</t>
        </is>
      </c>
      <c r="C43" s="47" t="inlineStr">
        <is>
          <t>Brewhouse</t>
        </is>
      </c>
      <c r="D43" s="47" t="inlineStr">
        <is>
          <t>Wort Cooling</t>
        </is>
      </c>
      <c r="E43" s="47" t="inlineStr">
        <is>
          <t>P.BR.BH.WCO.0013</t>
        </is>
      </c>
      <c r="F43" s="47" t="inlineStr">
        <is>
          <t>Cooling Duration</t>
        </is>
      </c>
      <c r="G43" s="47" t="inlineStr">
        <is>
          <t>min</t>
        </is>
      </c>
      <c r="H43" s="47" t="inlineStr">
        <is>
          <t>-</t>
        </is>
      </c>
      <c r="I43" s="47" t="inlineStr">
        <is>
          <t>-</t>
        </is>
      </c>
      <c r="J43" s="47" t="inlineStr">
        <is>
          <t>-</t>
        </is>
      </c>
      <c r="K43" s="47" t="inlineStr">
        <is>
          <t>-</t>
        </is>
      </c>
      <c r="L43" s="47" t="inlineStr">
        <is>
          <t>-</t>
        </is>
      </c>
      <c r="M43" s="48" t="n"/>
      <c r="N43" s="49" t="inlineStr">
        <is>
          <t>Y</t>
        </is>
      </c>
      <c r="O43" s="42" t="inlineStr">
        <is>
          <t>Whirlpool</t>
        </is>
      </c>
    </row>
    <row r="44">
      <c r="A44" s="50" t="inlineStr">
        <is>
          <t>Brewing</t>
        </is>
      </c>
      <c r="B44" s="50" t="inlineStr">
        <is>
          <t>Brewhouse</t>
        </is>
      </c>
      <c r="C44" s="50" t="inlineStr">
        <is>
          <t>Brewhouse</t>
        </is>
      </c>
      <c r="D44" s="50" t="inlineStr">
        <is>
          <t>Wort Cooling</t>
        </is>
      </c>
      <c r="E44" s="50" t="inlineStr">
        <is>
          <t>P.BR.BH.WCO.0014</t>
        </is>
      </c>
      <c r="F44" s="50" t="inlineStr">
        <is>
          <t>Wort Original Gravity</t>
        </is>
      </c>
      <c r="G44" s="50" t="inlineStr">
        <is>
          <t>°P</t>
        </is>
      </c>
      <c r="H44" s="50" t="n">
        <v>11.9</v>
      </c>
      <c r="I44" s="50" t="n">
        <v>12.1</v>
      </c>
      <c r="J44" s="50" t="n">
        <v>12.3</v>
      </c>
      <c r="K44" s="50" t="n">
        <v>12.5</v>
      </c>
      <c r="L44" s="50" t="n">
        <v>12.7</v>
      </c>
      <c r="M44" s="48" t="n"/>
      <c r="N44" s="49" t="inlineStr">
        <is>
          <t>Y</t>
        </is>
      </c>
      <c r="O44" s="42" t="inlineStr">
        <is>
          <t>Cold Wort</t>
        </is>
      </c>
    </row>
    <row r="45">
      <c r="A45" s="47" t="inlineStr">
        <is>
          <t>Brewing</t>
        </is>
      </c>
      <c r="B45" s="47" t="inlineStr">
        <is>
          <t>Brewhouse</t>
        </is>
      </c>
      <c r="C45" s="47" t="inlineStr">
        <is>
          <t>Brewhouse</t>
        </is>
      </c>
      <c r="D45" s="47" t="inlineStr">
        <is>
          <t>Wort Cooling</t>
        </is>
      </c>
      <c r="E45" s="47" t="inlineStr">
        <is>
          <t>P.BR.BH.WCO.0015</t>
        </is>
      </c>
      <c r="F45" s="47" t="inlineStr">
        <is>
          <t>Wort Aeration Mass Flow Rate</t>
        </is>
      </c>
      <c r="G45" s="47" t="inlineStr">
        <is>
          <t>g air/hL</t>
        </is>
      </c>
      <c r="H45" s="47" t="inlineStr">
        <is>
          <t>-</t>
        </is>
      </c>
      <c r="I45" s="47" t="inlineStr">
        <is>
          <t>-</t>
        </is>
      </c>
      <c r="J45" s="47" t="inlineStr">
        <is>
          <t>-</t>
        </is>
      </c>
      <c r="K45" s="47" t="inlineStr">
        <is>
          <t>-</t>
        </is>
      </c>
      <c r="L45" s="47" t="inlineStr">
        <is>
          <t>-</t>
        </is>
      </c>
      <c r="M45" s="48" t="n"/>
      <c r="N45" s="49" t="inlineStr">
        <is>
          <t>Y</t>
        </is>
      </c>
      <c r="O45" s="42" t="inlineStr">
        <is>
          <t>Whirlpool</t>
        </is>
      </c>
    </row>
    <row r="46">
      <c r="A46" s="50" t="inlineStr">
        <is>
          <t>Brewing</t>
        </is>
      </c>
      <c r="B46" s="50" t="inlineStr">
        <is>
          <t>Brewhouse</t>
        </is>
      </c>
      <c r="C46" s="50" t="inlineStr">
        <is>
          <t>Brewhouse</t>
        </is>
      </c>
      <c r="D46" s="50" t="inlineStr">
        <is>
          <t>Wort Cooling</t>
        </is>
      </c>
      <c r="E46" s="50" t="inlineStr">
        <is>
          <t>P.BR.BH.WCO.0021</t>
        </is>
      </c>
      <c r="F46" s="50" t="inlineStr">
        <is>
          <t>Wort pH</t>
        </is>
      </c>
      <c r="G46" s="50" t="inlineStr">
        <is>
          <t>pH</t>
        </is>
      </c>
      <c r="H46" s="50" t="n">
        <v>4.9</v>
      </c>
      <c r="I46" s="50" t="n">
        <v>5</v>
      </c>
      <c r="J46" s="50" t="n">
        <v>5.2</v>
      </c>
      <c r="K46" s="50" t="n">
        <v>5.4</v>
      </c>
      <c r="L46" s="50" t="n">
        <v>5.5</v>
      </c>
      <c r="M46" s="48" t="n"/>
      <c r="N46" s="49" t="inlineStr">
        <is>
          <t>Y</t>
        </is>
      </c>
      <c r="O46" s="42" t="inlineStr">
        <is>
          <t>Cold Wort</t>
        </is>
      </c>
    </row>
    <row r="47">
      <c r="A47" s="47" t="inlineStr">
        <is>
          <t>Brewing</t>
        </is>
      </c>
      <c r="B47" s="47" t="inlineStr">
        <is>
          <t>Brewhouse</t>
        </is>
      </c>
      <c r="C47" s="47" t="inlineStr">
        <is>
          <t>Brewhouse</t>
        </is>
      </c>
      <c r="D47" s="47" t="inlineStr">
        <is>
          <t>Wort Cooling</t>
        </is>
      </c>
      <c r="E47" s="47" t="inlineStr">
        <is>
          <t>P.BR.BH.WCO.0024</t>
        </is>
      </c>
      <c r="F47" s="47" t="inlineStr">
        <is>
          <t>Wort Clarity</t>
        </is>
      </c>
      <c r="G47" s="47" t="inlineStr">
        <is>
          <t>°EBC</t>
        </is>
      </c>
      <c r="H47" s="47" t="inlineStr">
        <is>
          <t>-</t>
        </is>
      </c>
      <c r="I47" s="47" t="inlineStr">
        <is>
          <t>-</t>
        </is>
      </c>
      <c r="J47" s="47" t="inlineStr">
        <is>
          <t>-</t>
        </is>
      </c>
      <c r="K47" s="47" t="n">
        <v>15</v>
      </c>
      <c r="L47" s="47" t="inlineStr">
        <is>
          <t>-</t>
        </is>
      </c>
      <c r="M47" s="51" t="n"/>
      <c r="N47" s="52" t="inlineStr">
        <is>
          <t>N</t>
        </is>
      </c>
      <c r="P47" t="inlineStr">
        <is>
          <t>Not Test</t>
        </is>
      </c>
    </row>
    <row r="48">
      <c r="A48" s="50" t="inlineStr">
        <is>
          <t>Brewing</t>
        </is>
      </c>
      <c r="B48" s="50" t="inlineStr">
        <is>
          <t>Brewhouse</t>
        </is>
      </c>
      <c r="C48" s="50" t="inlineStr">
        <is>
          <t>Brewhouse</t>
        </is>
      </c>
      <c r="D48" s="50" t="inlineStr">
        <is>
          <t>Wort Cooling</t>
        </is>
      </c>
      <c r="E48" s="50" t="inlineStr">
        <is>
          <t>P.BR.BH.WCO.0025</t>
        </is>
      </c>
      <c r="F48" s="50" t="inlineStr">
        <is>
          <t>Cold Wort Temperature</t>
        </is>
      </c>
      <c r="G48" s="50" t="inlineStr">
        <is>
          <t>°C</t>
        </is>
      </c>
      <c r="H48" s="50" t="n">
        <v>8</v>
      </c>
      <c r="I48" s="50" t="n">
        <v>8</v>
      </c>
      <c r="J48" s="50" t="n">
        <v>8</v>
      </c>
      <c r="K48" s="50" t="n">
        <v>10</v>
      </c>
      <c r="L48" s="50" t="n">
        <v>9</v>
      </c>
      <c r="M48" s="48" t="n"/>
      <c r="N48" s="49" t="inlineStr">
        <is>
          <t>Y</t>
        </is>
      </c>
      <c r="O48" s="42" t="inlineStr">
        <is>
          <t>Whirlpool</t>
        </is>
      </c>
    </row>
    <row r="49">
      <c r="A49" s="47" t="inlineStr">
        <is>
          <t>Brewing</t>
        </is>
      </c>
      <c r="B49" s="47" t="inlineStr">
        <is>
          <t>Brewhouse</t>
        </is>
      </c>
      <c r="C49" s="47" t="inlineStr">
        <is>
          <t>Brewhouse</t>
        </is>
      </c>
      <c r="D49" s="47" t="inlineStr">
        <is>
          <t>Wort Cooling</t>
        </is>
      </c>
      <c r="E49" s="47" t="inlineStr">
        <is>
          <t>P.BR.BH.WCO.0029</t>
        </is>
      </c>
      <c r="F49" s="47" t="inlineStr">
        <is>
          <t>Wort Zinc</t>
        </is>
      </c>
      <c r="G49" s="47" t="inlineStr">
        <is>
          <t>ppm</t>
        </is>
      </c>
      <c r="H49" s="47" t="n">
        <v>0.4</v>
      </c>
      <c r="I49" s="47" t="inlineStr">
        <is>
          <t>-</t>
        </is>
      </c>
      <c r="J49" s="47" t="inlineStr">
        <is>
          <t>-</t>
        </is>
      </c>
      <c r="K49" s="47" t="inlineStr">
        <is>
          <t>-</t>
        </is>
      </c>
      <c r="L49" s="47" t="inlineStr">
        <is>
          <t>-</t>
        </is>
      </c>
      <c r="M49" s="48" t="n"/>
      <c r="N49" s="49" t="inlineStr">
        <is>
          <t>Y</t>
        </is>
      </c>
      <c r="O49" s="42" t="inlineStr">
        <is>
          <t>Whirlpool</t>
        </is>
      </c>
    </row>
    <row r="50">
      <c r="A50" s="50" t="inlineStr">
        <is>
          <t>Brewing</t>
        </is>
      </c>
      <c r="B50" s="50" t="inlineStr">
        <is>
          <t>Brewhouse</t>
        </is>
      </c>
      <c r="C50" s="50" t="inlineStr">
        <is>
          <t>Brewhouse</t>
        </is>
      </c>
      <c r="D50" s="50" t="inlineStr">
        <is>
          <t>Wort Cooling</t>
        </is>
      </c>
      <c r="E50" s="50" t="inlineStr">
        <is>
          <t>P.BR.BH.WCO.0030</t>
        </is>
      </c>
      <c r="F50" s="50" t="inlineStr">
        <is>
          <t>Wort Limit Extract</t>
        </is>
      </c>
      <c r="G50" s="50" t="inlineStr">
        <is>
          <t>°P</t>
        </is>
      </c>
      <c r="H50" s="50" t="inlineStr">
        <is>
          <t>-</t>
        </is>
      </c>
      <c r="I50" s="50" t="inlineStr">
        <is>
          <t>-</t>
        </is>
      </c>
      <c r="J50" s="50" t="inlineStr">
        <is>
          <t>-</t>
        </is>
      </c>
      <c r="K50" s="50" t="inlineStr">
        <is>
          <t>-</t>
        </is>
      </c>
      <c r="L50" s="50" t="inlineStr">
        <is>
          <t>-</t>
        </is>
      </c>
      <c r="M50" s="48" t="n"/>
      <c r="N50" s="49" t="inlineStr">
        <is>
          <t>Y</t>
        </is>
      </c>
      <c r="O50" s="42" t="inlineStr">
        <is>
          <t>Fermentor Fill</t>
        </is>
      </c>
    </row>
    <row r="51">
      <c r="A51" s="47" t="inlineStr">
        <is>
          <t>Brewing</t>
        </is>
      </c>
      <c r="B51" s="47" t="inlineStr">
        <is>
          <t>Brewhouse</t>
        </is>
      </c>
      <c r="C51" s="47" t="inlineStr">
        <is>
          <t>Brewhouse</t>
        </is>
      </c>
      <c r="D51" s="47" t="inlineStr">
        <is>
          <t>Wort Cooling</t>
        </is>
      </c>
      <c r="E51" s="47" t="inlineStr">
        <is>
          <t>P.BR.BH.WCO.0032</t>
        </is>
      </c>
      <c r="F51" s="47" t="inlineStr">
        <is>
          <t>Total Brewhouse Cycle Time</t>
        </is>
      </c>
      <c r="G51" s="47" t="inlineStr">
        <is>
          <t>min</t>
        </is>
      </c>
      <c r="H51" s="47" t="inlineStr">
        <is>
          <t>-</t>
        </is>
      </c>
      <c r="I51" s="47" t="inlineStr">
        <is>
          <t>-</t>
        </is>
      </c>
      <c r="J51" s="47" t="inlineStr">
        <is>
          <t>-</t>
        </is>
      </c>
      <c r="K51" s="47" t="inlineStr">
        <is>
          <t>-</t>
        </is>
      </c>
      <c r="L51" s="47" t="inlineStr">
        <is>
          <t>-</t>
        </is>
      </c>
      <c r="M51" s="48" t="n"/>
      <c r="N51" s="49" t="inlineStr">
        <is>
          <t>Y</t>
        </is>
      </c>
      <c r="O51" s="42" t="inlineStr">
        <is>
          <t>Whirlpool</t>
        </is>
      </c>
    </row>
    <row r="52">
      <c r="A52" s="50" t="inlineStr">
        <is>
          <t>Brewing</t>
        </is>
      </c>
      <c r="B52" s="50" t="inlineStr">
        <is>
          <t>Brewhouse</t>
        </is>
      </c>
      <c r="C52" s="50" t="inlineStr">
        <is>
          <t>Brewhouse</t>
        </is>
      </c>
      <c r="D52" s="50" t="inlineStr">
        <is>
          <t>Wort Cooling</t>
        </is>
      </c>
      <c r="E52" s="50" t="inlineStr">
        <is>
          <t>P.BR.BH.WCO.0034</t>
        </is>
      </c>
      <c r="F52" s="50" t="inlineStr">
        <is>
          <t>Brewhouse Hot Time</t>
        </is>
      </c>
      <c r="G52" s="50" t="inlineStr">
        <is>
          <t>min</t>
        </is>
      </c>
      <c r="H52" s="50" t="inlineStr">
        <is>
          <t>-</t>
        </is>
      </c>
      <c r="I52" s="50" t="inlineStr">
        <is>
          <t>-</t>
        </is>
      </c>
      <c r="J52" s="50" t="inlineStr">
        <is>
          <t>-</t>
        </is>
      </c>
      <c r="K52" s="50" t="inlineStr">
        <is>
          <t>-</t>
        </is>
      </c>
      <c r="L52" s="50" t="inlineStr">
        <is>
          <t>-</t>
        </is>
      </c>
      <c r="M52" s="48" t="n"/>
      <c r="N52" s="49" t="inlineStr">
        <is>
          <t>Y</t>
        </is>
      </c>
      <c r="O52" s="42" t="inlineStr">
        <is>
          <t>Whirlpool</t>
        </is>
      </c>
    </row>
    <row r="53">
      <c r="A53" s="47" t="inlineStr">
        <is>
          <t>Brewing</t>
        </is>
      </c>
      <c r="B53" s="47" t="inlineStr">
        <is>
          <t>Brewhouse</t>
        </is>
      </c>
      <c r="C53" s="47" t="inlineStr">
        <is>
          <t>Brewhouse</t>
        </is>
      </c>
      <c r="D53" s="47" t="inlineStr">
        <is>
          <t>Whirpool / Decanter</t>
        </is>
      </c>
      <c r="E53" s="47" t="inlineStr">
        <is>
          <t>P.BR.BH.WHI.0001</t>
        </is>
      </c>
      <c r="F53" s="47" t="inlineStr">
        <is>
          <t>Hot Wort Settling Duration</t>
        </is>
      </c>
      <c r="G53" s="47" t="inlineStr">
        <is>
          <t>min</t>
        </is>
      </c>
      <c r="H53" s="47" t="inlineStr">
        <is>
          <t>-</t>
        </is>
      </c>
      <c r="I53" s="47" t="inlineStr">
        <is>
          <t>-</t>
        </is>
      </c>
      <c r="J53" s="47" t="inlineStr">
        <is>
          <t>-</t>
        </is>
      </c>
      <c r="K53" s="47" t="inlineStr">
        <is>
          <t>-</t>
        </is>
      </c>
      <c r="L53" s="47" t="inlineStr">
        <is>
          <t>-</t>
        </is>
      </c>
      <c r="M53" s="48" t="n"/>
      <c r="N53" s="49" t="inlineStr">
        <is>
          <t>Y</t>
        </is>
      </c>
      <c r="O53" s="42" t="inlineStr">
        <is>
          <t>Whirlpool</t>
        </is>
      </c>
    </row>
    <row r="54">
      <c r="A54" s="50" t="inlineStr">
        <is>
          <t>Brewing</t>
        </is>
      </c>
      <c r="B54" s="50" t="inlineStr">
        <is>
          <t>Brewhouse</t>
        </is>
      </c>
      <c r="C54" s="50" t="inlineStr">
        <is>
          <t>Brewhouse</t>
        </is>
      </c>
      <c r="D54" s="50" t="inlineStr">
        <is>
          <t>Wort Stripper</t>
        </is>
      </c>
      <c r="E54" s="50" t="inlineStr">
        <is>
          <t>P.BR.BH.WST.0001</t>
        </is>
      </c>
      <c r="F54" s="50" t="inlineStr">
        <is>
          <t>Wort Outlet Temperature</t>
        </is>
      </c>
      <c r="G54" s="50" t="inlineStr">
        <is>
          <t>°C</t>
        </is>
      </c>
      <c r="H54" s="50" t="inlineStr">
        <is>
          <t>-</t>
        </is>
      </c>
      <c r="I54" s="50" t="inlineStr">
        <is>
          <t>-</t>
        </is>
      </c>
      <c r="J54" s="50" t="inlineStr">
        <is>
          <t>-</t>
        </is>
      </c>
      <c r="K54" s="50" t="inlineStr">
        <is>
          <t>-</t>
        </is>
      </c>
      <c r="L54" s="50" t="inlineStr">
        <is>
          <t>-</t>
        </is>
      </c>
      <c r="M54" s="48" t="n"/>
      <c r="N54" s="49" t="inlineStr">
        <is>
          <t>Y</t>
        </is>
      </c>
      <c r="O54" s="42" t="inlineStr">
        <is>
          <t>Whirlpool</t>
        </is>
      </c>
    </row>
    <row r="55">
      <c r="A55" s="47" t="inlineStr">
        <is>
          <t>Brewing</t>
        </is>
      </c>
      <c r="B55" s="47" t="inlineStr">
        <is>
          <t>Beer Recovery</t>
        </is>
      </c>
      <c r="C55" s="47" t="inlineStr">
        <is>
          <t>Beer Recovery</t>
        </is>
      </c>
      <c r="D55" s="47" t="inlineStr">
        <is>
          <t>Cross Flow Filtration</t>
        </is>
      </c>
      <c r="E55" s="47" t="inlineStr">
        <is>
          <t>P.BR.BV.CMF.0010</t>
        </is>
      </c>
      <c r="F55" s="47" t="inlineStr">
        <is>
          <t>Yeast Storage Temperature</t>
        </is>
      </c>
      <c r="G55" s="47" t="inlineStr">
        <is>
          <t>°C</t>
        </is>
      </c>
      <c r="H55" s="47" t="inlineStr">
        <is>
          <t>-</t>
        </is>
      </c>
      <c r="I55" s="47" t="inlineStr">
        <is>
          <t>-</t>
        </is>
      </c>
      <c r="J55" s="47" t="inlineStr">
        <is>
          <t>-</t>
        </is>
      </c>
      <c r="K55" s="47" t="inlineStr">
        <is>
          <t>-</t>
        </is>
      </c>
      <c r="L55" s="47" t="n">
        <v>4</v>
      </c>
      <c r="M55" s="48" t="n"/>
      <c r="N55" s="49" t="inlineStr">
        <is>
          <t>Y</t>
        </is>
      </c>
      <c r="O55" s="42" t="inlineStr">
        <is>
          <t>Beer Recovery</t>
        </is>
      </c>
    </row>
    <row r="56">
      <c r="A56" s="50" t="inlineStr">
        <is>
          <t>Brewing</t>
        </is>
      </c>
      <c r="B56" s="50" t="inlineStr">
        <is>
          <t>Beer Recovery</t>
        </is>
      </c>
      <c r="C56" s="50" t="inlineStr">
        <is>
          <t>Beer Recovery</t>
        </is>
      </c>
      <c r="D56" s="50" t="inlineStr">
        <is>
          <t>Cross Flow Filtration</t>
        </is>
      </c>
      <c r="E56" s="50" t="inlineStr">
        <is>
          <t>P.BR.BV.CMF.0011</t>
        </is>
      </c>
      <c r="F56" s="50" t="inlineStr">
        <is>
          <t>Yeast Storage Duration</t>
        </is>
      </c>
      <c r="G56" s="50" t="inlineStr">
        <is>
          <t>Hours</t>
        </is>
      </c>
      <c r="H56" s="50" t="inlineStr">
        <is>
          <t>-</t>
        </is>
      </c>
      <c r="I56" s="50" t="inlineStr">
        <is>
          <t>-</t>
        </is>
      </c>
      <c r="J56" s="50" t="inlineStr">
        <is>
          <t>-</t>
        </is>
      </c>
      <c r="K56" s="50" t="inlineStr">
        <is>
          <t>-</t>
        </is>
      </c>
      <c r="L56" s="50" t="n">
        <v>24</v>
      </c>
      <c r="M56" s="48" t="n"/>
      <c r="N56" s="49" t="inlineStr">
        <is>
          <t>Y</t>
        </is>
      </c>
      <c r="O56" s="42" t="inlineStr">
        <is>
          <t>Beer Recovery</t>
        </is>
      </c>
    </row>
    <row r="57">
      <c r="A57" s="47" t="inlineStr">
        <is>
          <t>Brewing</t>
        </is>
      </c>
      <c r="B57" s="47" t="inlineStr">
        <is>
          <t>Beer Recovery</t>
        </is>
      </c>
      <c r="C57" s="47" t="inlineStr">
        <is>
          <t>Beer Recovery</t>
        </is>
      </c>
      <c r="D57" s="47" t="inlineStr">
        <is>
          <t>Cross Flow Filtration</t>
        </is>
      </c>
      <c r="E57" s="47" t="inlineStr">
        <is>
          <t>P.BR.BV.CMF.0013</t>
        </is>
      </c>
      <c r="F57" s="47" t="inlineStr">
        <is>
          <t>Recovered beer storage duration</t>
        </is>
      </c>
      <c r="G57" s="47" t="inlineStr">
        <is>
          <t>Hours</t>
        </is>
      </c>
      <c r="H57" s="47" t="inlineStr">
        <is>
          <t>-</t>
        </is>
      </c>
      <c r="I57" s="47" t="inlineStr">
        <is>
          <t>-</t>
        </is>
      </c>
      <c r="J57" s="47" t="inlineStr">
        <is>
          <t>-</t>
        </is>
      </c>
      <c r="K57" s="47" t="inlineStr">
        <is>
          <t>-</t>
        </is>
      </c>
      <c r="L57" s="47" t="n">
        <v>48</v>
      </c>
      <c r="M57" s="48" t="n"/>
      <c r="N57" s="49" t="inlineStr">
        <is>
          <t>Y</t>
        </is>
      </c>
      <c r="O57" s="42" t="inlineStr">
        <is>
          <t>Beer Recovery</t>
        </is>
      </c>
    </row>
    <row r="58">
      <c r="A58" s="50" t="inlineStr">
        <is>
          <t>Brewing</t>
        </is>
      </c>
      <c r="B58" s="50" t="inlineStr">
        <is>
          <t>Beer Recovery</t>
        </is>
      </c>
      <c r="C58" s="50" t="inlineStr">
        <is>
          <t>Beer Recovery</t>
        </is>
      </c>
      <c r="D58" s="50" t="inlineStr">
        <is>
          <t>Cross Flow Filtration</t>
        </is>
      </c>
      <c r="E58" s="50" t="inlineStr">
        <is>
          <t>P.BR.BV.CMF.0014</t>
        </is>
      </c>
      <c r="F58" s="50" t="inlineStr">
        <is>
          <t>Recovered beer storage temperature</t>
        </is>
      </c>
      <c r="G58" s="50" t="inlineStr">
        <is>
          <t>°C</t>
        </is>
      </c>
      <c r="H58" s="50" t="inlineStr">
        <is>
          <t>-</t>
        </is>
      </c>
      <c r="I58" s="50" t="inlineStr">
        <is>
          <t>-</t>
        </is>
      </c>
      <c r="J58" s="50" t="inlineStr">
        <is>
          <t>-</t>
        </is>
      </c>
      <c r="K58" s="50" t="inlineStr">
        <is>
          <t>-</t>
        </is>
      </c>
      <c r="L58" s="50" t="n">
        <v>10</v>
      </c>
      <c r="M58" s="48" t="n"/>
      <c r="N58" s="49" t="inlineStr">
        <is>
          <t>Y</t>
        </is>
      </c>
      <c r="O58" s="42" t="inlineStr">
        <is>
          <t>Beer Recovery</t>
        </is>
      </c>
    </row>
    <row r="59">
      <c r="A59" s="47" t="inlineStr">
        <is>
          <t>Brewing</t>
        </is>
      </c>
      <c r="B59" s="47" t="inlineStr">
        <is>
          <t>Centrifugation</t>
        </is>
      </c>
      <c r="C59" s="47" t="inlineStr">
        <is>
          <t>Fermentation</t>
        </is>
      </c>
      <c r="D59" s="47" t="inlineStr">
        <is>
          <t>Beer Centrifugation</t>
        </is>
      </c>
      <c r="E59" s="47" t="inlineStr">
        <is>
          <t>P.BR.CF.BCT.0002</t>
        </is>
      </c>
      <c r="F59" s="47" t="inlineStr">
        <is>
          <t>Dissolved Oxygen - Peak Transfer</t>
        </is>
      </c>
      <c r="G59" s="47" t="inlineStr">
        <is>
          <t>ppb</t>
        </is>
      </c>
      <c r="H59" s="47" t="inlineStr">
        <is>
          <t>-</t>
        </is>
      </c>
      <c r="I59" s="47" t="inlineStr">
        <is>
          <t>-</t>
        </is>
      </c>
      <c r="J59" s="47" t="n">
        <v>15</v>
      </c>
      <c r="K59" s="47" t="inlineStr">
        <is>
          <t>-</t>
        </is>
      </c>
      <c r="L59" s="47" t="n">
        <v>60</v>
      </c>
      <c r="M59" s="48" t="n"/>
      <c r="N59" s="49" t="inlineStr">
        <is>
          <t>Y</t>
        </is>
      </c>
      <c r="O59" s="42" t="inlineStr">
        <is>
          <t>Centrifuge</t>
        </is>
      </c>
    </row>
    <row r="60">
      <c r="A60" s="50" t="inlineStr">
        <is>
          <t>Brewing</t>
        </is>
      </c>
      <c r="B60" s="50" t="inlineStr">
        <is>
          <t>Centrifugation</t>
        </is>
      </c>
      <c r="C60" s="50" t="inlineStr">
        <is>
          <t>Fermentation</t>
        </is>
      </c>
      <c r="D60" s="50" t="inlineStr">
        <is>
          <t>Beer Centrifugation</t>
        </is>
      </c>
      <c r="E60" s="50" t="inlineStr">
        <is>
          <t>P.BR.CF.BCT.0005</t>
        </is>
      </c>
      <c r="F60" s="50" t="inlineStr">
        <is>
          <t>Outlet Turbidity</t>
        </is>
      </c>
      <c r="G60" s="50" t="inlineStr">
        <is>
          <t>%</t>
        </is>
      </c>
      <c r="H60" s="50" t="inlineStr">
        <is>
          <t>-</t>
        </is>
      </c>
      <c r="I60" s="50" t="inlineStr">
        <is>
          <t>-</t>
        </is>
      </c>
      <c r="J60" s="50" t="inlineStr">
        <is>
          <t>-</t>
        </is>
      </c>
      <c r="K60" s="50" t="inlineStr">
        <is>
          <t>-</t>
        </is>
      </c>
      <c r="L60" s="50" t="inlineStr">
        <is>
          <t>-</t>
        </is>
      </c>
      <c r="M60" s="48" t="n"/>
      <c r="N60" s="49" t="inlineStr">
        <is>
          <t>Y</t>
        </is>
      </c>
      <c r="O60" s="42" t="inlineStr">
        <is>
          <t>Centrifuge</t>
        </is>
      </c>
    </row>
    <row r="61">
      <c r="A61" s="47" t="inlineStr">
        <is>
          <t>Brewing</t>
        </is>
      </c>
      <c r="B61" s="47" t="inlineStr">
        <is>
          <t>Centrifugation</t>
        </is>
      </c>
      <c r="C61" s="47" t="inlineStr">
        <is>
          <t>Fermentation</t>
        </is>
      </c>
      <c r="D61" s="47" t="inlineStr">
        <is>
          <t>Beer Centrifugation</t>
        </is>
      </c>
      <c r="E61" s="47" t="inlineStr">
        <is>
          <t>P.BR.CF.BCT.0008</t>
        </is>
      </c>
      <c r="F61" s="47" t="inlineStr">
        <is>
          <t>Dissolved Oxygen - Transfer Average</t>
        </is>
      </c>
      <c r="G61" s="47" t="inlineStr">
        <is>
          <t>ppb</t>
        </is>
      </c>
      <c r="H61" s="47" t="inlineStr">
        <is>
          <t>-</t>
        </is>
      </c>
      <c r="I61" s="47" t="n">
        <v>0</v>
      </c>
      <c r="J61" s="47" t="n">
        <v>0</v>
      </c>
      <c r="K61" s="47" t="n">
        <v>10</v>
      </c>
      <c r="L61" s="47" t="n">
        <v>15</v>
      </c>
      <c r="M61" s="48" t="n"/>
      <c r="N61" s="49" t="inlineStr">
        <is>
          <t>Y</t>
        </is>
      </c>
      <c r="O61" s="42" t="inlineStr">
        <is>
          <t>Centrifuge</t>
        </is>
      </c>
    </row>
    <row r="62">
      <c r="A62" s="50" t="inlineStr">
        <is>
          <t>Brewing</t>
        </is>
      </c>
      <c r="B62" s="50" t="inlineStr">
        <is>
          <t>Centrifugation</t>
        </is>
      </c>
      <c r="C62" s="50" t="inlineStr">
        <is>
          <t>Fermentation</t>
        </is>
      </c>
      <c r="D62" s="50" t="inlineStr">
        <is>
          <t>Beer Centrifugation</t>
        </is>
      </c>
      <c r="E62" s="50" t="inlineStr">
        <is>
          <t>P.BR.CF.BCT.0010</t>
        </is>
      </c>
      <c r="F62" s="50" t="inlineStr">
        <is>
          <t>Cells in suspension Outlet</t>
        </is>
      </c>
      <c r="G62" s="50" t="inlineStr">
        <is>
          <t>cell/mL</t>
        </is>
      </c>
      <c r="H62" s="50" t="n">
        <v>0</v>
      </c>
      <c r="I62" s="50" t="inlineStr">
        <is>
          <t>-</t>
        </is>
      </c>
      <c r="J62" s="50" t="n">
        <v>50000</v>
      </c>
      <c r="K62" s="50" t="n">
        <v>100000</v>
      </c>
      <c r="L62" s="50" t="n">
        <v>200000</v>
      </c>
      <c r="M62" s="48" t="n"/>
      <c r="N62" s="49" t="inlineStr">
        <is>
          <t>Y</t>
        </is>
      </c>
      <c r="O62" s="42" t="inlineStr">
        <is>
          <t>Centrifuge</t>
        </is>
      </c>
    </row>
    <row r="63">
      <c r="A63" s="47" t="inlineStr">
        <is>
          <t>Brewing</t>
        </is>
      </c>
      <c r="B63" s="47" t="inlineStr">
        <is>
          <t>Fermentation</t>
        </is>
      </c>
      <c r="C63" s="47" t="inlineStr">
        <is>
          <t>Fermentation</t>
        </is>
      </c>
      <c r="D63" s="47" t="inlineStr">
        <is>
          <t>End Of Fermentation</t>
        </is>
      </c>
      <c r="E63" s="47" t="inlineStr">
        <is>
          <t>P.BR.CF.EOF.0001</t>
        </is>
      </c>
      <c r="F63" s="47" t="inlineStr">
        <is>
          <t>Fermentation Cycle Time</t>
        </is>
      </c>
      <c r="G63" s="47" t="inlineStr">
        <is>
          <t>Hours</t>
        </is>
      </c>
      <c r="H63" s="47" t="n">
        <v>216</v>
      </c>
      <c r="I63" s="47" t="n">
        <v>228</v>
      </c>
      <c r="J63" s="47" t="n">
        <v>240</v>
      </c>
      <c r="K63" s="47" t="n">
        <v>252</v>
      </c>
      <c r="L63" s="47" t="n">
        <v>264</v>
      </c>
      <c r="M63" s="48" t="n"/>
      <c r="N63" s="49" t="inlineStr">
        <is>
          <t>Y</t>
        </is>
      </c>
      <c r="O63" s="42" t="inlineStr">
        <is>
          <t>Warm Maturation</t>
        </is>
      </c>
    </row>
    <row r="64">
      <c r="A64" s="50" t="inlineStr">
        <is>
          <t>Brewing</t>
        </is>
      </c>
      <c r="B64" s="50" t="inlineStr">
        <is>
          <t>Fermentation</t>
        </is>
      </c>
      <c r="C64" s="50" t="inlineStr">
        <is>
          <t>Fermentation</t>
        </is>
      </c>
      <c r="D64" s="50" t="inlineStr">
        <is>
          <t>End Of Fermentation</t>
        </is>
      </c>
      <c r="E64" s="50" t="inlineStr">
        <is>
          <t>P.BR.CF.EOF.0002</t>
        </is>
      </c>
      <c r="F64" s="50" t="inlineStr">
        <is>
          <t>FAN (EOF)</t>
        </is>
      </c>
      <c r="G64" s="50" t="inlineStr">
        <is>
          <t>mg/L@12°P</t>
        </is>
      </c>
      <c r="H64" s="50" t="inlineStr">
        <is>
          <t>-</t>
        </is>
      </c>
      <c r="I64" s="50" t="inlineStr">
        <is>
          <t>-</t>
        </is>
      </c>
      <c r="J64" s="50" t="inlineStr">
        <is>
          <t>-</t>
        </is>
      </c>
      <c r="K64" s="50" t="inlineStr">
        <is>
          <t>-</t>
        </is>
      </c>
      <c r="L64" s="50" t="inlineStr">
        <is>
          <t>-</t>
        </is>
      </c>
      <c r="M64" s="48" t="n"/>
      <c r="N64" s="49" t="inlineStr">
        <is>
          <t>Y</t>
        </is>
      </c>
      <c r="O64" s="42" t="inlineStr">
        <is>
          <t>Alpha Fermentation</t>
        </is>
      </c>
    </row>
    <row r="65">
      <c r="A65" s="47" t="inlineStr">
        <is>
          <t>Brewing</t>
        </is>
      </c>
      <c r="B65" s="47" t="inlineStr">
        <is>
          <t>Fermentation</t>
        </is>
      </c>
      <c r="C65" s="47" t="inlineStr">
        <is>
          <t>Fermentation</t>
        </is>
      </c>
      <c r="D65" s="47" t="inlineStr">
        <is>
          <t>End Of Fermentation</t>
        </is>
      </c>
      <c r="E65" s="47" t="inlineStr">
        <is>
          <t>P.BR.CF.EOF.0003</t>
        </is>
      </c>
      <c r="F65" s="47" t="inlineStr">
        <is>
          <t>FAN Uptake</t>
        </is>
      </c>
      <c r="G65" s="47" t="inlineStr">
        <is>
          <t>ppm</t>
        </is>
      </c>
      <c r="H65" s="47" t="inlineStr">
        <is>
          <t>-</t>
        </is>
      </c>
      <c r="I65" s="47" t="inlineStr">
        <is>
          <t>-</t>
        </is>
      </c>
      <c r="J65" s="47" t="inlineStr">
        <is>
          <t>-</t>
        </is>
      </c>
      <c r="K65" s="47" t="inlineStr">
        <is>
          <t>-</t>
        </is>
      </c>
      <c r="L65" s="47" t="inlineStr">
        <is>
          <t>-</t>
        </is>
      </c>
      <c r="M65" s="48" t="n"/>
      <c r="N65" s="49" t="inlineStr">
        <is>
          <t>Y</t>
        </is>
      </c>
      <c r="O65" s="42" t="inlineStr">
        <is>
          <t>Alpha Fermentation</t>
        </is>
      </c>
    </row>
    <row r="66">
      <c r="A66" s="50" t="inlineStr">
        <is>
          <t>Brewing</t>
        </is>
      </c>
      <c r="B66" s="50" t="inlineStr">
        <is>
          <t>Fermentation</t>
        </is>
      </c>
      <c r="C66" s="50" t="inlineStr">
        <is>
          <t>Fermentation</t>
        </is>
      </c>
      <c r="D66" s="50" t="inlineStr">
        <is>
          <t>End Of Fermentation</t>
        </is>
      </c>
      <c r="E66" s="50" t="inlineStr">
        <is>
          <t>P.BR.CF.EOF.0004</t>
        </is>
      </c>
      <c r="F66" s="50" t="inlineStr">
        <is>
          <t>SO2  (EOF)</t>
        </is>
      </c>
      <c r="G66" s="50" t="inlineStr">
        <is>
          <t>mg/L</t>
        </is>
      </c>
      <c r="H66" s="50" t="n">
        <v>3</v>
      </c>
      <c r="I66" s="50" t="n">
        <v>3</v>
      </c>
      <c r="J66" s="50" t="inlineStr">
        <is>
          <t>-</t>
        </is>
      </c>
      <c r="K66" s="50" t="n">
        <v>10</v>
      </c>
      <c r="L66" s="50" t="n">
        <v>10</v>
      </c>
      <c r="M66" s="48" t="n"/>
      <c r="N66" s="49" t="inlineStr">
        <is>
          <t>Y</t>
        </is>
      </c>
      <c r="O66" s="42" t="inlineStr">
        <is>
          <t>Alpha Fermentation</t>
        </is>
      </c>
    </row>
    <row r="67">
      <c r="A67" s="47" t="inlineStr">
        <is>
          <t>Brewing</t>
        </is>
      </c>
      <c r="B67" s="47" t="inlineStr">
        <is>
          <t>Fermentation</t>
        </is>
      </c>
      <c r="C67" s="47" t="inlineStr">
        <is>
          <t>Fermentation</t>
        </is>
      </c>
      <c r="D67" s="47" t="inlineStr">
        <is>
          <t>End Of Fermentation</t>
        </is>
      </c>
      <c r="E67" s="47" t="inlineStr">
        <is>
          <t>P.BR.CF.EOF.0008</t>
        </is>
      </c>
      <c r="F67" s="47" t="inlineStr">
        <is>
          <t>Bitterness  (EOF)</t>
        </is>
      </c>
      <c r="G67" s="47" t="inlineStr">
        <is>
          <t>BU</t>
        </is>
      </c>
      <c r="H67" s="47" t="inlineStr">
        <is>
          <t>T-3.0</t>
        </is>
      </c>
      <c r="I67" s="47" t="inlineStr">
        <is>
          <t>T-2.0</t>
        </is>
      </c>
      <c r="J67" s="47" t="inlineStr">
        <is>
          <t>-</t>
        </is>
      </c>
      <c r="K67" s="47" t="inlineStr">
        <is>
          <t>T+2.0</t>
        </is>
      </c>
      <c r="L67" s="47" t="inlineStr">
        <is>
          <t>T+3.0</t>
        </is>
      </c>
      <c r="M67" s="48" t="n"/>
      <c r="N67" s="49" t="inlineStr">
        <is>
          <t>Y</t>
        </is>
      </c>
      <c r="O67" s="42" t="inlineStr">
        <is>
          <t>Alpha Fermentation</t>
        </is>
      </c>
    </row>
    <row r="68">
      <c r="A68" s="50" t="inlineStr">
        <is>
          <t>Brewing</t>
        </is>
      </c>
      <c r="B68" s="50" t="inlineStr">
        <is>
          <t>Fermentation</t>
        </is>
      </c>
      <c r="C68" s="50" t="inlineStr">
        <is>
          <t>Fermentation</t>
        </is>
      </c>
      <c r="D68" s="50" t="inlineStr">
        <is>
          <t>End Of Fermentation</t>
        </is>
      </c>
      <c r="E68" s="50" t="inlineStr">
        <is>
          <t>P.BR.CF.EOF.0009</t>
        </is>
      </c>
      <c r="F68" s="50" t="inlineStr">
        <is>
          <t>Apparent extract</t>
        </is>
      </c>
      <c r="G68" s="50" t="inlineStr">
        <is>
          <t>°P</t>
        </is>
      </c>
      <c r="H68" s="50" t="inlineStr">
        <is>
          <t>-</t>
        </is>
      </c>
      <c r="I68" s="50" t="inlineStr">
        <is>
          <t>-</t>
        </is>
      </c>
      <c r="J68" s="50" t="inlineStr">
        <is>
          <t>-</t>
        </is>
      </c>
      <c r="K68" s="50" t="inlineStr">
        <is>
          <t>-</t>
        </is>
      </c>
      <c r="L68" s="50" t="inlineStr">
        <is>
          <t>-</t>
        </is>
      </c>
      <c r="M68" s="51" t="n"/>
      <c r="N68" s="52" t="inlineStr">
        <is>
          <t>N</t>
        </is>
      </c>
      <c r="P68" t="inlineStr">
        <is>
          <t>Test EOC AE</t>
        </is>
      </c>
    </row>
    <row r="69">
      <c r="A69" s="47" t="inlineStr">
        <is>
          <t>Brewing</t>
        </is>
      </c>
      <c r="B69" s="47" t="inlineStr">
        <is>
          <t>Fermentation</t>
        </is>
      </c>
      <c r="C69" s="47" t="inlineStr">
        <is>
          <t>Fermentation</t>
        </is>
      </c>
      <c r="D69" s="47" t="inlineStr">
        <is>
          <t>End Of Fermentation</t>
        </is>
      </c>
      <c r="E69" s="47" t="inlineStr">
        <is>
          <t>P.BR.CF.EOF.0013</t>
        </is>
      </c>
      <c r="F69" s="47" t="inlineStr">
        <is>
          <t>Color</t>
        </is>
      </c>
      <c r="G69" s="47" t="inlineStr">
        <is>
          <t>°EBC</t>
        </is>
      </c>
      <c r="H69" s="47" t="n">
        <v>9.460000000000001</v>
      </c>
      <c r="I69" s="47" t="inlineStr">
        <is>
          <t>-</t>
        </is>
      </c>
      <c r="J69" s="47" t="inlineStr">
        <is>
          <t>-</t>
        </is>
      </c>
      <c r="K69" s="47" t="inlineStr">
        <is>
          <t>-</t>
        </is>
      </c>
      <c r="L69" s="47" t="n">
        <v>12.41</v>
      </c>
      <c r="M69" s="51" t="n"/>
      <c r="N69" s="52" t="inlineStr">
        <is>
          <t>N</t>
        </is>
      </c>
      <c r="P69" t="inlineStr">
        <is>
          <t>Test EOC Color</t>
        </is>
      </c>
    </row>
    <row r="70">
      <c r="A70" s="50" t="inlineStr">
        <is>
          <t>Brewing</t>
        </is>
      </c>
      <c r="B70" s="50" t="inlineStr">
        <is>
          <t>Fermentation</t>
        </is>
      </c>
      <c r="C70" s="50" t="inlineStr">
        <is>
          <t>Fermentation</t>
        </is>
      </c>
      <c r="D70" s="50" t="inlineStr">
        <is>
          <t>End Of Fermentation</t>
        </is>
      </c>
      <c r="E70" s="50" t="inlineStr">
        <is>
          <t>P.BR.CF.EOF.0017</t>
        </is>
      </c>
      <c r="F70" s="50" t="inlineStr">
        <is>
          <t>pH (EOF)</t>
        </is>
      </c>
      <c r="G70" s="50" t="inlineStr">
        <is>
          <t>pH</t>
        </is>
      </c>
      <c r="H70" s="50" t="n">
        <v>3.9</v>
      </c>
      <c r="I70" s="50" t="n">
        <v>4</v>
      </c>
      <c r="J70" s="50" t="n">
        <v>4.2</v>
      </c>
      <c r="K70" s="50" t="n">
        <v>4.4</v>
      </c>
      <c r="L70" s="50" t="n">
        <v>4.5</v>
      </c>
      <c r="M70" s="48" t="n"/>
      <c r="N70" s="49" t="inlineStr">
        <is>
          <t>Y</t>
        </is>
      </c>
      <c r="O70" s="42" t="inlineStr">
        <is>
          <t>Alpha Fermentation</t>
        </is>
      </c>
    </row>
    <row r="71">
      <c r="A71" s="47" t="inlineStr">
        <is>
          <t>Brewing</t>
        </is>
      </c>
      <c r="B71" s="47" t="inlineStr">
        <is>
          <t>Fermentation</t>
        </is>
      </c>
      <c r="C71" s="47" t="inlineStr">
        <is>
          <t>Fermentation</t>
        </is>
      </c>
      <c r="D71" s="47" t="inlineStr">
        <is>
          <t>Fermentor Fill</t>
        </is>
      </c>
      <c r="E71" s="47" t="inlineStr">
        <is>
          <t>P.BR.CF.FMF.0003</t>
        </is>
      </c>
      <c r="F71" s="47" t="inlineStr">
        <is>
          <t>Yeast Pitching Rate</t>
        </is>
      </c>
      <c r="G71" s="47" t="inlineStr">
        <is>
          <t>cell/mL</t>
        </is>
      </c>
      <c r="H71" s="47" t="n">
        <v>21250000</v>
      </c>
      <c r="I71" s="47" t="n">
        <v>23750000</v>
      </c>
      <c r="J71" s="47" t="n">
        <v>25000000</v>
      </c>
      <c r="K71" s="47" t="n">
        <v>26250000</v>
      </c>
      <c r="L71" s="47" t="n">
        <v>28750000</v>
      </c>
      <c r="M71" s="48" t="n"/>
      <c r="N71" s="49" t="inlineStr">
        <is>
          <t>Y</t>
        </is>
      </c>
      <c r="O71" s="42" t="inlineStr">
        <is>
          <t>Fermentor Fill</t>
        </is>
      </c>
    </row>
    <row r="72">
      <c r="A72" s="50" t="inlineStr">
        <is>
          <t>Brewing</t>
        </is>
      </c>
      <c r="B72" s="50" t="inlineStr">
        <is>
          <t>Fermentation</t>
        </is>
      </c>
      <c r="C72" s="50" t="inlineStr">
        <is>
          <t>Fermentation</t>
        </is>
      </c>
      <c r="D72" s="50" t="inlineStr">
        <is>
          <t>Fermentor Fill</t>
        </is>
      </c>
      <c r="E72" s="50" t="inlineStr">
        <is>
          <t>P.BR.CF.FMF.0004</t>
        </is>
      </c>
      <c r="F72" s="50" t="inlineStr">
        <is>
          <t>Time to attemporation</t>
        </is>
      </c>
      <c r="G72" s="50" t="inlineStr">
        <is>
          <t>Hours</t>
        </is>
      </c>
      <c r="H72" s="50" t="inlineStr">
        <is>
          <t>-</t>
        </is>
      </c>
      <c r="I72" s="50" t="inlineStr">
        <is>
          <t>-</t>
        </is>
      </c>
      <c r="J72" s="50" t="inlineStr">
        <is>
          <t>-</t>
        </is>
      </c>
      <c r="K72" s="50" t="n">
        <v>24</v>
      </c>
      <c r="L72" s="50" t="inlineStr">
        <is>
          <t>-</t>
        </is>
      </c>
      <c r="M72" s="48" t="n"/>
      <c r="N72" s="49" t="inlineStr">
        <is>
          <t>Y</t>
        </is>
      </c>
      <c r="O72" s="42" t="inlineStr">
        <is>
          <t>Alpha Fermentation</t>
        </is>
      </c>
    </row>
    <row r="73">
      <c r="A73" s="47" t="inlineStr">
        <is>
          <t>Brewing</t>
        </is>
      </c>
      <c r="B73" s="47" t="inlineStr">
        <is>
          <t>Fermentation</t>
        </is>
      </c>
      <c r="C73" s="47" t="inlineStr">
        <is>
          <t>Fermentation</t>
        </is>
      </c>
      <c r="D73" s="47" t="inlineStr">
        <is>
          <t>Fermentor Fill</t>
        </is>
      </c>
      <c r="E73" s="47" t="inlineStr">
        <is>
          <t>P.BR.CF.FMF.0005</t>
        </is>
      </c>
      <c r="F73" s="47" t="inlineStr">
        <is>
          <t>Fermentor Fill temperature</t>
        </is>
      </c>
      <c r="G73" s="47" t="inlineStr">
        <is>
          <t>°C</t>
        </is>
      </c>
      <c r="H73" s="47" t="n">
        <v>11.7</v>
      </c>
      <c r="I73" s="47" t="n">
        <v>12</v>
      </c>
      <c r="J73" s="47" t="n">
        <v>12.2</v>
      </c>
      <c r="K73" s="47" t="n">
        <v>12.4</v>
      </c>
      <c r="L73" s="47" t="n">
        <v>12.7</v>
      </c>
      <c r="M73" s="48" t="n"/>
      <c r="N73" s="49" t="inlineStr">
        <is>
          <t>Y</t>
        </is>
      </c>
      <c r="O73" s="42" t="inlineStr">
        <is>
          <t>Fermentor Fill</t>
        </is>
      </c>
    </row>
    <row r="74">
      <c r="A74" s="50" t="inlineStr">
        <is>
          <t>Brewing</t>
        </is>
      </c>
      <c r="B74" s="50" t="inlineStr">
        <is>
          <t>Fermentation</t>
        </is>
      </c>
      <c r="C74" s="50" t="inlineStr">
        <is>
          <t>Fermentation</t>
        </is>
      </c>
      <c r="D74" s="50" t="inlineStr">
        <is>
          <t>Fermentor Fill</t>
        </is>
      </c>
      <c r="E74" s="50" t="inlineStr">
        <is>
          <t>P.BR.CF.FMF.0006</t>
        </is>
      </c>
      <c r="F74" s="50" t="inlineStr">
        <is>
          <t>YACT - Yeast Air Contact Time</t>
        </is>
      </c>
      <c r="G74" s="50" t="inlineStr">
        <is>
          <t>Hours</t>
        </is>
      </c>
      <c r="H74" s="50" t="inlineStr">
        <is>
          <t>-</t>
        </is>
      </c>
      <c r="I74" s="50" t="inlineStr">
        <is>
          <t>-</t>
        </is>
      </c>
      <c r="J74" s="50" t="inlineStr">
        <is>
          <t>-</t>
        </is>
      </c>
      <c r="K74" s="50" t="inlineStr">
        <is>
          <t>-</t>
        </is>
      </c>
      <c r="L74" s="50" t="inlineStr">
        <is>
          <t>-</t>
        </is>
      </c>
      <c r="M74" s="48" t="n"/>
      <c r="N74" s="49" t="inlineStr">
        <is>
          <t>Y</t>
        </is>
      </c>
      <c r="O74" s="42" t="inlineStr">
        <is>
          <t>Fermentor Fill</t>
        </is>
      </c>
    </row>
    <row r="75">
      <c r="A75" s="47" t="inlineStr">
        <is>
          <t>Brewing</t>
        </is>
      </c>
      <c r="B75" s="47" t="inlineStr">
        <is>
          <t>Fermentation</t>
        </is>
      </c>
      <c r="C75" s="47" t="inlineStr">
        <is>
          <t>Fermentation</t>
        </is>
      </c>
      <c r="D75" s="47" t="inlineStr">
        <is>
          <t>Fermentor Fill</t>
        </is>
      </c>
      <c r="E75" s="47" t="inlineStr">
        <is>
          <t>P.BR.CF.FMF.0007</t>
        </is>
      </c>
      <c r="F75" s="47" t="inlineStr">
        <is>
          <t>Yeast generation</t>
        </is>
      </c>
      <c r="G75" s="47" t="inlineStr">
        <is>
          <t>number</t>
        </is>
      </c>
      <c r="H75" s="47" t="n">
        <v>15.5</v>
      </c>
      <c r="I75" s="47" t="n">
        <v>15.75</v>
      </c>
      <c r="J75" s="47" t="n">
        <v>16</v>
      </c>
      <c r="K75" s="47" t="n">
        <v>16.25</v>
      </c>
      <c r="L75" s="47" t="n">
        <v>16.5</v>
      </c>
      <c r="M75" s="48" t="n"/>
      <c r="N75" s="49" t="inlineStr">
        <is>
          <t>Y</t>
        </is>
      </c>
      <c r="O75" s="42" t="inlineStr">
        <is>
          <t>Fermentor Fill</t>
        </is>
      </c>
    </row>
    <row r="76">
      <c r="A76" s="50" t="inlineStr">
        <is>
          <t>Brewing</t>
        </is>
      </c>
      <c r="B76" s="50" t="inlineStr">
        <is>
          <t>Fermentation</t>
        </is>
      </c>
      <c r="C76" s="50" t="inlineStr">
        <is>
          <t>Fermentation</t>
        </is>
      </c>
      <c r="D76" s="50" t="inlineStr">
        <is>
          <t>Fermentor Fill</t>
        </is>
      </c>
      <c r="E76" s="50" t="inlineStr">
        <is>
          <t>P.BR.CF.FMF.0008</t>
        </is>
      </c>
      <c r="F76" s="50" t="inlineStr">
        <is>
          <t>Duration of yeast aeration (DYA)</t>
        </is>
      </c>
      <c r="G76" s="50" t="inlineStr">
        <is>
          <t>min</t>
        </is>
      </c>
      <c r="H76" s="50" t="n">
        <v>216</v>
      </c>
      <c r="I76" s="50" t="n">
        <v>228</v>
      </c>
      <c r="J76" s="50" t="n">
        <v>240</v>
      </c>
      <c r="K76" s="50" t="n">
        <v>252</v>
      </c>
      <c r="L76" s="50" t="n">
        <v>264</v>
      </c>
      <c r="M76" s="48" t="n"/>
      <c r="N76" s="49" t="inlineStr">
        <is>
          <t>Y</t>
        </is>
      </c>
      <c r="O76" s="42" t="inlineStr">
        <is>
          <t>Fermentor Fill</t>
        </is>
      </c>
    </row>
    <row r="77">
      <c r="A77" s="47" t="inlineStr">
        <is>
          <t>Brewing</t>
        </is>
      </c>
      <c r="B77" s="47" t="inlineStr">
        <is>
          <t>Fermentation</t>
        </is>
      </c>
      <c r="C77" s="47" t="inlineStr">
        <is>
          <t>Fermentation</t>
        </is>
      </c>
      <c r="D77" s="47" t="inlineStr">
        <is>
          <t>Primary Fermentation (First Phase)</t>
        </is>
      </c>
      <c r="E77" s="47" t="inlineStr">
        <is>
          <t>P.BR.CF.PRF.0005</t>
        </is>
      </c>
      <c r="F77" s="47" t="inlineStr">
        <is>
          <t>Attemporation Temperature</t>
        </is>
      </c>
      <c r="G77" s="47" t="inlineStr">
        <is>
          <t>°C</t>
        </is>
      </c>
      <c r="H77" s="47" t="n">
        <v>20</v>
      </c>
      <c r="I77" s="47" t="n">
        <v>20.5</v>
      </c>
      <c r="J77" s="47" t="n">
        <v>21</v>
      </c>
      <c r="K77" s="47" t="n">
        <v>21.5</v>
      </c>
      <c r="L77" s="47" t="n">
        <v>22</v>
      </c>
      <c r="M77" s="48" t="n"/>
      <c r="N77" s="49" t="inlineStr">
        <is>
          <t>Y</t>
        </is>
      </c>
      <c r="O77" s="42" t="inlineStr">
        <is>
          <t>Alpha Fermentation</t>
        </is>
      </c>
    </row>
    <row r="78">
      <c r="A78" s="50" t="inlineStr">
        <is>
          <t>Brewing</t>
        </is>
      </c>
      <c r="B78" s="50" t="inlineStr">
        <is>
          <t>Fermentation</t>
        </is>
      </c>
      <c r="C78" s="50" t="inlineStr">
        <is>
          <t>Fermentation</t>
        </is>
      </c>
      <c r="D78" s="50" t="inlineStr">
        <is>
          <t>Primary Fermentation (First Phase)</t>
        </is>
      </c>
      <c r="E78" s="50" t="inlineStr">
        <is>
          <t>P.BR.CF.PRF.0006</t>
        </is>
      </c>
      <c r="F78" s="50" t="inlineStr">
        <is>
          <t>Time to reach 2nd stage rise temperature</t>
        </is>
      </c>
      <c r="G78" s="50" t="inlineStr">
        <is>
          <t>Hours</t>
        </is>
      </c>
      <c r="H78" s="50" t="inlineStr">
        <is>
          <t>-</t>
        </is>
      </c>
      <c r="I78" s="50" t="inlineStr">
        <is>
          <t>-</t>
        </is>
      </c>
      <c r="J78" s="50" t="n">
        <v>0</v>
      </c>
      <c r="K78" s="50" t="inlineStr">
        <is>
          <t>-</t>
        </is>
      </c>
      <c r="L78" s="50" t="inlineStr">
        <is>
          <t>-</t>
        </is>
      </c>
      <c r="M78" s="48" t="n"/>
      <c r="N78" s="49" t="inlineStr">
        <is>
          <t>Y</t>
        </is>
      </c>
      <c r="O78" s="42" t="inlineStr">
        <is>
          <t>Alpha Fermentation</t>
        </is>
      </c>
    </row>
    <row r="79">
      <c r="A79" s="47" t="inlineStr">
        <is>
          <t>Brewing</t>
        </is>
      </c>
      <c r="B79" s="47" t="inlineStr">
        <is>
          <t>Fermentation</t>
        </is>
      </c>
      <c r="C79" s="47" t="inlineStr">
        <is>
          <t>Fermentation</t>
        </is>
      </c>
      <c r="D79" s="47" t="inlineStr">
        <is>
          <t>Primary Fermentation (First Phase)</t>
        </is>
      </c>
      <c r="E79" s="47" t="inlineStr">
        <is>
          <t>P.BR.CF.PRF.0008</t>
        </is>
      </c>
      <c r="F79" s="47" t="inlineStr">
        <is>
          <t>Extract to start Full Cooling</t>
        </is>
      </c>
      <c r="G79" s="47" t="inlineStr">
        <is>
          <t>°P</t>
        </is>
      </c>
      <c r="H79" s="47" t="inlineStr">
        <is>
          <t>-</t>
        </is>
      </c>
      <c r="I79" s="47" t="inlineStr">
        <is>
          <t>-</t>
        </is>
      </c>
      <c r="J79" s="47" t="inlineStr">
        <is>
          <t>-</t>
        </is>
      </c>
      <c r="K79" s="47" t="inlineStr">
        <is>
          <t>-</t>
        </is>
      </c>
      <c r="L79" s="47" t="inlineStr">
        <is>
          <t>-</t>
        </is>
      </c>
      <c r="M79" s="48" t="n"/>
      <c r="N79" s="49" t="inlineStr">
        <is>
          <t>Y</t>
        </is>
      </c>
      <c r="O79" s="42" t="inlineStr">
        <is>
          <t>Alpha Fermentation</t>
        </is>
      </c>
    </row>
    <row r="80">
      <c r="A80" s="50" t="inlineStr">
        <is>
          <t>Brewing</t>
        </is>
      </c>
      <c r="B80" s="50" t="inlineStr">
        <is>
          <t>Fermentation</t>
        </is>
      </c>
      <c r="C80" s="50" t="inlineStr">
        <is>
          <t>Fermentation</t>
        </is>
      </c>
      <c r="D80" s="50" t="inlineStr">
        <is>
          <t>Primary Fermentation (First Phase)</t>
        </is>
      </c>
      <c r="E80" s="50" t="inlineStr">
        <is>
          <t>P.BR.CF.PRF.0009</t>
        </is>
      </c>
      <c r="F80" s="50" t="inlineStr">
        <is>
          <t>Extract to start  2nd phase</t>
        </is>
      </c>
      <c r="G80" s="50" t="inlineStr">
        <is>
          <t>°P</t>
        </is>
      </c>
      <c r="H80" s="50" t="n">
        <v>9</v>
      </c>
      <c r="I80" s="50" t="n">
        <v>9.5</v>
      </c>
      <c r="J80" s="50" t="n">
        <v>10</v>
      </c>
      <c r="K80" s="50" t="n">
        <v>10.5</v>
      </c>
      <c r="L80" s="50" t="n">
        <v>11</v>
      </c>
      <c r="M80" s="48" t="n"/>
      <c r="N80" s="49" t="inlineStr">
        <is>
          <t>Y</t>
        </is>
      </c>
      <c r="O80" s="42" t="inlineStr">
        <is>
          <t>Alpha Fermentation</t>
        </is>
      </c>
    </row>
    <row r="81">
      <c r="A81" s="47" t="inlineStr">
        <is>
          <t>Brewing</t>
        </is>
      </c>
      <c r="B81" s="47" t="inlineStr">
        <is>
          <t>Fermentation</t>
        </is>
      </c>
      <c r="C81" s="47" t="inlineStr">
        <is>
          <t>Fermentation</t>
        </is>
      </c>
      <c r="D81" s="47" t="inlineStr">
        <is>
          <t>Primary Fermentation (First Phase)</t>
        </is>
      </c>
      <c r="E81" s="47" t="inlineStr">
        <is>
          <t>P.BR.CF.PRF.0011</t>
        </is>
      </c>
      <c r="F81" s="47" t="inlineStr">
        <is>
          <t>Time to Cool</t>
        </is>
      </c>
      <c r="G81" s="47" t="inlineStr">
        <is>
          <t>Hours</t>
        </is>
      </c>
      <c r="H81" s="47" t="inlineStr">
        <is>
          <t>-</t>
        </is>
      </c>
      <c r="I81" s="47" t="inlineStr">
        <is>
          <t>-</t>
        </is>
      </c>
      <c r="J81" s="47" t="inlineStr">
        <is>
          <t>-</t>
        </is>
      </c>
      <c r="K81" s="47" t="inlineStr">
        <is>
          <t>-</t>
        </is>
      </c>
      <c r="L81" s="47" t="inlineStr">
        <is>
          <t>-</t>
        </is>
      </c>
      <c r="M81" s="48" t="n"/>
      <c r="N81" s="49" t="inlineStr">
        <is>
          <t>Y</t>
        </is>
      </c>
      <c r="O81" s="42" t="inlineStr">
        <is>
          <t>Alpha Fermentation</t>
        </is>
      </c>
    </row>
    <row r="82">
      <c r="A82" s="50" t="inlineStr">
        <is>
          <t>Brewing</t>
        </is>
      </c>
      <c r="B82" s="50" t="inlineStr">
        <is>
          <t>Fermentation</t>
        </is>
      </c>
      <c r="C82" s="50" t="inlineStr">
        <is>
          <t>Fermentation</t>
        </is>
      </c>
      <c r="D82" s="50" t="inlineStr">
        <is>
          <t>Primary Fermentation (First Phase)</t>
        </is>
      </c>
      <c r="E82" s="50" t="inlineStr">
        <is>
          <t>P.BR.CF.PRF.0012</t>
        </is>
      </c>
      <c r="F82" s="50" t="inlineStr">
        <is>
          <t>Temperature at Yeast Drawoff</t>
        </is>
      </c>
      <c r="G82" s="50" t="inlineStr">
        <is>
          <t>°C</t>
        </is>
      </c>
      <c r="H82" s="50" t="inlineStr">
        <is>
          <t>-</t>
        </is>
      </c>
      <c r="I82" s="50" t="inlineStr">
        <is>
          <t>-</t>
        </is>
      </c>
      <c r="J82" s="50" t="inlineStr">
        <is>
          <t>-</t>
        </is>
      </c>
      <c r="K82" s="50" t="inlineStr">
        <is>
          <t>-</t>
        </is>
      </c>
      <c r="L82" s="50" t="inlineStr">
        <is>
          <t>-</t>
        </is>
      </c>
      <c r="M82" s="48" t="n"/>
      <c r="N82" s="49" t="inlineStr">
        <is>
          <t>Y</t>
        </is>
      </c>
      <c r="O82" s="42" t="inlineStr">
        <is>
          <t>Alpha Fermentation</t>
        </is>
      </c>
    </row>
    <row r="83">
      <c r="A83" s="47" t="inlineStr">
        <is>
          <t>Brewing</t>
        </is>
      </c>
      <c r="B83" s="47" t="inlineStr">
        <is>
          <t>Fermentation</t>
        </is>
      </c>
      <c r="C83" s="47" t="inlineStr">
        <is>
          <t>Fermentation</t>
        </is>
      </c>
      <c r="D83" s="47" t="inlineStr">
        <is>
          <t>Second Phase Of Fermentation</t>
        </is>
      </c>
      <c r="E83" s="47" t="inlineStr">
        <is>
          <t>P.BR.CF.SEF.0001</t>
        </is>
      </c>
      <c r="F83" s="47" t="inlineStr">
        <is>
          <t>2nd Stage Temperature</t>
        </is>
      </c>
      <c r="G83" s="47" t="inlineStr">
        <is>
          <t>°C</t>
        </is>
      </c>
      <c r="H83" s="47" t="n">
        <v>16</v>
      </c>
      <c r="I83" s="47" t="n">
        <v>16.5</v>
      </c>
      <c r="J83" s="47" t="n">
        <v>17</v>
      </c>
      <c r="K83" s="47" t="n">
        <v>17.5</v>
      </c>
      <c r="L83" s="47" t="n">
        <v>18</v>
      </c>
      <c r="M83" s="48" t="n"/>
      <c r="N83" s="49" t="inlineStr">
        <is>
          <t>Y</t>
        </is>
      </c>
      <c r="O83" s="42" t="inlineStr">
        <is>
          <t>Alpha Fermentation</t>
        </is>
      </c>
    </row>
    <row r="84">
      <c r="A84" s="50" t="inlineStr">
        <is>
          <t>Brewing</t>
        </is>
      </c>
      <c r="B84" s="50" t="inlineStr">
        <is>
          <t>Fermentation</t>
        </is>
      </c>
      <c r="C84" s="50" t="inlineStr">
        <is>
          <t>Fermentation</t>
        </is>
      </c>
      <c r="D84" s="50" t="inlineStr">
        <is>
          <t>Second Phase Of Fermentation</t>
        </is>
      </c>
      <c r="E84" s="50" t="inlineStr">
        <is>
          <t>P.BR.CF.SEF.0002</t>
        </is>
      </c>
      <c r="F84" s="50" t="inlineStr">
        <is>
          <t>Cells in suspension</t>
        </is>
      </c>
      <c r="G84" s="50" t="inlineStr">
        <is>
          <t>cell/mL</t>
        </is>
      </c>
      <c r="H84" s="50" t="inlineStr">
        <is>
          <t>-</t>
        </is>
      </c>
      <c r="I84" s="50" t="inlineStr">
        <is>
          <t>-</t>
        </is>
      </c>
      <c r="J84" s="50" t="inlineStr">
        <is>
          <t>-</t>
        </is>
      </c>
      <c r="K84" s="50" t="inlineStr">
        <is>
          <t>-</t>
        </is>
      </c>
      <c r="L84" s="50" t="inlineStr">
        <is>
          <t>-</t>
        </is>
      </c>
      <c r="M84" s="48" t="n"/>
      <c r="N84" s="49" t="inlineStr">
        <is>
          <t>Y</t>
        </is>
      </c>
      <c r="O84" s="42" t="inlineStr">
        <is>
          <t>Alpha Fermentation</t>
        </is>
      </c>
    </row>
    <row r="85">
      <c r="A85" s="47" t="inlineStr">
        <is>
          <t>Brewing</t>
        </is>
      </c>
      <c r="B85" s="47" t="inlineStr">
        <is>
          <t>Yeast Propagation</t>
        </is>
      </c>
      <c r="C85" s="47" t="inlineStr">
        <is>
          <t>Yeast Propagation</t>
        </is>
      </c>
      <c r="D85" s="47" t="inlineStr">
        <is>
          <t>Culture Receiving</t>
        </is>
      </c>
      <c r="E85" s="47" t="inlineStr">
        <is>
          <t>P.BR.CF.YCR.0003</t>
        </is>
      </c>
      <c r="F85" s="47" t="inlineStr">
        <is>
          <t>% Dead - Culture</t>
        </is>
      </c>
      <c r="G85" s="47" t="inlineStr">
        <is>
          <t>%</t>
        </is>
      </c>
      <c r="H85" s="47" t="inlineStr">
        <is>
          <t>-</t>
        </is>
      </c>
      <c r="I85" s="47" t="inlineStr">
        <is>
          <t>-</t>
        </is>
      </c>
      <c r="J85" s="47" t="inlineStr">
        <is>
          <t>-</t>
        </is>
      </c>
      <c r="K85" s="47" t="inlineStr">
        <is>
          <t>-</t>
        </is>
      </c>
      <c r="L85" s="47" t="n">
        <v>5</v>
      </c>
      <c r="M85" s="48" t="n"/>
      <c r="N85" s="49" t="inlineStr">
        <is>
          <t>Y</t>
        </is>
      </c>
      <c r="O85" s="42" t="inlineStr">
        <is>
          <t>Propagation</t>
        </is>
      </c>
    </row>
    <row r="86">
      <c r="A86" s="50" t="inlineStr">
        <is>
          <t>Brewing</t>
        </is>
      </c>
      <c r="B86" s="50" t="inlineStr">
        <is>
          <t>Yeast Propagation</t>
        </is>
      </c>
      <c r="C86" s="50" t="inlineStr">
        <is>
          <t>Yeast Propagation</t>
        </is>
      </c>
      <c r="D86" s="50" t="inlineStr">
        <is>
          <t>Culture Receiving</t>
        </is>
      </c>
      <c r="E86" s="50" t="inlineStr">
        <is>
          <t>P.BR.CF.YCR.0006</t>
        </is>
      </c>
      <c r="F86" s="50" t="inlineStr">
        <is>
          <t>% Dead - Culture</t>
        </is>
      </c>
      <c r="G86" s="50" t="inlineStr">
        <is>
          <t>%</t>
        </is>
      </c>
      <c r="H86" s="50" t="inlineStr">
        <is>
          <t>-</t>
        </is>
      </c>
      <c r="I86" s="50" t="inlineStr">
        <is>
          <t>-</t>
        </is>
      </c>
      <c r="J86" s="50" t="inlineStr">
        <is>
          <t>-</t>
        </is>
      </c>
      <c r="K86" s="50" t="inlineStr">
        <is>
          <t>-</t>
        </is>
      </c>
      <c r="L86" s="50" t="n">
        <v>5</v>
      </c>
      <c r="M86" s="48" t="n"/>
      <c r="N86" s="49" t="inlineStr">
        <is>
          <t>Y</t>
        </is>
      </c>
      <c r="O86" s="42" t="inlineStr">
        <is>
          <t>Propagation</t>
        </is>
      </c>
    </row>
    <row r="87">
      <c r="A87" s="47" t="inlineStr">
        <is>
          <t>Brewing</t>
        </is>
      </c>
      <c r="B87" s="47" t="inlineStr">
        <is>
          <t>Yeast Propagation</t>
        </is>
      </c>
      <c r="C87" s="47" t="inlineStr">
        <is>
          <t>Yeast Propagation</t>
        </is>
      </c>
      <c r="D87" s="47" t="inlineStr">
        <is>
          <t>Yeast Propagation - Phase I</t>
        </is>
      </c>
      <c r="E87" s="47" t="inlineStr">
        <is>
          <t>P.BR.CF.YP1.0024</t>
        </is>
      </c>
      <c r="F87" s="47" t="inlineStr">
        <is>
          <t>% Dead - Culture</t>
        </is>
      </c>
      <c r="G87" s="47" t="inlineStr">
        <is>
          <t>%</t>
        </is>
      </c>
      <c r="H87" s="47" t="inlineStr">
        <is>
          <t>-</t>
        </is>
      </c>
      <c r="I87" s="47" t="inlineStr">
        <is>
          <t>-</t>
        </is>
      </c>
      <c r="J87" s="47" t="inlineStr">
        <is>
          <t>-</t>
        </is>
      </c>
      <c r="K87" s="47" t="inlineStr">
        <is>
          <t>-</t>
        </is>
      </c>
      <c r="L87" s="47" t="n">
        <v>5</v>
      </c>
      <c r="M87" s="48" t="n"/>
      <c r="N87" s="49" t="inlineStr">
        <is>
          <t>Y</t>
        </is>
      </c>
      <c r="O87" s="42" t="inlineStr">
        <is>
          <t>Propagation</t>
        </is>
      </c>
    </row>
    <row r="88">
      <c r="A88" s="50" t="inlineStr">
        <is>
          <t>Brewing</t>
        </is>
      </c>
      <c r="B88" s="50" t="inlineStr">
        <is>
          <t>Yeast Propagation</t>
        </is>
      </c>
      <c r="C88" s="50" t="inlineStr">
        <is>
          <t>Yeast Propagation</t>
        </is>
      </c>
      <c r="D88" s="50" t="inlineStr">
        <is>
          <t>Yeast Propagation - Phase II</t>
        </is>
      </c>
      <c r="E88" s="50" t="inlineStr">
        <is>
          <t>P.BR.CF.YP2.0016</t>
        </is>
      </c>
      <c r="F88" s="50" t="inlineStr">
        <is>
          <t>% Dead - Culture</t>
        </is>
      </c>
      <c r="G88" s="50" t="inlineStr">
        <is>
          <t>%</t>
        </is>
      </c>
      <c r="H88" s="50" t="inlineStr">
        <is>
          <t>-</t>
        </is>
      </c>
      <c r="I88" s="50" t="inlineStr">
        <is>
          <t>-</t>
        </is>
      </c>
      <c r="J88" s="50" t="inlineStr">
        <is>
          <t>-</t>
        </is>
      </c>
      <c r="K88" s="50" t="inlineStr">
        <is>
          <t>-</t>
        </is>
      </c>
      <c r="L88" s="50" t="n">
        <v>5</v>
      </c>
      <c r="M88" s="48" t="n"/>
      <c r="N88" s="49" t="inlineStr">
        <is>
          <t>Y</t>
        </is>
      </c>
      <c r="O88" s="42" t="inlineStr">
        <is>
          <t>Propagation</t>
        </is>
      </c>
    </row>
    <row r="89">
      <c r="A89" s="47" t="inlineStr">
        <is>
          <t>Brewing</t>
        </is>
      </c>
      <c r="B89" s="47" t="inlineStr">
        <is>
          <t>Yeast Propagation</t>
        </is>
      </c>
      <c r="C89" s="47" t="inlineStr">
        <is>
          <t>Yeast Propagation</t>
        </is>
      </c>
      <c r="D89" s="47" t="inlineStr">
        <is>
          <t>Propagation - Phase III</t>
        </is>
      </c>
      <c r="E89" s="47" t="inlineStr">
        <is>
          <t>P.BR.CF.YP3.0017</t>
        </is>
      </c>
      <c r="F89" s="47" t="inlineStr">
        <is>
          <t>% Dead - Culture</t>
        </is>
      </c>
      <c r="G89" s="47" t="inlineStr">
        <is>
          <t>%</t>
        </is>
      </c>
      <c r="H89" s="47" t="inlineStr">
        <is>
          <t>-</t>
        </is>
      </c>
      <c r="I89" s="47" t="inlineStr">
        <is>
          <t>-</t>
        </is>
      </c>
      <c r="J89" s="47" t="inlineStr">
        <is>
          <t>-</t>
        </is>
      </c>
      <c r="K89" s="47" t="inlineStr">
        <is>
          <t>-</t>
        </is>
      </c>
      <c r="L89" s="47" t="n">
        <v>5</v>
      </c>
      <c r="M89" s="48" t="n"/>
      <c r="N89" s="49" t="inlineStr">
        <is>
          <t>Y</t>
        </is>
      </c>
      <c r="O89" s="42" t="inlineStr">
        <is>
          <t>Propagation</t>
        </is>
      </c>
    </row>
    <row r="90">
      <c r="A90" s="50" t="inlineStr">
        <is>
          <t>Brewing</t>
        </is>
      </c>
      <c r="B90" s="50" t="inlineStr">
        <is>
          <t>Filtration</t>
        </is>
      </c>
      <c r="C90" s="50" t="inlineStr">
        <is>
          <t>Filtration</t>
        </is>
      </c>
      <c r="D90" s="50" t="inlineStr">
        <is>
          <t>Bright Beer Tank</t>
        </is>
      </c>
      <c r="E90" s="50" t="inlineStr">
        <is>
          <t>P.BR.FI.BBT.0001</t>
        </is>
      </c>
      <c r="F90" s="50" t="inlineStr">
        <is>
          <t>pH BBT</t>
        </is>
      </c>
      <c r="G90" s="50" t="inlineStr">
        <is>
          <t>pH</t>
        </is>
      </c>
      <c r="H90" s="50" t="inlineStr">
        <is>
          <t>&lt;4.0</t>
        </is>
      </c>
      <c r="I90" s="50" t="inlineStr">
        <is>
          <t>-</t>
        </is>
      </c>
      <c r="J90" s="50" t="n">
        <v>4.15</v>
      </c>
      <c r="K90" s="50" t="inlineStr">
        <is>
          <t>-</t>
        </is>
      </c>
      <c r="L90" s="50" t="inlineStr">
        <is>
          <t>&gt;4.3</t>
        </is>
      </c>
      <c r="M90" s="48" t="n"/>
      <c r="N90" s="49" t="inlineStr">
        <is>
          <t>Y</t>
        </is>
      </c>
      <c r="O90" s="42" t="inlineStr">
        <is>
          <t>BBT</t>
        </is>
      </c>
    </row>
    <row r="91">
      <c r="A91" s="47" t="inlineStr">
        <is>
          <t>Brewing</t>
        </is>
      </c>
      <c r="B91" s="47" t="inlineStr">
        <is>
          <t>Filtration</t>
        </is>
      </c>
      <c r="C91" s="47" t="inlineStr">
        <is>
          <t>Filtration</t>
        </is>
      </c>
      <c r="D91" s="47" t="inlineStr">
        <is>
          <t>Bright Beer Tank</t>
        </is>
      </c>
      <c r="E91" s="47" t="inlineStr">
        <is>
          <t>P.BR.FI.BBT.0004</t>
        </is>
      </c>
      <c r="F91" s="47" t="inlineStr">
        <is>
          <t>Iron</t>
        </is>
      </c>
      <c r="G91" s="47" t="inlineStr">
        <is>
          <t>ppm</t>
        </is>
      </c>
      <c r="H91" s="47" t="inlineStr">
        <is>
          <t>-</t>
        </is>
      </c>
      <c r="I91" s="47" t="inlineStr">
        <is>
          <t>-</t>
        </is>
      </c>
      <c r="J91" s="47" t="inlineStr">
        <is>
          <t>-</t>
        </is>
      </c>
      <c r="K91" s="47" t="n">
        <v>0.07000000000000001</v>
      </c>
      <c r="L91" s="47" t="n">
        <v>1</v>
      </c>
      <c r="M91" s="48" t="n"/>
      <c r="N91" s="49" t="inlineStr">
        <is>
          <t>Y</t>
        </is>
      </c>
      <c r="O91" s="42" t="inlineStr">
        <is>
          <t>BBT</t>
        </is>
      </c>
    </row>
    <row r="92">
      <c r="A92" s="50" t="inlineStr">
        <is>
          <t>Brewing</t>
        </is>
      </c>
      <c r="B92" s="50" t="inlineStr">
        <is>
          <t>Filtration</t>
        </is>
      </c>
      <c r="C92" s="50" t="inlineStr">
        <is>
          <t>Filtration</t>
        </is>
      </c>
      <c r="D92" s="50" t="inlineStr">
        <is>
          <t>Bright Beer Tank</t>
        </is>
      </c>
      <c r="E92" s="50" t="inlineStr">
        <is>
          <t>P.BR.FI.BBT.0005</t>
        </is>
      </c>
      <c r="F92" s="50" t="inlineStr">
        <is>
          <t>RDF</t>
        </is>
      </c>
      <c r="G92" s="50" t="inlineStr">
        <is>
          <t>%</t>
        </is>
      </c>
      <c r="H92" s="50" t="inlineStr">
        <is>
          <t>-</t>
        </is>
      </c>
      <c r="I92" s="50" t="n">
        <v>0</v>
      </c>
      <c r="J92" s="50" t="n">
        <v>70</v>
      </c>
      <c r="K92" s="50" t="n">
        <v>100</v>
      </c>
      <c r="L92" s="50" t="inlineStr">
        <is>
          <t>-</t>
        </is>
      </c>
      <c r="M92" s="48" t="n"/>
      <c r="N92" s="49" t="inlineStr">
        <is>
          <t>Y</t>
        </is>
      </c>
      <c r="O92" s="42" t="inlineStr">
        <is>
          <t>BBT</t>
        </is>
      </c>
    </row>
    <row r="93">
      <c r="A93" s="47" t="inlineStr">
        <is>
          <t>Brewing</t>
        </is>
      </c>
      <c r="B93" s="47" t="inlineStr">
        <is>
          <t>Filtration</t>
        </is>
      </c>
      <c r="C93" s="47" t="inlineStr">
        <is>
          <t>Filtration</t>
        </is>
      </c>
      <c r="D93" s="47" t="inlineStr">
        <is>
          <t>Bright Beer Tank</t>
        </is>
      </c>
      <c r="E93" s="47" t="inlineStr">
        <is>
          <t>P.BR.FI.BBT.0012</t>
        </is>
      </c>
      <c r="F93" s="47" t="inlineStr">
        <is>
          <t>Polyphenols</t>
        </is>
      </c>
      <c r="G93" s="47" t="inlineStr">
        <is>
          <t>ppm</t>
        </is>
      </c>
      <c r="H93" s="47" t="n">
        <v>85</v>
      </c>
      <c r="I93" s="47" t="n">
        <v>90</v>
      </c>
      <c r="J93" s="47" t="n">
        <v>100</v>
      </c>
      <c r="K93" s="47" t="n">
        <v>110</v>
      </c>
      <c r="L93" s="47" t="n">
        <v>115</v>
      </c>
      <c r="M93" s="48" t="n"/>
      <c r="N93" s="49" t="inlineStr">
        <is>
          <t>Y</t>
        </is>
      </c>
      <c r="O93" s="42" t="inlineStr">
        <is>
          <t>BBT</t>
        </is>
      </c>
    </row>
    <row r="94">
      <c r="A94" s="50" t="inlineStr">
        <is>
          <t>Brewing</t>
        </is>
      </c>
      <c r="B94" s="50" t="inlineStr">
        <is>
          <t>Filtration</t>
        </is>
      </c>
      <c r="C94" s="50" t="inlineStr">
        <is>
          <t>Filtration</t>
        </is>
      </c>
      <c r="D94" s="50" t="inlineStr">
        <is>
          <t>Bright Beer Tank</t>
        </is>
      </c>
      <c r="E94" s="50" t="inlineStr">
        <is>
          <t>P.BR.FI.BBT.0016</t>
        </is>
      </c>
      <c r="F94" s="50" t="inlineStr">
        <is>
          <t>Original Extract (OE)</t>
        </is>
      </c>
      <c r="G94" s="50" t="inlineStr">
        <is>
          <t>°P</t>
        </is>
      </c>
      <c r="H94" s="50" t="inlineStr">
        <is>
          <t>-</t>
        </is>
      </c>
      <c r="I94" s="50" t="n">
        <v>13.5</v>
      </c>
      <c r="J94" s="50" t="n">
        <v>14.5</v>
      </c>
      <c r="K94" s="50" t="n">
        <v>15.5</v>
      </c>
      <c r="L94" s="50" t="inlineStr">
        <is>
          <t>-</t>
        </is>
      </c>
      <c r="M94" s="48" t="n"/>
      <c r="N94" s="49" t="inlineStr">
        <is>
          <t>Y</t>
        </is>
      </c>
      <c r="O94" s="42" t="inlineStr">
        <is>
          <t>BBT</t>
        </is>
      </c>
    </row>
    <row r="95">
      <c r="A95" s="47" t="inlineStr">
        <is>
          <t>Brewing</t>
        </is>
      </c>
      <c r="B95" s="47" t="inlineStr">
        <is>
          <t>Filtration</t>
        </is>
      </c>
      <c r="C95" s="47" t="inlineStr">
        <is>
          <t>Filtration</t>
        </is>
      </c>
      <c r="D95" s="47" t="inlineStr">
        <is>
          <t>Bright Beer Tank</t>
        </is>
      </c>
      <c r="E95" s="47" t="inlineStr">
        <is>
          <t>P.BR.FI.BBT.0017</t>
        </is>
      </c>
      <c r="F95" s="47" t="inlineStr">
        <is>
          <t>Apparent extract</t>
        </is>
      </c>
      <c r="G95" s="47" t="inlineStr">
        <is>
          <t>°P</t>
        </is>
      </c>
      <c r="H95" s="47" t="n">
        <v>1.06</v>
      </c>
      <c r="I95" s="47" t="n">
        <v>1.21</v>
      </c>
      <c r="J95" s="47" t="n">
        <v>1.46</v>
      </c>
      <c r="K95" s="47" t="n">
        <v>1.71</v>
      </c>
      <c r="L95" s="47" t="n">
        <v>1.86</v>
      </c>
      <c r="M95" s="48" t="n"/>
      <c r="N95" s="49" t="inlineStr">
        <is>
          <t>Y</t>
        </is>
      </c>
      <c r="O95" s="42" t="inlineStr">
        <is>
          <t>BBT</t>
        </is>
      </c>
    </row>
    <row r="96">
      <c r="A96" s="50" t="inlineStr">
        <is>
          <t>Brewing</t>
        </is>
      </c>
      <c r="B96" s="50" t="inlineStr">
        <is>
          <t>Filtration</t>
        </is>
      </c>
      <c r="C96" s="50" t="inlineStr">
        <is>
          <t>Filtration</t>
        </is>
      </c>
      <c r="D96" s="50" t="inlineStr">
        <is>
          <t>Bright Beer Tank</t>
        </is>
      </c>
      <c r="E96" s="50" t="inlineStr">
        <is>
          <t>P.BR.FI.BBT.0018</t>
        </is>
      </c>
      <c r="F96" s="50" t="inlineStr">
        <is>
          <t>Dissolved Oxygen (DO)</t>
        </is>
      </c>
      <c r="G96" s="50" t="inlineStr">
        <is>
          <t>ppb</t>
        </is>
      </c>
      <c r="H96" s="50" t="n">
        <v>0</v>
      </c>
      <c r="I96" s="50" t="inlineStr">
        <is>
          <t>-</t>
        </is>
      </c>
      <c r="J96" s="50" t="n">
        <v>18</v>
      </c>
      <c r="K96" s="50" t="inlineStr">
        <is>
          <t>-</t>
        </is>
      </c>
      <c r="L96" s="50" t="n">
        <v>20</v>
      </c>
      <c r="M96" s="48" t="n"/>
      <c r="N96" s="49" t="inlineStr">
        <is>
          <t>Y</t>
        </is>
      </c>
      <c r="O96" s="42" t="inlineStr">
        <is>
          <t>BBT</t>
        </is>
      </c>
    </row>
    <row r="97">
      <c r="A97" s="47" t="inlineStr">
        <is>
          <t>Brewing</t>
        </is>
      </c>
      <c r="B97" s="47" t="inlineStr">
        <is>
          <t>Filtration</t>
        </is>
      </c>
      <c r="C97" s="47" t="inlineStr">
        <is>
          <t>Filtration</t>
        </is>
      </c>
      <c r="D97" s="47" t="inlineStr">
        <is>
          <t>Bright Beer Tank</t>
        </is>
      </c>
      <c r="E97" s="47" t="inlineStr">
        <is>
          <t>P.BR.FI.BBT.0019</t>
        </is>
      </c>
      <c r="F97" s="47" t="inlineStr">
        <is>
          <t>Color</t>
        </is>
      </c>
      <c r="G97" s="47" t="inlineStr">
        <is>
          <t>°EBC</t>
        </is>
      </c>
      <c r="H97" s="47" t="n">
        <v>3.5</v>
      </c>
      <c r="I97" s="47" t="n">
        <v>3.7</v>
      </c>
      <c r="J97" s="47" t="n">
        <v>4.5</v>
      </c>
      <c r="K97" s="47" t="n">
        <v>5.3</v>
      </c>
      <c r="L97" s="47" t="n">
        <v>5.5</v>
      </c>
      <c r="M97" s="48" t="n"/>
      <c r="N97" s="49" t="inlineStr">
        <is>
          <t>Y</t>
        </is>
      </c>
      <c r="O97" s="42" t="inlineStr">
        <is>
          <t>BBT</t>
        </is>
      </c>
    </row>
    <row r="98">
      <c r="A98" s="50" t="inlineStr">
        <is>
          <t>Brewing</t>
        </is>
      </c>
      <c r="B98" s="50" t="inlineStr">
        <is>
          <t>Filtration</t>
        </is>
      </c>
      <c r="C98" s="50" t="inlineStr">
        <is>
          <t>Filtration</t>
        </is>
      </c>
      <c r="D98" s="50" t="inlineStr">
        <is>
          <t>Bright Beer Tank</t>
        </is>
      </c>
      <c r="E98" s="50" t="inlineStr">
        <is>
          <t>P.BR.FI.BBT.0022</t>
        </is>
      </c>
      <c r="F98" s="50" t="inlineStr">
        <is>
          <t>Bitterness BBT</t>
        </is>
      </c>
      <c r="G98" s="50" t="inlineStr">
        <is>
          <t>BU</t>
        </is>
      </c>
      <c r="H98" s="50" t="n">
        <v>17</v>
      </c>
      <c r="I98" s="50" t="n">
        <v>18</v>
      </c>
      <c r="J98" s="50" t="n">
        <v>20</v>
      </c>
      <c r="K98" s="50" t="n">
        <v>22</v>
      </c>
      <c r="L98" s="50" t="n">
        <v>23</v>
      </c>
      <c r="M98" s="48" t="n"/>
      <c r="N98" s="49" t="inlineStr">
        <is>
          <t>Y</t>
        </is>
      </c>
      <c r="O98" s="42" t="inlineStr">
        <is>
          <t>BBT</t>
        </is>
      </c>
    </row>
    <row r="99">
      <c r="A99" s="47" t="inlineStr">
        <is>
          <t>Brewing</t>
        </is>
      </c>
      <c r="B99" s="47" t="inlineStr">
        <is>
          <t>Filtration</t>
        </is>
      </c>
      <c r="C99" s="47" t="inlineStr">
        <is>
          <t>Filtration</t>
        </is>
      </c>
      <c r="D99" s="47" t="inlineStr">
        <is>
          <t>Bright Beer Tank</t>
        </is>
      </c>
      <c r="E99" s="47" t="inlineStr">
        <is>
          <t>P.BR.FI.BBT.0024</t>
        </is>
      </c>
      <c r="F99" s="47" t="inlineStr">
        <is>
          <t>SO2 BBT</t>
        </is>
      </c>
      <c r="G99" s="47" t="inlineStr">
        <is>
          <t>ppm</t>
        </is>
      </c>
      <c r="H99" s="47" t="inlineStr">
        <is>
          <t>-</t>
        </is>
      </c>
      <c r="I99" s="47" t="inlineStr">
        <is>
          <t>-</t>
        </is>
      </c>
      <c r="J99" s="47" t="n">
        <v>7.5</v>
      </c>
      <c r="K99" s="47" t="n">
        <v>10</v>
      </c>
      <c r="L99" s="47" t="n">
        <v>10</v>
      </c>
      <c r="M99" s="51" t="n"/>
      <c r="N99" s="52" t="inlineStr">
        <is>
          <t>N</t>
        </is>
      </c>
      <c r="P99" t="inlineStr">
        <is>
          <t>Test Finish Beer SO2</t>
        </is>
      </c>
    </row>
    <row r="100">
      <c r="A100" s="50" t="inlineStr">
        <is>
          <t>Brewing</t>
        </is>
      </c>
      <c r="B100" s="50" t="inlineStr">
        <is>
          <t>Filtration</t>
        </is>
      </c>
      <c r="C100" s="50" t="inlineStr">
        <is>
          <t>Filtration</t>
        </is>
      </c>
      <c r="D100" s="50" t="inlineStr">
        <is>
          <t>Bright Beer Tank</t>
        </is>
      </c>
      <c r="E100" s="50" t="inlineStr">
        <is>
          <t>P.BR.FI.BBT.0029</t>
        </is>
      </c>
      <c r="F100" s="50" t="inlineStr">
        <is>
          <t>Haze @ 90°</t>
        </is>
      </c>
      <c r="G100" s="50" t="inlineStr">
        <is>
          <t>°EBC</t>
        </is>
      </c>
      <c r="H100" s="50" t="inlineStr">
        <is>
          <t>-</t>
        </is>
      </c>
      <c r="I100" s="50" t="inlineStr">
        <is>
          <t>-</t>
        </is>
      </c>
      <c r="J100" s="50" t="inlineStr">
        <is>
          <t>-</t>
        </is>
      </c>
      <c r="K100" s="50" t="n">
        <v>55</v>
      </c>
      <c r="L100" s="50" t="n">
        <v>75</v>
      </c>
      <c r="M100" s="48" t="n"/>
      <c r="N100" s="49" t="inlineStr">
        <is>
          <t>Y</t>
        </is>
      </c>
      <c r="O100" s="42" t="inlineStr">
        <is>
          <t>BBT</t>
        </is>
      </c>
    </row>
    <row r="101">
      <c r="A101" s="47" t="inlineStr">
        <is>
          <t>Brewing</t>
        </is>
      </c>
      <c r="B101" s="47" t="inlineStr">
        <is>
          <t>Filtration</t>
        </is>
      </c>
      <c r="C101" s="47" t="inlineStr">
        <is>
          <t>Filtration</t>
        </is>
      </c>
      <c r="D101" s="47" t="inlineStr">
        <is>
          <t>Bright Beer Tank</t>
        </is>
      </c>
      <c r="E101" s="47" t="inlineStr">
        <is>
          <t>P.BR.FI.BBT.0032</t>
        </is>
      </c>
      <c r="F101" s="47" t="inlineStr">
        <is>
          <t>CO2 BBT</t>
        </is>
      </c>
      <c r="G101" s="47" t="inlineStr">
        <is>
          <t>v/v</t>
        </is>
      </c>
      <c r="H101" s="47" t="inlineStr">
        <is>
          <t>-</t>
        </is>
      </c>
      <c r="I101" s="47" t="n">
        <v>6</v>
      </c>
      <c r="J101" s="47" t="n">
        <v>6.5</v>
      </c>
      <c r="K101" s="47" t="n">
        <v>7</v>
      </c>
      <c r="L101" s="47" t="inlineStr">
        <is>
          <t>-</t>
        </is>
      </c>
      <c r="M101" s="48" t="n"/>
      <c r="N101" s="49" t="inlineStr">
        <is>
          <t>Y</t>
        </is>
      </c>
      <c r="O101" s="42" t="inlineStr">
        <is>
          <t>BBT</t>
        </is>
      </c>
    </row>
    <row r="102">
      <c r="A102" s="50" t="inlineStr">
        <is>
          <t>Brewing</t>
        </is>
      </c>
      <c r="B102" s="50" t="inlineStr">
        <is>
          <t>Filtration</t>
        </is>
      </c>
      <c r="C102" s="50" t="inlineStr">
        <is>
          <t>Filtration</t>
        </is>
      </c>
      <c r="D102" s="50" t="inlineStr">
        <is>
          <t>Beer Membrane Filter</t>
        </is>
      </c>
      <c r="E102" s="50" t="inlineStr">
        <is>
          <t>P.BR.FI.BMF.0001</t>
        </is>
      </c>
      <c r="F102" s="50" t="inlineStr">
        <is>
          <t>Pre Chiller Temperature</t>
        </is>
      </c>
      <c r="G102" s="50" t="inlineStr">
        <is>
          <t>°C</t>
        </is>
      </c>
      <c r="H102" s="50" t="inlineStr">
        <is>
          <t>-</t>
        </is>
      </c>
      <c r="I102" s="50" t="inlineStr">
        <is>
          <t>-</t>
        </is>
      </c>
      <c r="J102" s="50" t="inlineStr">
        <is>
          <t>-</t>
        </is>
      </c>
      <c r="K102" s="50" t="inlineStr">
        <is>
          <t>-</t>
        </is>
      </c>
      <c r="L102" s="50" t="inlineStr">
        <is>
          <t>-</t>
        </is>
      </c>
      <c r="M102" s="48" t="n"/>
      <c r="N102" s="49" t="inlineStr">
        <is>
          <t>Y</t>
        </is>
      </c>
      <c r="O102" s="42" t="inlineStr">
        <is>
          <t>Chilling</t>
        </is>
      </c>
    </row>
    <row r="103">
      <c r="A103" s="47" t="inlineStr">
        <is>
          <t>Brewing</t>
        </is>
      </c>
      <c r="B103" s="47" t="inlineStr">
        <is>
          <t>Filtration</t>
        </is>
      </c>
      <c r="C103" s="47" t="inlineStr">
        <is>
          <t>Filtration</t>
        </is>
      </c>
      <c r="D103" s="47" t="inlineStr">
        <is>
          <t>Beer Membrane Filter</t>
        </is>
      </c>
      <c r="E103" s="47" t="inlineStr">
        <is>
          <t>P.BR.FI.BMF.0002</t>
        </is>
      </c>
      <c r="F103" s="47" t="inlineStr">
        <is>
          <t>Post Chiller Temperature</t>
        </is>
      </c>
      <c r="G103" s="47" t="inlineStr">
        <is>
          <t>°C</t>
        </is>
      </c>
      <c r="H103" s="47" t="inlineStr">
        <is>
          <t>-</t>
        </is>
      </c>
      <c r="I103" s="47" t="inlineStr">
        <is>
          <t>-</t>
        </is>
      </c>
      <c r="J103" s="47" t="n">
        <v>-1.6</v>
      </c>
      <c r="K103" s="47" t="n">
        <v>-1</v>
      </c>
      <c r="L103" s="47" t="inlineStr">
        <is>
          <t>-</t>
        </is>
      </c>
      <c r="M103" s="48" t="n"/>
      <c r="N103" s="49" t="inlineStr">
        <is>
          <t>Y</t>
        </is>
      </c>
      <c r="O103" s="42" t="inlineStr">
        <is>
          <t>Chilling</t>
        </is>
      </c>
    </row>
    <row r="104">
      <c r="A104" s="50" t="inlineStr">
        <is>
          <t>Brewing</t>
        </is>
      </c>
      <c r="B104" s="50" t="inlineStr">
        <is>
          <t>Filtration</t>
        </is>
      </c>
      <c r="C104" s="50" t="inlineStr">
        <is>
          <t>Filtration</t>
        </is>
      </c>
      <c r="D104" s="50" t="inlineStr">
        <is>
          <t>Beer Membrane Filter</t>
        </is>
      </c>
      <c r="E104" s="50" t="inlineStr">
        <is>
          <t>P.BR.FI.BMF.0009</t>
        </is>
      </c>
      <c r="F104" s="50" t="inlineStr">
        <is>
          <t>Haze @ 90°</t>
        </is>
      </c>
      <c r="G104" s="50" t="inlineStr">
        <is>
          <t>°EBC</t>
        </is>
      </c>
      <c r="H104" s="50" t="inlineStr">
        <is>
          <t>-</t>
        </is>
      </c>
      <c r="I104" s="50" t="inlineStr">
        <is>
          <t>-</t>
        </is>
      </c>
      <c r="J104" s="50" t="n">
        <v>0.2</v>
      </c>
      <c r="K104" s="50" t="n">
        <v>0.3</v>
      </c>
      <c r="L104" s="50" t="n">
        <v>0.8</v>
      </c>
      <c r="M104" s="51" t="n"/>
      <c r="N104" s="52" t="inlineStr">
        <is>
          <t>N</t>
        </is>
      </c>
      <c r="P104" t="inlineStr">
        <is>
          <t xml:space="preserve">Filtration already has Haze @ 90° </t>
        </is>
      </c>
    </row>
    <row r="105">
      <c r="A105" s="47" t="inlineStr">
        <is>
          <t>Brewing</t>
        </is>
      </c>
      <c r="B105" s="47" t="inlineStr">
        <is>
          <t>Filtration</t>
        </is>
      </c>
      <c r="C105" s="47" t="inlineStr">
        <is>
          <t>Filtration</t>
        </is>
      </c>
      <c r="D105" s="47" t="inlineStr">
        <is>
          <t>Beer Membrane Filter</t>
        </is>
      </c>
      <c r="E105" s="47" t="inlineStr">
        <is>
          <t>P.BR.FI.BMF.0011</t>
        </is>
      </c>
      <c r="F105" s="47" t="inlineStr">
        <is>
          <t>Dissolved oxygen  - Filtration Inlet</t>
        </is>
      </c>
      <c r="G105" s="47" t="inlineStr">
        <is>
          <t>ppb</t>
        </is>
      </c>
      <c r="H105" s="47" t="inlineStr">
        <is>
          <t>-</t>
        </is>
      </c>
      <c r="I105" s="47" t="inlineStr">
        <is>
          <t>-</t>
        </is>
      </c>
      <c r="J105" s="47" t="inlineStr">
        <is>
          <t>-</t>
        </is>
      </c>
      <c r="K105" s="47" t="inlineStr">
        <is>
          <t>-</t>
        </is>
      </c>
      <c r="L105" s="47" t="inlineStr">
        <is>
          <t>-</t>
        </is>
      </c>
      <c r="M105" s="51" t="n"/>
      <c r="N105" s="52" t="inlineStr">
        <is>
          <t>N</t>
        </is>
      </c>
      <c r="P105" t="inlineStr">
        <is>
          <t>Filtration already has DO  - Filtration Inlet</t>
        </is>
      </c>
    </row>
    <row r="106">
      <c r="A106" s="50" t="inlineStr">
        <is>
          <t>Brewing</t>
        </is>
      </c>
      <c r="B106" s="50" t="inlineStr">
        <is>
          <t>Filtration</t>
        </is>
      </c>
      <c r="C106" s="50" t="inlineStr">
        <is>
          <t>Filtration</t>
        </is>
      </c>
      <c r="D106" s="50" t="inlineStr">
        <is>
          <t>Deaerated Water</t>
        </is>
      </c>
      <c r="E106" s="50" t="inlineStr">
        <is>
          <t>P.BR.FI.DAW.0009</t>
        </is>
      </c>
      <c r="F106" s="50" t="inlineStr">
        <is>
          <t>Free chlorine [Free chlorine]</t>
        </is>
      </c>
      <c r="G106" s="50" t="inlineStr">
        <is>
          <t>ppm</t>
        </is>
      </c>
      <c r="H106" s="50" t="inlineStr">
        <is>
          <t>-</t>
        </is>
      </c>
      <c r="I106" s="50" t="inlineStr">
        <is>
          <t>-</t>
        </is>
      </c>
      <c r="J106" s="50" t="inlineStr">
        <is>
          <t>-</t>
        </is>
      </c>
      <c r="K106" s="50" t="inlineStr">
        <is>
          <t>-</t>
        </is>
      </c>
      <c r="L106" s="50" t="n">
        <v>0.05</v>
      </c>
      <c r="M106" s="48" t="n"/>
      <c r="N106" s="49" t="inlineStr">
        <is>
          <t>Y</t>
        </is>
      </c>
      <c r="O106" s="42" t="inlineStr">
        <is>
          <t>Blending Water</t>
        </is>
      </c>
    </row>
    <row r="107">
      <c r="A107" s="47" t="inlineStr">
        <is>
          <t>Brewing</t>
        </is>
      </c>
      <c r="B107" s="47" t="inlineStr">
        <is>
          <t>Filtration</t>
        </is>
      </c>
      <c r="C107" s="47" t="inlineStr">
        <is>
          <t>Filtration</t>
        </is>
      </c>
      <c r="D107" s="47" t="inlineStr">
        <is>
          <t>Deaerated Water</t>
        </is>
      </c>
      <c r="E107" s="47" t="inlineStr">
        <is>
          <t>P.BR.FI.DAW.0014</t>
        </is>
      </c>
      <c r="F107" s="47" t="inlineStr">
        <is>
          <t>Blending Water – Dissolved Oxygen (DO)</t>
        </is>
      </c>
      <c r="G107" s="47" t="inlineStr">
        <is>
          <t>ppb</t>
        </is>
      </c>
      <c r="H107" s="47" t="n">
        <v>0</v>
      </c>
      <c r="I107" s="47" t="n">
        <v>0</v>
      </c>
      <c r="J107" s="47" t="n">
        <v>0</v>
      </c>
      <c r="K107" s="47" t="n">
        <v>10</v>
      </c>
      <c r="L107" s="47" t="n">
        <v>10</v>
      </c>
      <c r="M107" s="48" t="n"/>
      <c r="N107" s="49" t="inlineStr">
        <is>
          <t>Y</t>
        </is>
      </c>
      <c r="O107" s="42" t="inlineStr">
        <is>
          <t>Blending Water</t>
        </is>
      </c>
    </row>
    <row r="108">
      <c r="A108" s="50" t="inlineStr">
        <is>
          <t>Brewing</t>
        </is>
      </c>
      <c r="B108" s="50" t="inlineStr">
        <is>
          <t>Filtration</t>
        </is>
      </c>
      <c r="C108" s="50" t="inlineStr">
        <is>
          <t>Filtration</t>
        </is>
      </c>
      <c r="D108" s="50" t="inlineStr">
        <is>
          <t>Filtration</t>
        </is>
      </c>
      <c r="E108" s="50" t="inlineStr">
        <is>
          <t>P.BR.FI.FIL.0001</t>
        </is>
      </c>
      <c r="F108" s="50" t="inlineStr">
        <is>
          <t>Dissolved oxygen  - Filtration Inlet</t>
        </is>
      </c>
      <c r="G108" s="50" t="inlineStr">
        <is>
          <t>ppb</t>
        </is>
      </c>
      <c r="H108" s="50" t="n">
        <v>0</v>
      </c>
      <c r="I108" s="50" t="inlineStr">
        <is>
          <t>-</t>
        </is>
      </c>
      <c r="J108" s="50" t="n">
        <v>10</v>
      </c>
      <c r="K108" s="50" t="inlineStr">
        <is>
          <t>-</t>
        </is>
      </c>
      <c r="L108" s="50" t="inlineStr">
        <is>
          <t>-</t>
        </is>
      </c>
      <c r="M108" s="48" t="n"/>
      <c r="N108" s="49" t="inlineStr">
        <is>
          <t>Y</t>
        </is>
      </c>
      <c r="O108" s="42" t="inlineStr">
        <is>
          <t>Filtration</t>
        </is>
      </c>
    </row>
    <row r="109">
      <c r="A109" s="47" t="inlineStr">
        <is>
          <t>Brewing</t>
        </is>
      </c>
      <c r="B109" s="47" t="inlineStr">
        <is>
          <t>Filtration</t>
        </is>
      </c>
      <c r="C109" s="47" t="inlineStr">
        <is>
          <t>Filtration</t>
        </is>
      </c>
      <c r="D109" s="47" t="inlineStr">
        <is>
          <t>Filtration</t>
        </is>
      </c>
      <c r="E109" s="47" t="inlineStr">
        <is>
          <t>P.BR.FI.FIL.0002</t>
        </is>
      </c>
      <c r="F109" s="47" t="inlineStr">
        <is>
          <t>Filter Start-up Peak D.O.</t>
        </is>
      </c>
      <c r="G109" s="47" t="inlineStr">
        <is>
          <t>ppb</t>
        </is>
      </c>
      <c r="H109" s="47" t="inlineStr">
        <is>
          <t>-</t>
        </is>
      </c>
      <c r="I109" s="47" t="inlineStr">
        <is>
          <t>-</t>
        </is>
      </c>
      <c r="J109" s="47" t="inlineStr">
        <is>
          <t>-</t>
        </is>
      </c>
      <c r="K109" s="47" t="inlineStr">
        <is>
          <t>-</t>
        </is>
      </c>
      <c r="L109" s="47" t="inlineStr">
        <is>
          <t>-</t>
        </is>
      </c>
      <c r="M109" s="48" t="n"/>
      <c r="N109" s="49" t="inlineStr">
        <is>
          <t>Y</t>
        </is>
      </c>
      <c r="O109" s="42" t="inlineStr">
        <is>
          <t>Filtration</t>
        </is>
      </c>
    </row>
    <row r="110">
      <c r="A110" s="50" t="inlineStr">
        <is>
          <t>Brewing</t>
        </is>
      </c>
      <c r="B110" s="50" t="inlineStr">
        <is>
          <t>Filtration</t>
        </is>
      </c>
      <c r="C110" s="50" t="inlineStr">
        <is>
          <t>Filtration</t>
        </is>
      </c>
      <c r="D110" s="50" t="inlineStr">
        <is>
          <t>Filtration</t>
        </is>
      </c>
      <c r="E110" s="50" t="inlineStr">
        <is>
          <t>P.BR.FI.FIL.0005</t>
        </is>
      </c>
      <c r="F110" s="50" t="inlineStr">
        <is>
          <t>Haze @ 90°</t>
        </is>
      </c>
      <c r="G110" s="50" t="inlineStr">
        <is>
          <t>°EBC</t>
        </is>
      </c>
      <c r="H110" s="50" t="inlineStr">
        <is>
          <t>-</t>
        </is>
      </c>
      <c r="I110" s="50" t="inlineStr">
        <is>
          <t>-</t>
        </is>
      </c>
      <c r="J110" s="50" t="n">
        <v>0</v>
      </c>
      <c r="K110" s="50" t="n">
        <v>0.6</v>
      </c>
      <c r="L110" s="50" t="n">
        <v>0.6</v>
      </c>
      <c r="M110" s="48" t="n"/>
      <c r="N110" s="49" t="inlineStr">
        <is>
          <t>Y</t>
        </is>
      </c>
      <c r="O110" s="42" t="inlineStr">
        <is>
          <t>Filtration</t>
        </is>
      </c>
    </row>
    <row r="111">
      <c r="A111" s="47" t="inlineStr">
        <is>
          <t>Brewing</t>
        </is>
      </c>
      <c r="B111" s="47" t="inlineStr">
        <is>
          <t>Filtration</t>
        </is>
      </c>
      <c r="C111" s="47" t="inlineStr">
        <is>
          <t>Filtration</t>
        </is>
      </c>
      <c r="D111" s="47" t="inlineStr">
        <is>
          <t>Filtration</t>
        </is>
      </c>
      <c r="E111" s="47" t="inlineStr">
        <is>
          <t>P.BR.FI.FIL.0007</t>
        </is>
      </c>
      <c r="F111" s="47" t="inlineStr">
        <is>
          <t>Beer Temperature – Immediately Prior to Filtration</t>
        </is>
      </c>
      <c r="G111" s="47" t="inlineStr">
        <is>
          <t>°C</t>
        </is>
      </c>
      <c r="H111" s="47" t="inlineStr">
        <is>
          <t>-</t>
        </is>
      </c>
      <c r="I111" s="47" t="inlineStr">
        <is>
          <t>-</t>
        </is>
      </c>
      <c r="J111" s="47" t="inlineStr">
        <is>
          <t>-</t>
        </is>
      </c>
      <c r="K111" s="47" t="inlineStr">
        <is>
          <t>-</t>
        </is>
      </c>
      <c r="L111" s="47" t="inlineStr">
        <is>
          <t>-</t>
        </is>
      </c>
      <c r="M111" s="48" t="n"/>
      <c r="N111" s="49" t="inlineStr">
        <is>
          <t>Y</t>
        </is>
      </c>
      <c r="O111" s="42" t="inlineStr">
        <is>
          <t>Filtration</t>
        </is>
      </c>
    </row>
    <row r="112">
      <c r="A112" s="50" t="inlineStr">
        <is>
          <t>Brewing</t>
        </is>
      </c>
      <c r="B112" s="50" t="inlineStr">
        <is>
          <t>Filtration</t>
        </is>
      </c>
      <c r="C112" s="50" t="inlineStr">
        <is>
          <t>Filtration</t>
        </is>
      </c>
      <c r="D112" s="50" t="inlineStr">
        <is>
          <t>Filtration</t>
        </is>
      </c>
      <c r="E112" s="50" t="inlineStr">
        <is>
          <t>P.BR.FI.FIL.0008</t>
        </is>
      </c>
      <c r="F112" s="50" t="inlineStr">
        <is>
          <t>Filter Start-up DO</t>
        </is>
      </c>
      <c r="G112" s="50" t="inlineStr">
        <is>
          <t>ppb</t>
        </is>
      </c>
      <c r="H112" s="50" t="inlineStr">
        <is>
          <t>-</t>
        </is>
      </c>
      <c r="I112" s="50" t="inlineStr">
        <is>
          <t>-</t>
        </is>
      </c>
      <c r="J112" s="50" t="inlineStr">
        <is>
          <t>-</t>
        </is>
      </c>
      <c r="K112" s="50" t="inlineStr">
        <is>
          <t>-</t>
        </is>
      </c>
      <c r="L112" s="50" t="inlineStr">
        <is>
          <t>-</t>
        </is>
      </c>
      <c r="M112" s="48" t="n"/>
      <c r="N112" s="49" t="inlineStr">
        <is>
          <t>Y</t>
        </is>
      </c>
      <c r="O112" s="42" t="inlineStr">
        <is>
          <t>Filtration</t>
        </is>
      </c>
    </row>
    <row r="113">
      <c r="A113" s="47" t="inlineStr">
        <is>
          <t>Brewing</t>
        </is>
      </c>
      <c r="B113" s="47" t="inlineStr">
        <is>
          <t>Filtration</t>
        </is>
      </c>
      <c r="C113" s="47" t="inlineStr">
        <is>
          <t>Filtration</t>
        </is>
      </c>
      <c r="D113" s="47" t="inlineStr">
        <is>
          <t>Stabilization</t>
        </is>
      </c>
      <c r="E113" s="47" t="inlineStr">
        <is>
          <t>P.BR.FI.STB.0001</t>
        </is>
      </c>
      <c r="F113" s="47" t="inlineStr">
        <is>
          <t>Polyphenol after stabilization</t>
        </is>
      </c>
      <c r="G113" s="47" t="inlineStr">
        <is>
          <t>mg/L</t>
        </is>
      </c>
      <c r="H113" s="47" t="n">
        <v>70</v>
      </c>
      <c r="I113" s="47" t="inlineStr">
        <is>
          <t>-</t>
        </is>
      </c>
      <c r="J113" s="47" t="n">
        <v>90</v>
      </c>
      <c r="K113" s="47" t="inlineStr">
        <is>
          <t>-</t>
        </is>
      </c>
      <c r="L113" s="47" t="n">
        <v>110</v>
      </c>
      <c r="M113" s="51" t="n"/>
      <c r="N113" s="52" t="inlineStr">
        <is>
          <t>N</t>
        </is>
      </c>
      <c r="P113" t="inlineStr">
        <is>
          <t>BBT already has Polyphenols</t>
        </is>
      </c>
    </row>
    <row r="114">
      <c r="A114" s="50" t="inlineStr">
        <is>
          <t>Brewing</t>
        </is>
      </c>
      <c r="B114" s="50" t="inlineStr">
        <is>
          <t>Filtration</t>
        </is>
      </c>
      <c r="C114" s="50" t="inlineStr">
        <is>
          <t>Filtration</t>
        </is>
      </c>
      <c r="D114" s="50" t="inlineStr">
        <is>
          <t>Stabilization</t>
        </is>
      </c>
      <c r="E114" s="50" t="inlineStr">
        <is>
          <t>P.BR.FI.STB.0003</t>
        </is>
      </c>
      <c r="F114" s="50" t="inlineStr">
        <is>
          <t>Regenerable PVPP Dosage Rate</t>
        </is>
      </c>
      <c r="G114" s="50" t="inlineStr">
        <is>
          <t>g/hL</t>
        </is>
      </c>
      <c r="H114" s="50" t="n">
        <v>35</v>
      </c>
      <c r="I114" s="50" t="n">
        <v>40</v>
      </c>
      <c r="J114" s="50" t="n">
        <v>45</v>
      </c>
      <c r="K114" s="50" t="n">
        <v>50</v>
      </c>
      <c r="L114" s="50" t="n">
        <v>55</v>
      </c>
      <c r="M114" s="48" t="n"/>
      <c r="N114" s="49" t="inlineStr">
        <is>
          <t>Y</t>
        </is>
      </c>
      <c r="O114" s="42" t="inlineStr">
        <is>
          <t>Stabilization</t>
        </is>
      </c>
    </row>
    <row r="115">
      <c r="A115" s="47" t="inlineStr">
        <is>
          <t>Brewing</t>
        </is>
      </c>
      <c r="B115" s="47" t="inlineStr">
        <is>
          <t>Filtration</t>
        </is>
      </c>
      <c r="C115" s="47" t="inlineStr">
        <is>
          <t>Filtration</t>
        </is>
      </c>
      <c r="D115" s="47" t="inlineStr">
        <is>
          <t>Stabilization</t>
        </is>
      </c>
      <c r="E115" s="47" t="inlineStr">
        <is>
          <t>P.BR.FI.STB.0004</t>
        </is>
      </c>
      <c r="F115" s="47" t="inlineStr">
        <is>
          <t>One-way PVPP Dosage Rate</t>
        </is>
      </c>
      <c r="G115" s="47" t="inlineStr">
        <is>
          <t>g/hL</t>
        </is>
      </c>
      <c r="H115" s="47" t="n">
        <v>30</v>
      </c>
      <c r="I115" s="47" t="inlineStr">
        <is>
          <t>-</t>
        </is>
      </c>
      <c r="J115" s="47" t="n">
        <v>45</v>
      </c>
      <c r="K115" s="47" t="inlineStr">
        <is>
          <t>-</t>
        </is>
      </c>
      <c r="L115" s="47" t="n">
        <v>60</v>
      </c>
      <c r="M115" s="48" t="n"/>
      <c r="N115" s="49" t="inlineStr">
        <is>
          <t>Y</t>
        </is>
      </c>
      <c r="O115" s="42" t="inlineStr">
        <is>
          <t>Stabilization</t>
        </is>
      </c>
    </row>
    <row r="116">
      <c r="A116" s="50" t="inlineStr">
        <is>
          <t>Brewing</t>
        </is>
      </c>
      <c r="B116" s="50" t="inlineStr">
        <is>
          <t>Filtration</t>
        </is>
      </c>
      <c r="C116" s="50" t="inlineStr">
        <is>
          <t>Filtration</t>
        </is>
      </c>
      <c r="D116" s="50" t="inlineStr">
        <is>
          <t>Stabilization</t>
        </is>
      </c>
      <c r="E116" s="50" t="inlineStr">
        <is>
          <t>P.BR.FI.STB.0005</t>
        </is>
      </c>
      <c r="F116" s="50" t="inlineStr">
        <is>
          <t>Silica Hydrogel dosage</t>
        </is>
      </c>
      <c r="G116" s="50" t="inlineStr">
        <is>
          <t>g/hL</t>
        </is>
      </c>
      <c r="H116" s="50" t="inlineStr">
        <is>
          <t>-</t>
        </is>
      </c>
      <c r="I116" s="50" t="n">
        <v>55</v>
      </c>
      <c r="J116" s="50" t="inlineStr">
        <is>
          <t>-</t>
        </is>
      </c>
      <c r="K116" s="50" t="inlineStr">
        <is>
          <t>-</t>
        </is>
      </c>
      <c r="L116" s="50" t="inlineStr">
        <is>
          <t>-</t>
        </is>
      </c>
      <c r="M116" s="48" t="n"/>
      <c r="N116" s="49" t="inlineStr">
        <is>
          <t>Y</t>
        </is>
      </c>
      <c r="O116" s="42" t="inlineStr">
        <is>
          <t>Stabilization</t>
        </is>
      </c>
    </row>
    <row r="117">
      <c r="A117" s="47" t="inlineStr">
        <is>
          <t>Brewing</t>
        </is>
      </c>
      <c r="B117" s="47" t="inlineStr">
        <is>
          <t>Filtration</t>
        </is>
      </c>
      <c r="C117" s="47" t="inlineStr">
        <is>
          <t>Filtration</t>
        </is>
      </c>
      <c r="D117" s="47" t="inlineStr">
        <is>
          <t>Stabilization</t>
        </is>
      </c>
      <c r="E117" s="47" t="inlineStr">
        <is>
          <t>P.BR.FI.STB.0006</t>
        </is>
      </c>
      <c r="F117" s="47" t="inlineStr">
        <is>
          <t>Silica Hydrogel Gel Addition Rate</t>
        </is>
      </c>
      <c r="G117" s="47" t="inlineStr">
        <is>
          <t>min</t>
        </is>
      </c>
      <c r="H117" s="47" t="n">
        <v>10</v>
      </c>
      <c r="I117" s="47" t="n">
        <v>15</v>
      </c>
      <c r="J117" s="47" t="inlineStr">
        <is>
          <t>-</t>
        </is>
      </c>
      <c r="K117" s="47" t="n">
        <v>25</v>
      </c>
      <c r="L117" s="47" t="inlineStr">
        <is>
          <t>-</t>
        </is>
      </c>
      <c r="M117" s="48" t="n"/>
      <c r="N117" s="49" t="inlineStr">
        <is>
          <t>Y</t>
        </is>
      </c>
      <c r="O117" s="42" t="inlineStr">
        <is>
          <t>Stabilization</t>
        </is>
      </c>
    </row>
    <row r="118">
      <c r="A118" s="50" t="inlineStr">
        <is>
          <t>Brewing</t>
        </is>
      </c>
      <c r="B118" s="50" t="inlineStr">
        <is>
          <t>Maturation</t>
        </is>
      </c>
      <c r="C118" s="50" t="inlineStr">
        <is>
          <t>Maturation</t>
        </is>
      </c>
      <c r="D118" s="50" t="inlineStr">
        <is>
          <t>Cold Maturation</t>
        </is>
      </c>
      <c r="E118" s="50" t="inlineStr">
        <is>
          <t>P.BR.MT.CMT.0004</t>
        </is>
      </c>
      <c r="F118" s="50" t="inlineStr">
        <is>
          <t>Dissolved Oxygen (DO)</t>
        </is>
      </c>
      <c r="G118" s="50" t="inlineStr">
        <is>
          <t>ppb</t>
        </is>
      </c>
      <c r="H118" s="50" t="inlineStr">
        <is>
          <t>-</t>
        </is>
      </c>
      <c r="I118" s="50" t="inlineStr">
        <is>
          <t>-</t>
        </is>
      </c>
      <c r="J118" s="50" t="inlineStr">
        <is>
          <t>-</t>
        </is>
      </c>
      <c r="K118" s="50" t="inlineStr">
        <is>
          <t>-</t>
        </is>
      </c>
      <c r="L118" s="50" t="inlineStr">
        <is>
          <t>-</t>
        </is>
      </c>
      <c r="M118" s="48" t="n"/>
      <c r="N118" s="49" t="inlineStr">
        <is>
          <t>Y</t>
        </is>
      </c>
      <c r="O118" s="42" t="inlineStr">
        <is>
          <t>Cold Aging</t>
        </is>
      </c>
    </row>
    <row r="119">
      <c r="A119" s="47" t="inlineStr">
        <is>
          <t>Brewing</t>
        </is>
      </c>
      <c r="B119" s="47" t="inlineStr">
        <is>
          <t>Maturation</t>
        </is>
      </c>
      <c r="C119" s="47" t="inlineStr">
        <is>
          <t>Maturation</t>
        </is>
      </c>
      <c r="D119" s="47" t="inlineStr">
        <is>
          <t>Cold Maturation</t>
        </is>
      </c>
      <c r="E119" s="47" t="inlineStr">
        <is>
          <t>P.BR.MT.CMT.0005</t>
        </is>
      </c>
      <c r="F119" s="47" t="inlineStr">
        <is>
          <t>Temperature at fill Cold Maturation Tank</t>
        </is>
      </c>
      <c r="G119" s="47" t="inlineStr">
        <is>
          <t>°C</t>
        </is>
      </c>
      <c r="H119" s="47" t="inlineStr">
        <is>
          <t>-</t>
        </is>
      </c>
      <c r="I119" s="47" t="n">
        <v>-2.5</v>
      </c>
      <c r="J119" s="47" t="n">
        <v>-2</v>
      </c>
      <c r="K119" s="47" t="n">
        <v>-1.5</v>
      </c>
      <c r="L119" s="47" t="inlineStr">
        <is>
          <t>-</t>
        </is>
      </c>
      <c r="M119" s="48" t="n"/>
      <c r="N119" s="49" t="inlineStr">
        <is>
          <t>Y</t>
        </is>
      </c>
      <c r="O119" s="42" t="inlineStr">
        <is>
          <t>Cold Aging</t>
        </is>
      </c>
    </row>
    <row r="120">
      <c r="A120" s="50" t="inlineStr">
        <is>
          <t>Brewing</t>
        </is>
      </c>
      <c r="B120" s="50" t="inlineStr">
        <is>
          <t>Maturation</t>
        </is>
      </c>
      <c r="C120" s="50" t="inlineStr">
        <is>
          <t>Maturation</t>
        </is>
      </c>
      <c r="D120" s="50" t="inlineStr">
        <is>
          <t>Cold Maturation</t>
        </is>
      </c>
      <c r="E120" s="50" t="inlineStr">
        <is>
          <t>P.BR.MT.CMT.0006</t>
        </is>
      </c>
      <c r="F120" s="50" t="inlineStr">
        <is>
          <t>Temperature Maturation tank</t>
        </is>
      </c>
      <c r="G120" s="50" t="inlineStr">
        <is>
          <t>°C</t>
        </is>
      </c>
      <c r="H120" s="50" t="inlineStr">
        <is>
          <t>-</t>
        </is>
      </c>
      <c r="I120" s="50" t="n">
        <v>-2.5</v>
      </c>
      <c r="J120" s="50" t="n">
        <v>-2</v>
      </c>
      <c r="K120" s="50" t="n">
        <v>-1.5</v>
      </c>
      <c r="L120" s="50" t="inlineStr">
        <is>
          <t>-</t>
        </is>
      </c>
      <c r="M120" s="48" t="n"/>
      <c r="N120" s="49" t="inlineStr">
        <is>
          <t>Y</t>
        </is>
      </c>
      <c r="O120" s="42" t="inlineStr">
        <is>
          <t>Cold Aging</t>
        </is>
      </c>
    </row>
    <row r="121">
      <c r="A121" s="47" t="inlineStr">
        <is>
          <t>Brewing</t>
        </is>
      </c>
      <c r="B121" s="47" t="inlineStr">
        <is>
          <t>Maturation</t>
        </is>
      </c>
      <c r="C121" s="47" t="inlineStr">
        <is>
          <t>Maturation</t>
        </is>
      </c>
      <c r="D121" s="47" t="inlineStr">
        <is>
          <t>Cold Maturation</t>
        </is>
      </c>
      <c r="E121" s="47" t="inlineStr">
        <is>
          <t>P.BR.MT.CMT.0011</t>
        </is>
      </c>
      <c r="F121" s="47" t="inlineStr">
        <is>
          <t>pH (EOM)</t>
        </is>
      </c>
      <c r="G121" s="47" t="inlineStr">
        <is>
          <t>pH</t>
        </is>
      </c>
      <c r="H121" s="47" t="inlineStr">
        <is>
          <t>-</t>
        </is>
      </c>
      <c r="I121" s="47" t="inlineStr">
        <is>
          <t>-</t>
        </is>
      </c>
      <c r="J121" s="47" t="inlineStr">
        <is>
          <t>-</t>
        </is>
      </c>
      <c r="K121" s="47" t="inlineStr">
        <is>
          <t>-</t>
        </is>
      </c>
      <c r="L121" s="47" t="inlineStr">
        <is>
          <t>-</t>
        </is>
      </c>
      <c r="M121" s="48" t="n"/>
      <c r="N121" s="49" t="inlineStr">
        <is>
          <t>Y</t>
        </is>
      </c>
      <c r="O121" s="42" t="inlineStr">
        <is>
          <t>Cold Aging</t>
        </is>
      </c>
    </row>
    <row r="122">
      <c r="A122" s="50" t="inlineStr">
        <is>
          <t>Brewing</t>
        </is>
      </c>
      <c r="B122" s="50" t="inlineStr">
        <is>
          <t>Maturation</t>
        </is>
      </c>
      <c r="C122" s="50" t="inlineStr">
        <is>
          <t>Maturation</t>
        </is>
      </c>
      <c r="D122" s="50" t="inlineStr">
        <is>
          <t>Cold Maturation</t>
        </is>
      </c>
      <c r="E122" s="50" t="inlineStr">
        <is>
          <t>P.BR.MT.CMT.0017</t>
        </is>
      </c>
      <c r="F122" s="50" t="inlineStr">
        <is>
          <t>Time in Cold Maturation tank</t>
        </is>
      </c>
      <c r="G122" s="50" t="inlineStr">
        <is>
          <t>Hours</t>
        </is>
      </c>
      <c r="H122" s="50" t="inlineStr">
        <is>
          <t>-</t>
        </is>
      </c>
      <c r="I122" s="50" t="inlineStr">
        <is>
          <t>-</t>
        </is>
      </c>
      <c r="J122" s="50" t="n">
        <v>120</v>
      </c>
      <c r="K122" s="50" t="inlineStr">
        <is>
          <t>-</t>
        </is>
      </c>
      <c r="L122" s="50" t="inlineStr">
        <is>
          <t>-</t>
        </is>
      </c>
      <c r="M122" s="48" t="n"/>
      <c r="N122" s="49" t="inlineStr">
        <is>
          <t>Y</t>
        </is>
      </c>
      <c r="O122" s="42" t="inlineStr">
        <is>
          <t>Cold Aging</t>
        </is>
      </c>
    </row>
    <row r="123">
      <c r="A123" s="47" t="inlineStr">
        <is>
          <t>Brewing</t>
        </is>
      </c>
      <c r="B123" s="47" t="inlineStr">
        <is>
          <t>Maturation</t>
        </is>
      </c>
      <c r="C123" s="47" t="inlineStr">
        <is>
          <t>Maturation</t>
        </is>
      </c>
      <c r="D123" s="47" t="inlineStr">
        <is>
          <t>Kraeusen</t>
        </is>
      </c>
      <c r="E123" s="47" t="inlineStr">
        <is>
          <t>P.BR.MT.KRA.0002</t>
        </is>
      </c>
      <c r="F123" s="47" t="inlineStr">
        <is>
          <t>Kraeusen Tank Age</t>
        </is>
      </c>
      <c r="G123" s="47" t="inlineStr">
        <is>
          <t>Hours</t>
        </is>
      </c>
      <c r="H123" s="47" t="inlineStr">
        <is>
          <t>&lt;48</t>
        </is>
      </c>
      <c r="I123" s="47" t="inlineStr">
        <is>
          <t>-</t>
        </is>
      </c>
      <c r="J123" s="47" t="n">
        <v>66</v>
      </c>
      <c r="K123" s="47" t="inlineStr">
        <is>
          <t>-</t>
        </is>
      </c>
      <c r="L123" s="47" t="inlineStr">
        <is>
          <t>&gt;84</t>
        </is>
      </c>
      <c r="M123" s="48" t="n"/>
      <c r="N123" s="49" t="inlineStr">
        <is>
          <t>Y</t>
        </is>
      </c>
      <c r="O123" s="42" t="inlineStr">
        <is>
          <t>Kraeusen</t>
        </is>
      </c>
    </row>
    <row r="124">
      <c r="A124" s="50" t="inlineStr">
        <is>
          <t>Brewing</t>
        </is>
      </c>
      <c r="B124" s="50" t="inlineStr">
        <is>
          <t>Maturation</t>
        </is>
      </c>
      <c r="C124" s="50" t="inlineStr">
        <is>
          <t>Maturation</t>
        </is>
      </c>
      <c r="D124" s="50" t="inlineStr">
        <is>
          <t>Kraeusen</t>
        </is>
      </c>
      <c r="E124" s="50" t="inlineStr">
        <is>
          <t>P.BR.MT.KRA.0003</t>
        </is>
      </c>
      <c r="F124" s="50" t="inlineStr">
        <is>
          <t>Kraeusen Pitch Rate</t>
        </is>
      </c>
      <c r="G124" s="50" t="inlineStr">
        <is>
          <t>MM cells/mL</t>
        </is>
      </c>
      <c r="H124" s="50" t="inlineStr">
        <is>
          <t>&lt;60</t>
        </is>
      </c>
      <c r="I124" s="50" t="inlineStr">
        <is>
          <t>-</t>
        </is>
      </c>
      <c r="J124" s="50" t="inlineStr">
        <is>
          <t>-</t>
        </is>
      </c>
      <c r="K124" s="50" t="inlineStr">
        <is>
          <t>-</t>
        </is>
      </c>
      <c r="L124" s="50" t="inlineStr">
        <is>
          <t>-</t>
        </is>
      </c>
      <c r="M124" s="48" t="n"/>
      <c r="N124" s="49" t="inlineStr">
        <is>
          <t>Y</t>
        </is>
      </c>
      <c r="O124" s="42" t="inlineStr">
        <is>
          <t>Kraeusen</t>
        </is>
      </c>
    </row>
    <row r="125">
      <c r="A125" s="47" t="inlineStr">
        <is>
          <t>Brewing</t>
        </is>
      </c>
      <c r="B125" s="47" t="inlineStr">
        <is>
          <t>Maturation</t>
        </is>
      </c>
      <c r="C125" s="47" t="inlineStr">
        <is>
          <t>Maturation</t>
        </is>
      </c>
      <c r="D125" s="47" t="inlineStr">
        <is>
          <t>Kraeusen</t>
        </is>
      </c>
      <c r="E125" s="47" t="inlineStr">
        <is>
          <t>P.BR.MT.KRA.0004</t>
        </is>
      </c>
      <c r="F125" s="47" t="inlineStr">
        <is>
          <t>Krausening volume addition</t>
        </is>
      </c>
      <c r="G125" s="47" t="inlineStr">
        <is>
          <t>%</t>
        </is>
      </c>
      <c r="H125" s="47" t="inlineStr">
        <is>
          <t>&lt;7.0</t>
        </is>
      </c>
      <c r="I125" s="47" t="inlineStr">
        <is>
          <t>-</t>
        </is>
      </c>
      <c r="J125" s="47" t="n">
        <v>7.5</v>
      </c>
      <c r="K125" s="47" t="inlineStr">
        <is>
          <t>-</t>
        </is>
      </c>
      <c r="L125" s="47" t="inlineStr">
        <is>
          <t>&gt;8.0</t>
        </is>
      </c>
      <c r="M125" s="48" t="n"/>
      <c r="N125" s="49" t="inlineStr">
        <is>
          <t>Y</t>
        </is>
      </c>
      <c r="O125" s="42" t="inlineStr">
        <is>
          <t>Kraeusen</t>
        </is>
      </c>
    </row>
    <row r="126">
      <c r="A126" s="50" t="inlineStr">
        <is>
          <t>Brewing</t>
        </is>
      </c>
      <c r="B126" s="50" t="inlineStr">
        <is>
          <t>Maturation</t>
        </is>
      </c>
      <c r="C126" s="50" t="inlineStr">
        <is>
          <t>Maturation</t>
        </is>
      </c>
      <c r="D126" s="50" t="inlineStr">
        <is>
          <t>Warm Maturation</t>
        </is>
      </c>
      <c r="E126" s="50" t="inlineStr">
        <is>
          <t>P.BR.MT.WMR.0002</t>
        </is>
      </c>
      <c r="F126" s="50" t="inlineStr">
        <is>
          <t>0 Hr  Cell Count</t>
        </is>
      </c>
      <c r="G126" s="50" t="inlineStr">
        <is>
          <t>MM cells/mL</t>
        </is>
      </c>
      <c r="H126" s="50" t="inlineStr">
        <is>
          <t>-</t>
        </is>
      </c>
      <c r="I126" s="50" t="n">
        <v>30</v>
      </c>
      <c r="J126" s="50" t="n">
        <v>40</v>
      </c>
      <c r="K126" s="50" t="n">
        <v>50</v>
      </c>
      <c r="L126" s="50" t="inlineStr">
        <is>
          <t>-</t>
        </is>
      </c>
      <c r="M126" s="48" t="n"/>
      <c r="N126" s="49" t="inlineStr">
        <is>
          <t>Y</t>
        </is>
      </c>
      <c r="O126" s="42" t="inlineStr">
        <is>
          <t>Warm Maturation</t>
        </is>
      </c>
    </row>
    <row r="127">
      <c r="A127" s="47" t="inlineStr">
        <is>
          <t>Brewing</t>
        </is>
      </c>
      <c r="B127" s="47" t="inlineStr">
        <is>
          <t>Maturation</t>
        </is>
      </c>
      <c r="C127" s="47" t="inlineStr">
        <is>
          <t>Maturation</t>
        </is>
      </c>
      <c r="D127" s="47" t="inlineStr">
        <is>
          <t>Warm Maturation</t>
        </is>
      </c>
      <c r="E127" s="47" t="inlineStr">
        <is>
          <t>P.BR.MT.WMR.0003</t>
        </is>
      </c>
      <c r="F127" s="47" t="inlineStr">
        <is>
          <t>Cell Count Mid Point Warm Maturation</t>
        </is>
      </c>
      <c r="G127" s="47" t="inlineStr">
        <is>
          <t>MM cells/mL</t>
        </is>
      </c>
      <c r="H127" s="47" t="inlineStr">
        <is>
          <t>-</t>
        </is>
      </c>
      <c r="I127" s="47" t="n">
        <v>20</v>
      </c>
      <c r="J127" s="47" t="n">
        <v>30</v>
      </c>
      <c r="K127" s="47" t="n">
        <v>40</v>
      </c>
      <c r="L127" s="47" t="inlineStr">
        <is>
          <t>-</t>
        </is>
      </c>
      <c r="M127" s="48" t="n"/>
      <c r="N127" s="49" t="inlineStr">
        <is>
          <t>Y</t>
        </is>
      </c>
      <c r="O127" s="42" t="inlineStr">
        <is>
          <t>Warm Maturation</t>
        </is>
      </c>
    </row>
    <row r="128">
      <c r="A128" s="50" t="inlineStr">
        <is>
          <t>Brewing</t>
        </is>
      </c>
      <c r="B128" s="50" t="inlineStr">
        <is>
          <t>Maturation</t>
        </is>
      </c>
      <c r="C128" s="50" t="inlineStr">
        <is>
          <t>Maturation</t>
        </is>
      </c>
      <c r="D128" s="50" t="inlineStr">
        <is>
          <t>Warm Maturation</t>
        </is>
      </c>
      <c r="E128" s="50" t="inlineStr">
        <is>
          <t>P.BR.MT.WMR.0004</t>
        </is>
      </c>
      <c r="F128" s="50" t="inlineStr">
        <is>
          <t>Temperature Maturation tank</t>
        </is>
      </c>
      <c r="G128" s="50" t="inlineStr">
        <is>
          <t>°C</t>
        </is>
      </c>
      <c r="H128" s="50" t="inlineStr">
        <is>
          <t>-</t>
        </is>
      </c>
      <c r="I128" s="50" t="n">
        <v>10</v>
      </c>
      <c r="J128" s="50" t="n">
        <v>10.5</v>
      </c>
      <c r="K128" s="50" t="n">
        <v>11</v>
      </c>
      <c r="L128" s="50" t="inlineStr">
        <is>
          <t>-</t>
        </is>
      </c>
      <c r="M128" s="48" t="n"/>
      <c r="N128" s="49" t="inlineStr">
        <is>
          <t>Y</t>
        </is>
      </c>
      <c r="O128" s="42" t="inlineStr">
        <is>
          <t>Warm Maturation</t>
        </is>
      </c>
    </row>
    <row r="129">
      <c r="A129" s="47" t="inlineStr">
        <is>
          <t>Brewing</t>
        </is>
      </c>
      <c r="B129" s="47" t="inlineStr">
        <is>
          <t>Maturation</t>
        </is>
      </c>
      <c r="C129" s="47" t="inlineStr">
        <is>
          <t>Maturation</t>
        </is>
      </c>
      <c r="D129" s="47" t="inlineStr">
        <is>
          <t>Warm Maturation</t>
        </is>
      </c>
      <c r="E129" s="47" t="inlineStr">
        <is>
          <t>P.BR.MT.WMR.0005</t>
        </is>
      </c>
      <c r="F129" s="47" t="inlineStr">
        <is>
          <t>Counter Pressure Maturation tank</t>
        </is>
      </c>
      <c r="G129" s="47" t="inlineStr">
        <is>
          <t>bar</t>
        </is>
      </c>
      <c r="H129" s="47" t="inlineStr">
        <is>
          <t>-</t>
        </is>
      </c>
      <c r="I129" s="47" t="n">
        <v>0.045</v>
      </c>
      <c r="J129" s="47" t="n">
        <v>0.065</v>
      </c>
      <c r="K129" s="47" t="n">
        <v>0.08500000000000001</v>
      </c>
      <c r="L129" s="47" t="inlineStr">
        <is>
          <t>-</t>
        </is>
      </c>
      <c r="M129" s="48" t="n"/>
      <c r="N129" s="49" t="inlineStr">
        <is>
          <t>Y</t>
        </is>
      </c>
      <c r="O129" s="42" t="inlineStr">
        <is>
          <t>Warm Maturation</t>
        </is>
      </c>
    </row>
    <row r="130">
      <c r="A130" s="50" t="inlineStr">
        <is>
          <t>Brewing</t>
        </is>
      </c>
      <c r="B130" s="50" t="inlineStr">
        <is>
          <t>Maturation</t>
        </is>
      </c>
      <c r="C130" s="50" t="inlineStr">
        <is>
          <t>Maturation</t>
        </is>
      </c>
      <c r="D130" s="50" t="inlineStr">
        <is>
          <t>Warm Maturation</t>
        </is>
      </c>
      <c r="E130" s="50" t="inlineStr">
        <is>
          <t>P.BR.MT.WMR.0007</t>
        </is>
      </c>
      <c r="F130" s="50" t="inlineStr">
        <is>
          <t>Pentanedione (EOM)</t>
        </is>
      </c>
      <c r="G130" s="50" t="inlineStr">
        <is>
          <t>ppb</t>
        </is>
      </c>
      <c r="H130" s="50" t="inlineStr">
        <is>
          <t>-</t>
        </is>
      </c>
      <c r="I130" s="50" t="inlineStr">
        <is>
          <t>-</t>
        </is>
      </c>
      <c r="J130" s="50" t="inlineStr">
        <is>
          <t>-</t>
        </is>
      </c>
      <c r="K130" s="50" t="inlineStr">
        <is>
          <t>-</t>
        </is>
      </c>
      <c r="L130" s="50" t="inlineStr">
        <is>
          <t>-</t>
        </is>
      </c>
      <c r="M130" s="48" t="n"/>
      <c r="N130" s="49" t="inlineStr">
        <is>
          <t>Y</t>
        </is>
      </c>
      <c r="O130" s="42" t="inlineStr">
        <is>
          <t>EOC</t>
        </is>
      </c>
    </row>
    <row r="131">
      <c r="A131" s="47" t="inlineStr">
        <is>
          <t>Brewing</t>
        </is>
      </c>
      <c r="B131" s="47" t="inlineStr">
        <is>
          <t>Maturation</t>
        </is>
      </c>
      <c r="C131" s="47" t="inlineStr">
        <is>
          <t>Maturation</t>
        </is>
      </c>
      <c r="D131" s="47" t="inlineStr">
        <is>
          <t>Warm Maturation</t>
        </is>
      </c>
      <c r="E131" s="47" t="inlineStr">
        <is>
          <t>P.BR.MT.WMR.0008</t>
        </is>
      </c>
      <c r="F131" s="47" t="inlineStr">
        <is>
          <t>Diacetyl (EOM)</t>
        </is>
      </c>
      <c r="G131" s="47" t="inlineStr">
        <is>
          <t>ppb</t>
        </is>
      </c>
      <c r="H131" s="47" t="inlineStr">
        <is>
          <t>-</t>
        </is>
      </c>
      <c r="I131" s="47" t="inlineStr">
        <is>
          <t>-</t>
        </is>
      </c>
      <c r="J131" s="47" t="inlineStr">
        <is>
          <t>-</t>
        </is>
      </c>
      <c r="K131" s="47" t="n">
        <v>28</v>
      </c>
      <c r="L131" s="47" t="n">
        <v>28</v>
      </c>
      <c r="M131" s="48" t="n"/>
      <c r="N131" s="49" t="inlineStr">
        <is>
          <t>Y</t>
        </is>
      </c>
      <c r="O131" s="42" t="inlineStr">
        <is>
          <t>EOC</t>
        </is>
      </c>
    </row>
    <row r="132">
      <c r="A132" s="50" t="inlineStr">
        <is>
          <t>Brewing</t>
        </is>
      </c>
      <c r="B132" s="50" t="inlineStr">
        <is>
          <t>Maturation</t>
        </is>
      </c>
      <c r="C132" s="50" t="inlineStr">
        <is>
          <t>Maturation</t>
        </is>
      </c>
      <c r="D132" s="50" t="inlineStr">
        <is>
          <t>Warm Maturation</t>
        </is>
      </c>
      <c r="E132" s="50" t="inlineStr">
        <is>
          <t>P.BR.MT.WMR.0009</t>
        </is>
      </c>
      <c r="F132" s="50" t="inlineStr">
        <is>
          <t>Acetaldehyde (EOM)</t>
        </is>
      </c>
      <c r="G132" s="50" t="inlineStr">
        <is>
          <t>ppm</t>
        </is>
      </c>
      <c r="H132" s="50" t="inlineStr">
        <is>
          <t>-</t>
        </is>
      </c>
      <c r="I132" s="50" t="inlineStr">
        <is>
          <t>-</t>
        </is>
      </c>
      <c r="J132" s="50" t="inlineStr">
        <is>
          <t>-</t>
        </is>
      </c>
      <c r="K132" s="50" t="inlineStr">
        <is>
          <t>-</t>
        </is>
      </c>
      <c r="L132" s="50" t="inlineStr">
        <is>
          <t>-</t>
        </is>
      </c>
      <c r="M132" s="48" t="n"/>
      <c r="N132" s="49" t="inlineStr">
        <is>
          <t>Y</t>
        </is>
      </c>
      <c r="O132" s="42" t="inlineStr">
        <is>
          <t>EOC</t>
        </is>
      </c>
    </row>
    <row r="133">
      <c r="A133" s="47" t="inlineStr">
        <is>
          <t>Brewing</t>
        </is>
      </c>
      <c r="B133" s="47" t="inlineStr">
        <is>
          <t>Maturation</t>
        </is>
      </c>
      <c r="C133" s="47" t="inlineStr">
        <is>
          <t>Maturation</t>
        </is>
      </c>
      <c r="D133" s="47" t="inlineStr">
        <is>
          <t>Warm Maturation</t>
        </is>
      </c>
      <c r="E133" s="47" t="inlineStr">
        <is>
          <t>P.BR.MT.WMR.0010</t>
        </is>
      </c>
      <c r="F133" s="47" t="inlineStr">
        <is>
          <t>pH (EOM)</t>
        </is>
      </c>
      <c r="G133" s="47" t="inlineStr">
        <is>
          <t>pH</t>
        </is>
      </c>
      <c r="H133" s="47" t="inlineStr">
        <is>
          <t>-</t>
        </is>
      </c>
      <c r="I133" s="47" t="n">
        <v>4.2</v>
      </c>
      <c r="J133" s="47" t="n">
        <v>4.4</v>
      </c>
      <c r="K133" s="47" t="n">
        <v>4.6</v>
      </c>
      <c r="L133" s="47" t="inlineStr">
        <is>
          <t>-</t>
        </is>
      </c>
      <c r="M133" s="48" t="n"/>
      <c r="N133" s="49" t="inlineStr">
        <is>
          <t>Y</t>
        </is>
      </c>
      <c r="O133" s="42" t="inlineStr">
        <is>
          <t>EOC</t>
        </is>
      </c>
    </row>
    <row r="134">
      <c r="A134" s="50" t="inlineStr">
        <is>
          <t>Brewing</t>
        </is>
      </c>
      <c r="B134" s="50" t="inlineStr">
        <is>
          <t>Maturation</t>
        </is>
      </c>
      <c r="C134" s="50" t="inlineStr">
        <is>
          <t>Maturation</t>
        </is>
      </c>
      <c r="D134" s="50" t="inlineStr">
        <is>
          <t>Warm Maturation</t>
        </is>
      </c>
      <c r="E134" s="50" t="inlineStr">
        <is>
          <t>P.BR.MT.WMR.0015</t>
        </is>
      </c>
      <c r="F134" s="50" t="inlineStr">
        <is>
          <t>Apparent extract</t>
        </is>
      </c>
      <c r="G134" s="50" t="inlineStr">
        <is>
          <t>°P</t>
        </is>
      </c>
      <c r="H134" s="50" t="n">
        <v>1.41</v>
      </c>
      <c r="I134" s="50" t="n">
        <v>1.66</v>
      </c>
      <c r="J134" s="50" t="n">
        <v>1.91</v>
      </c>
      <c r="K134" s="50" t="n">
        <v>2.16</v>
      </c>
      <c r="L134" s="50" t="n">
        <v>2.41</v>
      </c>
      <c r="M134" s="48" t="n"/>
      <c r="N134" s="49" t="inlineStr">
        <is>
          <t>Y</t>
        </is>
      </c>
      <c r="O134" s="42" t="inlineStr">
        <is>
          <t>EOC</t>
        </is>
      </c>
    </row>
    <row r="135">
      <c r="A135" s="47" t="inlineStr">
        <is>
          <t>Brewing</t>
        </is>
      </c>
      <c r="B135" s="47" t="inlineStr">
        <is>
          <t>Maturation</t>
        </is>
      </c>
      <c r="C135" s="47" t="inlineStr">
        <is>
          <t>Maturation</t>
        </is>
      </c>
      <c r="D135" s="47" t="inlineStr">
        <is>
          <t>Warm Maturation</t>
        </is>
      </c>
      <c r="E135" s="47" t="inlineStr">
        <is>
          <t>P.BR.MT.WMR.0016</t>
        </is>
      </c>
      <c r="F135" s="47" t="inlineStr">
        <is>
          <t>Time in maturation at transfer</t>
        </is>
      </c>
      <c r="G135" s="47" t="inlineStr">
        <is>
          <t>days</t>
        </is>
      </c>
      <c r="H135" s="47" t="inlineStr">
        <is>
          <t>-</t>
        </is>
      </c>
      <c r="I135" s="47" t="n">
        <v>1</v>
      </c>
      <c r="J135" s="47" t="inlineStr">
        <is>
          <t>-</t>
        </is>
      </c>
      <c r="K135" s="47" t="n">
        <v>3</v>
      </c>
      <c r="L135" s="47" t="inlineStr">
        <is>
          <t>-</t>
        </is>
      </c>
      <c r="M135" s="48" t="n"/>
      <c r="N135" s="49" t="inlineStr">
        <is>
          <t>Y</t>
        </is>
      </c>
      <c r="O135" s="42" t="inlineStr">
        <is>
          <t>Warm Maturation</t>
        </is>
      </c>
    </row>
    <row r="136">
      <c r="A136" s="50" t="inlineStr">
        <is>
          <t>Brewing</t>
        </is>
      </c>
      <c r="B136" s="50" t="inlineStr">
        <is>
          <t>Maturation</t>
        </is>
      </c>
      <c r="C136" s="50" t="inlineStr">
        <is>
          <t>Maturation</t>
        </is>
      </c>
      <c r="D136" s="50" t="inlineStr">
        <is>
          <t>Warm Maturation</t>
        </is>
      </c>
      <c r="E136" s="50" t="inlineStr">
        <is>
          <t>P.BR.MT.WMR.0017</t>
        </is>
      </c>
      <c r="F136" s="50" t="inlineStr">
        <is>
          <t>Temperature at transfer</t>
        </is>
      </c>
      <c r="G136" s="50" t="inlineStr">
        <is>
          <t>°C</t>
        </is>
      </c>
      <c r="H136" s="50" t="inlineStr">
        <is>
          <t>-</t>
        </is>
      </c>
      <c r="I136" s="50" t="inlineStr">
        <is>
          <t>-</t>
        </is>
      </c>
      <c r="J136" s="50" t="inlineStr">
        <is>
          <t>-</t>
        </is>
      </c>
      <c r="K136" s="50" t="inlineStr">
        <is>
          <t>-</t>
        </is>
      </c>
      <c r="L136" s="50" t="inlineStr">
        <is>
          <t>-</t>
        </is>
      </c>
      <c r="M136" s="48" t="n"/>
      <c r="N136" s="49" t="inlineStr">
        <is>
          <t>Y</t>
        </is>
      </c>
      <c r="O136" s="42" t="inlineStr">
        <is>
          <t>Warm Maturation</t>
        </is>
      </c>
    </row>
    <row r="137">
      <c r="A137" s="47" t="inlineStr">
        <is>
          <t>Brewing</t>
        </is>
      </c>
      <c r="B137" s="47" t="inlineStr">
        <is>
          <t>Packaged Beer</t>
        </is>
      </c>
      <c r="C137" s="47" t="inlineStr">
        <is>
          <t>Packaged Beer</t>
        </is>
      </c>
      <c r="D137" s="47" t="inlineStr">
        <is>
          <t>Packaged Beer</t>
        </is>
      </c>
      <c r="E137" s="47" t="inlineStr">
        <is>
          <t>P.BR.PB.PBR.0003</t>
        </is>
      </c>
      <c r="F137" s="47" t="inlineStr">
        <is>
          <t>Bitterness</t>
        </is>
      </c>
      <c r="G137" s="47" t="inlineStr">
        <is>
          <t>ppm</t>
        </is>
      </c>
      <c r="H137" s="47" t="n">
        <v>7</v>
      </c>
      <c r="I137" s="47" t="n">
        <v>8</v>
      </c>
      <c r="J137" s="47" t="n">
        <v>10</v>
      </c>
      <c r="K137" s="47" t="n">
        <v>12</v>
      </c>
      <c r="L137" s="47" t="n">
        <v>13</v>
      </c>
      <c r="M137" s="48" t="n"/>
      <c r="N137" s="49" t="inlineStr">
        <is>
          <t>Y</t>
        </is>
      </c>
      <c r="O137" s="42" t="inlineStr">
        <is>
          <t>Packaged Beer</t>
        </is>
      </c>
    </row>
    <row r="138">
      <c r="A138" s="50" t="inlineStr">
        <is>
          <t>Brewing</t>
        </is>
      </c>
      <c r="B138" s="50" t="inlineStr">
        <is>
          <t>Packaged Beer</t>
        </is>
      </c>
      <c r="C138" s="50" t="inlineStr">
        <is>
          <t>Packaged Beer</t>
        </is>
      </c>
      <c r="D138" s="50" t="inlineStr">
        <is>
          <t>Packaged Beer</t>
        </is>
      </c>
      <c r="E138" s="50" t="inlineStr">
        <is>
          <t>P.BR.PB.PBR.0004</t>
        </is>
      </c>
      <c r="F138" s="50" t="inlineStr">
        <is>
          <t>Foam stability</t>
        </is>
      </c>
      <c r="G138" s="50" t="inlineStr">
        <is>
          <t>sec</t>
        </is>
      </c>
      <c r="H138" s="50" t="n">
        <v>220</v>
      </c>
      <c r="I138" s="50" t="n">
        <v>240</v>
      </c>
      <c r="J138" s="50" t="n">
        <v>265</v>
      </c>
      <c r="K138" s="50" t="n">
        <v>290</v>
      </c>
      <c r="L138" s="50" t="n">
        <v>310</v>
      </c>
      <c r="M138" s="48" t="n"/>
      <c r="N138" s="49" t="inlineStr">
        <is>
          <t>Y</t>
        </is>
      </c>
      <c r="O138" s="42" t="inlineStr">
        <is>
          <t>Packaged Beer</t>
        </is>
      </c>
    </row>
    <row r="139">
      <c r="A139" s="47" t="inlineStr">
        <is>
          <t>Brewing</t>
        </is>
      </c>
      <c r="B139" s="47" t="inlineStr">
        <is>
          <t>Packaged Beer</t>
        </is>
      </c>
      <c r="C139" s="47" t="inlineStr">
        <is>
          <t>Packaged Beer</t>
        </is>
      </c>
      <c r="D139" s="47" t="inlineStr">
        <is>
          <t>Packaged Beer</t>
        </is>
      </c>
      <c r="E139" s="47" t="inlineStr">
        <is>
          <t>P.BR.PB.PBR.0005</t>
        </is>
      </c>
      <c r="F139" s="47" t="inlineStr">
        <is>
          <t>Haze @ 90°</t>
        </is>
      </c>
      <c r="G139" s="47" t="inlineStr">
        <is>
          <t>°EBC</t>
        </is>
      </c>
      <c r="H139" s="47" t="inlineStr">
        <is>
          <t>-</t>
        </is>
      </c>
      <c r="I139" s="47" t="inlineStr">
        <is>
          <t>-</t>
        </is>
      </c>
      <c r="J139" s="47" t="inlineStr">
        <is>
          <t>-</t>
        </is>
      </c>
      <c r="K139" s="47" t="n">
        <v>0.8</v>
      </c>
      <c r="L139" s="47" t="inlineStr">
        <is>
          <t>-</t>
        </is>
      </c>
      <c r="M139" s="48" t="n"/>
      <c r="N139" s="49" t="inlineStr">
        <is>
          <t>Y</t>
        </is>
      </c>
      <c r="O139" s="42" t="inlineStr">
        <is>
          <t>Packaged Beer</t>
        </is>
      </c>
    </row>
    <row r="140">
      <c r="A140" s="50" t="inlineStr">
        <is>
          <t>Brewing</t>
        </is>
      </c>
      <c r="B140" s="50" t="inlineStr">
        <is>
          <t>Packaged Beer</t>
        </is>
      </c>
      <c r="C140" s="50" t="inlineStr">
        <is>
          <t>Packaged Beer</t>
        </is>
      </c>
      <c r="D140" s="50" t="inlineStr">
        <is>
          <t>Packaged Beer</t>
        </is>
      </c>
      <c r="E140" s="50" t="inlineStr">
        <is>
          <t>P.BR.PB.PBR.0006</t>
        </is>
      </c>
      <c r="F140" s="50" t="inlineStr">
        <is>
          <t>Haze Forcing Test</t>
        </is>
      </c>
      <c r="G140" s="50" t="inlineStr">
        <is>
          <t>°EBC</t>
        </is>
      </c>
      <c r="H140" s="50" t="n">
        <v>0</v>
      </c>
      <c r="I140" s="50" t="inlineStr">
        <is>
          <t>-</t>
        </is>
      </c>
      <c r="J140" s="50" t="inlineStr">
        <is>
          <t>-</t>
        </is>
      </c>
      <c r="K140" s="50" t="n">
        <v>1.5</v>
      </c>
      <c r="L140" s="50" t="n">
        <v>2.5</v>
      </c>
      <c r="M140" s="48" t="n"/>
      <c r="N140" s="49" t="inlineStr">
        <is>
          <t>Y</t>
        </is>
      </c>
      <c r="O140" s="42" t="inlineStr">
        <is>
          <t>Packaged Beer</t>
        </is>
      </c>
    </row>
    <row r="141">
      <c r="A141" s="47" t="inlineStr">
        <is>
          <t>Brewing</t>
        </is>
      </c>
      <c r="B141" s="47" t="inlineStr">
        <is>
          <t>Packaged Beer</t>
        </is>
      </c>
      <c r="C141" s="47" t="inlineStr">
        <is>
          <t>Packaged Beer</t>
        </is>
      </c>
      <c r="D141" s="47" t="inlineStr">
        <is>
          <t>Packaged Beer</t>
        </is>
      </c>
      <c r="E141" s="47" t="inlineStr">
        <is>
          <t>P.BR.PB.PBR.0007</t>
        </is>
      </c>
      <c r="F141" s="47" t="inlineStr">
        <is>
          <t>Iron</t>
        </is>
      </c>
      <c r="G141" s="47" t="inlineStr">
        <is>
          <t>mg/L</t>
        </is>
      </c>
      <c r="H141" s="47" t="inlineStr">
        <is>
          <t>-</t>
        </is>
      </c>
      <c r="I141" s="47" t="inlineStr">
        <is>
          <t>-</t>
        </is>
      </c>
      <c r="J141" s="47" t="n">
        <v>0</v>
      </c>
      <c r="K141" s="47" t="n">
        <v>0.07000000000000001</v>
      </c>
      <c r="L141" s="47" t="n">
        <v>0.1</v>
      </c>
      <c r="M141" s="48" t="n"/>
      <c r="N141" s="49" t="inlineStr">
        <is>
          <t>Y</t>
        </is>
      </c>
      <c r="O141" s="42" t="inlineStr">
        <is>
          <t>Packaged Beer</t>
        </is>
      </c>
    </row>
    <row r="142">
      <c r="A142" s="50" t="inlineStr">
        <is>
          <t>Brewing</t>
        </is>
      </c>
      <c r="B142" s="50" t="inlineStr">
        <is>
          <t>Packaged Beer</t>
        </is>
      </c>
      <c r="C142" s="50" t="inlineStr">
        <is>
          <t>Packaged Beer</t>
        </is>
      </c>
      <c r="D142" s="50" t="inlineStr">
        <is>
          <t>Packaged Beer</t>
        </is>
      </c>
      <c r="E142" s="50" t="inlineStr">
        <is>
          <t>P.BR.PB.PBR.0008</t>
        </is>
      </c>
      <c r="F142" s="50" t="inlineStr">
        <is>
          <t>SO2</t>
        </is>
      </c>
      <c r="G142" s="50" t="inlineStr">
        <is>
          <t>mg/L</t>
        </is>
      </c>
      <c r="H142" s="50" t="n">
        <v>3</v>
      </c>
      <c r="I142" s="50" t="n">
        <v>3</v>
      </c>
      <c r="J142" s="50" t="n">
        <v>6</v>
      </c>
      <c r="K142" s="50" t="n">
        <v>10</v>
      </c>
      <c r="L142" s="50" t="n">
        <v>10</v>
      </c>
      <c r="M142" s="48" t="n"/>
      <c r="N142" s="49" t="inlineStr">
        <is>
          <t>Y</t>
        </is>
      </c>
      <c r="O142" s="42" t="inlineStr">
        <is>
          <t>Packaged Beer</t>
        </is>
      </c>
    </row>
    <row r="143">
      <c r="A143" s="47" t="inlineStr">
        <is>
          <t>Brewing</t>
        </is>
      </c>
      <c r="B143" s="47" t="inlineStr">
        <is>
          <t>Packaged Beer</t>
        </is>
      </c>
      <c r="C143" s="47" t="inlineStr">
        <is>
          <t>Packaged Beer</t>
        </is>
      </c>
      <c r="D143" s="47" t="inlineStr">
        <is>
          <t>Packaged Beer</t>
        </is>
      </c>
      <c r="E143" s="47" t="inlineStr">
        <is>
          <t>P.BR.PB.PBR.0009</t>
        </is>
      </c>
      <c r="F143" s="47" t="inlineStr">
        <is>
          <t>Calcium</t>
        </is>
      </c>
      <c r="G143" s="47" t="inlineStr">
        <is>
          <t>mg/L@12°P</t>
        </is>
      </c>
      <c r="H143" s="47" t="inlineStr">
        <is>
          <t>-</t>
        </is>
      </c>
      <c r="I143" s="47" t="inlineStr">
        <is>
          <t>-</t>
        </is>
      </c>
      <c r="J143" s="47" t="inlineStr">
        <is>
          <t>-</t>
        </is>
      </c>
      <c r="K143" s="47" t="inlineStr">
        <is>
          <t>-</t>
        </is>
      </c>
      <c r="L143" s="47" t="inlineStr">
        <is>
          <t>-</t>
        </is>
      </c>
      <c r="M143" s="48" t="n"/>
      <c r="N143" s="49" t="inlineStr">
        <is>
          <t>Y</t>
        </is>
      </c>
      <c r="O143" s="42" t="inlineStr">
        <is>
          <t>Packaged Beer</t>
        </is>
      </c>
    </row>
    <row r="144">
      <c r="A144" s="50" t="inlineStr">
        <is>
          <t>Brewing</t>
        </is>
      </c>
      <c r="B144" s="50" t="inlineStr">
        <is>
          <t>Packaged Beer</t>
        </is>
      </c>
      <c r="C144" s="50" t="inlineStr">
        <is>
          <t>Packaged Beer</t>
        </is>
      </c>
      <c r="D144" s="50" t="inlineStr">
        <is>
          <t>Packaged Beer</t>
        </is>
      </c>
      <c r="E144" s="50" t="inlineStr">
        <is>
          <t>P.BR.PB.PBR.0011</t>
        </is>
      </c>
      <c r="F144" s="50" t="inlineStr">
        <is>
          <t>Total Diacetyl</t>
        </is>
      </c>
      <c r="G144" s="50" t="inlineStr">
        <is>
          <t>ppb</t>
        </is>
      </c>
      <c r="H144" s="50" t="n">
        <v>0</v>
      </c>
      <c r="I144" s="50" t="inlineStr">
        <is>
          <t>-</t>
        </is>
      </c>
      <c r="J144" s="50" t="inlineStr">
        <is>
          <t>-</t>
        </is>
      </c>
      <c r="K144" s="50" t="inlineStr">
        <is>
          <t>-</t>
        </is>
      </c>
      <c r="L144" s="50" t="n">
        <v>25</v>
      </c>
      <c r="M144" s="48" t="n"/>
      <c r="N144" s="49" t="inlineStr">
        <is>
          <t>Y</t>
        </is>
      </c>
      <c r="O144" s="42" t="inlineStr">
        <is>
          <t>Packaged Beer</t>
        </is>
      </c>
    </row>
    <row r="145">
      <c r="A145" s="47" t="inlineStr">
        <is>
          <t>Brewing</t>
        </is>
      </c>
      <c r="B145" s="47" t="inlineStr">
        <is>
          <t>Packaged Beer</t>
        </is>
      </c>
      <c r="C145" s="47" t="inlineStr">
        <is>
          <t>Packaged Beer</t>
        </is>
      </c>
      <c r="D145" s="47" t="inlineStr">
        <is>
          <t>Packaged Beer</t>
        </is>
      </c>
      <c r="E145" s="47" t="inlineStr">
        <is>
          <t>P.BR.PB.PBR.0012</t>
        </is>
      </c>
      <c r="F145" s="47" t="inlineStr">
        <is>
          <t>Acetaldehyde</t>
        </is>
      </c>
      <c r="G145" s="47" t="inlineStr">
        <is>
          <t>ppb</t>
        </is>
      </c>
      <c r="H145" s="47" t="inlineStr">
        <is>
          <t>-</t>
        </is>
      </c>
      <c r="I145" s="47" t="inlineStr">
        <is>
          <t>-</t>
        </is>
      </c>
      <c r="J145" s="47" t="n">
        <v>0</v>
      </c>
      <c r="K145" s="47" t="n">
        <v>8</v>
      </c>
      <c r="L145" s="47" t="inlineStr">
        <is>
          <t>-</t>
        </is>
      </c>
      <c r="M145" s="48" t="n"/>
      <c r="N145" s="49" t="inlineStr">
        <is>
          <t>Y</t>
        </is>
      </c>
      <c r="O145" s="42" t="inlineStr">
        <is>
          <t>Packaged Beer</t>
        </is>
      </c>
    </row>
    <row r="146">
      <c r="A146" s="50" t="inlineStr">
        <is>
          <t>Brewing</t>
        </is>
      </c>
      <c r="B146" s="50" t="inlineStr">
        <is>
          <t>Packaged Beer</t>
        </is>
      </c>
      <c r="C146" s="50" t="inlineStr">
        <is>
          <t>Packaged Beer</t>
        </is>
      </c>
      <c r="D146" s="50" t="inlineStr">
        <is>
          <t>Packaged Beer</t>
        </is>
      </c>
      <c r="E146" s="50" t="inlineStr">
        <is>
          <t>P.BR.PB.PBR.0023</t>
        </is>
      </c>
      <c r="F146" s="50" t="inlineStr">
        <is>
          <t>Apparent extract</t>
        </is>
      </c>
      <c r="G146" s="50" t="inlineStr">
        <is>
          <t>°P</t>
        </is>
      </c>
      <c r="H146" s="50" t="n">
        <v>3</v>
      </c>
      <c r="I146" s="50" t="n">
        <v>3.2</v>
      </c>
      <c r="J146" s="50" t="n">
        <v>3.44</v>
      </c>
      <c r="K146" s="50" t="n">
        <v>3.7</v>
      </c>
      <c r="L146" s="50" t="n">
        <v>3.8</v>
      </c>
      <c r="M146" s="48" t="n"/>
      <c r="N146" s="49" t="inlineStr">
        <is>
          <t>Y</t>
        </is>
      </c>
      <c r="O146" s="42" t="inlineStr">
        <is>
          <t>Packaged Beer</t>
        </is>
      </c>
    </row>
    <row r="147">
      <c r="A147" s="47" t="inlineStr">
        <is>
          <t>Brewing</t>
        </is>
      </c>
      <c r="B147" s="47" t="inlineStr">
        <is>
          <t>Packaged Beer</t>
        </is>
      </c>
      <c r="C147" s="47" t="inlineStr">
        <is>
          <t>Packaged Beer</t>
        </is>
      </c>
      <c r="D147" s="47" t="inlineStr">
        <is>
          <t>Packaged Beer</t>
        </is>
      </c>
      <c r="E147" s="47" t="inlineStr">
        <is>
          <t>P.BR.PB.PBR.0024</t>
        </is>
      </c>
      <c r="F147" s="47" t="inlineStr">
        <is>
          <t>CO2 Content</t>
        </is>
      </c>
      <c r="G147" s="47" t="inlineStr">
        <is>
          <t>v/v</t>
        </is>
      </c>
      <c r="H147" s="47" t="inlineStr">
        <is>
          <t>-</t>
        </is>
      </c>
      <c r="I147" s="47" t="inlineStr">
        <is>
          <t>-</t>
        </is>
      </c>
      <c r="J147" s="47" t="inlineStr">
        <is>
          <t>-</t>
        </is>
      </c>
      <c r="K147" s="47" t="inlineStr">
        <is>
          <t>-</t>
        </is>
      </c>
      <c r="L147" s="47" t="inlineStr">
        <is>
          <t>-</t>
        </is>
      </c>
      <c r="M147" s="48" t="n"/>
      <c r="N147" s="49" t="inlineStr">
        <is>
          <t>Y</t>
        </is>
      </c>
      <c r="O147" s="42" t="inlineStr">
        <is>
          <t>Packaged Beer</t>
        </is>
      </c>
    </row>
    <row r="148">
      <c r="A148" s="50" t="inlineStr">
        <is>
          <t>Brewing</t>
        </is>
      </c>
      <c r="B148" s="50" t="inlineStr">
        <is>
          <t>Packaged Beer</t>
        </is>
      </c>
      <c r="C148" s="50" t="inlineStr">
        <is>
          <t>Packaged Beer</t>
        </is>
      </c>
      <c r="D148" s="50" t="inlineStr">
        <is>
          <t>Packaged Beer</t>
        </is>
      </c>
      <c r="E148" s="50" t="inlineStr">
        <is>
          <t>P.BR.PB.PBR.0025</t>
        </is>
      </c>
      <c r="F148" s="50" t="inlineStr">
        <is>
          <t>Color</t>
        </is>
      </c>
      <c r="G148" s="50" t="inlineStr">
        <is>
          <t>°EBC</t>
        </is>
      </c>
      <c r="H148" s="50" t="n">
        <v>7.3</v>
      </c>
      <c r="I148" s="50" t="n">
        <v>7.5</v>
      </c>
      <c r="J148" s="50" t="n">
        <v>8.300000000000001</v>
      </c>
      <c r="K148" s="50" t="n">
        <v>9.1</v>
      </c>
      <c r="L148" s="50" t="n">
        <v>9.300000000000001</v>
      </c>
      <c r="M148" s="48" t="n"/>
      <c r="N148" s="49" t="inlineStr">
        <is>
          <t>Y</t>
        </is>
      </c>
      <c r="O148" s="42" t="inlineStr">
        <is>
          <t>Packaged Beer</t>
        </is>
      </c>
    </row>
    <row r="149">
      <c r="A149" s="47" t="inlineStr">
        <is>
          <t>Brewing</t>
        </is>
      </c>
      <c r="B149" s="47" t="inlineStr">
        <is>
          <t>Packaged Beer</t>
        </is>
      </c>
      <c r="C149" s="47" t="inlineStr">
        <is>
          <t>Packaged Beer</t>
        </is>
      </c>
      <c r="D149" s="47" t="inlineStr">
        <is>
          <t>Packaged Beer</t>
        </is>
      </c>
      <c r="E149" s="47" t="inlineStr">
        <is>
          <t>P.BR.PB.PBR.0027</t>
        </is>
      </c>
      <c r="F149" s="47" t="inlineStr">
        <is>
          <t>RDF</t>
        </is>
      </c>
      <c r="G149" s="47" t="inlineStr">
        <is>
          <t>%</t>
        </is>
      </c>
      <c r="H149" s="47" t="inlineStr">
        <is>
          <t>-</t>
        </is>
      </c>
      <c r="I149" s="47" t="inlineStr">
        <is>
          <t>-</t>
        </is>
      </c>
      <c r="J149" s="47" t="inlineStr">
        <is>
          <t>-</t>
        </is>
      </c>
      <c r="K149" s="47" t="inlineStr">
        <is>
          <t>-</t>
        </is>
      </c>
      <c r="L149" s="47" t="inlineStr">
        <is>
          <t>-</t>
        </is>
      </c>
      <c r="M149" s="48" t="n"/>
      <c r="N149" s="49" t="inlineStr">
        <is>
          <t>Y</t>
        </is>
      </c>
      <c r="O149" s="42" t="inlineStr">
        <is>
          <t>Packaged Beer</t>
        </is>
      </c>
    </row>
    <row r="150">
      <c r="A150" s="50" t="inlineStr">
        <is>
          <t>Brewing</t>
        </is>
      </c>
      <c r="B150" s="50" t="inlineStr">
        <is>
          <t>Packaged Beer</t>
        </is>
      </c>
      <c r="C150" s="50" t="inlineStr">
        <is>
          <t>Packaged Beer</t>
        </is>
      </c>
      <c r="D150" s="50" t="inlineStr">
        <is>
          <t>Packaged Beer</t>
        </is>
      </c>
      <c r="E150" s="50" t="inlineStr">
        <is>
          <t>P.BR.PB.PBR.0028</t>
        </is>
      </c>
      <c r="F150" s="50" t="inlineStr">
        <is>
          <t>Protein</t>
        </is>
      </c>
      <c r="G150" s="50" t="inlineStr">
        <is>
          <t>%</t>
        </is>
      </c>
      <c r="H150" s="50" t="inlineStr">
        <is>
          <t>&lt;0.27</t>
        </is>
      </c>
      <c r="I150" s="50" t="inlineStr">
        <is>
          <t>-</t>
        </is>
      </c>
      <c r="J150" s="50" t="n">
        <v>0.32</v>
      </c>
      <c r="K150" s="50" t="inlineStr">
        <is>
          <t>-</t>
        </is>
      </c>
      <c r="L150" s="50" t="inlineStr">
        <is>
          <t>&gt;0.37</t>
        </is>
      </c>
      <c r="M150" s="48" t="n"/>
      <c r="N150" s="49" t="inlineStr">
        <is>
          <t>Y</t>
        </is>
      </c>
      <c r="O150" s="42" t="inlineStr">
        <is>
          <t>Packaged Beer</t>
        </is>
      </c>
    </row>
    <row r="151">
      <c r="A151" s="47" t="inlineStr">
        <is>
          <t>Brewing</t>
        </is>
      </c>
      <c r="B151" s="47" t="inlineStr">
        <is>
          <t>Packaged Beer</t>
        </is>
      </c>
      <c r="C151" s="47" t="inlineStr">
        <is>
          <t>Packaged Beer</t>
        </is>
      </c>
      <c r="D151" s="47" t="inlineStr">
        <is>
          <t>Packaged Beer</t>
        </is>
      </c>
      <c r="E151" s="47" t="inlineStr">
        <is>
          <t>P.BR.PB.PBR.0029</t>
        </is>
      </c>
      <c r="F151" s="47" t="inlineStr">
        <is>
          <t>Polyphenols</t>
        </is>
      </c>
      <c r="G151" s="47" t="inlineStr">
        <is>
          <t>mg/L</t>
        </is>
      </c>
      <c r="H151" s="47" t="inlineStr">
        <is>
          <t>&lt;45</t>
        </is>
      </c>
      <c r="I151" s="47" t="inlineStr">
        <is>
          <t>-</t>
        </is>
      </c>
      <c r="J151" s="47" t="n">
        <v>62</v>
      </c>
      <c r="K151" s="47" t="inlineStr">
        <is>
          <t>-</t>
        </is>
      </c>
      <c r="L151" s="47" t="inlineStr">
        <is>
          <t>&gt;79</t>
        </is>
      </c>
      <c r="M151" s="48" t="n"/>
      <c r="N151" s="49" t="inlineStr">
        <is>
          <t>Y</t>
        </is>
      </c>
      <c r="O151" s="42" t="inlineStr">
        <is>
          <t>Packaged Beer</t>
        </is>
      </c>
    </row>
    <row r="152">
      <c r="A152" s="50" t="inlineStr">
        <is>
          <t>Brewing</t>
        </is>
      </c>
      <c r="B152" s="50" t="inlineStr">
        <is>
          <t>Packaged Beer</t>
        </is>
      </c>
      <c r="C152" s="50" t="inlineStr">
        <is>
          <t>Packaged Beer</t>
        </is>
      </c>
      <c r="D152" s="50" t="inlineStr">
        <is>
          <t>Packaged Beer</t>
        </is>
      </c>
      <c r="E152" s="50" t="inlineStr">
        <is>
          <t>P.BR.PB.PBR.0031</t>
        </is>
      </c>
      <c r="F152" s="50" t="inlineStr">
        <is>
          <t>DMS</t>
        </is>
      </c>
      <c r="G152" s="50" t="inlineStr">
        <is>
          <t>ppb</t>
        </is>
      </c>
      <c r="H152" s="50" t="inlineStr">
        <is>
          <t>-</t>
        </is>
      </c>
      <c r="I152" s="50" t="inlineStr">
        <is>
          <t>-</t>
        </is>
      </c>
      <c r="J152" s="50" t="inlineStr">
        <is>
          <t>-</t>
        </is>
      </c>
      <c r="K152" s="50" t="n">
        <v>35</v>
      </c>
      <c r="L152" s="50" t="n">
        <v>50</v>
      </c>
      <c r="M152" s="48" t="n"/>
      <c r="N152" s="49" t="inlineStr">
        <is>
          <t>Y</t>
        </is>
      </c>
      <c r="O152" s="42" t="inlineStr">
        <is>
          <t>Packaged Beer</t>
        </is>
      </c>
    </row>
    <row r="153">
      <c r="A153" s="47" t="inlineStr">
        <is>
          <t>Brewing</t>
        </is>
      </c>
      <c r="B153" s="47" t="inlineStr">
        <is>
          <t>Road Tanker Out</t>
        </is>
      </c>
      <c r="C153" s="47" t="inlineStr">
        <is>
          <t>Road Tanker Out</t>
        </is>
      </c>
      <c r="D153" s="47" t="inlineStr">
        <is>
          <t>Road Tanker- Aging</t>
        </is>
      </c>
      <c r="E153" s="47" t="inlineStr">
        <is>
          <t>P.BR.RO.ROA.0005</t>
        </is>
      </c>
      <c r="F153" s="47" t="inlineStr">
        <is>
          <t>Dissolved Oxygen (DO)</t>
        </is>
      </c>
      <c r="G153" s="47" t="inlineStr">
        <is>
          <t>ppb</t>
        </is>
      </c>
      <c r="H153" s="47" t="inlineStr">
        <is>
          <t>-</t>
        </is>
      </c>
      <c r="I153" s="47" t="inlineStr">
        <is>
          <t>-</t>
        </is>
      </c>
      <c r="J153" s="47" t="inlineStr">
        <is>
          <t>-</t>
        </is>
      </c>
      <c r="K153" s="47" t="n">
        <v>15</v>
      </c>
      <c r="L153" s="47" t="n">
        <v>20</v>
      </c>
      <c r="M153" s="51" t="n"/>
      <c r="N153" s="52" t="inlineStr">
        <is>
          <t>N</t>
        </is>
      </c>
    </row>
    <row r="154">
      <c r="A154" s="50" t="inlineStr">
        <is>
          <t>Brewing</t>
        </is>
      </c>
      <c r="B154" s="50" t="inlineStr">
        <is>
          <t>Road Tanker Out</t>
        </is>
      </c>
      <c r="C154" s="50" t="inlineStr">
        <is>
          <t>Road Tanker Out</t>
        </is>
      </c>
      <c r="D154" s="50" t="inlineStr">
        <is>
          <t>Road Tanker - BBT</t>
        </is>
      </c>
      <c r="E154" s="50" t="inlineStr">
        <is>
          <t>P.BR.RO.ROB.0005</t>
        </is>
      </c>
      <c r="F154" s="50" t="inlineStr">
        <is>
          <t>Dissolved Oxygen (DO)</t>
        </is>
      </c>
      <c r="G154" s="50" t="inlineStr">
        <is>
          <t>ppb</t>
        </is>
      </c>
      <c r="H154" s="50" t="inlineStr">
        <is>
          <t>-</t>
        </is>
      </c>
      <c r="I154" s="50" t="inlineStr">
        <is>
          <t>-</t>
        </is>
      </c>
      <c r="J154" s="50" t="inlineStr">
        <is>
          <t>-</t>
        </is>
      </c>
      <c r="K154" s="50" t="n">
        <v>15</v>
      </c>
      <c r="L154" s="50" t="n">
        <v>20</v>
      </c>
      <c r="M154" s="51" t="n"/>
      <c r="N154" s="52" t="inlineStr">
        <is>
          <t>N</t>
        </is>
      </c>
    </row>
    <row r="155">
      <c r="A155" s="47" t="inlineStr">
        <is>
          <t>Brewing</t>
        </is>
      </c>
      <c r="B155" s="47" t="inlineStr">
        <is>
          <t>Road Tanker In</t>
        </is>
      </c>
      <c r="C155" s="47" t="inlineStr">
        <is>
          <t>Road Tanker In</t>
        </is>
      </c>
      <c r="D155" s="47" t="inlineStr">
        <is>
          <t>Road Tanker- Aging</t>
        </is>
      </c>
      <c r="E155" s="47" t="inlineStr">
        <is>
          <t>P.BR.RR.RTA.0005</t>
        </is>
      </c>
      <c r="F155" s="47" t="inlineStr">
        <is>
          <t>Dissolved Oxygen (DO)</t>
        </is>
      </c>
      <c r="G155" s="47" t="inlineStr">
        <is>
          <t>ppb</t>
        </is>
      </c>
      <c r="H155" s="47" t="inlineStr">
        <is>
          <t>-</t>
        </is>
      </c>
      <c r="I155" s="47" t="inlineStr">
        <is>
          <t>-</t>
        </is>
      </c>
      <c r="J155" s="47" t="inlineStr">
        <is>
          <t>-</t>
        </is>
      </c>
      <c r="K155" s="47" t="n">
        <v>20</v>
      </c>
      <c r="L155" s="47" t="n">
        <v>80</v>
      </c>
      <c r="M155" s="51" t="n"/>
      <c r="N155" s="52" t="inlineStr">
        <is>
          <t>N</t>
        </is>
      </c>
    </row>
    <row r="156">
      <c r="A156" s="50" t="inlineStr">
        <is>
          <t>Brewing</t>
        </is>
      </c>
      <c r="B156" s="50" t="inlineStr">
        <is>
          <t>Road Tanker In</t>
        </is>
      </c>
      <c r="C156" s="50" t="inlineStr">
        <is>
          <t>Road Tanker In</t>
        </is>
      </c>
      <c r="D156" s="50" t="inlineStr">
        <is>
          <t>Road Tanker - BBT</t>
        </is>
      </c>
      <c r="E156" s="50" t="inlineStr">
        <is>
          <t>P.BR.RR.RTB.0005</t>
        </is>
      </c>
      <c r="F156" s="50" t="inlineStr">
        <is>
          <t>Dissolved Oxygen (DO)</t>
        </is>
      </c>
      <c r="G156" s="50" t="inlineStr">
        <is>
          <t>ppb</t>
        </is>
      </c>
      <c r="H156" s="50" t="inlineStr">
        <is>
          <t>-</t>
        </is>
      </c>
      <c r="I156" s="50" t="inlineStr">
        <is>
          <t>-</t>
        </is>
      </c>
      <c r="J156" s="50" t="n">
        <v>10</v>
      </c>
      <c r="K156" s="50" t="n">
        <v>15</v>
      </c>
      <c r="L156" s="50" t="inlineStr">
        <is>
          <t>-</t>
        </is>
      </c>
      <c r="M156" s="51" t="n"/>
      <c r="N156" s="52" t="inlineStr">
        <is>
          <t>N</t>
        </is>
      </c>
    </row>
    <row r="157">
      <c r="A157" s="47" t="inlineStr">
        <is>
          <t>Brewing</t>
        </is>
      </c>
      <c r="B157" s="47" t="inlineStr">
        <is>
          <t>Road Tanker In</t>
        </is>
      </c>
      <c r="C157" s="47" t="inlineStr">
        <is>
          <t>Road Tanker In</t>
        </is>
      </c>
      <c r="D157" s="47" t="inlineStr">
        <is>
          <t>Road Tanker - Packaging Filler</t>
        </is>
      </c>
      <c r="E157" s="47" t="inlineStr">
        <is>
          <t>P.BR.RR.RTP.0002</t>
        </is>
      </c>
      <c r="F157" s="47" t="inlineStr">
        <is>
          <t>Temperature</t>
        </is>
      </c>
      <c r="G157" s="47" t="inlineStr">
        <is>
          <t>°C</t>
        </is>
      </c>
      <c r="H157" s="47" t="inlineStr">
        <is>
          <t>-</t>
        </is>
      </c>
      <c r="I157" s="47" t="inlineStr">
        <is>
          <t>-</t>
        </is>
      </c>
      <c r="J157" s="47" t="inlineStr">
        <is>
          <t>-</t>
        </is>
      </c>
      <c r="K157" s="47" t="inlineStr">
        <is>
          <t>-</t>
        </is>
      </c>
      <c r="L157" s="47" t="inlineStr">
        <is>
          <t>-</t>
        </is>
      </c>
      <c r="M157" s="51" t="n"/>
      <c r="N157" s="52" t="inlineStr">
        <is>
          <t>N</t>
        </is>
      </c>
    </row>
    <row r="158">
      <c r="A158" s="50" t="inlineStr">
        <is>
          <t>Brewing</t>
        </is>
      </c>
      <c r="B158" s="50" t="inlineStr">
        <is>
          <t>Road Tanker In</t>
        </is>
      </c>
      <c r="C158" s="50" t="inlineStr">
        <is>
          <t>Road Tanker In</t>
        </is>
      </c>
      <c r="D158" s="50" t="inlineStr">
        <is>
          <t>Road Tanker - Packaging Filler</t>
        </is>
      </c>
      <c r="E158" s="50" t="inlineStr">
        <is>
          <t>P.BR.RR.RTP.0005</t>
        </is>
      </c>
      <c r="F158" s="50" t="inlineStr">
        <is>
          <t>Dissolved Oxygen (DO)</t>
        </is>
      </c>
      <c r="G158" s="50" t="inlineStr">
        <is>
          <t>ppb</t>
        </is>
      </c>
      <c r="H158" s="50" t="n">
        <v>0</v>
      </c>
      <c r="I158" s="50" t="inlineStr">
        <is>
          <t>-</t>
        </is>
      </c>
      <c r="J158" s="50" t="inlineStr">
        <is>
          <t>-</t>
        </is>
      </c>
      <c r="K158" s="50" t="inlineStr">
        <is>
          <t>-</t>
        </is>
      </c>
      <c r="L158" s="50" t="n">
        <v>20</v>
      </c>
      <c r="M158" s="51" t="n"/>
      <c r="N158" s="52" t="inlineStr">
        <is>
          <t>N</t>
        </is>
      </c>
    </row>
    <row r="159">
      <c r="A159" s="47" t="inlineStr">
        <is>
          <t>Brewing</t>
        </is>
      </c>
      <c r="B159" s="47" t="inlineStr">
        <is>
          <t>Yeast Management</t>
        </is>
      </c>
      <c r="C159" s="47" t="inlineStr">
        <is>
          <t>Yeast Management</t>
        </is>
      </c>
      <c r="D159" s="47" t="inlineStr">
        <is>
          <t>Yeast Harvest</t>
        </is>
      </c>
      <c r="E159" s="47" t="inlineStr">
        <is>
          <t>P.BR.YH.YHT.0002</t>
        </is>
      </c>
      <c r="F159" s="47" t="inlineStr">
        <is>
          <t>Time to harvest - fermentor age</t>
        </is>
      </c>
      <c r="G159" s="47" t="inlineStr">
        <is>
          <t>Hours</t>
        </is>
      </c>
      <c r="H159" s="47" t="n">
        <v>118</v>
      </c>
      <c r="I159" s="47" t="n">
        <v>128</v>
      </c>
      <c r="J159" s="47" t="n">
        <v>138</v>
      </c>
      <c r="K159" s="47" t="n">
        <v>148</v>
      </c>
      <c r="L159" s="47" t="n">
        <v>158</v>
      </c>
      <c r="M159" s="48" t="n"/>
      <c r="N159" s="49" t="inlineStr">
        <is>
          <t>Y</t>
        </is>
      </c>
      <c r="O159" s="42" t="inlineStr">
        <is>
          <t>Alpha Fermentation</t>
        </is>
      </c>
    </row>
    <row r="160">
      <c r="A160" s="50" t="inlineStr">
        <is>
          <t>Brewing</t>
        </is>
      </c>
      <c r="B160" s="50" t="inlineStr">
        <is>
          <t>Yeast Management</t>
        </is>
      </c>
      <c r="C160" s="50" t="inlineStr">
        <is>
          <t>Yeast Management</t>
        </is>
      </c>
      <c r="D160" s="50" t="inlineStr">
        <is>
          <t>Yeast Harvest</t>
        </is>
      </c>
      <c r="E160" s="50" t="inlineStr">
        <is>
          <t>P.BR.YH.YHT.0003</t>
        </is>
      </c>
      <c r="F160" s="50" t="inlineStr">
        <is>
          <t>Solids</t>
        </is>
      </c>
      <c r="G160" s="50" t="inlineStr">
        <is>
          <t>%</t>
        </is>
      </c>
      <c r="H160" s="50" t="inlineStr">
        <is>
          <t>-</t>
        </is>
      </c>
      <c r="I160" s="50" t="inlineStr">
        <is>
          <t>-</t>
        </is>
      </c>
      <c r="J160" s="50" t="inlineStr">
        <is>
          <t>-</t>
        </is>
      </c>
      <c r="K160" s="50" t="inlineStr">
        <is>
          <t>-</t>
        </is>
      </c>
      <c r="L160" s="50" t="inlineStr">
        <is>
          <t>-</t>
        </is>
      </c>
      <c r="M160" s="48" t="n"/>
      <c r="N160" s="49" t="inlineStr">
        <is>
          <t>Y</t>
        </is>
      </c>
      <c r="O160" s="42" t="inlineStr">
        <is>
          <t>Yeast</t>
        </is>
      </c>
    </row>
    <row r="161">
      <c r="A161" s="47" t="inlineStr">
        <is>
          <t>Brewing</t>
        </is>
      </c>
      <c r="B161" s="47" t="inlineStr">
        <is>
          <t>Yeast Management</t>
        </is>
      </c>
      <c r="C161" s="47" t="inlineStr">
        <is>
          <t>Yeast Management</t>
        </is>
      </c>
      <c r="D161" s="47" t="inlineStr">
        <is>
          <t>Yeast Storage</t>
        </is>
      </c>
      <c r="E161" s="47" t="inlineStr">
        <is>
          <t>P.BR.YH.YSO.0001</t>
        </is>
      </c>
      <c r="F161" s="47" t="inlineStr">
        <is>
          <t>Intracellular zinc</t>
        </is>
      </c>
      <c r="G161" s="47" t="inlineStr">
        <is>
          <t>mg/L</t>
        </is>
      </c>
      <c r="H161" s="47" t="inlineStr">
        <is>
          <t>-</t>
        </is>
      </c>
      <c r="I161" s="47" t="inlineStr">
        <is>
          <t>-</t>
        </is>
      </c>
      <c r="J161" s="47" t="inlineStr">
        <is>
          <t>-</t>
        </is>
      </c>
      <c r="K161" s="47" t="inlineStr">
        <is>
          <t>-</t>
        </is>
      </c>
      <c r="L161" s="47" t="inlineStr">
        <is>
          <t>-</t>
        </is>
      </c>
      <c r="M161" s="48" t="n"/>
      <c r="N161" s="49" t="inlineStr">
        <is>
          <t>Y</t>
        </is>
      </c>
      <c r="O161" s="42" t="inlineStr">
        <is>
          <t>Yeast</t>
        </is>
      </c>
    </row>
    <row r="162">
      <c r="A162" s="50" t="inlineStr">
        <is>
          <t>Brewing</t>
        </is>
      </c>
      <c r="B162" s="50" t="inlineStr">
        <is>
          <t>Yeast Management</t>
        </is>
      </c>
      <c r="C162" s="50" t="inlineStr">
        <is>
          <t>Yeast Management</t>
        </is>
      </c>
      <c r="D162" s="50" t="inlineStr">
        <is>
          <t>Yeast Storage</t>
        </is>
      </c>
      <c r="E162" s="50" t="inlineStr">
        <is>
          <t>P.BR.YH.YSO.0002</t>
        </is>
      </c>
      <c r="F162" s="50" t="inlineStr">
        <is>
          <t>Viability</t>
        </is>
      </c>
      <c r="G162" s="50" t="inlineStr">
        <is>
          <t>%</t>
        </is>
      </c>
      <c r="H162" s="50" t="n">
        <v>95</v>
      </c>
      <c r="I162" s="50" t="inlineStr">
        <is>
          <t>-</t>
        </is>
      </c>
      <c r="J162" s="50" t="inlineStr">
        <is>
          <t>-</t>
        </is>
      </c>
      <c r="K162" s="50" t="inlineStr">
        <is>
          <t>-</t>
        </is>
      </c>
      <c r="L162" s="50" t="inlineStr">
        <is>
          <t>-</t>
        </is>
      </c>
      <c r="M162" s="48" t="n"/>
      <c r="N162" s="49" t="inlineStr">
        <is>
          <t>Y</t>
        </is>
      </c>
      <c r="O162" s="42" t="inlineStr">
        <is>
          <t>Yeast</t>
        </is>
      </c>
    </row>
    <row r="163">
      <c r="A163" s="47" t="inlineStr">
        <is>
          <t>Brewing</t>
        </is>
      </c>
      <c r="B163" s="47" t="inlineStr">
        <is>
          <t>Yeast Management</t>
        </is>
      </c>
      <c r="C163" s="47" t="inlineStr">
        <is>
          <t>Yeast Management</t>
        </is>
      </c>
      <c r="D163" s="47" t="inlineStr">
        <is>
          <t>Yeast Storage</t>
        </is>
      </c>
      <c r="E163" s="47" t="inlineStr">
        <is>
          <t>P.BR.YH.YSO.0005</t>
        </is>
      </c>
      <c r="F163" s="47" t="inlineStr">
        <is>
          <t>Storage Time</t>
        </is>
      </c>
      <c r="G163" s="47" t="inlineStr">
        <is>
          <t>Hours</t>
        </is>
      </c>
      <c r="H163" s="47" t="inlineStr">
        <is>
          <t>-</t>
        </is>
      </c>
      <c r="I163" s="47" t="inlineStr">
        <is>
          <t>-</t>
        </is>
      </c>
      <c r="J163" s="47" t="n">
        <v>12</v>
      </c>
      <c r="K163" s="47" t="n">
        <v>36</v>
      </c>
      <c r="L163" s="47" t="n">
        <v>48</v>
      </c>
      <c r="M163" s="48" t="n"/>
      <c r="N163" s="49" t="inlineStr">
        <is>
          <t>Y</t>
        </is>
      </c>
      <c r="O163" s="42" t="inlineStr">
        <is>
          <t>Fermentor Fill</t>
        </is>
      </c>
    </row>
    <row r="164">
      <c r="A164" s="50" t="inlineStr">
        <is>
          <t>Brewing</t>
        </is>
      </c>
      <c r="B164" s="50" t="inlineStr">
        <is>
          <t>Yeast Management</t>
        </is>
      </c>
      <c r="C164" s="50" t="inlineStr">
        <is>
          <t>Yeast Management</t>
        </is>
      </c>
      <c r="D164" s="50" t="inlineStr">
        <is>
          <t>Yeast Storage</t>
        </is>
      </c>
      <c r="E164" s="50" t="inlineStr">
        <is>
          <t>P.BR.YH.YSO.0006</t>
        </is>
      </c>
      <c r="F164" s="50" t="inlineStr">
        <is>
          <t>Temperature (at storage)</t>
        </is>
      </c>
      <c r="G164" s="50" t="inlineStr">
        <is>
          <t>°C</t>
        </is>
      </c>
      <c r="H164" s="50" t="n">
        <v>11.5</v>
      </c>
      <c r="I164" s="50" t="n">
        <v>11.7</v>
      </c>
      <c r="J164" s="50" t="n">
        <v>12</v>
      </c>
      <c r="K164" s="50" t="n">
        <v>12.3</v>
      </c>
      <c r="L164" s="50" t="n">
        <v>12.5</v>
      </c>
      <c r="M164" s="48" t="n"/>
      <c r="N164" s="49" t="inlineStr">
        <is>
          <t>Y</t>
        </is>
      </c>
      <c r="O164" s="42" t="inlineStr">
        <is>
          <t>Fermentor Fill</t>
        </is>
      </c>
    </row>
  </sheetData>
  <autoFilter ref="A2:P164"/>
  <mergeCells count="1">
    <mergeCell ref="A1:L1"/>
  </mergeCells>
  <pageMargins left="0.7" right="0.7" top="0.75" bottom="0.75" header="0.3" footer="0.3"/>
  <pageSetup orientation="portrait" paperSize="9" horizontalDpi="300" verticalDpi="300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Q48"/>
  <sheetViews>
    <sheetView workbookViewId="0">
      <selection activeCell="A1" sqref="A1"/>
    </sheetView>
  </sheetViews>
  <sheetFormatPr baseColWidth="8" defaultColWidth="9" defaultRowHeight="15"/>
  <cols>
    <col width="15.42578125" customWidth="1" style="20" min="1" max="1"/>
    <col width="15.42578125" customWidth="1" style="21" min="2" max="2"/>
    <col width="15.42578125" customWidth="1" style="20" min="3" max="5"/>
    <col width="15.42578125" customWidth="1" style="241" min="6" max="6"/>
    <col width="15.42578125" customWidth="1" style="21" min="7" max="7"/>
    <col width="15.42578125" customWidth="1" style="241" min="8" max="8"/>
    <col width="15.42578125" customWidth="1" style="20" min="9" max="9"/>
    <col width="15.42578125" customWidth="1" style="21" min="10" max="14"/>
    <col width="15.42578125" customWidth="1" style="20" min="15" max="15"/>
    <col width="15.42578125" customWidth="1" style="241" min="16" max="16"/>
    <col width="12.85546875" customWidth="1" style="241" min="17" max="17"/>
  </cols>
  <sheetData>
    <row r="1">
      <c r="A1" s="20" t="n">
        <v>1</v>
      </c>
      <c r="B1" s="21" t="n">
        <v>2</v>
      </c>
      <c r="C1" s="20" t="n">
        <v>3</v>
      </c>
      <c r="D1" s="20" t="n">
        <v>4</v>
      </c>
      <c r="E1" s="20" t="n">
        <v>5</v>
      </c>
      <c r="F1" s="20" t="n">
        <v>6</v>
      </c>
      <c r="G1" s="21" t="n">
        <v>7</v>
      </c>
      <c r="H1" s="20" t="n">
        <v>8</v>
      </c>
      <c r="I1" s="20" t="n">
        <v>9</v>
      </c>
      <c r="J1" s="21" t="n">
        <v>10</v>
      </c>
      <c r="K1" s="21" t="n">
        <v>11</v>
      </c>
      <c r="L1" s="21" t="n">
        <v>12</v>
      </c>
      <c r="M1" s="21" t="n">
        <v>13</v>
      </c>
      <c r="N1" s="21" t="n">
        <v>14</v>
      </c>
      <c r="O1" s="20" t="inlineStr">
        <is>
          <t>PQA</t>
        </is>
      </c>
    </row>
    <row r="2">
      <c r="A2" s="20" t="inlineStr">
        <is>
          <t>Water</t>
        </is>
      </c>
      <c r="B2" s="21" t="inlineStr">
        <is>
          <t>Cold Wort</t>
        </is>
      </c>
      <c r="C2" s="20" t="inlineStr">
        <is>
          <t>Fermentor Full</t>
        </is>
      </c>
      <c r="D2" s="20" t="inlineStr">
        <is>
          <t>峰值追踪</t>
        </is>
      </c>
      <c r="E2" s="20" t="inlineStr">
        <is>
          <t>0h</t>
        </is>
      </c>
      <c r="F2" s="20" t="inlineStr">
        <is>
          <t>酵母泥</t>
        </is>
      </c>
      <c r="G2" s="21" t="inlineStr">
        <is>
          <t>Middle Point</t>
        </is>
      </c>
      <c r="H2" s="20" t="inlineStr">
        <is>
          <t>D/P/AA 追踪</t>
        </is>
      </c>
      <c r="I2" s="20" t="inlineStr">
        <is>
          <t>EOC</t>
        </is>
      </c>
      <c r="J2" s="21" t="inlineStr">
        <is>
          <t>Cold aging</t>
        </is>
      </c>
      <c r="K2" s="21" t="inlineStr">
        <is>
          <t>BBT</t>
        </is>
      </c>
      <c r="L2" s="21" t="inlineStr">
        <is>
          <t>Cross flow</t>
        </is>
      </c>
      <c r="M2" s="21" t="inlineStr">
        <is>
          <t>Finish Beer</t>
        </is>
      </c>
      <c r="N2" s="21" t="inlineStr">
        <is>
          <t>Forcing Test</t>
        </is>
      </c>
      <c r="O2" s="20" t="inlineStr">
        <is>
          <t>Packaging</t>
        </is>
      </c>
      <c r="P2" s="21" t="inlineStr">
        <is>
          <t>PU</t>
        </is>
      </c>
      <c r="Q2" s="21" t="inlineStr">
        <is>
          <t>洗瓶机碱浓</t>
        </is>
      </c>
    </row>
    <row r="3" ht="16.5" customHeight="1" s="241">
      <c r="A3" s="22" t="inlineStr">
        <is>
          <t>标记</t>
        </is>
      </c>
      <c r="B3" s="22" t="inlineStr">
        <is>
          <t>标记</t>
        </is>
      </c>
      <c r="C3" s="23" t="inlineStr">
        <is>
          <t>检测日期</t>
        </is>
      </c>
      <c r="D3" s="23" t="inlineStr">
        <is>
          <t>检测日期</t>
        </is>
      </c>
      <c r="E3" s="23" t="inlineStr">
        <is>
          <t>检测日期</t>
        </is>
      </c>
      <c r="F3" s="23" t="inlineStr">
        <is>
          <t>检测日期</t>
        </is>
      </c>
      <c r="G3" s="23" t="inlineStr">
        <is>
          <t>检测日期</t>
        </is>
      </c>
      <c r="H3" s="24" t="inlineStr">
        <is>
          <t>取样时间</t>
        </is>
      </c>
      <c r="I3" s="22" t="inlineStr">
        <is>
          <t>标记</t>
        </is>
      </c>
      <c r="J3" s="23" t="inlineStr">
        <is>
          <t>检测日期</t>
        </is>
      </c>
      <c r="K3" s="22" t="inlineStr">
        <is>
          <t>标记</t>
        </is>
      </c>
      <c r="L3" s="25" t="inlineStr">
        <is>
          <t>检测日期</t>
        </is>
      </c>
      <c r="M3" s="22" t="inlineStr">
        <is>
          <t>标记</t>
        </is>
      </c>
      <c r="N3" s="25" t="inlineStr">
        <is>
          <t>检测日期</t>
        </is>
      </c>
      <c r="O3" s="22" t="inlineStr">
        <is>
          <t>标记</t>
        </is>
      </c>
      <c r="P3" s="26" t="inlineStr">
        <is>
          <t>取样日期</t>
        </is>
      </c>
      <c r="Q3" s="26" t="inlineStr">
        <is>
          <t>检测日期</t>
        </is>
      </c>
    </row>
    <row r="4" ht="16.5" customHeight="1" s="241">
      <c r="A4" s="22" t="inlineStr">
        <is>
          <t>日期</t>
        </is>
      </c>
      <c r="B4" s="22" t="inlineStr">
        <is>
          <t>日期</t>
        </is>
      </c>
      <c r="C4" s="27" t="inlineStr">
        <is>
          <t>满罐时间</t>
        </is>
      </c>
      <c r="D4" s="27" t="inlineStr">
        <is>
          <t>满罐时间</t>
        </is>
      </c>
      <c r="E4" s="27" t="inlineStr">
        <is>
          <t>满罐时间</t>
        </is>
      </c>
      <c r="F4" s="23" t="inlineStr">
        <is>
          <t>检测时间</t>
        </is>
      </c>
      <c r="G4" s="27" t="inlineStr">
        <is>
          <t>满罐时间</t>
        </is>
      </c>
      <c r="H4" s="23" t="inlineStr">
        <is>
          <t>检测日期</t>
        </is>
      </c>
      <c r="I4" s="22" t="inlineStr">
        <is>
          <t>日期</t>
        </is>
      </c>
      <c r="J4" s="28" t="inlineStr">
        <is>
          <t>检测时间</t>
        </is>
      </c>
      <c r="K4" s="22" t="inlineStr">
        <is>
          <t>日期</t>
        </is>
      </c>
      <c r="L4" s="25" t="inlineStr">
        <is>
          <t>样品名称</t>
        </is>
      </c>
      <c r="M4" s="22" t="inlineStr">
        <is>
          <t>日期</t>
        </is>
      </c>
      <c r="N4" s="25" t="inlineStr">
        <is>
          <t>成品喷码</t>
        </is>
      </c>
      <c r="O4" s="22" t="inlineStr">
        <is>
          <t>日期</t>
        </is>
      </c>
      <c r="P4" s="29" t="inlineStr">
        <is>
          <t>取样时间</t>
        </is>
      </c>
      <c r="Q4" s="29" t="inlineStr">
        <is>
          <t>取样时间</t>
        </is>
      </c>
    </row>
    <row r="5" ht="16.5" customHeight="1" s="241">
      <c r="A5" s="22" t="inlineStr">
        <is>
          <t>检测时间</t>
        </is>
      </c>
      <c r="B5" s="22" t="inlineStr">
        <is>
          <t>检测时间</t>
        </is>
      </c>
      <c r="C5" s="23" t="inlineStr">
        <is>
          <t>发酵罐号</t>
        </is>
      </c>
      <c r="D5" s="23" t="inlineStr">
        <is>
          <t>发酵罐号</t>
        </is>
      </c>
      <c r="E5" s="23" t="inlineStr">
        <is>
          <t>发酵罐号</t>
        </is>
      </c>
      <c r="F5" s="23" t="inlineStr">
        <is>
          <t>酵母罐号（YB）</t>
        </is>
      </c>
      <c r="G5" s="23" t="inlineStr">
        <is>
          <t>发酵罐号</t>
        </is>
      </c>
      <c r="H5" s="27" t="inlineStr">
        <is>
          <t>满罐时间</t>
        </is>
      </c>
      <c r="I5" s="22" t="inlineStr">
        <is>
          <t>检测时间</t>
        </is>
      </c>
      <c r="J5" s="23" t="inlineStr">
        <is>
          <t>酒液品种</t>
        </is>
      </c>
      <c r="K5" s="22" t="inlineStr">
        <is>
          <t>检测时间</t>
        </is>
      </c>
      <c r="L5" s="25" t="inlineStr">
        <is>
          <t>分析时间</t>
        </is>
      </c>
      <c r="M5" s="22" t="inlineStr">
        <is>
          <t>检测日期</t>
        </is>
      </c>
      <c r="N5" s="30" t="inlineStr">
        <is>
          <t>接酒时间</t>
        </is>
      </c>
      <c r="O5" s="22" t="inlineStr">
        <is>
          <t>检测日期</t>
        </is>
      </c>
      <c r="P5" s="26" t="inlineStr">
        <is>
          <t>生产线</t>
        </is>
      </c>
      <c r="Q5" s="26" t="inlineStr">
        <is>
          <t>生产线</t>
        </is>
      </c>
    </row>
    <row r="6" ht="16.5" customHeight="1" s="241">
      <c r="A6" s="31" t="inlineStr">
        <is>
          <t>样品名称</t>
        </is>
      </c>
      <c r="B6" s="22" t="inlineStr">
        <is>
          <t>糖化线</t>
        </is>
      </c>
      <c r="C6" s="30" t="inlineStr">
        <is>
          <t>发酵液品种</t>
        </is>
      </c>
      <c r="D6" s="28" t="inlineStr">
        <is>
          <t>发酵液品种</t>
        </is>
      </c>
      <c r="E6" s="28" t="inlineStr">
        <is>
          <t>发酵液品种</t>
        </is>
      </c>
      <c r="F6" s="32" t="inlineStr">
        <is>
          <t>订单</t>
        </is>
      </c>
      <c r="G6" s="28" t="inlineStr">
        <is>
          <t>发酵液品种</t>
        </is>
      </c>
      <c r="H6" s="23" t="inlineStr">
        <is>
          <t>发酵罐号</t>
        </is>
      </c>
      <c r="I6" s="31" t="inlineStr">
        <is>
          <t>满罐时间</t>
        </is>
      </c>
      <c r="J6" s="33" t="inlineStr">
        <is>
          <t>发酵罐号</t>
        </is>
      </c>
      <c r="K6" s="31" t="inlineStr">
        <is>
          <t>满罐时间</t>
        </is>
      </c>
      <c r="L6" s="25" t="inlineStr">
        <is>
          <t>品种</t>
        </is>
      </c>
      <c r="M6" s="31" t="inlineStr">
        <is>
          <t>取样日期</t>
        </is>
      </c>
      <c r="N6" s="25" t="inlineStr">
        <is>
          <t>生产线</t>
        </is>
      </c>
      <c r="O6" s="31" t="inlineStr">
        <is>
          <t>取样时间</t>
        </is>
      </c>
      <c r="P6" s="26" t="inlineStr">
        <is>
          <t>班次</t>
        </is>
      </c>
      <c r="Q6" s="26" t="inlineStr">
        <is>
          <t>班次</t>
        </is>
      </c>
    </row>
    <row r="7" ht="16.5" customHeight="1" s="241">
      <c r="A7" s="22" t="inlineStr">
        <is>
          <t>工段</t>
        </is>
      </c>
      <c r="B7" s="31" t="inlineStr">
        <is>
          <t>麦汁品种</t>
        </is>
      </c>
      <c r="C7" s="28" t="inlineStr">
        <is>
          <t>酵母品种</t>
        </is>
      </c>
      <c r="D7" s="28" t="inlineStr">
        <is>
          <t>酵母品种</t>
        </is>
      </c>
      <c r="E7" s="28" t="inlineStr">
        <is>
          <t>酵母品种</t>
        </is>
      </c>
      <c r="F7" s="32" t="inlineStr">
        <is>
          <t>批次号</t>
        </is>
      </c>
      <c r="G7" s="28" t="inlineStr">
        <is>
          <t>酵母品种</t>
        </is>
      </c>
      <c r="H7" s="34" t="inlineStr">
        <is>
          <t>发酵液品种</t>
        </is>
      </c>
      <c r="I7" s="22" t="inlineStr">
        <is>
          <t>发酵罐号</t>
        </is>
      </c>
      <c r="J7" s="23" t="inlineStr">
        <is>
          <t>冷储罐号</t>
        </is>
      </c>
      <c r="K7" s="22" t="inlineStr">
        <is>
          <t>清酒罐</t>
        </is>
      </c>
      <c r="L7" s="25" t="inlineStr">
        <is>
          <t>罐号</t>
        </is>
      </c>
      <c r="M7" s="22" t="inlineStr">
        <is>
          <t>成品喷码</t>
        </is>
      </c>
      <c r="N7" s="25" t="inlineStr">
        <is>
          <t>发酵罐号</t>
        </is>
      </c>
      <c r="O7" s="22" t="inlineStr">
        <is>
          <t>生产线</t>
        </is>
      </c>
      <c r="P7" s="26" t="inlineStr">
        <is>
          <t>品牌</t>
        </is>
      </c>
      <c r="Q7" s="26" t="inlineStr">
        <is>
          <t>瓶源</t>
        </is>
      </c>
    </row>
    <row r="8" ht="16.5" customHeight="1" s="241">
      <c r="A8" s="22" t="inlineStr">
        <is>
          <t>取样编号</t>
        </is>
      </c>
      <c r="B8" s="22" t="inlineStr">
        <is>
          <t>糖化锅号</t>
        </is>
      </c>
      <c r="C8" s="34" t="inlineStr">
        <is>
          <t>酵母罐号</t>
        </is>
      </c>
      <c r="D8" s="35" t="inlineStr">
        <is>
          <t>酵母代数</t>
        </is>
      </c>
      <c r="E8" s="35" t="inlineStr">
        <is>
          <t>酵母代数</t>
        </is>
      </c>
      <c r="F8" s="23" t="inlineStr">
        <is>
          <t>品牌代码</t>
        </is>
      </c>
      <c r="G8" s="35" t="inlineStr">
        <is>
          <t>酵母代数</t>
        </is>
      </c>
      <c r="H8" s="34" t="inlineStr">
        <is>
          <t>酵母品种</t>
        </is>
      </c>
      <c r="I8" s="22" t="inlineStr">
        <is>
          <t>发酵液品种</t>
        </is>
      </c>
      <c r="J8" s="35" t="inlineStr">
        <is>
          <t>溶解氧</t>
        </is>
      </c>
      <c r="K8" s="22" t="inlineStr">
        <is>
          <t>发酵罐号</t>
        </is>
      </c>
      <c r="L8" s="25" t="inlineStr">
        <is>
          <t>回收自</t>
        </is>
      </c>
      <c r="M8" s="22" t="inlineStr">
        <is>
          <t>生产线</t>
        </is>
      </c>
      <c r="N8" s="25" t="inlineStr">
        <is>
          <t>清酒罐</t>
        </is>
      </c>
      <c r="O8" s="22" t="inlineStr">
        <is>
          <t>班次</t>
        </is>
      </c>
      <c r="P8" s="26" t="inlineStr">
        <is>
          <t>瓶型</t>
        </is>
      </c>
      <c r="Q8" s="36" t="inlineStr">
        <is>
          <t>洗瓶机碱槽</t>
        </is>
      </c>
    </row>
    <row r="9" ht="16.5" customHeight="1" s="241">
      <c r="A9" s="22" t="inlineStr">
        <is>
          <t>总碱度</t>
        </is>
      </c>
      <c r="B9" s="22" t="inlineStr">
        <is>
          <t>发酵罐号</t>
        </is>
      </c>
      <c r="C9" s="35" t="inlineStr">
        <is>
          <t>酵母代数</t>
        </is>
      </c>
      <c r="D9" s="28" t="inlineStr">
        <is>
          <t>酒龄</t>
        </is>
      </c>
      <c r="E9" s="28" t="inlineStr">
        <is>
          <t>0hr酒龄</t>
        </is>
      </c>
      <c r="F9" s="23" t="inlineStr">
        <is>
          <t>代数</t>
        </is>
      </c>
      <c r="G9" s="28" t="inlineStr">
        <is>
          <t>中间点酒龄</t>
        </is>
      </c>
      <c r="H9" s="37" t="inlineStr">
        <is>
          <t>酵母代数</t>
        </is>
      </c>
      <c r="I9" s="22" t="inlineStr">
        <is>
          <t>酵母品种</t>
        </is>
      </c>
      <c r="J9" s="35" t="inlineStr">
        <is>
          <t>pH</t>
        </is>
      </c>
      <c r="K9" s="22" t="inlineStr">
        <is>
          <t>过滤机/线</t>
        </is>
      </c>
      <c r="L9" s="28" t="inlineStr">
        <is>
          <t>原浓</t>
        </is>
      </c>
      <c r="M9" s="22" t="inlineStr">
        <is>
          <t>品牌</t>
        </is>
      </c>
      <c r="N9" s="25" t="inlineStr">
        <is>
          <t>酒龄</t>
        </is>
      </c>
      <c r="O9" s="22" t="inlineStr">
        <is>
          <t>班组</t>
        </is>
      </c>
      <c r="P9" s="26" t="inlineStr">
        <is>
          <t>产品类型</t>
        </is>
      </c>
      <c r="Q9" s="36" t="inlineStr">
        <is>
          <t>在线碱浓</t>
        </is>
      </c>
    </row>
    <row r="10" ht="16.5" customHeight="1" s="241">
      <c r="A10" s="22" t="inlineStr">
        <is>
          <t>总硬度</t>
        </is>
      </c>
      <c r="B10" s="22" t="inlineStr">
        <is>
          <t>冷麦汁OG</t>
        </is>
      </c>
      <c r="C10" s="34" t="inlineStr">
        <is>
          <t>酵母储存时间</t>
        </is>
      </c>
      <c r="D10" s="28" t="inlineStr">
        <is>
          <t>峰值追踪点1</t>
        </is>
      </c>
      <c r="E10" s="38" t="inlineStr">
        <is>
          <t>游离D</t>
        </is>
      </c>
      <c r="F10" s="23" t="inlineStr">
        <is>
          <t>发酵罐号</t>
        </is>
      </c>
      <c r="G10" s="38" t="inlineStr">
        <is>
          <t>游离D</t>
        </is>
      </c>
      <c r="H10" s="34" t="inlineStr">
        <is>
          <t>酒龄</t>
        </is>
      </c>
      <c r="I10" s="22" t="inlineStr">
        <is>
          <t>酵母代数</t>
        </is>
      </c>
      <c r="J10" s="35" t="inlineStr">
        <is>
          <t>储罐温度</t>
        </is>
      </c>
      <c r="K10" s="22" t="inlineStr">
        <is>
          <t>过滤批次号</t>
        </is>
      </c>
      <c r="L10" s="28" t="inlineStr">
        <is>
          <t>酒精度</t>
        </is>
      </c>
      <c r="M10" s="22" t="inlineStr">
        <is>
          <t>SKU名称</t>
        </is>
      </c>
      <c r="N10" s="25" t="inlineStr">
        <is>
          <t>品种</t>
        </is>
      </c>
      <c r="O10" s="22" t="inlineStr">
        <is>
          <t>品种</t>
        </is>
      </c>
      <c r="P10" s="36" t="inlineStr">
        <is>
          <t>PU开始时间</t>
        </is>
      </c>
      <c r="Q10" s="36" t="inlineStr">
        <is>
          <t>总碱浓</t>
        </is>
      </c>
    </row>
    <row r="11" ht="38.25" customHeight="1" s="241">
      <c r="A11" s="22" t="inlineStr">
        <is>
          <t>残余碱度</t>
        </is>
      </c>
      <c r="B11" s="22" t="inlineStr">
        <is>
          <t>冷麦汁PH</t>
        </is>
      </c>
      <c r="C11" s="34" t="inlineStr">
        <is>
          <t>从主酵结束到再次添加的时间</t>
        </is>
      </c>
      <c r="D11" s="28" t="inlineStr">
        <is>
          <t>峰值追踪点2</t>
        </is>
      </c>
      <c r="E11" s="38" t="inlineStr">
        <is>
          <t>游离P</t>
        </is>
      </c>
      <c r="F11" s="25" t="inlineStr">
        <is>
          <t>死亡率
%</t>
        </is>
      </c>
      <c r="G11" s="38" t="inlineStr">
        <is>
          <t>游离P</t>
        </is>
      </c>
      <c r="H11" s="38" t="inlineStr">
        <is>
          <t>游离D</t>
        </is>
      </c>
      <c r="I11" s="22" t="inlineStr">
        <is>
          <t>酒龄</t>
        </is>
      </c>
      <c r="J11" s="34" t="inlineStr">
        <is>
          <t>冷储酵母数</t>
        </is>
      </c>
      <c r="K11" s="22" t="inlineStr">
        <is>
          <t>清酒品种</t>
        </is>
      </c>
      <c r="L11" s="28" t="inlineStr">
        <is>
          <t>表观浓度</t>
        </is>
      </c>
      <c r="M11" s="22" t="inlineStr">
        <is>
          <t>发酵罐号</t>
        </is>
      </c>
      <c r="N11" s="28" t="inlineStr">
        <is>
          <t>高温强化开始日期及时间 (50℃)</t>
        </is>
      </c>
      <c r="O11" s="22" t="inlineStr">
        <is>
          <t>瓶型</t>
        </is>
      </c>
      <c r="P11" s="36" t="inlineStr">
        <is>
          <t>PU运行时长</t>
        </is>
      </c>
      <c r="Q11" s="36" t="inlineStr">
        <is>
          <t>有效碱浓</t>
        </is>
      </c>
    </row>
    <row r="12" ht="38.25" customHeight="1" s="241">
      <c r="A12" s="22" t="inlineStr">
        <is>
          <t>暂时硬度</t>
        </is>
      </c>
      <c r="B12" s="22" t="inlineStr">
        <is>
          <t>冷麦汁色度</t>
        </is>
      </c>
      <c r="C12" s="28" t="inlineStr">
        <is>
          <t>满罐IBU</t>
        </is>
      </c>
      <c r="D12" s="28" t="inlineStr">
        <is>
          <t>峰值追踪点3</t>
        </is>
      </c>
      <c r="E12" s="38" t="inlineStr">
        <is>
          <t>总D</t>
        </is>
      </c>
      <c r="F12" s="23" t="inlineStr">
        <is>
          <t>酵母浓度</t>
        </is>
      </c>
      <c r="G12" s="38" t="inlineStr">
        <is>
          <t>总D</t>
        </is>
      </c>
      <c r="H12" s="38" t="inlineStr">
        <is>
          <t>游离P</t>
        </is>
      </c>
      <c r="I12" s="22" t="inlineStr">
        <is>
          <t>理论降温时间点</t>
        </is>
      </c>
      <c r="J12" s="35" t="inlineStr">
        <is>
          <t>浊度</t>
        </is>
      </c>
      <c r="K12" s="22" t="inlineStr">
        <is>
          <t>清酒数量</t>
        </is>
      </c>
      <c r="L12" s="28" t="inlineStr">
        <is>
          <t>真实发酵度</t>
        </is>
      </c>
      <c r="M12" s="22" t="inlineStr">
        <is>
          <t>清酒罐</t>
        </is>
      </c>
      <c r="N12" s="28" t="inlineStr">
        <is>
          <t>高温强化结束日期及时间 (50℃)</t>
        </is>
      </c>
      <c r="O12" s="22" t="inlineStr">
        <is>
          <t>BBT罐号</t>
        </is>
      </c>
      <c r="P12" s="36" t="inlineStr">
        <is>
          <t>PU值</t>
        </is>
      </c>
      <c r="Q12" s="36" t="inlineStr">
        <is>
          <t>结论</t>
        </is>
      </c>
    </row>
    <row r="13" ht="38.25" customHeight="1" s="241">
      <c r="A13" s="22" t="inlineStr">
        <is>
          <t>pH</t>
        </is>
      </c>
      <c r="B13" s="22" t="inlineStr">
        <is>
          <t>冷麦汁钙</t>
        </is>
      </c>
      <c r="C13" s="28" t="inlineStr">
        <is>
          <t>满罐FAN</t>
        </is>
      </c>
      <c r="D13" s="28" t="inlineStr">
        <is>
          <t>峰值追踪点4</t>
        </is>
      </c>
      <c r="E13" s="38" t="inlineStr">
        <is>
          <t>总P</t>
        </is>
      </c>
      <c r="F13" s="37" t="inlineStr">
        <is>
          <t>酵母回收结束酵母罐温度</t>
        </is>
      </c>
      <c r="G13" s="38" t="inlineStr">
        <is>
          <t>总P</t>
        </is>
      </c>
      <c r="H13" s="38" t="inlineStr">
        <is>
          <t>总D</t>
        </is>
      </c>
      <c r="I13" s="22" t="inlineStr">
        <is>
          <t>游离D1</t>
        </is>
      </c>
      <c r="J13" s="35" t="inlineStr">
        <is>
          <t>原浓</t>
        </is>
      </c>
      <c r="K13" s="22" t="inlineStr">
        <is>
          <t>溶解氧-手持</t>
        </is>
      </c>
      <c r="L13" s="28" t="inlineStr">
        <is>
          <t>浊度90°角_x000D_
（EBC）</t>
        </is>
      </c>
      <c r="M13" s="22" t="inlineStr">
        <is>
          <t>接酒时间</t>
        </is>
      </c>
      <c r="N13" s="28" t="inlineStr">
        <is>
          <t>低温强化开始日期及时间 (0℃)</t>
        </is>
      </c>
      <c r="O13" s="22" t="inlineStr">
        <is>
          <t>BBT DO</t>
        </is>
      </c>
      <c r="P13" s="36" t="inlineStr">
        <is>
          <t>最高酒温</t>
        </is>
      </c>
      <c r="Q13" s="36" t="inlineStr">
        <is>
          <t>备注</t>
        </is>
      </c>
    </row>
    <row r="14" ht="38.25" customHeight="1" s="241">
      <c r="A14" s="22" t="inlineStr">
        <is>
          <t>铁离子</t>
        </is>
      </c>
      <c r="B14" s="22" t="inlineStr">
        <is>
          <t>冷麦汁钠</t>
        </is>
      </c>
      <c r="C14" s="28" t="inlineStr">
        <is>
          <t>满罐Na+</t>
        </is>
      </c>
      <c r="D14" s="28" t="inlineStr">
        <is>
          <t>峰值追踪点5</t>
        </is>
      </c>
      <c r="E14" s="38" t="inlineStr">
        <is>
          <t>乙醛</t>
        </is>
      </c>
      <c r="F14" s="37" t="inlineStr">
        <is>
          <t>存储24hr酵母温度</t>
        </is>
      </c>
      <c r="G14" s="38" t="inlineStr">
        <is>
          <t>乙醛</t>
        </is>
      </c>
      <c r="H14" s="38" t="inlineStr">
        <is>
          <t>总P</t>
        </is>
      </c>
      <c r="I14" s="22" t="inlineStr">
        <is>
          <t>游离P1</t>
        </is>
      </c>
      <c r="J14" s="35" t="inlineStr">
        <is>
          <t>AE</t>
        </is>
      </c>
      <c r="K14" s="22" t="inlineStr">
        <is>
          <t>累计DO-在线</t>
        </is>
      </c>
      <c r="L14" s="28" t="inlineStr">
        <is>
          <t>浊度25°角
（EBC）</t>
        </is>
      </c>
      <c r="M14" s="22" t="inlineStr">
        <is>
          <t>铁</t>
        </is>
      </c>
      <c r="N14" s="28" t="inlineStr">
        <is>
          <t>低温强化结束日期及时间 (0℃)</t>
        </is>
      </c>
      <c r="O14" s="22" t="inlineStr">
        <is>
          <t>BBT CO2</t>
        </is>
      </c>
      <c r="P14" s="36" t="inlineStr">
        <is>
          <t>最高水温</t>
        </is>
      </c>
      <c r="Q14" s="36" t="inlineStr">
        <is>
          <t>检测人</t>
        </is>
      </c>
    </row>
    <row r="15" ht="16.5" customHeight="1" s="241">
      <c r="A15" s="22" t="inlineStr">
        <is>
          <t>总氯</t>
        </is>
      </c>
      <c r="B15" s="22" t="inlineStr">
        <is>
          <t>冷麦汁FAN</t>
        </is>
      </c>
      <c r="C15" s="28" t="inlineStr">
        <is>
          <t>满罐Ca2+</t>
        </is>
      </c>
      <c r="D15" s="28" t="inlineStr">
        <is>
          <t>峰值追踪点6</t>
        </is>
      </c>
      <c r="E15" s="34" t="inlineStr">
        <is>
          <t>0hr酵母数</t>
        </is>
      </c>
      <c r="F15" s="23" t="inlineStr">
        <is>
          <t>结论</t>
        </is>
      </c>
      <c r="G15" s="34" t="inlineStr">
        <is>
          <t>中间点酵母数</t>
        </is>
      </c>
      <c r="H15" s="28" t="inlineStr">
        <is>
          <t>乙醛</t>
        </is>
      </c>
      <c r="I15" s="22" t="inlineStr">
        <is>
          <t>总D1</t>
        </is>
      </c>
      <c r="J15" s="35" t="inlineStr">
        <is>
          <t>RDF</t>
        </is>
      </c>
      <c r="K15" s="22" t="inlineStr">
        <is>
          <t>二氧化碳-手持</t>
        </is>
      </c>
      <c r="L15" s="28" t="inlineStr">
        <is>
          <t>PH</t>
        </is>
      </c>
      <c r="M15" s="22" t="inlineStr">
        <is>
          <t>多酚</t>
        </is>
      </c>
      <c r="N15" s="28" t="inlineStr">
        <is>
          <t>强化浊度结果</t>
        </is>
      </c>
      <c r="O15" s="22" t="inlineStr">
        <is>
          <t>酒阀</t>
        </is>
      </c>
      <c r="P15" s="36" t="inlineStr">
        <is>
          <t>出口酒温</t>
        </is>
      </c>
      <c r="Q15" s="36" t="inlineStr">
        <is>
          <t>审核人</t>
        </is>
      </c>
    </row>
    <row r="16" ht="16.5" customHeight="1" s="241">
      <c r="A16" s="22" t="inlineStr">
        <is>
          <t>余氯</t>
        </is>
      </c>
      <c r="B16" s="22" t="inlineStr">
        <is>
          <t>冷麦汁IBU</t>
        </is>
      </c>
      <c r="C16" s="35" t="inlineStr">
        <is>
          <t>满罐YCC</t>
        </is>
      </c>
      <c r="D16" s="28" t="inlineStr">
        <is>
          <t>峰值追踪点7</t>
        </is>
      </c>
      <c r="E16" s="28" t="inlineStr">
        <is>
          <t>主酵结束IBU</t>
        </is>
      </c>
      <c r="F16" s="23" t="inlineStr">
        <is>
          <t>备注</t>
        </is>
      </c>
      <c r="H16" s="34" t="inlineStr">
        <is>
          <t>是否DP合格</t>
        </is>
      </c>
      <c r="I16" s="22" t="inlineStr">
        <is>
          <t>总P1</t>
        </is>
      </c>
      <c r="J16" s="23" t="inlineStr">
        <is>
          <t>结论</t>
        </is>
      </c>
      <c r="K16" s="22" t="inlineStr">
        <is>
          <t>Iron</t>
        </is>
      </c>
      <c r="L16" s="28" t="inlineStr">
        <is>
          <t>color</t>
        </is>
      </c>
      <c r="M16" s="22" t="inlineStr">
        <is>
          <t>原浓</t>
        </is>
      </c>
      <c r="N16" s="25" t="inlineStr">
        <is>
          <t>检测人</t>
        </is>
      </c>
      <c r="O16" s="22" t="inlineStr">
        <is>
          <t>HSO</t>
        </is>
      </c>
      <c r="P16" s="36" t="inlineStr">
        <is>
          <t>冷核温度</t>
        </is>
      </c>
      <c r="Q16" s="36" t="inlineStr">
        <is>
          <t>KPI标记</t>
        </is>
      </c>
    </row>
    <row r="17" ht="16.5" customHeight="1" s="241">
      <c r="A17" s="22" t="inlineStr">
        <is>
          <t>苦味值</t>
        </is>
      </c>
      <c r="B17" s="22" t="inlineStr">
        <is>
          <t>冷麦汁总酸</t>
        </is>
      </c>
      <c r="C17" s="39" t="inlineStr">
        <is>
          <t>满罐死亡率</t>
        </is>
      </c>
      <c r="D17" s="28" t="inlineStr">
        <is>
          <t>峰值追踪点8</t>
        </is>
      </c>
      <c r="E17" s="28" t="inlineStr">
        <is>
          <t>主酵结束FAN</t>
        </is>
      </c>
      <c r="F17" s="23" t="inlineStr">
        <is>
          <t>检测人</t>
        </is>
      </c>
      <c r="H17" s="23" t="inlineStr">
        <is>
          <t>备注</t>
        </is>
      </c>
      <c r="I17" s="22" t="inlineStr">
        <is>
          <t>实际降温时间点</t>
        </is>
      </c>
      <c r="J17" s="23" t="inlineStr">
        <is>
          <t>备注</t>
        </is>
      </c>
      <c r="K17" s="22" t="inlineStr">
        <is>
          <t>多酚</t>
        </is>
      </c>
      <c r="L17" s="28" t="inlineStr">
        <is>
          <t>Fe</t>
        </is>
      </c>
      <c r="M17" s="22" t="inlineStr">
        <is>
          <t>真正发酵度</t>
        </is>
      </c>
      <c r="N17" s="25" t="inlineStr">
        <is>
          <t>审核人</t>
        </is>
      </c>
      <c r="O17" s="22" t="inlineStr">
        <is>
          <t>DO</t>
        </is>
      </c>
      <c r="P17" s="36" t="inlineStr">
        <is>
          <t>PU停机时间</t>
        </is>
      </c>
    </row>
    <row r="18" ht="16.5" customHeight="1" s="241">
      <c r="A18" s="22" t="inlineStr">
        <is>
          <t>CLO2</t>
        </is>
      </c>
      <c r="B18" s="22" t="inlineStr">
        <is>
          <t>头道麦汁OG</t>
        </is>
      </c>
      <c r="C18" s="28" t="inlineStr">
        <is>
          <t>满罐色度</t>
        </is>
      </c>
      <c r="D18" s="34" t="inlineStr">
        <is>
          <t>峰值结果</t>
        </is>
      </c>
      <c r="E18" s="40" t="inlineStr">
        <is>
          <t>FAN uptake</t>
        </is>
      </c>
      <c r="F18" s="23" t="inlineStr">
        <is>
          <t>审核人</t>
        </is>
      </c>
      <c r="H18" s="23" t="inlineStr">
        <is>
          <t>检测人</t>
        </is>
      </c>
      <c r="I18" s="22" t="inlineStr">
        <is>
          <t>游离D2</t>
        </is>
      </c>
      <c r="J18" s="23" t="inlineStr">
        <is>
          <t>检测人</t>
        </is>
      </c>
      <c r="K18" s="22" t="inlineStr">
        <is>
          <t>原浓</t>
        </is>
      </c>
      <c r="L18" s="28" t="inlineStr">
        <is>
          <t>总酸</t>
        </is>
      </c>
      <c r="M18" s="22" t="inlineStr">
        <is>
          <t>外观浓度</t>
        </is>
      </c>
      <c r="N18" s="25" t="inlineStr">
        <is>
          <t>结论</t>
        </is>
      </c>
      <c r="O18" s="22" t="inlineStr">
        <is>
          <t>TPO</t>
        </is>
      </c>
      <c r="P18" s="36" t="inlineStr">
        <is>
          <t>扣除停机PU</t>
        </is>
      </c>
    </row>
    <row r="19" ht="16.5" customHeight="1" s="241">
      <c r="A19" s="22" t="inlineStr">
        <is>
          <t>钠</t>
        </is>
      </c>
      <c r="B19" s="22" t="inlineStr">
        <is>
          <t>Hot Time</t>
        </is>
      </c>
      <c r="C19" s="34" t="inlineStr">
        <is>
          <t>峰值YCC</t>
        </is>
      </c>
      <c r="D19" s="23" t="inlineStr">
        <is>
          <t>备注</t>
        </is>
      </c>
      <c r="E19" s="40" t="inlineStr">
        <is>
          <t>IBU Drop</t>
        </is>
      </c>
      <c r="H19" s="23" t="inlineStr">
        <is>
          <t>审核人</t>
        </is>
      </c>
      <c r="I19" s="22" t="inlineStr">
        <is>
          <t>游离P2</t>
        </is>
      </c>
      <c r="J19" s="23" t="inlineStr">
        <is>
          <t>审核人</t>
        </is>
      </c>
      <c r="K19" s="22" t="inlineStr">
        <is>
          <t>真正发酵度</t>
        </is>
      </c>
      <c r="L19" s="38" t="inlineStr">
        <is>
          <t>游离D</t>
        </is>
      </c>
      <c r="M19" s="22" t="inlineStr">
        <is>
          <t>酒精度(W/W)</t>
        </is>
      </c>
      <c r="N19" s="25" t="inlineStr">
        <is>
          <t>备注</t>
        </is>
      </c>
      <c r="O19" s="22" t="inlineStr">
        <is>
          <t>TPO平均值</t>
        </is>
      </c>
      <c r="P19" s="36" t="inlineStr">
        <is>
          <t>PU仪位置</t>
        </is>
      </c>
    </row>
    <row r="20" ht="16.5" customHeight="1" s="241">
      <c r="A20" s="22" t="inlineStr">
        <is>
          <t>电导率</t>
        </is>
      </c>
      <c r="B20" s="22" t="inlineStr">
        <is>
          <t>备注</t>
        </is>
      </c>
      <c r="C20" s="35" t="inlineStr">
        <is>
          <t>极限发酵度</t>
        </is>
      </c>
      <c r="D20" s="23" t="inlineStr">
        <is>
          <t>检测人</t>
        </is>
      </c>
      <c r="H20" s="23" t="inlineStr">
        <is>
          <t>KPI标记</t>
        </is>
      </c>
      <c r="I20" s="22" t="inlineStr">
        <is>
          <t>总D2</t>
        </is>
      </c>
      <c r="J20" s="23" t="inlineStr">
        <is>
          <t>KPI标记</t>
        </is>
      </c>
      <c r="K20" s="22" t="inlineStr">
        <is>
          <t>外观浓度</t>
        </is>
      </c>
      <c r="L20" s="38" t="inlineStr">
        <is>
          <t>总D</t>
        </is>
      </c>
      <c r="M20" s="22" t="inlineStr">
        <is>
          <t>酒精度(V/V)</t>
        </is>
      </c>
      <c r="O20" s="22" t="inlineStr">
        <is>
          <t>CO2</t>
        </is>
      </c>
      <c r="P20" s="36" t="inlineStr">
        <is>
          <t>PU仪编号</t>
        </is>
      </c>
    </row>
    <row r="21" ht="16.5" customHeight="1" s="241">
      <c r="A21" s="22" t="inlineStr">
        <is>
          <t>油性</t>
        </is>
      </c>
      <c r="B21" s="22" t="inlineStr">
        <is>
          <t>检测人</t>
        </is>
      </c>
      <c r="C21" s="35" t="inlineStr">
        <is>
          <t>极限AE</t>
        </is>
      </c>
      <c r="D21" s="23" t="inlineStr">
        <is>
          <t>审核人</t>
        </is>
      </c>
      <c r="I21" s="22" t="inlineStr">
        <is>
          <t>总P2</t>
        </is>
      </c>
      <c r="K21" s="22" t="inlineStr">
        <is>
          <t>酒精度(W/W)</t>
        </is>
      </c>
      <c r="L21" s="28" t="inlineStr">
        <is>
          <t>结论</t>
        </is>
      </c>
      <c r="M21" s="22" t="inlineStr">
        <is>
          <t>RE</t>
        </is>
      </c>
      <c r="O21" s="22" t="inlineStr">
        <is>
          <t>CO2平均值</t>
        </is>
      </c>
      <c r="P21" s="36" t="inlineStr">
        <is>
          <t>PU探针编号</t>
        </is>
      </c>
    </row>
    <row r="22" ht="16.5" customHeight="1" s="241">
      <c r="A22" s="22" t="inlineStr">
        <is>
          <t>钙</t>
        </is>
      </c>
      <c r="B22" s="22" t="inlineStr">
        <is>
          <t>审核人</t>
        </is>
      </c>
      <c r="C22" s="28" t="inlineStr">
        <is>
          <t>OG</t>
        </is>
      </c>
      <c r="D22" s="23" t="inlineStr">
        <is>
          <t>KPI标记</t>
        </is>
      </c>
      <c r="I22" s="22" t="inlineStr">
        <is>
          <t>AA2</t>
        </is>
      </c>
      <c r="K22" s="22" t="inlineStr">
        <is>
          <t>酒精度(V/V)</t>
        </is>
      </c>
      <c r="L22" s="28" t="inlineStr">
        <is>
          <t>备注</t>
        </is>
      </c>
      <c r="M22" s="22" t="inlineStr">
        <is>
          <t>色度(EBC)</t>
        </is>
      </c>
      <c r="O22" s="22" t="inlineStr">
        <is>
          <t>密度</t>
        </is>
      </c>
      <c r="P22" s="36" t="inlineStr">
        <is>
          <t>结论</t>
        </is>
      </c>
    </row>
    <row r="23" ht="16.5" customHeight="1" s="241">
      <c r="A23" s="22" t="inlineStr">
        <is>
          <t>TTHM</t>
        </is>
      </c>
      <c r="B23" s="22" t="inlineStr">
        <is>
          <t>订单号</t>
        </is>
      </c>
      <c r="C23" s="35" t="inlineStr">
        <is>
          <t>RE</t>
        </is>
      </c>
      <c r="I23" s="22" t="inlineStr">
        <is>
          <t>极限糖度</t>
        </is>
      </c>
      <c r="K23" s="22" t="inlineStr">
        <is>
          <t>RE</t>
        </is>
      </c>
      <c r="L23" s="25" t="inlineStr">
        <is>
          <t>检测人</t>
        </is>
      </c>
      <c r="M23" s="22" t="inlineStr">
        <is>
          <t>LAB色度-L</t>
        </is>
      </c>
      <c r="O23" s="22" t="inlineStr">
        <is>
          <t>满瓶/听+盖重量</t>
        </is>
      </c>
      <c r="P23" s="36" t="inlineStr">
        <is>
          <t>备注</t>
        </is>
      </c>
    </row>
    <row r="24" ht="16.5" customHeight="1" s="241">
      <c r="A24" s="22" t="inlineStr">
        <is>
          <t>氯化物</t>
        </is>
      </c>
      <c r="B24" s="22" t="inlineStr">
        <is>
          <t>批次号</t>
        </is>
      </c>
      <c r="C24" s="28" t="inlineStr">
        <is>
          <t>ALC</t>
        </is>
      </c>
      <c r="I24" s="22" t="inlineStr">
        <is>
          <t>B-A</t>
        </is>
      </c>
      <c r="K24" s="22" t="inlineStr">
        <is>
          <t>色度(ASBC)</t>
        </is>
      </c>
      <c r="L24" s="25" t="inlineStr">
        <is>
          <t>审核人</t>
        </is>
      </c>
      <c r="M24" s="22" t="inlineStr">
        <is>
          <t>LAB色度-A</t>
        </is>
      </c>
      <c r="O24" s="22" t="inlineStr">
        <is>
          <t>空瓶/听+盖重量</t>
        </is>
      </c>
      <c r="P24" s="36" t="inlineStr">
        <is>
          <t>检测人</t>
        </is>
      </c>
    </row>
    <row r="25" ht="16.5" customHeight="1" s="241">
      <c r="A25" s="22" t="inlineStr">
        <is>
          <t>亚硝酸盐</t>
        </is>
      </c>
      <c r="B25" s="22" t="inlineStr">
        <is>
          <t>结果判定</t>
        </is>
      </c>
      <c r="C25" s="39" t="inlineStr">
        <is>
          <t>pH</t>
        </is>
      </c>
      <c r="I25" s="22" t="inlineStr">
        <is>
          <t>IBU</t>
        </is>
      </c>
      <c r="K25" s="22" t="inlineStr">
        <is>
          <t>色度(EBC)</t>
        </is>
      </c>
      <c r="M25" s="22" t="inlineStr">
        <is>
          <t>LAB色度-B</t>
        </is>
      </c>
      <c r="O25" s="22" t="inlineStr">
        <is>
          <t>容量</t>
        </is>
      </c>
      <c r="P25" s="36" t="inlineStr">
        <is>
          <t>审核人</t>
        </is>
      </c>
    </row>
    <row r="26" ht="16.5" customHeight="1" s="241">
      <c r="A26" s="22" t="inlineStr">
        <is>
          <t>硝酸盐</t>
        </is>
      </c>
      <c r="B26" s="22" t="inlineStr">
        <is>
          <t>所属工厂</t>
        </is>
      </c>
      <c r="C26" s="39" t="inlineStr">
        <is>
          <t>Color</t>
        </is>
      </c>
      <c r="I26" s="22" t="inlineStr">
        <is>
          <t>FAN</t>
        </is>
      </c>
      <c r="K26" s="22" t="inlineStr">
        <is>
          <t>PH值</t>
        </is>
      </c>
      <c r="M26" s="22" t="inlineStr">
        <is>
          <t>PH值</t>
        </is>
      </c>
      <c r="O26" s="22" t="inlineStr">
        <is>
          <t>容量平均值</t>
        </is>
      </c>
      <c r="P26" s="36" t="inlineStr">
        <is>
          <t>KPI标记</t>
        </is>
      </c>
    </row>
    <row r="27">
      <c r="A27" s="22" t="inlineStr">
        <is>
          <t>镁</t>
        </is>
      </c>
      <c r="C27" s="41" t="inlineStr">
        <is>
          <t>满罐72hrAE</t>
        </is>
      </c>
      <c r="I27" s="22" t="inlineStr">
        <is>
          <t>原浓</t>
        </is>
      </c>
      <c r="K27" s="22" t="inlineStr">
        <is>
          <t>浊度90°角</t>
        </is>
      </c>
      <c r="M27" s="22" t="inlineStr">
        <is>
          <t>浊度90°角</t>
        </is>
      </c>
      <c r="O27" s="22" t="inlineStr">
        <is>
          <t>备注</t>
        </is>
      </c>
    </row>
    <row r="28">
      <c r="A28" s="22" t="inlineStr">
        <is>
          <t>浊度</t>
        </is>
      </c>
      <c r="C28" s="41" t="inlineStr">
        <is>
          <t>主酵AE跟踪点1</t>
        </is>
      </c>
      <c r="I28" s="22" t="inlineStr">
        <is>
          <t>发酵度</t>
        </is>
      </c>
      <c r="K28" s="22" t="inlineStr">
        <is>
          <t>浊度25°角</t>
        </is>
      </c>
      <c r="M28" s="22" t="inlineStr">
        <is>
          <t>浊度25°角</t>
        </is>
      </c>
      <c r="O28" s="22" t="inlineStr">
        <is>
          <t>检测人</t>
        </is>
      </c>
    </row>
    <row r="29">
      <c r="A29" s="22" t="inlineStr">
        <is>
          <t>氨根离子</t>
        </is>
      </c>
      <c r="C29" s="41" t="inlineStr">
        <is>
          <t>主酵AE跟踪点2</t>
        </is>
      </c>
      <c r="I29" s="22" t="inlineStr">
        <is>
          <t>AE</t>
        </is>
      </c>
      <c r="K29" s="22" t="inlineStr">
        <is>
          <t>泡沫</t>
        </is>
      </c>
      <c r="M29" s="22" t="inlineStr">
        <is>
          <t>泡沫</t>
        </is>
      </c>
      <c r="O29" s="22" t="inlineStr">
        <is>
          <t>审核人</t>
        </is>
      </c>
    </row>
    <row r="30">
      <c r="A30" s="22" t="inlineStr">
        <is>
          <t>溶解氧</t>
        </is>
      </c>
      <c r="C30" s="41" t="inlineStr">
        <is>
          <t>主酵AE跟踪点3</t>
        </is>
      </c>
      <c r="I30" s="22" t="inlineStr">
        <is>
          <t>酒精</t>
        </is>
      </c>
      <c r="K30" s="22" t="inlineStr">
        <is>
          <t>苦味值</t>
        </is>
      </c>
      <c r="M30" s="22" t="inlineStr">
        <is>
          <t>苦味值</t>
        </is>
      </c>
      <c r="O30" s="22" t="inlineStr">
        <is>
          <t>结果判定</t>
        </is>
      </c>
    </row>
    <row r="31">
      <c r="A31" s="22" t="inlineStr">
        <is>
          <t>是否检测完成</t>
        </is>
      </c>
      <c r="C31" s="41" t="inlineStr">
        <is>
          <t>主教结束AE</t>
        </is>
      </c>
      <c r="I31" s="22" t="inlineStr">
        <is>
          <t>RE</t>
        </is>
      </c>
      <c r="K31" s="22" t="inlineStr">
        <is>
          <t>游离D</t>
        </is>
      </c>
      <c r="M31" s="22" t="inlineStr">
        <is>
          <t>游离D</t>
        </is>
      </c>
      <c r="O31" s="22" t="inlineStr">
        <is>
          <t>所属工厂</t>
        </is>
      </c>
    </row>
    <row r="32">
      <c r="A32" s="22" t="inlineStr">
        <is>
          <t>检测人</t>
        </is>
      </c>
      <c r="C32" s="23" t="inlineStr">
        <is>
          <t>结论</t>
        </is>
      </c>
      <c r="I32" s="22" t="inlineStr">
        <is>
          <t>pH</t>
        </is>
      </c>
      <c r="K32" s="22" t="inlineStr">
        <is>
          <t>游离P</t>
        </is>
      </c>
      <c r="M32" s="22" t="inlineStr">
        <is>
          <t>游离P</t>
        </is>
      </c>
    </row>
    <row r="33">
      <c r="A33" s="22" t="inlineStr">
        <is>
          <t>审核人</t>
        </is>
      </c>
      <c r="C33" s="23" t="inlineStr">
        <is>
          <t>备注</t>
        </is>
      </c>
      <c r="I33" s="22" t="inlineStr">
        <is>
          <t>色度</t>
        </is>
      </c>
      <c r="K33" s="22" t="inlineStr">
        <is>
          <t>总D</t>
        </is>
      </c>
      <c r="M33" s="22" t="inlineStr">
        <is>
          <t>总D</t>
        </is>
      </c>
    </row>
    <row r="34">
      <c r="A34" s="22" t="inlineStr">
        <is>
          <t>备注</t>
        </is>
      </c>
      <c r="C34" s="23" t="inlineStr">
        <is>
          <t>检测人</t>
        </is>
      </c>
      <c r="I34" s="22" t="inlineStr">
        <is>
          <t>总酸</t>
        </is>
      </c>
      <c r="K34" s="22" t="inlineStr">
        <is>
          <t>总P</t>
        </is>
      </c>
      <c r="M34" s="22" t="inlineStr">
        <is>
          <t>总P</t>
        </is>
      </c>
    </row>
    <row r="35">
      <c r="A35" s="22" t="inlineStr">
        <is>
          <t>批次号</t>
        </is>
      </c>
      <c r="C35" s="23" t="inlineStr">
        <is>
          <t>审核人</t>
        </is>
      </c>
      <c r="I35" s="22" t="inlineStr">
        <is>
          <t>备注</t>
        </is>
      </c>
      <c r="K35" s="22" t="inlineStr">
        <is>
          <t>AA</t>
        </is>
      </c>
      <c r="M35" s="22" t="inlineStr">
        <is>
          <t>AA</t>
        </is>
      </c>
    </row>
    <row r="36">
      <c r="A36" s="22" t="inlineStr">
        <is>
          <t>结果判定</t>
        </is>
      </c>
      <c r="C36" s="23" t="inlineStr">
        <is>
          <t>KPI标记</t>
        </is>
      </c>
      <c r="I36" s="22" t="inlineStr">
        <is>
          <t>检测人</t>
        </is>
      </c>
      <c r="K36" s="22" t="inlineStr">
        <is>
          <t>LAB色度-L</t>
        </is>
      </c>
      <c r="M36" s="22" t="inlineStr">
        <is>
          <t>SO2</t>
        </is>
      </c>
    </row>
    <row r="37">
      <c r="A37" s="22" t="inlineStr">
        <is>
          <t>所属工厂</t>
        </is>
      </c>
      <c r="I37" s="22" t="inlineStr">
        <is>
          <t>审核人</t>
        </is>
      </c>
      <c r="K37" s="22" t="inlineStr">
        <is>
          <t>LAB色度-A</t>
        </is>
      </c>
      <c r="M37" s="22" t="inlineStr">
        <is>
          <t>SO2衰减</t>
        </is>
      </c>
    </row>
    <row r="38">
      <c r="I38" s="22" t="inlineStr">
        <is>
          <t>结果判定</t>
        </is>
      </c>
      <c r="K38" s="22" t="inlineStr">
        <is>
          <t>LAB色度-B</t>
        </is>
      </c>
      <c r="M38" s="22" t="inlineStr">
        <is>
          <t>总酸</t>
        </is>
      </c>
    </row>
    <row r="39">
      <c r="I39" s="22" t="inlineStr">
        <is>
          <t>所属工厂</t>
        </is>
      </c>
      <c r="K39" s="22" t="inlineStr">
        <is>
          <t>总酸</t>
        </is>
      </c>
      <c r="M39" s="22" t="inlineStr">
        <is>
          <t>备注</t>
        </is>
      </c>
    </row>
    <row r="40">
      <c r="K40" s="22" t="inlineStr">
        <is>
          <t>YCC</t>
        </is>
      </c>
      <c r="M40" s="22" t="inlineStr">
        <is>
          <t>检测人</t>
        </is>
      </c>
    </row>
    <row r="41">
      <c r="K41" s="22" t="inlineStr">
        <is>
          <t>钠</t>
        </is>
      </c>
      <c r="M41" s="22" t="inlineStr">
        <is>
          <t>审核人</t>
        </is>
      </c>
    </row>
    <row r="42">
      <c r="K42" s="22" t="inlineStr">
        <is>
          <t>备注</t>
        </is>
      </c>
      <c r="M42" s="22" t="inlineStr">
        <is>
          <t>订单号</t>
        </is>
      </c>
    </row>
    <row r="43">
      <c r="K43" s="22" t="inlineStr">
        <is>
          <t>检测人</t>
        </is>
      </c>
      <c r="M43" s="22" t="inlineStr">
        <is>
          <t>批次号</t>
        </is>
      </c>
    </row>
    <row r="44">
      <c r="K44" s="22" t="inlineStr">
        <is>
          <t>审核人</t>
        </is>
      </c>
      <c r="M44" s="22" t="inlineStr">
        <is>
          <t>结果判定</t>
        </is>
      </c>
    </row>
    <row r="45">
      <c r="K45" s="22" t="inlineStr">
        <is>
          <t>订单号</t>
        </is>
      </c>
      <c r="M45" s="22" t="inlineStr">
        <is>
          <t>所属工厂</t>
        </is>
      </c>
    </row>
    <row r="46">
      <c r="K46" s="22" t="inlineStr">
        <is>
          <t>批次号</t>
        </is>
      </c>
    </row>
    <row r="47">
      <c r="K47" s="22" t="inlineStr">
        <is>
          <t>结果判定</t>
        </is>
      </c>
    </row>
    <row r="48">
      <c r="K48" s="22" t="inlineStr">
        <is>
          <t>所属工厂</t>
        </is>
      </c>
    </row>
  </sheetData>
  <pageMargins left="0.7" right="0.7" top="0.75" bottom="0.75" header="0.3" footer="0.3"/>
  <pageSetup orientation="portrait" paperSize="9" horizontalDpi="300" verticalDpi="300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U18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ColWidth="8.85546875" defaultRowHeight="15"/>
  <cols>
    <col width="10.85546875" customWidth="1" style="1" min="1" max="1"/>
    <col width="10.42578125" customWidth="1" style="1" min="2" max="2"/>
    <col width="25.42578125" customWidth="1" style="2" min="3" max="4"/>
    <col width="9.85546875" customWidth="1" style="1" min="5" max="5"/>
    <col width="32.42578125" customWidth="1" style="2" min="6" max="6"/>
    <col width="11.140625" customWidth="1" style="3" min="7" max="7"/>
    <col width="10.85546875" customWidth="1" style="1" min="8" max="8"/>
    <col hidden="1" width="10" customWidth="1" style="2" min="9" max="9"/>
    <col hidden="1" width="12.140625" customWidth="1" style="2" min="10" max="10"/>
    <col hidden="1" width="8.42578125" customWidth="1" style="1" min="11" max="12"/>
    <col hidden="1" width="8.42578125" customWidth="1" style="3" min="13" max="19"/>
    <col hidden="1" width="6.85546875" customWidth="1" style="3" min="20" max="20"/>
    <col width="8.85546875" customWidth="1" style="3" min="21" max="27"/>
    <col width="8.85546875" customWidth="1" style="3" min="28" max="16384"/>
  </cols>
  <sheetData>
    <row r="1" ht="37.5" customHeight="1" s="241">
      <c r="A1" s="4" t="inlineStr">
        <is>
          <t>序号</t>
        </is>
      </c>
      <c r="B1" s="4" t="inlineStr">
        <is>
          <t>工序</t>
        </is>
      </c>
      <c r="C1" s="4" t="inlineStr">
        <is>
          <t>点位</t>
        </is>
      </c>
      <c r="D1" s="4" t="n"/>
      <c r="E1" s="4" t="inlineStr">
        <is>
          <t>单位</t>
        </is>
      </c>
      <c r="F1" s="4" t="inlineStr">
        <is>
          <t>Remark</t>
        </is>
      </c>
      <c r="G1" s="3" t="inlineStr">
        <is>
          <t>KPI</t>
        </is>
      </c>
      <c r="H1" s="1" t="inlineStr">
        <is>
          <t>Priority</t>
        </is>
      </c>
      <c r="I1" s="5" t="inlineStr">
        <is>
          <t>排版</t>
        </is>
      </c>
      <c r="J1" s="5" t="inlineStr">
        <is>
          <t>来源</t>
        </is>
      </c>
      <c r="K1" s="6" t="inlineStr">
        <is>
          <t>Bud/Michelob</t>
        </is>
      </c>
      <c r="L1" s="6" t="inlineStr">
        <is>
          <t>Corona</t>
        </is>
      </c>
      <c r="M1" s="6" t="inlineStr">
        <is>
          <t>Harbin</t>
        </is>
      </c>
      <c r="N1" s="6" t="inlineStr">
        <is>
          <t>CASS</t>
        </is>
      </c>
      <c r="O1" s="7" t="inlineStr">
        <is>
          <t>Local</t>
        </is>
      </c>
      <c r="P1" s="7" t="inlineStr">
        <is>
          <t>Beck's/Stella</t>
        </is>
      </c>
      <c r="Q1" s="7" t="inlineStr">
        <is>
          <t>Hoegaarden</t>
        </is>
      </c>
      <c r="R1" s="7" t="inlineStr">
        <is>
          <t>FRZ</t>
        </is>
      </c>
      <c r="S1" s="7" t="inlineStr">
        <is>
          <t>压滤机</t>
        </is>
      </c>
      <c r="T1" s="7" t="inlineStr">
        <is>
          <t>满锅后煮沸</t>
        </is>
      </c>
    </row>
    <row r="2">
      <c r="A2" s="4" t="n">
        <v>1</v>
      </c>
      <c r="B2" s="8" t="inlineStr">
        <is>
          <t>Sensory</t>
        </is>
      </c>
      <c r="C2" s="9" t="inlineStr">
        <is>
          <t>Sensory Result</t>
        </is>
      </c>
      <c r="D2" s="9" t="n"/>
      <c r="E2" s="8" t="n"/>
      <c r="F2" s="9" t="inlineStr">
        <is>
          <t>工厂各品牌品尝结果，计算KPI的panel</t>
        </is>
      </c>
      <c r="H2" s="1" t="n">
        <v>1</v>
      </c>
      <c r="I2" s="2" t="inlineStr">
        <is>
          <t>一页</t>
        </is>
      </c>
      <c r="J2" s="2" t="inlineStr">
        <is>
          <t>SSS Dashboard</t>
        </is>
      </c>
    </row>
    <row r="3">
      <c r="A3" s="4">
        <f>A2+1</f>
        <v/>
      </c>
      <c r="B3" s="8" t="inlineStr">
        <is>
          <t>水</t>
        </is>
      </c>
      <c r="C3" s="9" t="inlineStr">
        <is>
          <t>源水TTHM</t>
        </is>
      </c>
      <c r="D3" s="9" t="n"/>
      <c r="E3" s="8" t="inlineStr">
        <is>
          <t>ppb</t>
        </is>
      </c>
      <c r="F3" s="9" t="n"/>
      <c r="H3" s="1" t="n">
        <v>1</v>
      </c>
      <c r="I3" s="263" t="inlineStr">
        <is>
          <t>一页</t>
        </is>
      </c>
      <c r="J3" s="2" t="inlineStr">
        <is>
          <t>LIMS</t>
        </is>
      </c>
    </row>
    <row r="4">
      <c r="A4" s="4">
        <f>A3+1</f>
        <v/>
      </c>
      <c r="B4" s="8" t="inlineStr">
        <is>
          <t>水</t>
        </is>
      </c>
      <c r="C4" s="9" t="inlineStr">
        <is>
          <t>ACF出口水TTHM</t>
        </is>
      </c>
      <c r="D4" s="9" t="n"/>
      <c r="E4" s="8" t="inlineStr">
        <is>
          <t>ppb</t>
        </is>
      </c>
      <c r="F4" s="9" t="n"/>
      <c r="H4" s="1" t="n">
        <v>1</v>
      </c>
      <c r="I4" s="264" t="n"/>
      <c r="J4" s="2" t="inlineStr">
        <is>
          <t>LIMS</t>
        </is>
      </c>
    </row>
    <row r="5">
      <c r="A5" s="4">
        <f>A4+1</f>
        <v/>
      </c>
      <c r="B5" s="8" t="inlineStr">
        <is>
          <t>水</t>
        </is>
      </c>
      <c r="C5" s="9" t="inlineStr">
        <is>
          <t>投料水TTHM</t>
        </is>
      </c>
      <c r="D5" s="9" t="n"/>
      <c r="E5" s="8" t="inlineStr">
        <is>
          <t>ppb</t>
        </is>
      </c>
      <c r="F5" s="9" t="n"/>
      <c r="H5" s="1" t="n">
        <v>1</v>
      </c>
      <c r="I5" s="264" t="n"/>
      <c r="J5" s="2" t="inlineStr">
        <is>
          <t>LIMS</t>
        </is>
      </c>
    </row>
    <row r="6">
      <c r="A6" s="4">
        <f>A5+1</f>
        <v/>
      </c>
      <c r="B6" s="8" t="inlineStr">
        <is>
          <t>水</t>
        </is>
      </c>
      <c r="C6" s="9" t="inlineStr">
        <is>
          <t>稀释水TTHM</t>
        </is>
      </c>
      <c r="D6" s="9" t="n"/>
      <c r="E6" s="8" t="inlineStr">
        <is>
          <t>ppb</t>
        </is>
      </c>
      <c r="F6" s="9" t="n"/>
      <c r="H6" s="1" t="n">
        <v>1</v>
      </c>
      <c r="I6" s="264" t="n"/>
      <c r="J6" s="2" t="inlineStr">
        <is>
          <t>LIMS</t>
        </is>
      </c>
    </row>
    <row r="7">
      <c r="A7" s="4">
        <f>A6+1</f>
        <v/>
      </c>
      <c r="B7" s="8" t="inlineStr">
        <is>
          <t>水</t>
        </is>
      </c>
      <c r="C7" s="9" t="inlineStr">
        <is>
          <t>源水ClO2</t>
        </is>
      </c>
      <c r="D7" s="9" t="n"/>
      <c r="E7" s="8" t="inlineStr">
        <is>
          <t>ppm</t>
        </is>
      </c>
      <c r="F7" s="9" t="inlineStr">
        <is>
          <t>工厂加氯后</t>
        </is>
      </c>
      <c r="H7" s="1" t="n">
        <v>1</v>
      </c>
      <c r="I7" s="264" t="n"/>
      <c r="J7" s="2" t="inlineStr">
        <is>
          <t>LIMS</t>
        </is>
      </c>
    </row>
    <row r="8">
      <c r="A8" s="4">
        <f>A7+1</f>
        <v/>
      </c>
      <c r="B8" s="8" t="inlineStr">
        <is>
          <t>水</t>
        </is>
      </c>
      <c r="C8" s="9" t="inlineStr">
        <is>
          <t>投料水ClO2</t>
        </is>
      </c>
      <c r="D8" s="9" t="n"/>
      <c r="E8" s="8" t="inlineStr">
        <is>
          <t>ppm</t>
        </is>
      </c>
      <c r="F8" s="9" t="n"/>
      <c r="H8" s="1" t="n">
        <v>1</v>
      </c>
      <c r="I8" s="264" t="n"/>
      <c r="J8" s="2" t="inlineStr">
        <is>
          <t>LIMS</t>
        </is>
      </c>
    </row>
    <row r="9">
      <c r="A9" s="4">
        <f>A8+1</f>
        <v/>
      </c>
      <c r="B9" s="8" t="inlineStr">
        <is>
          <t>水</t>
        </is>
      </c>
      <c r="C9" s="9" t="inlineStr">
        <is>
          <t>CIP水ClO2</t>
        </is>
      </c>
      <c r="D9" s="9" t="n"/>
      <c r="E9" s="8" t="inlineStr">
        <is>
          <t>ppm</t>
        </is>
      </c>
      <c r="F9" s="9" t="n"/>
      <c r="H9" s="1" t="n">
        <v>1</v>
      </c>
      <c r="I9" s="264" t="n"/>
      <c r="J9" s="2" t="inlineStr">
        <is>
          <t>LIMS</t>
        </is>
      </c>
    </row>
    <row r="10">
      <c r="A10" s="4">
        <f>A9+1</f>
        <v/>
      </c>
      <c r="B10" s="8" t="inlineStr">
        <is>
          <t>水</t>
        </is>
      </c>
      <c r="C10" s="9" t="inlineStr">
        <is>
          <t>Jettler 水ClO2</t>
        </is>
      </c>
      <c r="D10" s="9" t="n"/>
      <c r="E10" s="8" t="inlineStr">
        <is>
          <t>ppm</t>
        </is>
      </c>
      <c r="F10" s="9" t="n"/>
      <c r="H10" s="1" t="n">
        <v>1</v>
      </c>
      <c r="I10" s="264" t="n"/>
      <c r="J10" s="2" t="inlineStr">
        <is>
          <t>LIMS</t>
        </is>
      </c>
    </row>
    <row r="11">
      <c r="A11" s="4">
        <f>A10+1</f>
        <v/>
      </c>
      <c r="B11" s="8" t="inlineStr">
        <is>
          <t>水</t>
        </is>
      </c>
      <c r="C11" s="9" t="inlineStr">
        <is>
          <t>稀释水ClO2</t>
        </is>
      </c>
      <c r="D11" s="9" t="n"/>
      <c r="E11" s="8" t="inlineStr">
        <is>
          <t>ppm</t>
        </is>
      </c>
      <c r="F11" s="9" t="n"/>
      <c r="H11" s="1" t="n">
        <v>1</v>
      </c>
      <c r="I11" s="264" t="n"/>
      <c r="J11" s="2" t="inlineStr">
        <is>
          <t>LIMS</t>
        </is>
      </c>
    </row>
    <row r="12">
      <c r="A12" s="4">
        <f>A11+1</f>
        <v/>
      </c>
      <c r="B12" s="8" t="inlineStr">
        <is>
          <t>水</t>
        </is>
      </c>
      <c r="C12" s="9" t="inlineStr">
        <is>
          <t>源水碱度</t>
        </is>
      </c>
      <c r="D12" s="9" t="n"/>
      <c r="E12" s="8" t="inlineStr">
        <is>
          <t>ppm</t>
        </is>
      </c>
      <c r="F12" s="9" t="n"/>
      <c r="H12" s="1" t="n">
        <v>1</v>
      </c>
      <c r="I12" s="263" t="inlineStr">
        <is>
          <t>一页</t>
        </is>
      </c>
      <c r="J12" s="2" t="inlineStr">
        <is>
          <t>LIMS</t>
        </is>
      </c>
    </row>
    <row r="13">
      <c r="A13" s="4">
        <f>A12+1</f>
        <v/>
      </c>
      <c r="B13" s="8" t="inlineStr">
        <is>
          <t>水</t>
        </is>
      </c>
      <c r="C13" s="9" t="inlineStr">
        <is>
          <t>投料水碱度</t>
        </is>
      </c>
      <c r="D13" s="9" t="n"/>
      <c r="E13" s="8" t="inlineStr">
        <is>
          <t>ppm</t>
        </is>
      </c>
      <c r="F13" s="9" t="n"/>
      <c r="H13" s="1" t="n">
        <v>1</v>
      </c>
      <c r="I13" s="264" t="n"/>
      <c r="J13" s="2" t="inlineStr">
        <is>
          <t>LIMS</t>
        </is>
      </c>
    </row>
    <row r="14">
      <c r="A14" s="4">
        <f>A13+1</f>
        <v/>
      </c>
      <c r="B14" s="8" t="inlineStr">
        <is>
          <t>水</t>
        </is>
      </c>
      <c r="C14" s="9" t="inlineStr">
        <is>
          <t>源水硬度</t>
        </is>
      </c>
      <c r="D14" s="9" t="n"/>
      <c r="E14" s="8" t="inlineStr">
        <is>
          <t>ppm</t>
        </is>
      </c>
      <c r="F14" s="9" t="n"/>
      <c r="H14" s="1" t="n">
        <v>1</v>
      </c>
      <c r="I14" s="264" t="n"/>
      <c r="J14" s="2" t="inlineStr">
        <is>
          <t>LIMS</t>
        </is>
      </c>
    </row>
    <row r="15">
      <c r="A15" s="4">
        <f>A14+1</f>
        <v/>
      </c>
      <c r="B15" s="8" t="inlineStr">
        <is>
          <t>水</t>
        </is>
      </c>
      <c r="C15" s="9" t="inlineStr">
        <is>
          <t>投料水硬度</t>
        </is>
      </c>
      <c r="D15" s="9" t="n"/>
      <c r="E15" s="8" t="inlineStr">
        <is>
          <t>ppm</t>
        </is>
      </c>
      <c r="F15" s="9" t="n"/>
      <c r="H15" s="1" t="n">
        <v>1</v>
      </c>
      <c r="I15" s="264" t="n"/>
      <c r="J15" s="2" t="inlineStr">
        <is>
          <t>LIMS</t>
        </is>
      </c>
    </row>
    <row r="16">
      <c r="A16" s="4">
        <f>A15+1</f>
        <v/>
      </c>
      <c r="B16" s="8" t="inlineStr">
        <is>
          <t>水</t>
        </is>
      </c>
      <c r="C16" s="9" t="inlineStr">
        <is>
          <t>投料冷水pH</t>
        </is>
      </c>
      <c r="D16" s="9" t="n"/>
      <c r="E16" s="8" t="n"/>
      <c r="F16" s="9" t="inlineStr">
        <is>
          <t>冷热水pH 一张图展示</t>
        </is>
      </c>
      <c r="H16" s="1" t="n">
        <v>1</v>
      </c>
      <c r="I16" s="264" t="n"/>
      <c r="J16" s="2" t="inlineStr">
        <is>
          <t>LIMS</t>
        </is>
      </c>
    </row>
    <row r="17">
      <c r="A17" s="4">
        <f>A16+1</f>
        <v/>
      </c>
      <c r="B17" s="8" t="inlineStr">
        <is>
          <t>水</t>
        </is>
      </c>
      <c r="C17" s="9" t="inlineStr">
        <is>
          <t>投料热水pH</t>
        </is>
      </c>
      <c r="D17" s="9" t="n"/>
      <c r="E17" s="8" t="n"/>
      <c r="F17" s="9" t="n"/>
      <c r="H17" s="1" t="n">
        <v>1</v>
      </c>
      <c r="I17" s="264" t="n"/>
      <c r="J17" s="2" t="inlineStr">
        <is>
          <t>LIMS</t>
        </is>
      </c>
    </row>
    <row r="18">
      <c r="A18" s="4">
        <f>A17+1</f>
        <v/>
      </c>
      <c r="B18" s="11" t="inlineStr">
        <is>
          <t>麦芽</t>
        </is>
      </c>
      <c r="C18" s="12" t="inlineStr">
        <is>
          <t>麦芽蛋白质</t>
        </is>
      </c>
      <c r="D18" s="12" t="n"/>
      <c r="E18" s="11" t="inlineStr">
        <is>
          <t>%</t>
        </is>
      </c>
      <c r="F18" s="12" t="n"/>
      <c r="H18" s="1" t="n">
        <v>1</v>
      </c>
      <c r="I18" s="263" t="inlineStr">
        <is>
          <t>一页</t>
        </is>
      </c>
      <c r="J18" s="2" t="inlineStr">
        <is>
          <t>工厂LIMS，供应商excel</t>
        </is>
      </c>
    </row>
    <row r="19">
      <c r="A19" s="4">
        <f>A18+1</f>
        <v/>
      </c>
      <c r="B19" s="11" t="inlineStr">
        <is>
          <t>麦芽</t>
        </is>
      </c>
      <c r="C19" s="12" t="inlineStr">
        <is>
          <t>麦芽库值</t>
        </is>
      </c>
      <c r="D19" s="12" t="n"/>
      <c r="E19" s="11" t="inlineStr">
        <is>
          <t>%</t>
        </is>
      </c>
      <c r="F19" s="12" t="n"/>
      <c r="H19" s="1" t="n">
        <v>1</v>
      </c>
      <c r="I19" s="264" t="n"/>
      <c r="J19" s="2" t="inlineStr">
        <is>
          <t>工厂LIMS，供应商excel</t>
        </is>
      </c>
    </row>
    <row r="20">
      <c r="A20" s="4">
        <f>A19+1</f>
        <v/>
      </c>
      <c r="B20" s="11" t="inlineStr">
        <is>
          <t>麦芽</t>
        </is>
      </c>
      <c r="C20" s="12" t="inlineStr">
        <is>
          <t>麦芽FAN</t>
        </is>
      </c>
      <c r="D20" s="12" t="n"/>
      <c r="E20" s="11" t="inlineStr">
        <is>
          <t>ppm</t>
        </is>
      </c>
      <c r="F20" s="12" t="n"/>
      <c r="H20" s="1" t="n">
        <v>1</v>
      </c>
      <c r="I20" s="264" t="n"/>
      <c r="J20" s="2" t="inlineStr">
        <is>
          <t>工厂LIMS，供应商excel</t>
        </is>
      </c>
    </row>
    <row r="21">
      <c r="A21" s="4">
        <f>A20+1</f>
        <v/>
      </c>
      <c r="B21" s="11" t="inlineStr">
        <is>
          <t>麦芽</t>
        </is>
      </c>
      <c r="C21" s="12" t="inlineStr">
        <is>
          <t>糖化力</t>
        </is>
      </c>
      <c r="D21" s="12" t="n"/>
      <c r="E21" s="11" t="inlineStr">
        <is>
          <t>WK</t>
        </is>
      </c>
      <c r="F21" s="12" t="n"/>
      <c r="H21" s="1" t="n">
        <v>1</v>
      </c>
      <c r="I21" s="264" t="n"/>
      <c r="J21" s="2" t="inlineStr">
        <is>
          <t>工厂LIMS，供应商excel</t>
        </is>
      </c>
    </row>
    <row r="22">
      <c r="A22" s="4">
        <f>A21+1</f>
        <v/>
      </c>
      <c r="B22" s="11" t="inlineStr">
        <is>
          <t>麦芽</t>
        </is>
      </c>
      <c r="C22" s="12" t="inlineStr">
        <is>
          <t>麦芽色度</t>
        </is>
      </c>
      <c r="D22" s="12" t="n"/>
      <c r="E22" s="11" t="inlineStr">
        <is>
          <t>EBC</t>
        </is>
      </c>
      <c r="F22" s="12" t="n"/>
      <c r="H22" s="1" t="n">
        <v>1</v>
      </c>
      <c r="I22" s="264" t="n"/>
      <c r="J22" s="2" t="inlineStr">
        <is>
          <t>工厂LIMS，供应商excel</t>
        </is>
      </c>
    </row>
    <row r="23">
      <c r="A23" s="4">
        <f>A22+1</f>
        <v/>
      </c>
      <c r="B23" s="11" t="inlineStr">
        <is>
          <t>麦芽</t>
        </is>
      </c>
      <c r="C23" s="12" t="inlineStr">
        <is>
          <t>麦芽煮沸色度</t>
        </is>
      </c>
      <c r="D23" s="12" t="n"/>
      <c r="E23" s="11" t="inlineStr">
        <is>
          <t>EBC</t>
        </is>
      </c>
      <c r="F23" s="12" t="n"/>
      <c r="H23" s="1" t="n">
        <v>1</v>
      </c>
      <c r="I23" s="264" t="n"/>
      <c r="J23" s="2" t="inlineStr">
        <is>
          <t>工厂LIMS，供应商excel</t>
        </is>
      </c>
    </row>
    <row r="24">
      <c r="A24" s="4">
        <f>A23+1</f>
        <v/>
      </c>
      <c r="B24" s="11" t="inlineStr">
        <is>
          <t>麦芽</t>
        </is>
      </c>
      <c r="C24" s="12" t="inlineStr">
        <is>
          <t>麦芽β－葡聚糖</t>
        </is>
      </c>
      <c r="D24" s="12" t="n"/>
      <c r="E24" s="11" t="inlineStr">
        <is>
          <t>ppm</t>
        </is>
      </c>
      <c r="F24" s="12" t="n"/>
      <c r="H24" s="1" t="n">
        <v>1</v>
      </c>
      <c r="I24" s="264" t="n"/>
      <c r="J24" s="2" t="inlineStr">
        <is>
          <t>工厂LIMS，供应商excel</t>
        </is>
      </c>
    </row>
    <row r="25">
      <c r="A25" s="4">
        <f>A24+1</f>
        <v/>
      </c>
      <c r="B25" s="11" t="inlineStr">
        <is>
          <t>麦芽</t>
        </is>
      </c>
      <c r="C25" s="12" t="inlineStr">
        <is>
          <t>协定麦汁品尝结果-麦芽厂</t>
        </is>
      </c>
      <c r="D25" s="12" t="n"/>
      <c r="E25" s="11" t="n"/>
      <c r="F25" s="12" t="inlineStr">
        <is>
          <t>和大区品尝结果放一个图</t>
        </is>
      </c>
      <c r="H25" s="1" t="n">
        <v>2</v>
      </c>
      <c r="I25" s="264" t="n"/>
      <c r="J25" s="2" t="inlineStr">
        <is>
          <t>工厂LIMS，供应商excel</t>
        </is>
      </c>
    </row>
    <row r="26">
      <c r="A26" s="4">
        <f>A25+1</f>
        <v/>
      </c>
      <c r="B26" s="11" t="inlineStr">
        <is>
          <t>麦芽</t>
        </is>
      </c>
      <c r="C26" s="12" t="inlineStr">
        <is>
          <t>协定麦汁品尝结果-工厂</t>
        </is>
      </c>
      <c r="D26" s="12" t="n"/>
      <c r="E26" s="11" t="n"/>
      <c r="F26" s="12" t="n"/>
      <c r="H26" s="1" t="n">
        <v>1</v>
      </c>
      <c r="I26" s="264" t="n"/>
      <c r="J26" s="2" t="inlineStr">
        <is>
          <t>工厂LIMS，供应商excel</t>
        </is>
      </c>
    </row>
    <row r="27">
      <c r="A27" s="4">
        <f>A26+1</f>
        <v/>
      </c>
      <c r="B27" s="11" t="inlineStr">
        <is>
          <t>麦芽</t>
        </is>
      </c>
      <c r="C27" s="12" t="inlineStr">
        <is>
          <t>协定麦汁品尝结果-大区</t>
        </is>
      </c>
      <c r="D27" s="12" t="n"/>
      <c r="E27" s="11" t="n"/>
      <c r="F27" s="12" t="n"/>
      <c r="H27" s="1" t="n">
        <v>2</v>
      </c>
      <c r="I27" s="264" t="n"/>
      <c r="J27" s="2" t="inlineStr">
        <is>
          <t>工厂LIMS，供应商excel</t>
        </is>
      </c>
    </row>
    <row r="28">
      <c r="A28" s="4">
        <f>A27+1</f>
        <v/>
      </c>
      <c r="B28" s="13" t="inlineStr">
        <is>
          <t>大米</t>
        </is>
      </c>
      <c r="C28" s="14" t="inlineStr">
        <is>
          <t>米机出口温度-第一道</t>
        </is>
      </c>
      <c r="D28" s="14" t="n"/>
      <c r="E28" s="13" t="inlineStr">
        <is>
          <t>*C</t>
        </is>
      </c>
      <c r="F28" s="14" t="n"/>
      <c r="H28" s="1" t="n">
        <v>1</v>
      </c>
      <c r="I28" s="263" t="inlineStr">
        <is>
          <t>一页</t>
        </is>
      </c>
      <c r="J28" s="2" t="inlineStr">
        <is>
          <t>Excel上传</t>
        </is>
      </c>
    </row>
    <row r="29">
      <c r="A29" s="4">
        <f>A28+1</f>
        <v/>
      </c>
      <c r="B29" s="13" t="inlineStr">
        <is>
          <t>大米</t>
        </is>
      </c>
      <c r="C29" s="14" t="inlineStr">
        <is>
          <t>米机出口温度-第二道</t>
        </is>
      </c>
      <c r="D29" s="14" t="n"/>
      <c r="E29" s="13" t="inlineStr">
        <is>
          <t>*C</t>
        </is>
      </c>
      <c r="F29" s="14" t="n"/>
      <c r="H29" s="1" t="n">
        <v>1</v>
      </c>
      <c r="I29" s="264" t="n"/>
      <c r="J29" s="2" t="inlineStr">
        <is>
          <t>Excel上传</t>
        </is>
      </c>
    </row>
    <row r="30">
      <c r="A30" s="4">
        <f>A29+1</f>
        <v/>
      </c>
      <c r="B30" s="13" t="inlineStr">
        <is>
          <t>大米</t>
        </is>
      </c>
      <c r="C30" s="14" t="inlineStr">
        <is>
          <t>米机出口温度-第三道</t>
        </is>
      </c>
      <c r="D30" s="14" t="n"/>
      <c r="E30" s="13" t="inlineStr">
        <is>
          <t>*C</t>
        </is>
      </c>
      <c r="F30" s="14" t="n"/>
      <c r="H30" s="1" t="n">
        <v>1</v>
      </c>
      <c r="I30" s="264" t="n"/>
      <c r="J30" s="2" t="inlineStr">
        <is>
          <t>Excel上传</t>
        </is>
      </c>
    </row>
    <row r="31">
      <c r="A31" s="4">
        <f>A30+1</f>
        <v/>
      </c>
      <c r="B31" s="13" t="inlineStr">
        <is>
          <t>大米</t>
        </is>
      </c>
      <c r="C31" s="14" t="inlineStr">
        <is>
          <t>抛光机出口温度</t>
        </is>
      </c>
      <c r="D31" s="14" t="n"/>
      <c r="E31" s="13" t="inlineStr">
        <is>
          <t>*C</t>
        </is>
      </c>
      <c r="F31" s="14" t="n"/>
      <c r="H31" s="1" t="n">
        <v>1</v>
      </c>
      <c r="I31" s="264" t="n"/>
      <c r="J31" s="2" t="inlineStr">
        <is>
          <t>Excel上传</t>
        </is>
      </c>
    </row>
    <row r="32">
      <c r="A32" s="4">
        <f>A31+1</f>
        <v/>
      </c>
      <c r="B32" s="13" t="inlineStr">
        <is>
          <t>大米</t>
        </is>
      </c>
      <c r="C32" s="14" t="inlineStr">
        <is>
          <t>大米水分</t>
        </is>
      </c>
      <c r="D32" s="14" t="n"/>
      <c r="E32" s="13" t="inlineStr">
        <is>
          <t>%</t>
        </is>
      </c>
      <c r="F32" s="14" t="n"/>
      <c r="H32" s="1" t="n">
        <v>1</v>
      </c>
      <c r="I32" s="264" t="n"/>
      <c r="J32" s="2" t="inlineStr">
        <is>
          <t>Excel上传</t>
        </is>
      </c>
    </row>
    <row r="33">
      <c r="A33" s="4">
        <f>A32+1</f>
        <v/>
      </c>
      <c r="B33" s="13" t="inlineStr">
        <is>
          <t>大米</t>
        </is>
      </c>
      <c r="C33" s="14" t="inlineStr">
        <is>
          <t>大米pH</t>
        </is>
      </c>
      <c r="D33" s="14" t="n"/>
      <c r="E33" s="13" t="n"/>
      <c r="F33" s="14" t="n"/>
      <c r="H33" s="1" t="n">
        <v>1</v>
      </c>
      <c r="I33" s="264" t="n"/>
      <c r="J33" s="2" t="inlineStr">
        <is>
          <t>Excel上传</t>
        </is>
      </c>
    </row>
    <row r="34">
      <c r="A34" s="4">
        <f>A33+1</f>
        <v/>
      </c>
      <c r="B34" s="13" t="inlineStr">
        <is>
          <t>大米</t>
        </is>
      </c>
      <c r="C34" s="14" t="inlineStr">
        <is>
          <t>米中油</t>
        </is>
      </c>
      <c r="D34" s="14" t="n"/>
      <c r="E34" s="13" t="inlineStr">
        <is>
          <t>%</t>
        </is>
      </c>
      <c r="F34" s="14" t="n"/>
      <c r="H34" s="1" t="n">
        <v>1</v>
      </c>
      <c r="I34" s="264" t="n"/>
      <c r="J34" s="2" t="inlineStr">
        <is>
          <t>Excel上传</t>
        </is>
      </c>
    </row>
    <row r="35">
      <c r="A35" s="4">
        <f>A34+1</f>
        <v/>
      </c>
      <c r="B35" s="13" t="inlineStr">
        <is>
          <t>大米</t>
        </is>
      </c>
      <c r="C35" s="14" t="inlineStr">
        <is>
          <t>游离脂肪酸</t>
        </is>
      </c>
      <c r="D35" s="14" t="n"/>
      <c r="E35" s="13" t="inlineStr">
        <is>
          <t>%</t>
        </is>
      </c>
      <c r="F35" s="14" t="n"/>
      <c r="H35" s="1" t="n">
        <v>1</v>
      </c>
      <c r="I35" s="264" t="n"/>
      <c r="J35" s="2" t="inlineStr">
        <is>
          <t>Excel上传</t>
        </is>
      </c>
    </row>
    <row r="36">
      <c r="A36" s="4">
        <f>A35+1</f>
        <v/>
      </c>
      <c r="B36" s="13" t="inlineStr">
        <is>
          <t>大米</t>
        </is>
      </c>
      <c r="C36" s="14" t="inlineStr">
        <is>
          <t>大米品尝结果</t>
        </is>
      </c>
      <c r="D36" s="14" t="n"/>
      <c r="E36" s="13" t="n"/>
      <c r="F36" s="14" t="n"/>
      <c r="H36" s="1" t="n">
        <v>1</v>
      </c>
      <c r="I36" s="264" t="n"/>
      <c r="J36" s="2" t="inlineStr">
        <is>
          <t>Excel上传</t>
        </is>
      </c>
    </row>
    <row r="37">
      <c r="A37" s="4">
        <f>A36+1</f>
        <v/>
      </c>
      <c r="B37" s="8" t="inlineStr">
        <is>
          <t>糊化</t>
        </is>
      </c>
      <c r="C37" s="9" t="inlineStr">
        <is>
          <t>糊化锅投料时间</t>
        </is>
      </c>
      <c r="D37" s="9" t="n"/>
      <c r="E37" s="8" t="inlineStr">
        <is>
          <t>min</t>
        </is>
      </c>
      <c r="F37" s="9" t="n"/>
      <c r="H37" s="1" t="n">
        <v>1</v>
      </c>
      <c r="I37" s="263" t="inlineStr">
        <is>
          <t>一页</t>
        </is>
      </c>
      <c r="J37" s="2" t="inlineStr">
        <is>
          <t>DF or excel</t>
        </is>
      </c>
      <c r="K37" s="1" t="inlineStr">
        <is>
          <t>Y</t>
        </is>
      </c>
      <c r="L37" s="1" t="inlineStr">
        <is>
          <t>Y</t>
        </is>
      </c>
      <c r="M37" s="1" t="inlineStr">
        <is>
          <t>Y</t>
        </is>
      </c>
      <c r="N37" s="1" t="inlineStr">
        <is>
          <t>Y</t>
        </is>
      </c>
      <c r="O37" s="1" t="inlineStr">
        <is>
          <t>Y</t>
        </is>
      </c>
      <c r="P37" s="15" t="n"/>
      <c r="Q37" s="15" t="n"/>
      <c r="R37" s="15" t="n"/>
      <c r="S37" s="1" t="inlineStr">
        <is>
          <t>Y</t>
        </is>
      </c>
      <c r="T37" s="1" t="inlineStr">
        <is>
          <t>Y</t>
        </is>
      </c>
      <c r="U37" s="3" t="n">
        <v>1</v>
      </c>
    </row>
    <row r="38">
      <c r="A38" s="4">
        <f>A37+1</f>
        <v/>
      </c>
      <c r="B38" s="8" t="inlineStr">
        <is>
          <t>糊化</t>
        </is>
      </c>
      <c r="C38" s="9" t="inlineStr">
        <is>
          <t>糊化锅煮沸温度</t>
        </is>
      </c>
      <c r="D38" s="9" t="n"/>
      <c r="E38" s="8" t="inlineStr">
        <is>
          <t>*C</t>
        </is>
      </c>
      <c r="F38" s="9" t="n"/>
      <c r="H38" s="1" t="n">
        <v>1</v>
      </c>
      <c r="I38" s="264" t="n"/>
      <c r="J38" s="2" t="inlineStr">
        <is>
          <t>DF or excel</t>
        </is>
      </c>
      <c r="K38" s="1" t="inlineStr">
        <is>
          <t>Y</t>
        </is>
      </c>
      <c r="L38" s="1" t="inlineStr">
        <is>
          <t>Y</t>
        </is>
      </c>
      <c r="M38" s="1" t="inlineStr">
        <is>
          <t>Y</t>
        </is>
      </c>
      <c r="N38" s="1" t="inlineStr">
        <is>
          <t>Y</t>
        </is>
      </c>
      <c r="O38" s="1" t="inlineStr">
        <is>
          <t>Y</t>
        </is>
      </c>
      <c r="P38" s="15" t="n"/>
      <c r="Q38" s="15" t="n"/>
      <c r="R38" s="15" t="n"/>
      <c r="S38" s="1" t="inlineStr">
        <is>
          <t>Y</t>
        </is>
      </c>
      <c r="T38" s="1" t="inlineStr">
        <is>
          <t>Y</t>
        </is>
      </c>
      <c r="U38" s="3" t="n">
        <v>1</v>
      </c>
    </row>
    <row r="39">
      <c r="A39" s="4">
        <f>A38+1</f>
        <v/>
      </c>
      <c r="B39" s="8" t="inlineStr">
        <is>
          <t>糊化</t>
        </is>
      </c>
      <c r="C39" s="9" t="inlineStr">
        <is>
          <t>糊化锅周期</t>
        </is>
      </c>
      <c r="D39" s="9" t="n"/>
      <c r="E39" s="8" t="inlineStr">
        <is>
          <t>min</t>
        </is>
      </c>
      <c r="F39" s="9" t="n"/>
      <c r="H39" s="1" t="n">
        <v>1</v>
      </c>
      <c r="I39" s="264" t="n"/>
      <c r="J39" s="2" t="inlineStr">
        <is>
          <t>DF or excel</t>
        </is>
      </c>
      <c r="K39" s="1" t="inlineStr">
        <is>
          <t>Y</t>
        </is>
      </c>
      <c r="L39" s="1" t="inlineStr">
        <is>
          <t>Y</t>
        </is>
      </c>
      <c r="M39" s="1" t="inlineStr">
        <is>
          <t>Y</t>
        </is>
      </c>
      <c r="N39" s="1" t="inlineStr">
        <is>
          <t>Y</t>
        </is>
      </c>
      <c r="O39" s="1" t="inlineStr">
        <is>
          <t>Y</t>
        </is>
      </c>
      <c r="P39" s="15" t="n"/>
      <c r="Q39" s="15" t="n"/>
      <c r="R39" s="15" t="n"/>
      <c r="S39" s="1" t="inlineStr">
        <is>
          <t>Y</t>
        </is>
      </c>
      <c r="T39" s="1" t="inlineStr">
        <is>
          <t>Y</t>
        </is>
      </c>
      <c r="U39" s="3" t="n">
        <v>1</v>
      </c>
    </row>
    <row r="40">
      <c r="A40" s="4">
        <f>A39+1</f>
        <v/>
      </c>
      <c r="B40" s="13" t="inlineStr">
        <is>
          <t>糖化</t>
        </is>
      </c>
      <c r="C40" s="14" t="inlineStr">
        <is>
          <t>麦芽投料时间</t>
        </is>
      </c>
      <c r="D40" s="14" t="n"/>
      <c r="E40" s="13" t="inlineStr">
        <is>
          <t>min</t>
        </is>
      </c>
      <c r="F40" s="14" t="n"/>
      <c r="H40" s="1" t="n">
        <v>1</v>
      </c>
      <c r="I40" s="264" t="n"/>
      <c r="J40" s="2" t="inlineStr">
        <is>
          <t>DF or excel</t>
        </is>
      </c>
      <c r="K40" s="1" t="inlineStr">
        <is>
          <t>Y</t>
        </is>
      </c>
      <c r="L40" s="1" t="inlineStr">
        <is>
          <t>Y</t>
        </is>
      </c>
      <c r="M40" s="1" t="inlineStr">
        <is>
          <t>Y</t>
        </is>
      </c>
      <c r="N40" s="1" t="inlineStr">
        <is>
          <t>Y</t>
        </is>
      </c>
      <c r="O40" s="1" t="inlineStr">
        <is>
          <t>Y</t>
        </is>
      </c>
      <c r="P40" s="1" t="inlineStr">
        <is>
          <t>Y</t>
        </is>
      </c>
      <c r="Q40" s="1" t="inlineStr">
        <is>
          <t>Y</t>
        </is>
      </c>
      <c r="R40" s="1" t="inlineStr">
        <is>
          <t>Y</t>
        </is>
      </c>
      <c r="S40" s="1" t="inlineStr">
        <is>
          <t>Y</t>
        </is>
      </c>
      <c r="T40" s="1" t="inlineStr">
        <is>
          <t>Y</t>
        </is>
      </c>
      <c r="U40" s="3" t="n">
        <v>1</v>
      </c>
    </row>
    <row r="41">
      <c r="A41" s="4">
        <f>A40+1</f>
        <v/>
      </c>
      <c r="B41" s="13" t="inlineStr">
        <is>
          <t>糖化</t>
        </is>
      </c>
      <c r="C41" s="14" t="inlineStr">
        <is>
          <t>麦芽投料温度</t>
        </is>
      </c>
      <c r="D41" s="14" t="n"/>
      <c r="E41" s="13" t="inlineStr">
        <is>
          <t>*C</t>
        </is>
      </c>
      <c r="F41" s="14" t="n"/>
      <c r="H41" s="1" t="n">
        <v>1</v>
      </c>
      <c r="I41" s="264" t="n"/>
      <c r="J41" s="2" t="inlineStr">
        <is>
          <t>DF or excel</t>
        </is>
      </c>
      <c r="K41" s="1" t="inlineStr">
        <is>
          <t>Y</t>
        </is>
      </c>
      <c r="L41" s="1" t="inlineStr">
        <is>
          <t>Y</t>
        </is>
      </c>
      <c r="M41" s="1" t="inlineStr">
        <is>
          <t>Y</t>
        </is>
      </c>
      <c r="N41" s="1" t="inlineStr">
        <is>
          <t>Y</t>
        </is>
      </c>
      <c r="O41" s="1" t="inlineStr">
        <is>
          <t>Y</t>
        </is>
      </c>
      <c r="P41" s="1" t="inlineStr">
        <is>
          <t>Y</t>
        </is>
      </c>
      <c r="Q41" s="1" t="inlineStr">
        <is>
          <t>Y</t>
        </is>
      </c>
      <c r="R41" s="1" t="inlineStr">
        <is>
          <t>Y</t>
        </is>
      </c>
      <c r="S41" s="1" t="inlineStr">
        <is>
          <t>Y</t>
        </is>
      </c>
      <c r="T41" s="1" t="inlineStr">
        <is>
          <t>Y</t>
        </is>
      </c>
      <c r="U41" s="3" t="n">
        <v>1</v>
      </c>
    </row>
    <row r="42">
      <c r="A42" s="4">
        <f>A41+1</f>
        <v/>
      </c>
      <c r="B42" s="13" t="inlineStr">
        <is>
          <t>糖化</t>
        </is>
      </c>
      <c r="C42" s="14" t="inlineStr">
        <is>
          <t>蛋白休止温度</t>
        </is>
      </c>
      <c r="D42" s="14" t="n"/>
      <c r="E42" s="13" t="inlineStr">
        <is>
          <t>*C</t>
        </is>
      </c>
      <c r="F42" s="14" t="n"/>
      <c r="H42" s="1" t="n">
        <v>1</v>
      </c>
      <c r="I42" s="264" t="n"/>
      <c r="J42" s="2" t="inlineStr">
        <is>
          <t>DF or excel</t>
        </is>
      </c>
      <c r="K42" s="1" t="inlineStr">
        <is>
          <t>Y</t>
        </is>
      </c>
      <c r="L42" s="1" t="inlineStr">
        <is>
          <t>Y</t>
        </is>
      </c>
      <c r="M42" s="1" t="inlineStr">
        <is>
          <t>Y</t>
        </is>
      </c>
      <c r="N42" s="1" t="inlineStr">
        <is>
          <t>Y</t>
        </is>
      </c>
      <c r="O42" s="1" t="inlineStr">
        <is>
          <t>Y</t>
        </is>
      </c>
      <c r="P42" s="15" t="n"/>
      <c r="Q42" s="1" t="inlineStr">
        <is>
          <t>Y</t>
        </is>
      </c>
      <c r="R42" s="1" t="inlineStr">
        <is>
          <t>Y</t>
        </is>
      </c>
      <c r="S42" s="1" t="inlineStr">
        <is>
          <t>Y</t>
        </is>
      </c>
      <c r="T42" s="1" t="inlineStr">
        <is>
          <t>Y</t>
        </is>
      </c>
      <c r="U42" s="3" t="n">
        <v>1</v>
      </c>
    </row>
    <row r="43">
      <c r="A43" s="4">
        <f>A42+1</f>
        <v/>
      </c>
      <c r="B43" s="13" t="inlineStr">
        <is>
          <t>糖化</t>
        </is>
      </c>
      <c r="C43" s="14" t="inlineStr">
        <is>
          <t>蛋白休止时间</t>
        </is>
      </c>
      <c r="D43" s="14" t="n"/>
      <c r="E43" s="13" t="inlineStr">
        <is>
          <t>min</t>
        </is>
      </c>
      <c r="F43" s="14" t="n"/>
      <c r="H43" s="1" t="n">
        <v>1</v>
      </c>
      <c r="I43" s="264" t="n"/>
      <c r="J43" s="2" t="inlineStr">
        <is>
          <t>DF or excel</t>
        </is>
      </c>
      <c r="K43" s="1" t="inlineStr">
        <is>
          <t>Y</t>
        </is>
      </c>
      <c r="L43" s="1" t="inlineStr">
        <is>
          <t>Y</t>
        </is>
      </c>
      <c r="M43" s="1" t="inlineStr">
        <is>
          <t>Y</t>
        </is>
      </c>
      <c r="N43" s="1" t="inlineStr">
        <is>
          <t>Y</t>
        </is>
      </c>
      <c r="O43" s="1" t="inlineStr">
        <is>
          <t>Y</t>
        </is>
      </c>
      <c r="P43" s="15" t="n"/>
      <c r="Q43" s="1" t="inlineStr">
        <is>
          <t>Y</t>
        </is>
      </c>
      <c r="R43" s="1" t="inlineStr">
        <is>
          <t>Y</t>
        </is>
      </c>
      <c r="S43" s="1" t="inlineStr">
        <is>
          <t>Y</t>
        </is>
      </c>
      <c r="T43" s="1" t="inlineStr">
        <is>
          <t>Y</t>
        </is>
      </c>
      <c r="U43" s="3" t="n">
        <v>1</v>
      </c>
    </row>
    <row r="44">
      <c r="A44" s="4">
        <f>A43+1</f>
        <v/>
      </c>
      <c r="B44" s="13" t="inlineStr">
        <is>
          <t>糖化</t>
        </is>
      </c>
      <c r="C44" s="14" t="inlineStr">
        <is>
          <t>糖化锅周期</t>
        </is>
      </c>
      <c r="D44" s="14" t="n"/>
      <c r="E44" s="13" t="inlineStr">
        <is>
          <t>min</t>
        </is>
      </c>
      <c r="F44" s="14" t="n"/>
      <c r="H44" s="1" t="n">
        <v>1</v>
      </c>
      <c r="I44" s="264" t="n"/>
      <c r="J44" s="2" t="inlineStr">
        <is>
          <t>DF or excel</t>
        </is>
      </c>
      <c r="K44" s="1" t="inlineStr">
        <is>
          <t>Y</t>
        </is>
      </c>
      <c r="L44" s="1" t="inlineStr">
        <is>
          <t>Y</t>
        </is>
      </c>
      <c r="M44" s="1" t="inlineStr">
        <is>
          <t>Y</t>
        </is>
      </c>
      <c r="N44" s="1" t="inlineStr">
        <is>
          <t>Y</t>
        </is>
      </c>
      <c r="O44" s="1" t="inlineStr">
        <is>
          <t>Y</t>
        </is>
      </c>
      <c r="P44" s="1" t="inlineStr">
        <is>
          <t>Y</t>
        </is>
      </c>
      <c r="Q44" s="1" t="inlineStr">
        <is>
          <t>Y</t>
        </is>
      </c>
      <c r="R44" s="1" t="inlineStr">
        <is>
          <t>Y</t>
        </is>
      </c>
      <c r="S44" s="1" t="inlineStr">
        <is>
          <t>Y</t>
        </is>
      </c>
      <c r="T44" s="1" t="inlineStr">
        <is>
          <t>Y</t>
        </is>
      </c>
      <c r="U44" s="3" t="n">
        <v>1</v>
      </c>
    </row>
    <row r="45">
      <c r="A45" s="4">
        <f>A44+1</f>
        <v/>
      </c>
      <c r="B45" s="11" t="inlineStr">
        <is>
          <t>糖化</t>
        </is>
      </c>
      <c r="C45" s="12" t="inlineStr">
        <is>
          <t>头道麦汁浓度</t>
        </is>
      </c>
      <c r="D45" s="12" t="n"/>
      <c r="E45" s="11" t="inlineStr">
        <is>
          <t>Plato</t>
        </is>
      </c>
      <c r="F45" s="12" t="n"/>
      <c r="H45" s="1" t="n">
        <v>1</v>
      </c>
      <c r="I45" s="264" t="n"/>
      <c r="J45" s="2" t="inlineStr">
        <is>
          <t>DF or excel</t>
        </is>
      </c>
      <c r="K45" s="1" t="inlineStr">
        <is>
          <t>Y</t>
        </is>
      </c>
      <c r="L45" s="1" t="inlineStr">
        <is>
          <t>Y</t>
        </is>
      </c>
      <c r="M45" s="1" t="inlineStr">
        <is>
          <t>Y</t>
        </is>
      </c>
      <c r="N45" s="1" t="inlineStr">
        <is>
          <t>Y</t>
        </is>
      </c>
      <c r="O45" s="1" t="inlineStr">
        <is>
          <t>Y</t>
        </is>
      </c>
      <c r="P45" s="1" t="inlineStr">
        <is>
          <t>Y</t>
        </is>
      </c>
      <c r="Q45" s="1" t="inlineStr">
        <is>
          <t>Y</t>
        </is>
      </c>
      <c r="R45" s="1" t="inlineStr">
        <is>
          <t>Y</t>
        </is>
      </c>
      <c r="S45" s="1" t="inlineStr">
        <is>
          <t>Y</t>
        </is>
      </c>
      <c r="T45" s="1" t="inlineStr">
        <is>
          <t>Y</t>
        </is>
      </c>
      <c r="U45" s="3" t="inlineStr">
        <is>
          <t>重复</t>
        </is>
      </c>
    </row>
    <row r="46">
      <c r="A46" s="4">
        <f>A45+1</f>
        <v/>
      </c>
      <c r="B46" s="11" t="inlineStr">
        <is>
          <t>过滤</t>
        </is>
      </c>
      <c r="C46" s="12" t="inlineStr">
        <is>
          <t>头道麦汁OG</t>
        </is>
      </c>
      <c r="D46" s="12" t="n"/>
      <c r="E46" s="11" t="inlineStr">
        <is>
          <t>Plato</t>
        </is>
      </c>
      <c r="F46" s="12" t="n"/>
      <c r="H46" s="1" t="n">
        <v>1</v>
      </c>
      <c r="I46" s="263" t="inlineStr">
        <is>
          <t>一页</t>
        </is>
      </c>
      <c r="J46" s="2" t="inlineStr">
        <is>
          <t>DF or excel</t>
        </is>
      </c>
      <c r="K46" s="1" t="inlineStr">
        <is>
          <t>Y</t>
        </is>
      </c>
      <c r="L46" s="1" t="inlineStr">
        <is>
          <t>Y</t>
        </is>
      </c>
      <c r="M46" s="1" t="inlineStr">
        <is>
          <t>Y</t>
        </is>
      </c>
      <c r="N46" s="1" t="inlineStr">
        <is>
          <t>Y</t>
        </is>
      </c>
      <c r="O46" s="1" t="inlineStr">
        <is>
          <t>Y</t>
        </is>
      </c>
      <c r="P46" s="1" t="inlineStr">
        <is>
          <t>Y</t>
        </is>
      </c>
      <c r="Q46" s="1" t="inlineStr">
        <is>
          <t>Y</t>
        </is>
      </c>
      <c r="R46" s="1" t="inlineStr">
        <is>
          <t>Y</t>
        </is>
      </c>
      <c r="S46" s="1" t="inlineStr">
        <is>
          <t>Y</t>
        </is>
      </c>
      <c r="T46" s="1" t="inlineStr">
        <is>
          <t>Y</t>
        </is>
      </c>
      <c r="U46" s="3" t="n">
        <v>1</v>
      </c>
    </row>
    <row r="47">
      <c r="A47" s="4">
        <f>A46+1</f>
        <v/>
      </c>
      <c r="B47" s="11" t="inlineStr">
        <is>
          <t>过滤</t>
        </is>
      </c>
      <c r="C47" s="12" t="inlineStr">
        <is>
          <t>头道麦汁体积</t>
        </is>
      </c>
      <c r="D47" s="12" t="n"/>
      <c r="E47" s="11" t="inlineStr">
        <is>
          <t>hl</t>
        </is>
      </c>
      <c r="F47" s="12" t="n"/>
      <c r="H47" s="1" t="n">
        <v>1</v>
      </c>
      <c r="I47" s="264" t="n"/>
      <c r="J47" s="2" t="inlineStr">
        <is>
          <t>DF or excel</t>
        </is>
      </c>
      <c r="K47" s="1" t="inlineStr">
        <is>
          <t>Y</t>
        </is>
      </c>
      <c r="L47" s="1" t="inlineStr">
        <is>
          <t>Y</t>
        </is>
      </c>
      <c r="M47" s="1" t="inlineStr">
        <is>
          <t>Y</t>
        </is>
      </c>
      <c r="N47" s="1" t="inlineStr">
        <is>
          <t>Y</t>
        </is>
      </c>
      <c r="O47" s="1" t="inlineStr">
        <is>
          <t>Y</t>
        </is>
      </c>
      <c r="P47" s="1" t="inlineStr">
        <is>
          <t>Y</t>
        </is>
      </c>
      <c r="Q47" s="1" t="inlineStr">
        <is>
          <t>Y</t>
        </is>
      </c>
      <c r="R47" s="1" t="inlineStr">
        <is>
          <t>Y</t>
        </is>
      </c>
      <c r="S47" s="1" t="inlineStr">
        <is>
          <t>Y</t>
        </is>
      </c>
      <c r="T47" s="1" t="inlineStr">
        <is>
          <t>Y</t>
        </is>
      </c>
      <c r="U47" s="3" t="n">
        <v>0</v>
      </c>
    </row>
    <row r="48">
      <c r="A48" s="4">
        <f>A47+1</f>
        <v/>
      </c>
      <c r="B48" s="11" t="inlineStr">
        <is>
          <t>过滤</t>
        </is>
      </c>
      <c r="C48" s="12" t="inlineStr">
        <is>
          <t>深耕次数</t>
        </is>
      </c>
      <c r="D48" s="12" t="n"/>
      <c r="E48" s="11" t="n"/>
      <c r="F48" s="12" t="n"/>
      <c r="H48" s="1" t="n">
        <v>1</v>
      </c>
      <c r="I48" s="264" t="n"/>
      <c r="J48" s="2" t="inlineStr">
        <is>
          <t>DF or excel</t>
        </is>
      </c>
      <c r="K48" s="1" t="inlineStr">
        <is>
          <t>Y</t>
        </is>
      </c>
      <c r="L48" s="1" t="inlineStr">
        <is>
          <t>Y</t>
        </is>
      </c>
      <c r="M48" s="1" t="inlineStr">
        <is>
          <t>Y</t>
        </is>
      </c>
      <c r="N48" s="1" t="inlineStr">
        <is>
          <t>Y</t>
        </is>
      </c>
      <c r="O48" s="1" t="inlineStr">
        <is>
          <t>Y</t>
        </is>
      </c>
      <c r="P48" s="1" t="inlineStr">
        <is>
          <t>Y</t>
        </is>
      </c>
      <c r="Q48" s="1" t="inlineStr">
        <is>
          <t>Y</t>
        </is>
      </c>
      <c r="R48" s="1" t="inlineStr">
        <is>
          <t>Y</t>
        </is>
      </c>
      <c r="S48" s="15" t="n"/>
      <c r="T48" s="1" t="inlineStr">
        <is>
          <t>Y</t>
        </is>
      </c>
      <c r="U48" s="3" t="n">
        <v>1</v>
      </c>
    </row>
    <row r="49">
      <c r="A49" s="4">
        <f>A48+1</f>
        <v/>
      </c>
      <c r="B49" s="11" t="inlineStr">
        <is>
          <t>过滤</t>
        </is>
      </c>
      <c r="C49" s="12" t="inlineStr">
        <is>
          <t>麦汁过滤时间</t>
        </is>
      </c>
      <c r="D49" s="12" t="n"/>
      <c r="E49" s="11" t="inlineStr">
        <is>
          <t>min</t>
        </is>
      </c>
      <c r="F49" s="12" t="n"/>
      <c r="H49" s="1" t="n">
        <v>1</v>
      </c>
      <c r="I49" s="264" t="n"/>
      <c r="J49" s="2" t="inlineStr">
        <is>
          <t>DF or excel</t>
        </is>
      </c>
      <c r="K49" s="1" t="inlineStr">
        <is>
          <t>Y</t>
        </is>
      </c>
      <c r="L49" s="1" t="inlineStr">
        <is>
          <t>Y</t>
        </is>
      </c>
      <c r="M49" s="1" t="inlineStr">
        <is>
          <t>Y</t>
        </is>
      </c>
      <c r="N49" s="1" t="inlineStr">
        <is>
          <t>Y</t>
        </is>
      </c>
      <c r="O49" s="1" t="inlineStr">
        <is>
          <t>Y</t>
        </is>
      </c>
      <c r="P49" s="1" t="inlineStr">
        <is>
          <t>Y</t>
        </is>
      </c>
      <c r="Q49" s="1" t="inlineStr">
        <is>
          <t>Y</t>
        </is>
      </c>
      <c r="R49" s="1" t="inlineStr">
        <is>
          <t>Y</t>
        </is>
      </c>
      <c r="S49" s="1" t="inlineStr">
        <is>
          <t>Y</t>
        </is>
      </c>
      <c r="T49" s="1" t="inlineStr">
        <is>
          <t>Y</t>
        </is>
      </c>
      <c r="U49" s="3" t="n">
        <v>1</v>
      </c>
    </row>
    <row r="50">
      <c r="A50" s="4">
        <f>A49+1</f>
        <v/>
      </c>
      <c r="B50" s="11" t="inlineStr">
        <is>
          <t>过滤</t>
        </is>
      </c>
      <c r="C50" s="12" t="inlineStr">
        <is>
          <t>弱麦汁回收量</t>
        </is>
      </c>
      <c r="D50" s="12" t="n"/>
      <c r="E50" s="11" t="inlineStr">
        <is>
          <t>hl</t>
        </is>
      </c>
      <c r="F50" s="12" t="n"/>
      <c r="H50" s="1" t="n">
        <v>1</v>
      </c>
      <c r="I50" s="264" t="n"/>
      <c r="J50" s="2" t="inlineStr">
        <is>
          <t>DF or excel</t>
        </is>
      </c>
      <c r="K50" s="1" t="inlineStr">
        <is>
          <t>Y</t>
        </is>
      </c>
      <c r="L50" s="1" t="inlineStr">
        <is>
          <t>Y</t>
        </is>
      </c>
      <c r="M50" s="1" t="inlineStr">
        <is>
          <t>Y</t>
        </is>
      </c>
      <c r="N50" s="1" t="inlineStr">
        <is>
          <t>Y</t>
        </is>
      </c>
      <c r="O50" s="1" t="inlineStr">
        <is>
          <t>Y</t>
        </is>
      </c>
      <c r="P50" s="1" t="inlineStr">
        <is>
          <t>Y</t>
        </is>
      </c>
      <c r="Q50" s="1" t="inlineStr">
        <is>
          <t>Y</t>
        </is>
      </c>
      <c r="R50" s="1" t="inlineStr">
        <is>
          <t>Y</t>
        </is>
      </c>
      <c r="S50" s="1" t="inlineStr">
        <is>
          <t>Y</t>
        </is>
      </c>
      <c r="T50" s="1" t="inlineStr">
        <is>
          <t>Y</t>
        </is>
      </c>
      <c r="U50" s="3" t="n">
        <v>1</v>
      </c>
    </row>
    <row r="51">
      <c r="A51" s="4">
        <f>A50+1</f>
        <v/>
      </c>
      <c r="B51" s="11" t="inlineStr">
        <is>
          <t>过滤</t>
        </is>
      </c>
      <c r="C51" s="12" t="inlineStr">
        <is>
          <t>弱麦汁回收前残糖</t>
        </is>
      </c>
      <c r="D51" s="12" t="n"/>
      <c r="E51" s="11" t="inlineStr">
        <is>
          <t>°P</t>
        </is>
      </c>
      <c r="F51" s="12" t="n"/>
      <c r="H51" s="1" t="n">
        <v>1</v>
      </c>
      <c r="I51" s="264" t="n"/>
      <c r="J51" s="2" t="inlineStr">
        <is>
          <t>DF or excel</t>
        </is>
      </c>
      <c r="K51" s="1" t="inlineStr">
        <is>
          <t>Y</t>
        </is>
      </c>
      <c r="L51" s="1" t="inlineStr">
        <is>
          <t>Y</t>
        </is>
      </c>
      <c r="M51" s="1" t="inlineStr">
        <is>
          <t>Y</t>
        </is>
      </c>
      <c r="N51" s="1" t="inlineStr">
        <is>
          <t>Y</t>
        </is>
      </c>
      <c r="O51" s="1" t="inlineStr">
        <is>
          <t>Y</t>
        </is>
      </c>
      <c r="P51" s="1" t="inlineStr">
        <is>
          <t>Y</t>
        </is>
      </c>
      <c r="Q51" s="1" t="inlineStr">
        <is>
          <t>Y</t>
        </is>
      </c>
      <c r="R51" s="1" t="inlineStr">
        <is>
          <t>Y</t>
        </is>
      </c>
      <c r="S51" s="1" t="inlineStr">
        <is>
          <t>Y</t>
        </is>
      </c>
      <c r="T51" s="1" t="inlineStr">
        <is>
          <t>Y</t>
        </is>
      </c>
      <c r="U51" s="3" t="n">
        <v>1</v>
      </c>
    </row>
    <row r="52">
      <c r="A52" s="4">
        <f>A51+1</f>
        <v/>
      </c>
      <c r="B52" s="11" t="inlineStr">
        <is>
          <t>过滤</t>
        </is>
      </c>
      <c r="C52" s="12" t="inlineStr">
        <is>
          <t>弱麦汁回收结束残糖</t>
        </is>
      </c>
      <c r="D52" s="12" t="n"/>
      <c r="E52" s="11" t="inlineStr">
        <is>
          <t>°P</t>
        </is>
      </c>
      <c r="F52" s="12" t="n"/>
      <c r="H52" s="1" t="n">
        <v>1</v>
      </c>
      <c r="I52" s="264" t="n"/>
      <c r="J52" s="2" t="inlineStr">
        <is>
          <t>DF or excel</t>
        </is>
      </c>
      <c r="K52" s="1" t="inlineStr">
        <is>
          <t>Y</t>
        </is>
      </c>
      <c r="L52" s="1" t="inlineStr">
        <is>
          <t>Y</t>
        </is>
      </c>
      <c r="M52" s="1" t="inlineStr">
        <is>
          <t>Y</t>
        </is>
      </c>
      <c r="N52" s="1" t="inlineStr">
        <is>
          <t>Y</t>
        </is>
      </c>
      <c r="O52" s="1" t="inlineStr">
        <is>
          <t>Y</t>
        </is>
      </c>
      <c r="P52" s="1" t="inlineStr">
        <is>
          <t>Y</t>
        </is>
      </c>
      <c r="Q52" s="1" t="inlineStr">
        <is>
          <t>Y</t>
        </is>
      </c>
      <c r="R52" s="1" t="inlineStr">
        <is>
          <t>Y</t>
        </is>
      </c>
      <c r="S52" s="1" t="inlineStr">
        <is>
          <t>Y</t>
        </is>
      </c>
      <c r="T52" s="1" t="inlineStr">
        <is>
          <t>Y</t>
        </is>
      </c>
      <c r="U52" s="3" t="n">
        <v>1</v>
      </c>
    </row>
    <row r="53">
      <c r="A53" s="4">
        <f>A52+1</f>
        <v/>
      </c>
      <c r="B53" s="11" t="inlineStr">
        <is>
          <t>过滤</t>
        </is>
      </c>
      <c r="C53" s="12" t="inlineStr">
        <is>
          <t>过滤槽/压滤机占锅时间</t>
        </is>
      </c>
      <c r="D53" s="12" t="n"/>
      <c r="E53" s="11" t="inlineStr">
        <is>
          <t>min</t>
        </is>
      </c>
      <c r="F53" s="12" t="n"/>
      <c r="H53" s="1" t="n">
        <v>1</v>
      </c>
      <c r="I53" s="264" t="n"/>
      <c r="J53" s="2" t="inlineStr">
        <is>
          <t>DF or excel</t>
        </is>
      </c>
      <c r="K53" s="1" t="inlineStr">
        <is>
          <t>Y</t>
        </is>
      </c>
      <c r="L53" s="1" t="inlineStr">
        <is>
          <t>Y</t>
        </is>
      </c>
      <c r="M53" s="1" t="inlineStr">
        <is>
          <t>Y</t>
        </is>
      </c>
      <c r="N53" s="1" t="inlineStr">
        <is>
          <t>Y</t>
        </is>
      </c>
      <c r="O53" s="1" t="inlineStr">
        <is>
          <t>Y</t>
        </is>
      </c>
      <c r="P53" s="1" t="inlineStr">
        <is>
          <t>Y</t>
        </is>
      </c>
      <c r="Q53" s="1" t="inlineStr">
        <is>
          <t>Y</t>
        </is>
      </c>
      <c r="R53" s="1" t="inlineStr">
        <is>
          <t>Y</t>
        </is>
      </c>
      <c r="S53" s="1" t="inlineStr">
        <is>
          <t>Y</t>
        </is>
      </c>
      <c r="T53" s="1" t="inlineStr">
        <is>
          <t>Y</t>
        </is>
      </c>
      <c r="U53" s="3" t="n">
        <v>1</v>
      </c>
    </row>
    <row r="54">
      <c r="A54" s="4">
        <f>A53+1</f>
        <v/>
      </c>
      <c r="B54" s="8" t="inlineStr">
        <is>
          <t>煮沸</t>
        </is>
      </c>
      <c r="C54" s="9" t="inlineStr">
        <is>
          <t>开始煮沸体积</t>
        </is>
      </c>
      <c r="D54" s="9" t="n"/>
      <c r="E54" s="8" t="inlineStr">
        <is>
          <t>hl</t>
        </is>
      </c>
      <c r="F54" s="9" t="n"/>
      <c r="H54" s="1" t="n">
        <v>1</v>
      </c>
      <c r="I54" s="263" t="inlineStr">
        <is>
          <t>一页</t>
        </is>
      </c>
      <c r="J54" s="2" t="inlineStr">
        <is>
          <t>DF or excel</t>
        </is>
      </c>
      <c r="K54" s="1" t="inlineStr">
        <is>
          <t>Y</t>
        </is>
      </c>
      <c r="L54" s="1" t="inlineStr">
        <is>
          <t>Y</t>
        </is>
      </c>
      <c r="M54" s="1" t="inlineStr">
        <is>
          <t>Y</t>
        </is>
      </c>
      <c r="N54" s="1" t="inlineStr">
        <is>
          <t>Y</t>
        </is>
      </c>
      <c r="O54" s="1" t="inlineStr">
        <is>
          <t>Y</t>
        </is>
      </c>
      <c r="P54" s="1" t="inlineStr">
        <is>
          <t>Y</t>
        </is>
      </c>
      <c r="Q54" s="1" t="inlineStr">
        <is>
          <t>Y</t>
        </is>
      </c>
      <c r="R54" s="1" t="inlineStr">
        <is>
          <t>Y</t>
        </is>
      </c>
      <c r="S54" s="1" t="inlineStr">
        <is>
          <t>Y</t>
        </is>
      </c>
      <c r="T54" s="1" t="inlineStr">
        <is>
          <t>Y</t>
        </is>
      </c>
      <c r="U54" s="3" t="n">
        <v>1</v>
      </c>
    </row>
    <row r="55">
      <c r="A55" s="4">
        <f>A54+1</f>
        <v/>
      </c>
      <c r="B55" s="8" t="inlineStr">
        <is>
          <t>煮沸</t>
        </is>
      </c>
      <c r="C55" s="9" t="inlineStr">
        <is>
          <t>加热至沸点时间</t>
        </is>
      </c>
      <c r="D55" s="9" t="inlineStr">
        <is>
          <t>Tap to SOB Duration</t>
        </is>
      </c>
      <c r="E55" s="8" t="inlineStr">
        <is>
          <t>min</t>
        </is>
      </c>
      <c r="F55" s="9" t="n"/>
      <c r="H55" s="1" t="n">
        <v>1</v>
      </c>
      <c r="I55" s="264" t="n"/>
      <c r="J55" s="2" t="inlineStr">
        <is>
          <t>DF or excel</t>
        </is>
      </c>
      <c r="K55" s="1" t="inlineStr">
        <is>
          <t>Y</t>
        </is>
      </c>
      <c r="L55" s="1" t="inlineStr">
        <is>
          <t>Y</t>
        </is>
      </c>
      <c r="M55" s="1" t="inlineStr">
        <is>
          <t>Y</t>
        </is>
      </c>
      <c r="N55" s="1" t="inlineStr">
        <is>
          <t>Y</t>
        </is>
      </c>
      <c r="O55" s="1" t="inlineStr">
        <is>
          <t>Y</t>
        </is>
      </c>
      <c r="P55" s="1" t="inlineStr">
        <is>
          <t>Y</t>
        </is>
      </c>
      <c r="Q55" s="1" t="inlineStr">
        <is>
          <t>Y</t>
        </is>
      </c>
      <c r="R55" s="1" t="inlineStr">
        <is>
          <t>Y</t>
        </is>
      </c>
      <c r="S55" s="1" t="inlineStr">
        <is>
          <t>Y</t>
        </is>
      </c>
      <c r="T55" s="1" t="inlineStr">
        <is>
          <t>Y</t>
        </is>
      </c>
      <c r="U55" s="3" t="n">
        <v>1</v>
      </c>
    </row>
    <row r="56">
      <c r="A56" s="4">
        <f>A54+1</f>
        <v/>
      </c>
      <c r="B56" s="8" t="inlineStr">
        <is>
          <t>煮沸</t>
        </is>
      </c>
      <c r="C56" s="9" t="inlineStr">
        <is>
          <t>煮沸锅起泡次数</t>
        </is>
      </c>
      <c r="D56" s="9" t="n"/>
      <c r="E56" s="8" t="n"/>
      <c r="F56" s="9" t="n"/>
      <c r="H56" s="1" t="n">
        <v>1</v>
      </c>
      <c r="I56" s="264" t="n"/>
      <c r="J56" s="2" t="inlineStr">
        <is>
          <t>DF or excel</t>
        </is>
      </c>
      <c r="K56" s="1" t="inlineStr">
        <is>
          <t>Y</t>
        </is>
      </c>
      <c r="L56" s="1" t="inlineStr">
        <is>
          <t>Y</t>
        </is>
      </c>
      <c r="M56" s="1" t="inlineStr">
        <is>
          <t>Y</t>
        </is>
      </c>
      <c r="N56" s="1" t="inlineStr">
        <is>
          <t>Y</t>
        </is>
      </c>
      <c r="O56" s="1" t="inlineStr">
        <is>
          <t>Y</t>
        </is>
      </c>
      <c r="P56" s="1" t="inlineStr">
        <is>
          <t>Y</t>
        </is>
      </c>
      <c r="Q56" s="1" t="inlineStr">
        <is>
          <t>Y</t>
        </is>
      </c>
      <c r="R56" s="1" t="inlineStr">
        <is>
          <t>Y</t>
        </is>
      </c>
      <c r="S56" s="1" t="inlineStr">
        <is>
          <t>Y</t>
        </is>
      </c>
      <c r="T56" s="1" t="inlineStr">
        <is>
          <t>Y</t>
        </is>
      </c>
      <c r="U56" s="3" t="n">
        <v>1</v>
      </c>
    </row>
    <row r="57">
      <c r="A57" s="4">
        <f>A56+1</f>
        <v/>
      </c>
      <c r="B57" s="8" t="inlineStr">
        <is>
          <t>煮沸</t>
        </is>
      </c>
      <c r="C57" s="9" t="inlineStr">
        <is>
          <t>满锅前煮沸时间</t>
        </is>
      </c>
      <c r="D57" s="9" t="n"/>
      <c r="E57" s="8" t="inlineStr">
        <is>
          <t>min</t>
        </is>
      </c>
      <c r="F57" s="9" t="n"/>
      <c r="H57" s="1" t="n">
        <v>1</v>
      </c>
      <c r="I57" s="264" t="n"/>
      <c r="J57" s="2" t="inlineStr">
        <is>
          <t>DF or excel</t>
        </is>
      </c>
      <c r="K57" s="1" t="inlineStr">
        <is>
          <t>Y</t>
        </is>
      </c>
      <c r="L57" s="1" t="inlineStr">
        <is>
          <t>Y</t>
        </is>
      </c>
      <c r="M57" s="1" t="inlineStr">
        <is>
          <t>Y</t>
        </is>
      </c>
      <c r="N57" s="1" t="inlineStr">
        <is>
          <t>Y</t>
        </is>
      </c>
      <c r="O57" s="1" t="inlineStr">
        <is>
          <t>Y</t>
        </is>
      </c>
      <c r="P57" s="1" t="inlineStr">
        <is>
          <t>Y</t>
        </is>
      </c>
      <c r="Q57" s="1" t="inlineStr">
        <is>
          <t>Y</t>
        </is>
      </c>
      <c r="R57" s="1" t="inlineStr">
        <is>
          <t>Y</t>
        </is>
      </c>
      <c r="S57" s="1" t="inlineStr">
        <is>
          <t>Y</t>
        </is>
      </c>
      <c r="T57" s="15" t="n"/>
      <c r="U57" s="3" t="n">
        <v>1</v>
      </c>
    </row>
    <row r="58">
      <c r="A58" s="4">
        <f>A57+1</f>
        <v/>
      </c>
      <c r="B58" s="8" t="inlineStr">
        <is>
          <t>煮沸</t>
        </is>
      </c>
      <c r="C58" s="9" t="inlineStr">
        <is>
          <t>满锅后煮沸时间</t>
        </is>
      </c>
      <c r="D58" s="9" t="n"/>
      <c r="E58" s="8" t="inlineStr">
        <is>
          <t>min</t>
        </is>
      </c>
      <c r="F58" s="9" t="n"/>
      <c r="H58" s="1" t="n">
        <v>1</v>
      </c>
      <c r="I58" s="264" t="n"/>
      <c r="J58" s="2" t="inlineStr">
        <is>
          <t>DF or excel</t>
        </is>
      </c>
      <c r="K58" s="1" t="inlineStr">
        <is>
          <t>Y</t>
        </is>
      </c>
      <c r="L58" s="1" t="inlineStr">
        <is>
          <t>Y</t>
        </is>
      </c>
      <c r="M58" s="1" t="inlineStr">
        <is>
          <t>Y</t>
        </is>
      </c>
      <c r="N58" s="1" t="inlineStr">
        <is>
          <t>Y</t>
        </is>
      </c>
      <c r="O58" s="1" t="inlineStr">
        <is>
          <t>Y</t>
        </is>
      </c>
      <c r="P58" s="1" t="inlineStr">
        <is>
          <t>Y</t>
        </is>
      </c>
      <c r="Q58" s="1" t="inlineStr">
        <is>
          <t>Y</t>
        </is>
      </c>
      <c r="R58" s="1" t="inlineStr">
        <is>
          <t>Y</t>
        </is>
      </c>
      <c r="S58" s="1" t="inlineStr">
        <is>
          <t>Y</t>
        </is>
      </c>
      <c r="T58" s="15" t="n"/>
      <c r="U58" s="3" t="n">
        <v>1</v>
      </c>
    </row>
    <row r="59">
      <c r="A59" s="4">
        <f>A58+1</f>
        <v/>
      </c>
      <c r="B59" s="8" t="inlineStr">
        <is>
          <t>煮沸</t>
        </is>
      </c>
      <c r="C59" s="9" t="inlineStr">
        <is>
          <t>总煮沸时间</t>
        </is>
      </c>
      <c r="D59" s="9" t="n"/>
      <c r="E59" s="8" t="inlineStr">
        <is>
          <t>min</t>
        </is>
      </c>
      <c r="F59" s="9" t="n"/>
      <c r="H59" s="1" t="n">
        <v>1</v>
      </c>
      <c r="I59" s="264" t="n"/>
      <c r="J59" s="2" t="inlineStr">
        <is>
          <t>DF or excel</t>
        </is>
      </c>
      <c r="K59" s="1" t="inlineStr">
        <is>
          <t>Y</t>
        </is>
      </c>
      <c r="L59" s="1" t="inlineStr">
        <is>
          <t>Y</t>
        </is>
      </c>
      <c r="M59" s="1" t="inlineStr">
        <is>
          <t>Y</t>
        </is>
      </c>
      <c r="N59" s="1" t="inlineStr">
        <is>
          <t>Y</t>
        </is>
      </c>
      <c r="O59" s="1" t="inlineStr">
        <is>
          <t>Y</t>
        </is>
      </c>
      <c r="P59" s="1" t="inlineStr">
        <is>
          <t>Y</t>
        </is>
      </c>
      <c r="Q59" s="1" t="inlineStr">
        <is>
          <t>Y</t>
        </is>
      </c>
      <c r="R59" s="1" t="inlineStr">
        <is>
          <t>Y</t>
        </is>
      </c>
      <c r="S59" s="1" t="inlineStr">
        <is>
          <t>Y</t>
        </is>
      </c>
      <c r="T59" s="1" t="inlineStr">
        <is>
          <t>Y</t>
        </is>
      </c>
      <c r="U59" s="3" t="n">
        <v>1</v>
      </c>
    </row>
    <row r="60">
      <c r="A60" s="4">
        <f>A59+1</f>
        <v/>
      </c>
      <c r="B60" s="8" t="inlineStr">
        <is>
          <t>煮沸</t>
        </is>
      </c>
      <c r="C60" s="9" t="inlineStr">
        <is>
          <t>总煮沸时间偏离</t>
        </is>
      </c>
      <c r="D60" s="9" t="n"/>
      <c r="E60" s="8" t="inlineStr">
        <is>
          <t>min</t>
        </is>
      </c>
      <c r="F60" s="9" t="n"/>
      <c r="H60" s="1" t="n">
        <v>1</v>
      </c>
      <c r="I60" s="264" t="n"/>
      <c r="J60" s="2" t="inlineStr">
        <is>
          <t>DF or excel</t>
        </is>
      </c>
      <c r="K60" s="1" t="inlineStr">
        <is>
          <t>Y</t>
        </is>
      </c>
      <c r="L60" s="1" t="inlineStr">
        <is>
          <t>Y</t>
        </is>
      </c>
      <c r="M60" s="1" t="inlineStr">
        <is>
          <t>Y</t>
        </is>
      </c>
      <c r="N60" s="1" t="inlineStr">
        <is>
          <t>Y</t>
        </is>
      </c>
      <c r="O60" s="1" t="inlineStr">
        <is>
          <t>Y</t>
        </is>
      </c>
      <c r="P60" s="1" t="inlineStr">
        <is>
          <t>Y</t>
        </is>
      </c>
      <c r="Q60" s="1" t="inlineStr">
        <is>
          <t>Y</t>
        </is>
      </c>
      <c r="R60" s="1" t="inlineStr">
        <is>
          <t>Y</t>
        </is>
      </c>
      <c r="S60" s="1" t="inlineStr">
        <is>
          <t>Y</t>
        </is>
      </c>
      <c r="T60" s="1" t="inlineStr">
        <is>
          <t>Y</t>
        </is>
      </c>
      <c r="U60" s="3" t="n">
        <v>1</v>
      </c>
    </row>
    <row r="61">
      <c r="A61" s="4">
        <f>A60+1</f>
        <v/>
      </c>
      <c r="B61" s="8" t="inlineStr">
        <is>
          <t>煮沸</t>
        </is>
      </c>
      <c r="C61" s="9" t="inlineStr">
        <is>
          <t>满锅前蒸发率</t>
        </is>
      </c>
      <c r="D61" s="9" t="n"/>
      <c r="E61" s="8" t="inlineStr">
        <is>
          <t>%</t>
        </is>
      </c>
      <c r="F61" s="9" t="n"/>
      <c r="H61" s="1" t="n">
        <v>1</v>
      </c>
      <c r="I61" s="264" t="n"/>
      <c r="J61" s="2" t="inlineStr">
        <is>
          <t>DF or excel</t>
        </is>
      </c>
      <c r="K61" s="1" t="inlineStr">
        <is>
          <t>Y</t>
        </is>
      </c>
      <c r="L61" s="1" t="inlineStr">
        <is>
          <t>Y</t>
        </is>
      </c>
      <c r="M61" s="1" t="inlineStr">
        <is>
          <t>Y</t>
        </is>
      </c>
      <c r="N61" s="1" t="inlineStr">
        <is>
          <t>Y</t>
        </is>
      </c>
      <c r="O61" s="1" t="inlineStr">
        <is>
          <t>Y</t>
        </is>
      </c>
      <c r="P61" s="1" t="inlineStr">
        <is>
          <t>Y</t>
        </is>
      </c>
      <c r="Q61" s="1" t="inlineStr">
        <is>
          <t>Y</t>
        </is>
      </c>
      <c r="R61" s="1" t="inlineStr">
        <is>
          <t>Y</t>
        </is>
      </c>
      <c r="S61" s="1" t="inlineStr">
        <is>
          <t>Y</t>
        </is>
      </c>
      <c r="T61" s="15" t="n"/>
      <c r="U61" s="3" t="n">
        <v>1</v>
      </c>
    </row>
    <row r="62">
      <c r="A62" s="4">
        <f>A61+1</f>
        <v/>
      </c>
      <c r="B62" s="8" t="inlineStr">
        <is>
          <t>煮沸</t>
        </is>
      </c>
      <c r="C62" s="9" t="inlineStr">
        <is>
          <t>满锅后蒸发率</t>
        </is>
      </c>
      <c r="D62" s="9" t="n"/>
      <c r="E62" s="8" t="inlineStr">
        <is>
          <t>%</t>
        </is>
      </c>
      <c r="F62" s="9" t="n"/>
      <c r="H62" s="1" t="n">
        <v>1</v>
      </c>
      <c r="I62" s="264" t="n"/>
      <c r="J62" s="2" t="inlineStr">
        <is>
          <t>DF or excel</t>
        </is>
      </c>
      <c r="K62" s="1" t="inlineStr">
        <is>
          <t>Y</t>
        </is>
      </c>
      <c r="L62" s="1" t="inlineStr">
        <is>
          <t>Y</t>
        </is>
      </c>
      <c r="M62" s="1" t="inlineStr">
        <is>
          <t>Y</t>
        </is>
      </c>
      <c r="N62" s="1" t="inlineStr">
        <is>
          <t>Y</t>
        </is>
      </c>
      <c r="O62" s="1" t="inlineStr">
        <is>
          <t>Y</t>
        </is>
      </c>
      <c r="P62" s="1" t="inlineStr">
        <is>
          <t>Y</t>
        </is>
      </c>
      <c r="Q62" s="1" t="inlineStr">
        <is>
          <t>Y</t>
        </is>
      </c>
      <c r="R62" s="1" t="inlineStr">
        <is>
          <t>Y</t>
        </is>
      </c>
      <c r="S62" s="1" t="inlineStr">
        <is>
          <t>Y</t>
        </is>
      </c>
      <c r="T62" s="15" t="n"/>
      <c r="U62" s="3" t="n">
        <v>1</v>
      </c>
    </row>
    <row r="63">
      <c r="A63" s="4">
        <f>A62+1</f>
        <v/>
      </c>
      <c r="B63" s="8" t="inlineStr">
        <is>
          <t>煮沸</t>
        </is>
      </c>
      <c r="C63" s="9" t="inlineStr">
        <is>
          <t>总蒸发率</t>
        </is>
      </c>
      <c r="D63" s="9" t="n"/>
      <c r="E63" s="8" t="inlineStr">
        <is>
          <t>%</t>
        </is>
      </c>
      <c r="F63" s="9" t="n"/>
      <c r="H63" s="1" t="n">
        <v>1</v>
      </c>
      <c r="I63" s="264" t="n"/>
      <c r="J63" s="2" t="inlineStr">
        <is>
          <t>DF or excel</t>
        </is>
      </c>
      <c r="K63" s="1" t="inlineStr">
        <is>
          <t>Y</t>
        </is>
      </c>
      <c r="L63" s="1" t="inlineStr">
        <is>
          <t>Y</t>
        </is>
      </c>
      <c r="M63" s="1" t="inlineStr">
        <is>
          <t>Y</t>
        </is>
      </c>
      <c r="N63" s="1" t="inlineStr">
        <is>
          <t>Y</t>
        </is>
      </c>
      <c r="O63" s="1" t="inlineStr">
        <is>
          <t>Y</t>
        </is>
      </c>
      <c r="P63" s="1" t="inlineStr">
        <is>
          <t>Y</t>
        </is>
      </c>
      <c r="Q63" s="1" t="inlineStr">
        <is>
          <t>Y</t>
        </is>
      </c>
      <c r="R63" s="1" t="inlineStr">
        <is>
          <t>Y</t>
        </is>
      </c>
      <c r="S63" s="1" t="inlineStr">
        <is>
          <t>Y</t>
        </is>
      </c>
      <c r="T63" s="1" t="inlineStr">
        <is>
          <t>Y</t>
        </is>
      </c>
      <c r="U63" s="3" t="n">
        <v>1</v>
      </c>
    </row>
    <row r="64">
      <c r="A64" s="4">
        <f>A63+1</f>
        <v/>
      </c>
      <c r="B64" s="13" t="inlineStr">
        <is>
          <t>旋沉冷却</t>
        </is>
      </c>
      <c r="C64" s="14" t="inlineStr">
        <is>
          <t>麦汁旋沉时间</t>
        </is>
      </c>
      <c r="D64" s="14" t="n"/>
      <c r="E64" s="13" t="inlineStr">
        <is>
          <t>min</t>
        </is>
      </c>
      <c r="F64" s="14" t="n"/>
      <c r="H64" s="1" t="n">
        <v>1</v>
      </c>
      <c r="I64" s="263" t="inlineStr">
        <is>
          <t>一页</t>
        </is>
      </c>
      <c r="J64" s="2" t="inlineStr">
        <is>
          <t>DF or excel</t>
        </is>
      </c>
      <c r="K64" s="1" t="inlineStr">
        <is>
          <t>Y</t>
        </is>
      </c>
      <c r="L64" s="1" t="inlineStr">
        <is>
          <t>Y</t>
        </is>
      </c>
      <c r="M64" s="1" t="inlineStr">
        <is>
          <t>Y</t>
        </is>
      </c>
      <c r="N64" s="1" t="inlineStr">
        <is>
          <t>Y</t>
        </is>
      </c>
      <c r="O64" s="1" t="inlineStr">
        <is>
          <t>Y</t>
        </is>
      </c>
      <c r="P64" s="1" t="inlineStr">
        <is>
          <t>Y</t>
        </is>
      </c>
      <c r="Q64" s="1" t="inlineStr">
        <is>
          <t>Y</t>
        </is>
      </c>
      <c r="R64" s="1" t="inlineStr">
        <is>
          <t>Y</t>
        </is>
      </c>
      <c r="S64" s="1" t="inlineStr">
        <is>
          <t>Y</t>
        </is>
      </c>
      <c r="T64" s="1" t="inlineStr">
        <is>
          <t>Y</t>
        </is>
      </c>
    </row>
    <row r="65">
      <c r="A65" s="4">
        <f>A64+1</f>
        <v/>
      </c>
      <c r="B65" s="13" t="inlineStr">
        <is>
          <t>旋沉冷却</t>
        </is>
      </c>
      <c r="C65" s="14" t="inlineStr">
        <is>
          <t>麦汁冷却时间</t>
        </is>
      </c>
      <c r="D65" s="14" t="n"/>
      <c r="E65" s="13" t="inlineStr">
        <is>
          <t>min</t>
        </is>
      </c>
      <c r="F65" s="14" t="n"/>
      <c r="H65" s="1" t="n">
        <v>1</v>
      </c>
      <c r="I65" s="264" t="n"/>
      <c r="J65" s="2" t="inlineStr">
        <is>
          <t>DF or excel</t>
        </is>
      </c>
      <c r="K65" s="1" t="inlineStr">
        <is>
          <t>Y</t>
        </is>
      </c>
      <c r="L65" s="1" t="inlineStr">
        <is>
          <t>Y</t>
        </is>
      </c>
      <c r="M65" s="1" t="inlineStr">
        <is>
          <t>Y</t>
        </is>
      </c>
      <c r="N65" s="1" t="inlineStr">
        <is>
          <t>Y</t>
        </is>
      </c>
      <c r="O65" s="1" t="inlineStr">
        <is>
          <t>Y</t>
        </is>
      </c>
      <c r="P65" s="1" t="inlineStr">
        <is>
          <t>Y</t>
        </is>
      </c>
      <c r="Q65" s="1" t="inlineStr">
        <is>
          <t>Y</t>
        </is>
      </c>
      <c r="R65" s="1" t="inlineStr">
        <is>
          <t>Y</t>
        </is>
      </c>
      <c r="S65" s="1" t="inlineStr">
        <is>
          <t>Y</t>
        </is>
      </c>
      <c r="T65" s="1" t="inlineStr">
        <is>
          <t>Y</t>
        </is>
      </c>
    </row>
    <row r="66">
      <c r="A66" s="4">
        <f>A65+1</f>
        <v/>
      </c>
      <c r="B66" s="13" t="inlineStr">
        <is>
          <t>旋沉冷却</t>
        </is>
      </c>
      <c r="C66" s="14" t="inlineStr">
        <is>
          <t>冷麦汁体积</t>
        </is>
      </c>
      <c r="D66" s="14" t="n"/>
      <c r="E66" s="13" t="inlineStr">
        <is>
          <t>hl</t>
        </is>
      </c>
      <c r="F66" s="14" t="n"/>
      <c r="H66" s="1" t="n">
        <v>1</v>
      </c>
      <c r="I66" s="264" t="n"/>
      <c r="J66" s="2" t="inlineStr">
        <is>
          <t>DF or excel</t>
        </is>
      </c>
      <c r="K66" s="1" t="inlineStr">
        <is>
          <t>Y</t>
        </is>
      </c>
      <c r="L66" s="1" t="inlineStr">
        <is>
          <t>Y</t>
        </is>
      </c>
      <c r="M66" s="1" t="inlineStr">
        <is>
          <t>Y</t>
        </is>
      </c>
      <c r="N66" s="1" t="inlineStr">
        <is>
          <t>Y</t>
        </is>
      </c>
      <c r="O66" s="1" t="inlineStr">
        <is>
          <t>Y</t>
        </is>
      </c>
      <c r="P66" s="1" t="inlineStr">
        <is>
          <t>Y</t>
        </is>
      </c>
      <c r="Q66" s="1" t="inlineStr">
        <is>
          <t>Y</t>
        </is>
      </c>
      <c r="R66" s="1" t="inlineStr">
        <is>
          <t>Y</t>
        </is>
      </c>
      <c r="S66" s="1" t="inlineStr">
        <is>
          <t>Y</t>
        </is>
      </c>
      <c r="T66" s="1" t="inlineStr">
        <is>
          <t>Y</t>
        </is>
      </c>
    </row>
    <row r="67">
      <c r="A67" s="4">
        <f>A66+1</f>
        <v/>
      </c>
      <c r="B67" s="13" t="inlineStr">
        <is>
          <t>旋沉冷却</t>
        </is>
      </c>
      <c r="C67" s="14" t="inlineStr">
        <is>
          <t>糖化周期</t>
        </is>
      </c>
      <c r="D67" s="14" t="n"/>
      <c r="E67" s="13" t="inlineStr">
        <is>
          <t>hr</t>
        </is>
      </c>
      <c r="F67" s="14" t="n"/>
      <c r="H67" s="1" t="n">
        <v>1</v>
      </c>
      <c r="I67" s="264" t="n"/>
      <c r="J67" s="2" t="inlineStr">
        <is>
          <t>DF or excel</t>
        </is>
      </c>
      <c r="K67" s="1" t="inlineStr">
        <is>
          <t>Y</t>
        </is>
      </c>
      <c r="L67" s="1" t="inlineStr">
        <is>
          <t>Y</t>
        </is>
      </c>
      <c r="M67" s="1" t="inlineStr">
        <is>
          <t>Y</t>
        </is>
      </c>
      <c r="N67" s="1" t="inlineStr">
        <is>
          <t>Y</t>
        </is>
      </c>
      <c r="O67" s="1" t="inlineStr">
        <is>
          <t>Y</t>
        </is>
      </c>
      <c r="P67" s="1" t="inlineStr">
        <is>
          <t>Y</t>
        </is>
      </c>
      <c r="Q67" s="1" t="inlineStr">
        <is>
          <t>Y</t>
        </is>
      </c>
      <c r="R67" s="1" t="inlineStr">
        <is>
          <t>Y</t>
        </is>
      </c>
      <c r="S67" s="1" t="inlineStr">
        <is>
          <t>Y</t>
        </is>
      </c>
      <c r="T67" s="1" t="inlineStr">
        <is>
          <t>Y</t>
        </is>
      </c>
    </row>
    <row r="68">
      <c r="A68" s="4">
        <f>A67+1</f>
        <v/>
      </c>
      <c r="B68" s="13" t="inlineStr">
        <is>
          <t>旋沉冷却</t>
        </is>
      </c>
      <c r="C68" s="14" t="inlineStr">
        <is>
          <t>糖化周期偏离</t>
        </is>
      </c>
      <c r="D68" s="14" t="n"/>
      <c r="E68" s="13" t="inlineStr">
        <is>
          <t>hr</t>
        </is>
      </c>
      <c r="F68" s="14" t="n"/>
      <c r="H68" s="1" t="n">
        <v>1</v>
      </c>
      <c r="I68" s="264" t="n"/>
      <c r="J68" s="2" t="inlineStr">
        <is>
          <t>DF or excel</t>
        </is>
      </c>
      <c r="K68" s="1" t="inlineStr">
        <is>
          <t>Y</t>
        </is>
      </c>
      <c r="L68" s="1" t="inlineStr">
        <is>
          <t>Y</t>
        </is>
      </c>
      <c r="M68" s="1" t="inlineStr">
        <is>
          <t>Y</t>
        </is>
      </c>
      <c r="N68" s="1" t="inlineStr">
        <is>
          <t>Y</t>
        </is>
      </c>
      <c r="O68" s="1" t="inlineStr">
        <is>
          <t>Y</t>
        </is>
      </c>
      <c r="P68" s="1" t="inlineStr">
        <is>
          <t>Y</t>
        </is>
      </c>
      <c r="Q68" s="1" t="inlineStr">
        <is>
          <t>Y</t>
        </is>
      </c>
      <c r="R68" s="1" t="inlineStr">
        <is>
          <t>Y</t>
        </is>
      </c>
      <c r="S68" s="1" t="inlineStr">
        <is>
          <t>Y</t>
        </is>
      </c>
      <c r="T68" s="1" t="inlineStr">
        <is>
          <t>Y</t>
        </is>
      </c>
    </row>
    <row r="69">
      <c r="A69" s="4">
        <f>A68+1</f>
        <v/>
      </c>
      <c r="B69" s="13" t="inlineStr">
        <is>
          <t>旋沉冷却</t>
        </is>
      </c>
      <c r="C69" s="14" t="inlineStr">
        <is>
          <t>糖化热时间</t>
        </is>
      </c>
      <c r="D69" s="14" t="n"/>
      <c r="E69" s="13" t="inlineStr">
        <is>
          <t>min</t>
        </is>
      </c>
      <c r="F69" s="14" t="n"/>
      <c r="H69" s="1" t="n">
        <v>1</v>
      </c>
      <c r="I69" s="264" t="n"/>
      <c r="J69" s="2" t="inlineStr">
        <is>
          <t>DF or excel</t>
        </is>
      </c>
      <c r="K69" s="1" t="inlineStr">
        <is>
          <t>Y</t>
        </is>
      </c>
      <c r="L69" s="1" t="inlineStr">
        <is>
          <t>Y</t>
        </is>
      </c>
      <c r="M69" s="1" t="inlineStr">
        <is>
          <t>Y</t>
        </is>
      </c>
      <c r="N69" s="1" t="inlineStr">
        <is>
          <t>Y</t>
        </is>
      </c>
      <c r="O69" s="1" t="inlineStr">
        <is>
          <t>Y</t>
        </is>
      </c>
      <c r="P69" s="1" t="inlineStr">
        <is>
          <t>Y</t>
        </is>
      </c>
      <c r="Q69" s="1" t="inlineStr">
        <is>
          <t>Y</t>
        </is>
      </c>
      <c r="R69" s="1" t="inlineStr">
        <is>
          <t>Y</t>
        </is>
      </c>
      <c r="S69" s="1" t="inlineStr">
        <is>
          <t>Y</t>
        </is>
      </c>
      <c r="T69" s="1" t="inlineStr">
        <is>
          <t>Y</t>
        </is>
      </c>
    </row>
    <row r="70">
      <c r="A70" s="4">
        <f>A69+1</f>
        <v/>
      </c>
      <c r="B70" s="13" t="inlineStr">
        <is>
          <t>旋沉冷却</t>
        </is>
      </c>
      <c r="C70" s="14" t="inlineStr">
        <is>
          <t>HSI 糖化热效应指数</t>
        </is>
      </c>
      <c r="D70" s="14" t="n"/>
      <c r="E70" s="13" t="inlineStr">
        <is>
          <t>min</t>
        </is>
      </c>
      <c r="F70" s="14" t="n"/>
      <c r="H70" s="1" t="n">
        <v>1</v>
      </c>
      <c r="I70" s="264" t="n"/>
      <c r="J70" s="2" t="inlineStr">
        <is>
          <t>DF or excel</t>
        </is>
      </c>
      <c r="K70" s="1" t="inlineStr">
        <is>
          <t>Y</t>
        </is>
      </c>
      <c r="L70" s="1" t="inlineStr">
        <is>
          <t>Y</t>
        </is>
      </c>
      <c r="M70" s="1" t="inlineStr">
        <is>
          <t>Y</t>
        </is>
      </c>
      <c r="N70" s="1" t="inlineStr">
        <is>
          <t>Y</t>
        </is>
      </c>
      <c r="O70" s="1" t="inlineStr">
        <is>
          <t>Y</t>
        </is>
      </c>
      <c r="P70" s="1" t="inlineStr">
        <is>
          <t>Y</t>
        </is>
      </c>
      <c r="Q70" s="1" t="inlineStr">
        <is>
          <t>Y</t>
        </is>
      </c>
      <c r="R70" s="1" t="inlineStr">
        <is>
          <t>Y</t>
        </is>
      </c>
      <c r="S70" s="1" t="inlineStr">
        <is>
          <t>Y</t>
        </is>
      </c>
      <c r="T70" s="1" t="inlineStr">
        <is>
          <t>Y</t>
        </is>
      </c>
    </row>
    <row r="71">
      <c r="A71" s="4">
        <f>A70+1</f>
        <v/>
      </c>
      <c r="B71" s="11" t="inlineStr">
        <is>
          <t>冷麦汁</t>
        </is>
      </c>
      <c r="C71" s="12" t="inlineStr">
        <is>
          <t>冷麦汁原浓</t>
        </is>
      </c>
      <c r="D71" s="12" t="n"/>
      <c r="E71" s="11" t="inlineStr">
        <is>
          <t>°P</t>
        </is>
      </c>
      <c r="F71" s="12" t="n"/>
      <c r="H71" s="1" t="n">
        <v>1</v>
      </c>
      <c r="I71" s="263" t="inlineStr">
        <is>
          <t>一页</t>
        </is>
      </c>
      <c r="J71" s="2" t="inlineStr">
        <is>
          <t>LIMS</t>
        </is>
      </c>
      <c r="K71" s="1" t="inlineStr">
        <is>
          <t>Y</t>
        </is>
      </c>
      <c r="L71" s="1" t="inlineStr">
        <is>
          <t>Y</t>
        </is>
      </c>
      <c r="M71" s="1" t="inlineStr">
        <is>
          <t>Y</t>
        </is>
      </c>
      <c r="N71" s="1" t="inlineStr">
        <is>
          <t>Y</t>
        </is>
      </c>
      <c r="O71" s="1" t="inlineStr">
        <is>
          <t>Y</t>
        </is>
      </c>
      <c r="P71" s="1" t="inlineStr">
        <is>
          <t>Y</t>
        </is>
      </c>
      <c r="Q71" s="1" t="inlineStr">
        <is>
          <t>Y</t>
        </is>
      </c>
      <c r="R71" s="1" t="inlineStr">
        <is>
          <t>Y</t>
        </is>
      </c>
      <c r="S71" s="1" t="inlineStr">
        <is>
          <t>Y</t>
        </is>
      </c>
      <c r="T71" s="1" t="inlineStr">
        <is>
          <t>Y</t>
        </is>
      </c>
    </row>
    <row r="72">
      <c r="A72" s="4">
        <f>A71+1</f>
        <v/>
      </c>
      <c r="B72" s="11" t="inlineStr">
        <is>
          <t>冷麦汁</t>
        </is>
      </c>
      <c r="C72" s="12" t="inlineStr">
        <is>
          <t>冷麦汁pH</t>
        </is>
      </c>
      <c r="D72" s="12" t="n"/>
      <c r="E72" s="11" t="n"/>
      <c r="F72" s="12" t="n"/>
      <c r="G72" s="3" t="inlineStr">
        <is>
          <t>FCI</t>
        </is>
      </c>
      <c r="H72" s="1" t="n">
        <v>1</v>
      </c>
      <c r="I72" s="264" t="n"/>
      <c r="J72" s="2" t="inlineStr">
        <is>
          <t>LIMS</t>
        </is>
      </c>
      <c r="K72" s="1" t="inlineStr">
        <is>
          <t>Y</t>
        </is>
      </c>
      <c r="L72" s="1" t="inlineStr">
        <is>
          <t>Y</t>
        </is>
      </c>
      <c r="M72" s="1" t="inlineStr">
        <is>
          <t>Y</t>
        </is>
      </c>
      <c r="N72" s="1" t="inlineStr">
        <is>
          <t>Y</t>
        </is>
      </c>
      <c r="O72" s="1" t="inlineStr">
        <is>
          <t>Y</t>
        </is>
      </c>
      <c r="P72" s="1" t="inlineStr">
        <is>
          <t>Y</t>
        </is>
      </c>
      <c r="Q72" s="1" t="inlineStr">
        <is>
          <t>Y</t>
        </is>
      </c>
      <c r="R72" s="1" t="inlineStr">
        <is>
          <t>Y</t>
        </is>
      </c>
      <c r="S72" s="1" t="inlineStr">
        <is>
          <t>Y</t>
        </is>
      </c>
      <c r="T72" s="1" t="inlineStr">
        <is>
          <t>Y</t>
        </is>
      </c>
    </row>
    <row r="73">
      <c r="A73" s="4">
        <f>A72+1</f>
        <v/>
      </c>
      <c r="B73" s="11" t="inlineStr">
        <is>
          <t>冷麦汁</t>
        </is>
      </c>
      <c r="C73" s="12" t="inlineStr">
        <is>
          <t>冷麦汁体积</t>
        </is>
      </c>
      <c r="D73" s="12" t="n"/>
      <c r="E73" s="11" t="inlineStr">
        <is>
          <t>hl</t>
        </is>
      </c>
      <c r="F73" s="12" t="n"/>
      <c r="H73" s="1" t="n">
        <v>1</v>
      </c>
      <c r="I73" s="264" t="n"/>
      <c r="J73" s="2" t="inlineStr">
        <is>
          <t>DF or excel</t>
        </is>
      </c>
      <c r="K73" s="1" t="inlineStr">
        <is>
          <t>Y</t>
        </is>
      </c>
      <c r="L73" s="1" t="inlineStr">
        <is>
          <t>Y</t>
        </is>
      </c>
      <c r="M73" s="1" t="inlineStr">
        <is>
          <t>Y</t>
        </is>
      </c>
      <c r="N73" s="1" t="inlineStr">
        <is>
          <t>Y</t>
        </is>
      </c>
      <c r="O73" s="1" t="inlineStr">
        <is>
          <t>Y</t>
        </is>
      </c>
      <c r="P73" s="1" t="inlineStr">
        <is>
          <t>Y</t>
        </is>
      </c>
      <c r="Q73" s="1" t="inlineStr">
        <is>
          <t>Y</t>
        </is>
      </c>
      <c r="R73" s="1" t="inlineStr">
        <is>
          <t>Y</t>
        </is>
      </c>
      <c r="S73" s="1" t="inlineStr">
        <is>
          <t>Y</t>
        </is>
      </c>
      <c r="T73" s="1" t="inlineStr">
        <is>
          <t>Y</t>
        </is>
      </c>
    </row>
    <row r="74">
      <c r="A74" s="4">
        <f>A73+1</f>
        <v/>
      </c>
      <c r="B74" s="11" t="inlineStr">
        <is>
          <t>冷麦汁</t>
        </is>
      </c>
      <c r="C74" s="12" t="inlineStr">
        <is>
          <t>冷麦汁钙</t>
        </is>
      </c>
      <c r="D74" s="12" t="n"/>
      <c r="E74" s="11" t="inlineStr">
        <is>
          <t>ppm</t>
        </is>
      </c>
      <c r="F74" s="12" t="n"/>
      <c r="H74" s="1" t="n">
        <v>1</v>
      </c>
      <c r="I74" s="264" t="n"/>
      <c r="J74" s="2" t="inlineStr">
        <is>
          <t>LIMS</t>
        </is>
      </c>
      <c r="K74" s="1" t="inlineStr">
        <is>
          <t>Y</t>
        </is>
      </c>
      <c r="L74" s="1" t="inlineStr">
        <is>
          <t>Y</t>
        </is>
      </c>
      <c r="M74" s="1" t="inlineStr">
        <is>
          <t>Y</t>
        </is>
      </c>
      <c r="N74" s="1" t="inlineStr">
        <is>
          <t>Y</t>
        </is>
      </c>
      <c r="O74" s="1" t="inlineStr">
        <is>
          <t>Y</t>
        </is>
      </c>
      <c r="P74" s="1" t="inlineStr">
        <is>
          <t>Y</t>
        </is>
      </c>
      <c r="Q74" s="1" t="inlineStr">
        <is>
          <t>Y</t>
        </is>
      </c>
      <c r="R74" s="1" t="inlineStr">
        <is>
          <t>Y</t>
        </is>
      </c>
      <c r="S74" s="1" t="inlineStr">
        <is>
          <t>Y</t>
        </is>
      </c>
      <c r="T74" s="1" t="inlineStr">
        <is>
          <t>Y</t>
        </is>
      </c>
    </row>
    <row r="75">
      <c r="A75" s="4">
        <f>A74+1</f>
        <v/>
      </c>
      <c r="B75" s="11" t="inlineStr">
        <is>
          <t>冷麦汁</t>
        </is>
      </c>
      <c r="C75" s="12" t="inlineStr">
        <is>
          <t>锌添加量</t>
        </is>
      </c>
      <c r="D75" s="12" t="n"/>
      <c r="E75" s="11" t="inlineStr">
        <is>
          <t>g</t>
        </is>
      </c>
      <c r="F75" s="12" t="n"/>
      <c r="H75" s="1" t="n">
        <v>1</v>
      </c>
      <c r="I75" s="264" t="n"/>
      <c r="J75" s="2" t="inlineStr">
        <is>
          <t>DF or excel</t>
        </is>
      </c>
      <c r="K75" s="1" t="inlineStr">
        <is>
          <t>Y</t>
        </is>
      </c>
      <c r="L75" s="1" t="inlineStr">
        <is>
          <t>Y</t>
        </is>
      </c>
      <c r="M75" s="1" t="inlineStr">
        <is>
          <t>Y</t>
        </is>
      </c>
      <c r="N75" s="1" t="inlineStr">
        <is>
          <t>Y</t>
        </is>
      </c>
      <c r="O75" s="1" t="inlineStr">
        <is>
          <t>Y</t>
        </is>
      </c>
      <c r="P75" s="1" t="inlineStr">
        <is>
          <t>Y</t>
        </is>
      </c>
      <c r="Q75" s="1" t="inlineStr">
        <is>
          <t>Y</t>
        </is>
      </c>
      <c r="R75" s="1" t="inlineStr">
        <is>
          <t>Y</t>
        </is>
      </c>
      <c r="S75" s="1" t="inlineStr">
        <is>
          <t>Y</t>
        </is>
      </c>
      <c r="T75" s="1" t="inlineStr">
        <is>
          <t>Y</t>
        </is>
      </c>
    </row>
    <row r="76">
      <c r="A76" s="4">
        <f>A75+1</f>
        <v/>
      </c>
      <c r="B76" s="13" t="inlineStr">
        <is>
          <t>酵母</t>
        </is>
      </c>
      <c r="C76" s="14" t="inlineStr">
        <is>
          <t>酵母回收温度</t>
        </is>
      </c>
      <c r="D76" s="14" t="n"/>
      <c r="E76" s="13" t="inlineStr">
        <is>
          <t>°C</t>
        </is>
      </c>
      <c r="F76" s="14" t="inlineStr">
        <is>
          <t>管道上在线温度或酵母储罐回收过程冷媒开启前温度</t>
        </is>
      </c>
      <c r="H76" s="1" t="n">
        <v>1</v>
      </c>
      <c r="I76" s="263" t="n"/>
      <c r="J76" s="2" t="inlineStr">
        <is>
          <t>LIMS</t>
        </is>
      </c>
      <c r="K76" s="1" t="inlineStr">
        <is>
          <t>Y</t>
        </is>
      </c>
      <c r="L76" s="1" t="inlineStr">
        <is>
          <t>Y</t>
        </is>
      </c>
      <c r="M76" s="1" t="inlineStr">
        <is>
          <t>Y</t>
        </is>
      </c>
      <c r="N76" s="1" t="inlineStr">
        <is>
          <t>Y</t>
        </is>
      </c>
      <c r="O76" s="1" t="inlineStr">
        <is>
          <t>Y</t>
        </is>
      </c>
      <c r="P76" s="1" t="inlineStr">
        <is>
          <t>Y</t>
        </is>
      </c>
      <c r="Q76" s="15" t="inlineStr">
        <is>
          <t>Y</t>
        </is>
      </c>
      <c r="R76" s="15" t="inlineStr">
        <is>
          <t>Y</t>
        </is>
      </c>
      <c r="S76" s="1" t="inlineStr">
        <is>
          <t>Y</t>
        </is>
      </c>
      <c r="T76" s="1" t="inlineStr">
        <is>
          <t>Y</t>
        </is>
      </c>
    </row>
    <row r="77">
      <c r="A77" s="4">
        <f>A76+1</f>
        <v/>
      </c>
      <c r="B77" s="13" t="inlineStr">
        <is>
          <t>酵母</t>
        </is>
      </c>
      <c r="C77" s="14" t="inlineStr">
        <is>
          <t>酵母泥浓度</t>
        </is>
      </c>
      <c r="D77" s="14" t="n"/>
      <c r="E77" s="13" t="inlineStr">
        <is>
          <t>%</t>
        </is>
      </c>
      <c r="F77" s="14" t="n"/>
      <c r="H77" s="1" t="n">
        <v>1</v>
      </c>
      <c r="I77" s="264" t="n"/>
      <c r="J77" s="2" t="inlineStr">
        <is>
          <t>LIMS</t>
        </is>
      </c>
      <c r="K77" s="1" t="inlineStr">
        <is>
          <t>Y</t>
        </is>
      </c>
      <c r="L77" s="1" t="inlineStr">
        <is>
          <t>Y</t>
        </is>
      </c>
      <c r="M77" s="1" t="inlineStr">
        <is>
          <t>Y</t>
        </is>
      </c>
      <c r="N77" s="1" t="inlineStr">
        <is>
          <t>Y</t>
        </is>
      </c>
      <c r="O77" s="1" t="inlineStr">
        <is>
          <t>Y</t>
        </is>
      </c>
      <c r="P77" s="1" t="inlineStr">
        <is>
          <t>Y</t>
        </is>
      </c>
      <c r="Q77" s="15" t="inlineStr">
        <is>
          <t>Y</t>
        </is>
      </c>
      <c r="R77" s="15" t="inlineStr">
        <is>
          <t>Y</t>
        </is>
      </c>
      <c r="S77" s="1" t="inlineStr">
        <is>
          <t>Y</t>
        </is>
      </c>
      <c r="T77" s="1" t="inlineStr">
        <is>
          <t>Y</t>
        </is>
      </c>
    </row>
    <row r="78">
      <c r="A78" s="4">
        <f>A77+1</f>
        <v/>
      </c>
      <c r="B78" s="13" t="inlineStr">
        <is>
          <t>酵母</t>
        </is>
      </c>
      <c r="C78" s="14" t="inlineStr">
        <is>
          <t>酵母罐存储24h温度</t>
        </is>
      </c>
      <c r="D78" s="14" t="n"/>
      <c r="E78" s="13" t="inlineStr">
        <is>
          <t>°C</t>
        </is>
      </c>
      <c r="F78" s="14" t="n"/>
      <c r="H78" s="1" t="n">
        <v>1</v>
      </c>
      <c r="I78" s="264" t="n"/>
      <c r="J78" s="2" t="inlineStr">
        <is>
          <t>LIMS</t>
        </is>
      </c>
      <c r="K78" s="1" t="inlineStr">
        <is>
          <t>Y</t>
        </is>
      </c>
      <c r="L78" s="1" t="inlineStr">
        <is>
          <t>Y</t>
        </is>
      </c>
      <c r="M78" s="1" t="inlineStr">
        <is>
          <t>Y</t>
        </is>
      </c>
      <c r="N78" s="1" t="inlineStr">
        <is>
          <t>Y</t>
        </is>
      </c>
      <c r="O78" s="1" t="inlineStr">
        <is>
          <t>Y</t>
        </is>
      </c>
      <c r="P78" s="1" t="inlineStr">
        <is>
          <t>Y</t>
        </is>
      </c>
      <c r="Q78" s="15" t="inlineStr">
        <is>
          <t>Y</t>
        </is>
      </c>
      <c r="R78" s="15" t="inlineStr">
        <is>
          <t>Y</t>
        </is>
      </c>
      <c r="S78" s="1" t="inlineStr">
        <is>
          <t>Y</t>
        </is>
      </c>
      <c r="T78" s="1" t="inlineStr">
        <is>
          <t>Y</t>
        </is>
      </c>
    </row>
    <row r="79">
      <c r="A79" s="4">
        <f>A77+1</f>
        <v/>
      </c>
      <c r="B79" s="13" t="inlineStr">
        <is>
          <t>酵母</t>
        </is>
      </c>
      <c r="C79" s="14" t="inlineStr">
        <is>
          <t>酵母泥死亡率</t>
        </is>
      </c>
      <c r="D79" s="14" t="n"/>
      <c r="E79" s="13" t="inlineStr">
        <is>
          <t>%</t>
        </is>
      </c>
      <c r="F79" s="14" t="n"/>
      <c r="H79" s="1" t="n">
        <v>1</v>
      </c>
      <c r="I79" s="264" t="n"/>
      <c r="J79" s="2" t="inlineStr">
        <is>
          <t>LIMS</t>
        </is>
      </c>
      <c r="K79" s="1" t="inlineStr">
        <is>
          <t>Y</t>
        </is>
      </c>
      <c r="L79" s="1" t="inlineStr">
        <is>
          <t>Y</t>
        </is>
      </c>
      <c r="M79" s="1" t="inlineStr">
        <is>
          <t>Y</t>
        </is>
      </c>
      <c r="N79" s="1" t="inlineStr">
        <is>
          <t>Y</t>
        </is>
      </c>
      <c r="O79" s="1" t="inlineStr">
        <is>
          <t>Y</t>
        </is>
      </c>
      <c r="P79" s="1" t="inlineStr">
        <is>
          <t>Y</t>
        </is>
      </c>
      <c r="Q79" s="15" t="inlineStr">
        <is>
          <t>Y</t>
        </is>
      </c>
      <c r="R79" s="15" t="inlineStr">
        <is>
          <t>Y</t>
        </is>
      </c>
      <c r="S79" s="1" t="inlineStr">
        <is>
          <t>Y</t>
        </is>
      </c>
      <c r="T79" s="1" t="inlineStr">
        <is>
          <t>Y</t>
        </is>
      </c>
    </row>
    <row r="80">
      <c r="A80" s="4">
        <f>A78+1</f>
        <v/>
      </c>
      <c r="B80" s="13" t="inlineStr">
        <is>
          <t>酵母</t>
        </is>
      </c>
      <c r="C80" s="14" t="inlineStr">
        <is>
          <t>酵母锌</t>
        </is>
      </c>
      <c r="D80" s="14" t="n"/>
      <c r="E80" s="13" t="inlineStr">
        <is>
          <t>ppm</t>
        </is>
      </c>
      <c r="F80" s="14" t="n"/>
      <c r="G80" s="3" t="inlineStr">
        <is>
          <t>new</t>
        </is>
      </c>
      <c r="H80" s="1" t="n">
        <v>1</v>
      </c>
      <c r="I80" s="264" t="n"/>
      <c r="J80" s="2" t="inlineStr">
        <is>
          <t>LIMS</t>
        </is>
      </c>
      <c r="K80" s="1" t="inlineStr">
        <is>
          <t>Y</t>
        </is>
      </c>
      <c r="L80" s="1" t="inlineStr">
        <is>
          <t>Y</t>
        </is>
      </c>
      <c r="M80" s="1" t="inlineStr">
        <is>
          <t>Y</t>
        </is>
      </c>
      <c r="N80" s="1" t="inlineStr">
        <is>
          <t>Y</t>
        </is>
      </c>
      <c r="O80" s="1" t="inlineStr">
        <is>
          <t>Y</t>
        </is>
      </c>
      <c r="P80" s="1" t="inlineStr">
        <is>
          <t>Y</t>
        </is>
      </c>
      <c r="Q80" s="15" t="inlineStr">
        <is>
          <t>Y</t>
        </is>
      </c>
      <c r="R80" s="15" t="inlineStr">
        <is>
          <t>Y</t>
        </is>
      </c>
      <c r="S80" s="1" t="inlineStr">
        <is>
          <t>Y</t>
        </is>
      </c>
      <c r="T80" s="1" t="inlineStr">
        <is>
          <t>Y</t>
        </is>
      </c>
    </row>
    <row r="81">
      <c r="A81" s="4">
        <f>A80+1</f>
        <v/>
      </c>
      <c r="B81" s="8" t="inlineStr">
        <is>
          <t>发酵</t>
        </is>
      </c>
      <c r="C81" s="9" t="inlineStr">
        <is>
          <t>满罐温度</t>
        </is>
      </c>
      <c r="D81" s="9" t="n"/>
      <c r="E81" s="8" t="inlineStr">
        <is>
          <t>°C</t>
        </is>
      </c>
      <c r="F81" s="9" t="inlineStr">
        <is>
          <t>和自由升温时间一张图</t>
        </is>
      </c>
      <c r="G81" s="3" t="inlineStr">
        <is>
          <t>FCI</t>
        </is>
      </c>
      <c r="H81" s="1" t="n">
        <v>1</v>
      </c>
      <c r="I81" s="2" t="inlineStr">
        <is>
          <t>整体排8页</t>
        </is>
      </c>
      <c r="J81" s="2" t="inlineStr">
        <is>
          <t>DF or excel</t>
        </is>
      </c>
      <c r="K81" s="1" t="inlineStr">
        <is>
          <t>Y</t>
        </is>
      </c>
      <c r="L81" s="1" t="inlineStr">
        <is>
          <t>Y</t>
        </is>
      </c>
      <c r="M81" s="1" t="inlineStr">
        <is>
          <t>Y</t>
        </is>
      </c>
      <c r="N81" s="1" t="inlineStr">
        <is>
          <t>Y</t>
        </is>
      </c>
      <c r="O81" s="1" t="inlineStr">
        <is>
          <t>Y</t>
        </is>
      </c>
      <c r="P81" s="1" t="inlineStr">
        <is>
          <t>Y</t>
        </is>
      </c>
      <c r="Q81" s="1" t="inlineStr">
        <is>
          <t>Y</t>
        </is>
      </c>
      <c r="R81" s="1" t="inlineStr">
        <is>
          <t>Y</t>
        </is>
      </c>
      <c r="S81" s="1" t="inlineStr">
        <is>
          <t>Y</t>
        </is>
      </c>
      <c r="T81" s="1" t="inlineStr">
        <is>
          <t>Y</t>
        </is>
      </c>
    </row>
    <row r="82">
      <c r="A82" s="4">
        <f>A81+1</f>
        <v/>
      </c>
      <c r="B82" s="8" t="inlineStr">
        <is>
          <t>发酵</t>
        </is>
      </c>
      <c r="C82" s="9" t="inlineStr">
        <is>
          <t>满罐OG</t>
        </is>
      </c>
      <c r="D82" s="9" t="n"/>
      <c r="E82" s="8" t="inlineStr">
        <is>
          <t>°C</t>
        </is>
      </c>
      <c r="F82" s="9" t="n"/>
      <c r="G82" s="3" t="inlineStr">
        <is>
          <t>FCI</t>
        </is>
      </c>
      <c r="H82" s="1" t="n">
        <v>1</v>
      </c>
      <c r="J82" s="2" t="inlineStr">
        <is>
          <t>LIMS</t>
        </is>
      </c>
      <c r="K82" s="1" t="inlineStr">
        <is>
          <t>Y</t>
        </is>
      </c>
      <c r="L82" s="1" t="inlineStr">
        <is>
          <t>Y</t>
        </is>
      </c>
      <c r="M82" s="1" t="inlineStr">
        <is>
          <t>Y</t>
        </is>
      </c>
      <c r="N82" s="1" t="inlineStr">
        <is>
          <t>Y</t>
        </is>
      </c>
      <c r="O82" s="1" t="inlineStr">
        <is>
          <t>Y</t>
        </is>
      </c>
      <c r="P82" s="1" t="inlineStr">
        <is>
          <t>Y</t>
        </is>
      </c>
      <c r="Q82" s="1" t="inlineStr">
        <is>
          <t>Y</t>
        </is>
      </c>
      <c r="R82" s="1" t="inlineStr">
        <is>
          <t>Y</t>
        </is>
      </c>
      <c r="S82" s="1" t="inlineStr">
        <is>
          <t>Y</t>
        </is>
      </c>
      <c r="T82" s="1" t="inlineStr">
        <is>
          <t>Y</t>
        </is>
      </c>
    </row>
    <row r="83">
      <c r="A83" s="4">
        <f>A82+1</f>
        <v/>
      </c>
      <c r="B83" s="8" t="inlineStr">
        <is>
          <t>发酵</t>
        </is>
      </c>
      <c r="C83" s="9" t="inlineStr">
        <is>
          <t>酵母代数</t>
        </is>
      </c>
      <c r="D83" s="9" t="n"/>
      <c r="E83" s="8" t="n"/>
      <c r="F83" s="9" t="n"/>
      <c r="H83" s="1" t="n">
        <v>1</v>
      </c>
      <c r="J83" s="2" t="inlineStr">
        <is>
          <t>LIMS</t>
        </is>
      </c>
      <c r="K83" s="1" t="inlineStr">
        <is>
          <t>Y</t>
        </is>
      </c>
      <c r="L83" s="1" t="inlineStr">
        <is>
          <t>Y</t>
        </is>
      </c>
      <c r="M83" s="1" t="inlineStr">
        <is>
          <t>Y</t>
        </is>
      </c>
      <c r="N83" s="1" t="inlineStr">
        <is>
          <t>Y</t>
        </is>
      </c>
      <c r="O83" s="1" t="inlineStr">
        <is>
          <t>Y</t>
        </is>
      </c>
      <c r="P83" s="1" t="inlineStr">
        <is>
          <t>Y</t>
        </is>
      </c>
      <c r="Q83" s="15" t="inlineStr">
        <is>
          <t>Y</t>
        </is>
      </c>
      <c r="R83" s="15" t="inlineStr">
        <is>
          <t>Y</t>
        </is>
      </c>
      <c r="S83" s="1" t="inlineStr">
        <is>
          <t>Y</t>
        </is>
      </c>
      <c r="T83" s="1" t="inlineStr">
        <is>
          <t>Y</t>
        </is>
      </c>
    </row>
    <row r="84">
      <c r="A84" s="4">
        <f>A83+1</f>
        <v/>
      </c>
      <c r="B84" s="8" t="inlineStr">
        <is>
          <t>发酵</t>
        </is>
      </c>
      <c r="C84" s="9" t="inlineStr">
        <is>
          <t>满罐酵母数</t>
        </is>
      </c>
      <c r="D84" s="9" t="n"/>
      <c r="E84" s="8" t="inlineStr">
        <is>
          <t>MM/ml</t>
        </is>
      </c>
      <c r="F84" s="9" t="n"/>
      <c r="G84" s="3" t="inlineStr">
        <is>
          <t>FCI</t>
        </is>
      </c>
      <c r="H84" s="1" t="n">
        <v>1</v>
      </c>
      <c r="J84" s="2" t="inlineStr">
        <is>
          <t>LIMS</t>
        </is>
      </c>
      <c r="K84" s="1" t="inlineStr">
        <is>
          <t>Y</t>
        </is>
      </c>
      <c r="L84" s="1" t="inlineStr">
        <is>
          <t>Y</t>
        </is>
      </c>
      <c r="M84" s="1" t="inlineStr">
        <is>
          <t>Y</t>
        </is>
      </c>
      <c r="N84" s="1" t="inlineStr">
        <is>
          <t>Y</t>
        </is>
      </c>
      <c r="O84" s="1" t="inlineStr">
        <is>
          <t>Y</t>
        </is>
      </c>
      <c r="P84" s="1" t="inlineStr">
        <is>
          <t>Y</t>
        </is>
      </c>
      <c r="Q84" s="1" t="inlineStr">
        <is>
          <t>Y</t>
        </is>
      </c>
      <c r="R84" s="1" t="inlineStr">
        <is>
          <t>Y</t>
        </is>
      </c>
      <c r="S84" s="1" t="inlineStr">
        <is>
          <t>Y</t>
        </is>
      </c>
      <c r="T84" s="1" t="inlineStr">
        <is>
          <t>Y</t>
        </is>
      </c>
    </row>
    <row r="85">
      <c r="A85" s="4">
        <f>A84+1</f>
        <v/>
      </c>
      <c r="B85" s="8" t="inlineStr">
        <is>
          <t>发酵</t>
        </is>
      </c>
      <c r="C85" s="9" t="inlineStr">
        <is>
          <t>酵母储存温度</t>
        </is>
      </c>
      <c r="D85" s="9" t="n"/>
      <c r="E85" s="8" t="inlineStr">
        <is>
          <t>°C</t>
        </is>
      </c>
      <c r="F85" s="9" t="n"/>
      <c r="G85" s="3" t="inlineStr">
        <is>
          <t>FCI</t>
        </is>
      </c>
      <c r="H85" s="1" t="n">
        <v>1</v>
      </c>
      <c r="J85" s="2" t="inlineStr">
        <is>
          <t>DF or excel</t>
        </is>
      </c>
      <c r="K85" s="1" t="inlineStr">
        <is>
          <t>Y</t>
        </is>
      </c>
      <c r="L85" s="1" t="inlineStr">
        <is>
          <t>Y</t>
        </is>
      </c>
      <c r="M85" s="1" t="inlineStr">
        <is>
          <t>Y</t>
        </is>
      </c>
      <c r="N85" s="1" t="inlineStr">
        <is>
          <t>Y</t>
        </is>
      </c>
      <c r="O85" s="1" t="inlineStr">
        <is>
          <t>Y</t>
        </is>
      </c>
      <c r="P85" s="1" t="inlineStr">
        <is>
          <t>Y</t>
        </is>
      </c>
      <c r="Q85" s="15" t="inlineStr">
        <is>
          <t>Y</t>
        </is>
      </c>
      <c r="R85" s="15" t="inlineStr">
        <is>
          <t>Y</t>
        </is>
      </c>
      <c r="S85" s="1" t="inlineStr">
        <is>
          <t>Y</t>
        </is>
      </c>
      <c r="T85" s="1" t="inlineStr">
        <is>
          <t>Y</t>
        </is>
      </c>
    </row>
    <row r="86">
      <c r="A86" s="4">
        <f>A85+1</f>
        <v/>
      </c>
      <c r="B86" s="8" t="inlineStr">
        <is>
          <t>发酵</t>
        </is>
      </c>
      <c r="C86" s="9" t="inlineStr">
        <is>
          <t>酵母储存时间</t>
        </is>
      </c>
      <c r="D86" s="9" t="n"/>
      <c r="E86" s="8" t="inlineStr">
        <is>
          <t>°C</t>
        </is>
      </c>
      <c r="F86" s="9" t="n"/>
      <c r="G86" s="3" t="inlineStr">
        <is>
          <t>FCI</t>
        </is>
      </c>
      <c r="H86" s="1" t="n">
        <v>1</v>
      </c>
      <c r="J86" s="2" t="inlineStr">
        <is>
          <t>DF or excel</t>
        </is>
      </c>
      <c r="K86" s="1" t="inlineStr">
        <is>
          <t>Y</t>
        </is>
      </c>
      <c r="L86" s="1" t="inlineStr">
        <is>
          <t>Y</t>
        </is>
      </c>
      <c r="M86" s="1" t="inlineStr">
        <is>
          <t>Y</t>
        </is>
      </c>
      <c r="N86" s="1" t="inlineStr">
        <is>
          <t>Y</t>
        </is>
      </c>
      <c r="O86" s="1" t="inlineStr">
        <is>
          <t>Y</t>
        </is>
      </c>
      <c r="P86" s="1" t="inlineStr">
        <is>
          <t>Y</t>
        </is>
      </c>
      <c r="Q86" s="15" t="inlineStr">
        <is>
          <t>Y</t>
        </is>
      </c>
      <c r="R86" s="15" t="inlineStr">
        <is>
          <t>Y</t>
        </is>
      </c>
      <c r="S86" s="1" t="inlineStr">
        <is>
          <t>Y</t>
        </is>
      </c>
      <c r="T86" s="1" t="inlineStr">
        <is>
          <t>Y</t>
        </is>
      </c>
    </row>
    <row r="87">
      <c r="A87" s="4">
        <f>A86+1</f>
        <v/>
      </c>
      <c r="B87" s="8" t="inlineStr">
        <is>
          <t>发酵</t>
        </is>
      </c>
      <c r="C87" s="9" t="inlineStr">
        <is>
          <t>充氧系数</t>
        </is>
      </c>
      <c r="D87" s="9" t="n"/>
      <c r="E87" s="8" t="inlineStr">
        <is>
          <t>scf/bbl</t>
        </is>
      </c>
      <c r="F87" s="9" t="n"/>
      <c r="H87" s="1" t="n">
        <v>1</v>
      </c>
      <c r="J87" s="2" t="inlineStr">
        <is>
          <t>DF or excel</t>
        </is>
      </c>
      <c r="K87" s="1" t="inlineStr">
        <is>
          <t>Y</t>
        </is>
      </c>
      <c r="L87" s="1" t="inlineStr">
        <is>
          <t>Y</t>
        </is>
      </c>
      <c r="M87" s="1" t="inlineStr">
        <is>
          <t>Y</t>
        </is>
      </c>
      <c r="N87" s="1" t="inlineStr">
        <is>
          <t>Y</t>
        </is>
      </c>
      <c r="O87" s="1" t="inlineStr">
        <is>
          <t>Y</t>
        </is>
      </c>
      <c r="P87" s="1" t="inlineStr">
        <is>
          <t>Y</t>
        </is>
      </c>
      <c r="Q87" s="1" t="inlineStr">
        <is>
          <t>Y</t>
        </is>
      </c>
      <c r="R87" s="1" t="inlineStr">
        <is>
          <t>Y</t>
        </is>
      </c>
      <c r="S87" s="1" t="inlineStr">
        <is>
          <t>Y</t>
        </is>
      </c>
      <c r="T87" s="1" t="inlineStr">
        <is>
          <t>Y</t>
        </is>
      </c>
    </row>
    <row r="88">
      <c r="A88" s="4">
        <f>A87+1</f>
        <v/>
      </c>
      <c r="B88" s="8" t="inlineStr">
        <is>
          <t>发酵</t>
        </is>
      </c>
      <c r="C88" s="9" t="inlineStr">
        <is>
          <t>充氧流量</t>
        </is>
      </c>
      <c r="D88" s="9" t="n"/>
      <c r="E88" s="8" t="inlineStr">
        <is>
          <t>g/hl</t>
        </is>
      </c>
      <c r="F88" s="9" t="n"/>
      <c r="H88" s="1" t="n">
        <v>1</v>
      </c>
      <c r="J88" s="2" t="inlineStr">
        <is>
          <t>DF or excel</t>
        </is>
      </c>
      <c r="K88" s="1" t="inlineStr">
        <is>
          <t>Y</t>
        </is>
      </c>
      <c r="L88" s="1" t="inlineStr">
        <is>
          <t>Y</t>
        </is>
      </c>
      <c r="M88" s="1" t="inlineStr">
        <is>
          <t>Y</t>
        </is>
      </c>
      <c r="N88" s="1" t="inlineStr">
        <is>
          <t>Y</t>
        </is>
      </c>
      <c r="O88" s="1" t="inlineStr">
        <is>
          <t>Y</t>
        </is>
      </c>
      <c r="P88" s="1" t="inlineStr">
        <is>
          <t>Y</t>
        </is>
      </c>
      <c r="Q88" s="1" t="inlineStr">
        <is>
          <t>Y</t>
        </is>
      </c>
      <c r="R88" s="1" t="inlineStr">
        <is>
          <t>Y</t>
        </is>
      </c>
      <c r="S88" s="1" t="inlineStr">
        <is>
          <t>Y</t>
        </is>
      </c>
      <c r="T88" s="1" t="inlineStr">
        <is>
          <t>Y</t>
        </is>
      </c>
    </row>
    <row r="89">
      <c r="A89" s="4">
        <f>A88+1</f>
        <v/>
      </c>
      <c r="B89" s="8" t="inlineStr">
        <is>
          <t>发酵</t>
        </is>
      </c>
      <c r="C89" s="9" t="inlineStr">
        <is>
          <t>YACT</t>
        </is>
      </c>
      <c r="D89" s="9" t="n"/>
      <c r="E89" s="8" t="inlineStr">
        <is>
          <t>hr</t>
        </is>
      </c>
      <c r="F89" s="9" t="n"/>
      <c r="G89" s="3" t="inlineStr">
        <is>
          <t>FCI</t>
        </is>
      </c>
      <c r="H89" s="1" t="n">
        <v>1</v>
      </c>
      <c r="J89" s="2" t="inlineStr">
        <is>
          <t>DF or excel</t>
        </is>
      </c>
      <c r="K89" s="1" t="inlineStr">
        <is>
          <t>Y</t>
        </is>
      </c>
      <c r="L89" s="1" t="inlineStr">
        <is>
          <t>Y</t>
        </is>
      </c>
      <c r="M89" s="1" t="inlineStr">
        <is>
          <t>Y</t>
        </is>
      </c>
      <c r="N89" s="1" t="inlineStr">
        <is>
          <t>Y</t>
        </is>
      </c>
      <c r="O89" s="1" t="inlineStr">
        <is>
          <t>Y</t>
        </is>
      </c>
      <c r="P89" s="1" t="inlineStr">
        <is>
          <t>Y</t>
        </is>
      </c>
      <c r="Q89" s="1" t="inlineStr">
        <is>
          <t>Y</t>
        </is>
      </c>
      <c r="R89" s="1" t="inlineStr">
        <is>
          <t>Y</t>
        </is>
      </c>
      <c r="S89" s="1" t="inlineStr">
        <is>
          <t>Y</t>
        </is>
      </c>
      <c r="T89" s="1" t="inlineStr">
        <is>
          <t>Y</t>
        </is>
      </c>
    </row>
    <row r="90">
      <c r="A90" s="4">
        <f>A89+1</f>
        <v/>
      </c>
      <c r="B90" s="8" t="inlineStr">
        <is>
          <t>发酵</t>
        </is>
      </c>
      <c r="C90" s="9" t="inlineStr">
        <is>
          <t>自由升温时间</t>
        </is>
      </c>
      <c r="D90" s="9" t="n"/>
      <c r="E90" s="8" t="inlineStr">
        <is>
          <t>°C</t>
        </is>
      </c>
      <c r="F90" s="9" t="n"/>
      <c r="G90" s="3" t="inlineStr">
        <is>
          <t>FCI</t>
        </is>
      </c>
      <c r="H90" s="1" t="n">
        <v>1</v>
      </c>
      <c r="J90" s="2" t="inlineStr">
        <is>
          <t>DF or excel</t>
        </is>
      </c>
      <c r="K90" s="1" t="inlineStr">
        <is>
          <t>Y</t>
        </is>
      </c>
      <c r="L90" s="1" t="inlineStr">
        <is>
          <t>Y</t>
        </is>
      </c>
      <c r="M90" s="1" t="inlineStr">
        <is>
          <t>Y</t>
        </is>
      </c>
      <c r="N90" s="1" t="inlineStr">
        <is>
          <t>Y</t>
        </is>
      </c>
      <c r="O90" s="1" t="inlineStr">
        <is>
          <t>Y</t>
        </is>
      </c>
      <c r="P90" s="1" t="inlineStr">
        <is>
          <t>Y</t>
        </is>
      </c>
      <c r="Q90" s="1" t="inlineStr">
        <is>
          <t>Y</t>
        </is>
      </c>
      <c r="R90" s="1" t="inlineStr">
        <is>
          <t>Y</t>
        </is>
      </c>
      <c r="S90" s="1" t="inlineStr">
        <is>
          <t>Y</t>
        </is>
      </c>
      <c r="T90" s="1" t="inlineStr">
        <is>
          <t>Y</t>
        </is>
      </c>
    </row>
    <row r="91">
      <c r="A91" s="4">
        <f>A90+1</f>
        <v/>
      </c>
      <c r="B91" s="8" t="inlineStr">
        <is>
          <t>发酵</t>
        </is>
      </c>
      <c r="C91" s="9" t="inlineStr">
        <is>
          <t>主酵温度</t>
        </is>
      </c>
      <c r="D91" s="9" t="n"/>
      <c r="E91" s="8" t="inlineStr">
        <is>
          <t>°C</t>
        </is>
      </c>
      <c r="F91" s="9" t="n"/>
      <c r="H91" s="1" t="n">
        <v>1</v>
      </c>
      <c r="J91" s="2" t="inlineStr">
        <is>
          <t>DF or excel</t>
        </is>
      </c>
      <c r="K91" s="1" t="inlineStr">
        <is>
          <t>Y</t>
        </is>
      </c>
      <c r="L91" s="1" t="inlineStr">
        <is>
          <t>Y</t>
        </is>
      </c>
      <c r="M91" s="1" t="inlineStr">
        <is>
          <t>Y</t>
        </is>
      </c>
      <c r="N91" s="1" t="inlineStr">
        <is>
          <t>Y</t>
        </is>
      </c>
      <c r="O91" s="1" t="inlineStr">
        <is>
          <t>Y</t>
        </is>
      </c>
      <c r="P91" s="1" t="inlineStr">
        <is>
          <t>Y</t>
        </is>
      </c>
      <c r="Q91" s="1" t="inlineStr">
        <is>
          <t>Y</t>
        </is>
      </c>
      <c r="R91" s="1" t="inlineStr">
        <is>
          <t>Y</t>
        </is>
      </c>
      <c r="S91" s="1" t="inlineStr">
        <is>
          <t>Y</t>
        </is>
      </c>
      <c r="T91" s="1" t="inlineStr">
        <is>
          <t>Y</t>
        </is>
      </c>
    </row>
    <row r="92">
      <c r="A92" s="4">
        <f>A91+1</f>
        <v/>
      </c>
      <c r="B92" s="8" t="inlineStr">
        <is>
          <t>发酵</t>
        </is>
      </c>
      <c r="C92" s="9" t="inlineStr">
        <is>
          <t>72h糖度</t>
        </is>
      </c>
      <c r="D92" s="9" t="n"/>
      <c r="E92" s="8" t="inlineStr">
        <is>
          <t>°P</t>
        </is>
      </c>
      <c r="F92" s="9" t="n"/>
      <c r="G92" s="3" t="inlineStr">
        <is>
          <t>FCI</t>
        </is>
      </c>
      <c r="H92" s="1" t="n">
        <v>1</v>
      </c>
      <c r="J92" s="2" t="inlineStr">
        <is>
          <t>LIMS</t>
        </is>
      </c>
      <c r="K92" s="1" t="inlineStr">
        <is>
          <t>Y</t>
        </is>
      </c>
      <c r="L92" s="1" t="inlineStr">
        <is>
          <t>Y</t>
        </is>
      </c>
      <c r="M92" s="1" t="inlineStr">
        <is>
          <t>Y</t>
        </is>
      </c>
      <c r="N92" s="1" t="inlineStr">
        <is>
          <t>Y</t>
        </is>
      </c>
      <c r="O92" s="1" t="inlineStr">
        <is>
          <t>Y</t>
        </is>
      </c>
      <c r="P92" s="1" t="inlineStr">
        <is>
          <t>Y</t>
        </is>
      </c>
      <c r="Q92" s="1" t="inlineStr">
        <is>
          <t>Y</t>
        </is>
      </c>
      <c r="R92" s="1" t="inlineStr">
        <is>
          <t>Y</t>
        </is>
      </c>
      <c r="S92" s="1" t="inlineStr">
        <is>
          <t>Y</t>
        </is>
      </c>
      <c r="T92" s="1" t="inlineStr">
        <is>
          <t>Y</t>
        </is>
      </c>
    </row>
    <row r="93">
      <c r="A93" s="4">
        <f>A92+1</f>
        <v/>
      </c>
      <c r="B93" s="8" t="inlineStr">
        <is>
          <t>发酵</t>
        </is>
      </c>
      <c r="C93" s="9" t="inlineStr">
        <is>
          <t>主酵时间</t>
        </is>
      </c>
      <c r="D93" s="9" t="n"/>
      <c r="E93" s="8" t="inlineStr">
        <is>
          <t>hr</t>
        </is>
      </c>
      <c r="F93" s="9" t="n"/>
      <c r="G93" s="3" t="inlineStr">
        <is>
          <t>FCI</t>
        </is>
      </c>
      <c r="H93" s="1" t="n">
        <v>1</v>
      </c>
      <c r="J93" s="2" t="inlineStr">
        <is>
          <t>DF or excel</t>
        </is>
      </c>
      <c r="K93" s="1" t="inlineStr">
        <is>
          <t>Y</t>
        </is>
      </c>
      <c r="L93" s="1" t="inlineStr">
        <is>
          <t>Y</t>
        </is>
      </c>
      <c r="M93" s="1" t="inlineStr">
        <is>
          <t>Y</t>
        </is>
      </c>
      <c r="N93" s="1" t="inlineStr">
        <is>
          <t>Y</t>
        </is>
      </c>
      <c r="O93" s="1" t="inlineStr">
        <is>
          <t>Y</t>
        </is>
      </c>
      <c r="P93" s="1" t="inlineStr">
        <is>
          <t>Y</t>
        </is>
      </c>
      <c r="Q93" s="1" t="inlineStr">
        <is>
          <t>Y</t>
        </is>
      </c>
      <c r="R93" s="1" t="inlineStr">
        <is>
          <t>Y</t>
        </is>
      </c>
      <c r="S93" s="1" t="inlineStr">
        <is>
          <t>Y</t>
        </is>
      </c>
      <c r="T93" s="1" t="inlineStr">
        <is>
          <t>Y</t>
        </is>
      </c>
    </row>
    <row r="94">
      <c r="A94" s="4">
        <f>A93+1</f>
        <v/>
      </c>
      <c r="B94" s="8" t="inlineStr">
        <is>
          <t>发酵</t>
        </is>
      </c>
      <c r="C94" s="9" t="inlineStr">
        <is>
          <t>峰值酵母数</t>
        </is>
      </c>
      <c r="D94" s="9" t="n"/>
      <c r="E94" s="8" t="inlineStr">
        <is>
          <t>MM/ml</t>
        </is>
      </c>
      <c r="F94" s="9" t="n"/>
      <c r="H94" s="1" t="n">
        <v>1</v>
      </c>
      <c r="J94" s="2" t="inlineStr">
        <is>
          <t>LIMS</t>
        </is>
      </c>
      <c r="K94" s="1" t="inlineStr">
        <is>
          <t>Y</t>
        </is>
      </c>
      <c r="L94" s="1" t="inlineStr">
        <is>
          <t>Y</t>
        </is>
      </c>
      <c r="M94" s="1" t="inlineStr">
        <is>
          <t>Y</t>
        </is>
      </c>
      <c r="N94" s="1" t="inlineStr">
        <is>
          <t>Y</t>
        </is>
      </c>
      <c r="O94" s="1" t="inlineStr">
        <is>
          <t>Y</t>
        </is>
      </c>
      <c r="P94" s="1" t="inlineStr">
        <is>
          <t>Y</t>
        </is>
      </c>
      <c r="Q94" s="1" t="inlineStr">
        <is>
          <t>Y</t>
        </is>
      </c>
      <c r="R94" s="1" t="inlineStr">
        <is>
          <t>Y</t>
        </is>
      </c>
      <c r="S94" s="1" t="inlineStr">
        <is>
          <t>Y</t>
        </is>
      </c>
      <c r="T94" s="1" t="inlineStr">
        <is>
          <t>Y</t>
        </is>
      </c>
    </row>
    <row r="95">
      <c r="A95" s="4">
        <f>A94+1</f>
        <v/>
      </c>
      <c r="B95" s="8" t="inlineStr">
        <is>
          <t>发酵</t>
        </is>
      </c>
      <c r="C95" s="9" t="inlineStr">
        <is>
          <t>满罐FAN</t>
        </is>
      </c>
      <c r="D95" s="9" t="n"/>
      <c r="E95" s="8" t="inlineStr">
        <is>
          <t>ppm</t>
        </is>
      </c>
      <c r="F95" s="9" t="n"/>
      <c r="H95" s="1" t="n">
        <v>1</v>
      </c>
      <c r="J95" s="2" t="inlineStr">
        <is>
          <t>LIMS</t>
        </is>
      </c>
      <c r="K95" s="1" t="inlineStr">
        <is>
          <t>Y</t>
        </is>
      </c>
      <c r="L95" s="1" t="inlineStr">
        <is>
          <t>Y</t>
        </is>
      </c>
      <c r="M95" s="1" t="inlineStr">
        <is>
          <t>Y</t>
        </is>
      </c>
      <c r="N95" s="1" t="inlineStr">
        <is>
          <t>Y</t>
        </is>
      </c>
      <c r="O95" s="1" t="inlineStr">
        <is>
          <t>Y</t>
        </is>
      </c>
      <c r="P95" s="1" t="inlineStr">
        <is>
          <t>Y</t>
        </is>
      </c>
      <c r="Q95" s="1" t="inlineStr">
        <is>
          <t>Y</t>
        </is>
      </c>
      <c r="R95" s="1" t="inlineStr">
        <is>
          <t>Y</t>
        </is>
      </c>
      <c r="S95" s="1" t="inlineStr">
        <is>
          <t>Y</t>
        </is>
      </c>
      <c r="T95" s="1" t="inlineStr">
        <is>
          <t>Y</t>
        </is>
      </c>
    </row>
    <row r="96">
      <c r="A96" s="4">
        <f>A95+1</f>
        <v/>
      </c>
      <c r="B96" s="8" t="inlineStr">
        <is>
          <t>发酵</t>
        </is>
      </c>
      <c r="C96" s="9" t="inlineStr">
        <is>
          <t>主酵结束FAN</t>
        </is>
      </c>
      <c r="D96" s="9" t="n"/>
      <c r="E96" s="8" t="inlineStr">
        <is>
          <t>ppm</t>
        </is>
      </c>
      <c r="F96" s="9" t="n"/>
      <c r="H96" s="1" t="n">
        <v>1</v>
      </c>
      <c r="J96" s="2" t="inlineStr">
        <is>
          <t>LIMS</t>
        </is>
      </c>
      <c r="K96" s="1" t="inlineStr">
        <is>
          <t>Y</t>
        </is>
      </c>
      <c r="L96" s="1" t="inlineStr">
        <is>
          <t>Y</t>
        </is>
      </c>
      <c r="M96" s="1" t="inlineStr">
        <is>
          <t>Y</t>
        </is>
      </c>
      <c r="N96" s="1" t="inlineStr">
        <is>
          <t>Y</t>
        </is>
      </c>
      <c r="O96" s="1" t="inlineStr">
        <is>
          <t>Y</t>
        </is>
      </c>
      <c r="P96" s="1" t="inlineStr">
        <is>
          <t>Y</t>
        </is>
      </c>
      <c r="Q96" s="1" t="inlineStr">
        <is>
          <t>Y</t>
        </is>
      </c>
      <c r="R96" s="1" t="inlineStr">
        <is>
          <t>Y</t>
        </is>
      </c>
      <c r="S96" s="1" t="inlineStr">
        <is>
          <t>Y</t>
        </is>
      </c>
      <c r="T96" s="1" t="inlineStr">
        <is>
          <t>Y</t>
        </is>
      </c>
    </row>
    <row r="97">
      <c r="A97" s="4">
        <f>A96+1</f>
        <v/>
      </c>
      <c r="B97" s="8" t="inlineStr">
        <is>
          <t>发酵</t>
        </is>
      </c>
      <c r="C97" s="9" t="inlineStr">
        <is>
          <t>FAN uptake</t>
        </is>
      </c>
      <c r="D97" s="9" t="n"/>
      <c r="E97" s="8" t="inlineStr">
        <is>
          <t>ppm</t>
        </is>
      </c>
      <c r="F97" s="9" t="inlineStr">
        <is>
          <t>和Peck YCC 一张图</t>
        </is>
      </c>
      <c r="G97" s="3" t="inlineStr">
        <is>
          <t>FCI</t>
        </is>
      </c>
      <c r="H97" s="1" t="n">
        <v>1</v>
      </c>
      <c r="J97" s="2" t="inlineStr">
        <is>
          <t>LIMS</t>
        </is>
      </c>
      <c r="K97" s="1" t="inlineStr">
        <is>
          <t>Y</t>
        </is>
      </c>
      <c r="L97" s="1" t="inlineStr">
        <is>
          <t>Y</t>
        </is>
      </c>
      <c r="M97" s="1" t="inlineStr">
        <is>
          <t>Y</t>
        </is>
      </c>
      <c r="N97" s="1" t="inlineStr">
        <is>
          <t>Y</t>
        </is>
      </c>
      <c r="O97" s="1" t="inlineStr">
        <is>
          <t>Y</t>
        </is>
      </c>
      <c r="P97" s="1" t="inlineStr">
        <is>
          <t>Y</t>
        </is>
      </c>
      <c r="Q97" s="1" t="inlineStr">
        <is>
          <t>Y</t>
        </is>
      </c>
      <c r="R97" s="1" t="inlineStr">
        <is>
          <t>Y</t>
        </is>
      </c>
      <c r="S97" s="1" t="inlineStr">
        <is>
          <t>Y</t>
        </is>
      </c>
      <c r="T97" s="1" t="inlineStr">
        <is>
          <t>Y</t>
        </is>
      </c>
    </row>
    <row r="98">
      <c r="A98" s="4">
        <f>A97+1</f>
        <v/>
      </c>
      <c r="B98" s="8" t="inlineStr">
        <is>
          <t>发酵</t>
        </is>
      </c>
      <c r="C98" s="9" t="inlineStr">
        <is>
          <t>主酵结束SO2-SG</t>
        </is>
      </c>
      <c r="D98" s="9" t="n"/>
      <c r="E98" s="8" t="inlineStr">
        <is>
          <t>ppm</t>
        </is>
      </c>
      <c r="F98" s="9" t="n"/>
      <c r="G98" s="3" t="inlineStr">
        <is>
          <t>FSI</t>
        </is>
      </c>
      <c r="H98" s="1" t="n">
        <v>1</v>
      </c>
      <c r="J98" s="2" t="inlineStr">
        <is>
          <t>LIMS</t>
        </is>
      </c>
      <c r="K98" s="1" t="inlineStr">
        <is>
          <t>Y</t>
        </is>
      </c>
      <c r="L98" s="1" t="inlineStr">
        <is>
          <t>Y</t>
        </is>
      </c>
      <c r="M98" s="1" t="inlineStr">
        <is>
          <t>Y</t>
        </is>
      </c>
      <c r="N98" s="1" t="inlineStr">
        <is>
          <t>Y</t>
        </is>
      </c>
      <c r="O98" s="1" t="inlineStr">
        <is>
          <t>Y</t>
        </is>
      </c>
      <c r="P98" s="1" t="inlineStr">
        <is>
          <t>Y</t>
        </is>
      </c>
      <c r="Q98" s="1" t="inlineStr">
        <is>
          <t>Y</t>
        </is>
      </c>
      <c r="R98" s="1" t="inlineStr">
        <is>
          <t>Y</t>
        </is>
      </c>
      <c r="S98" s="1" t="inlineStr">
        <is>
          <t>Y</t>
        </is>
      </c>
      <c r="T98" s="1" t="inlineStr">
        <is>
          <t>Y</t>
        </is>
      </c>
    </row>
    <row r="99">
      <c r="A99" s="4">
        <f>A98+1</f>
        <v/>
      </c>
      <c r="B99" s="8" t="inlineStr">
        <is>
          <t>发酵</t>
        </is>
      </c>
      <c r="C99" s="9" t="inlineStr">
        <is>
          <t>酵母回收时间</t>
        </is>
      </c>
      <c r="D99" s="9" t="n"/>
      <c r="E99" s="8" t="inlineStr">
        <is>
          <t>h</t>
        </is>
      </c>
      <c r="F99" s="9" t="inlineStr">
        <is>
          <t>从满罐到开始回收时间</t>
        </is>
      </c>
      <c r="H99" s="1" t="n">
        <v>1</v>
      </c>
      <c r="J99" s="2" t="inlineStr">
        <is>
          <t>DF or excel</t>
        </is>
      </c>
      <c r="K99" s="1" t="inlineStr">
        <is>
          <t>Y</t>
        </is>
      </c>
      <c r="L99" s="1" t="inlineStr">
        <is>
          <t>Y</t>
        </is>
      </c>
      <c r="M99" s="1" t="inlineStr">
        <is>
          <t>Y</t>
        </is>
      </c>
      <c r="N99" s="1" t="inlineStr">
        <is>
          <t>Y</t>
        </is>
      </c>
      <c r="O99" s="1" t="inlineStr">
        <is>
          <t>Y</t>
        </is>
      </c>
      <c r="P99" s="1" t="inlineStr">
        <is>
          <t>Y</t>
        </is>
      </c>
      <c r="Q99" s="1" t="inlineStr">
        <is>
          <t>Y</t>
        </is>
      </c>
      <c r="R99" s="1" t="inlineStr">
        <is>
          <t>Y</t>
        </is>
      </c>
      <c r="S99" s="1" t="inlineStr">
        <is>
          <t>Y</t>
        </is>
      </c>
      <c r="T99" s="1" t="inlineStr">
        <is>
          <t>Y</t>
        </is>
      </c>
    </row>
    <row r="100">
      <c r="A100" s="4">
        <f>A99+1</f>
        <v/>
      </c>
      <c r="B100" s="8" t="inlineStr">
        <is>
          <t>发酵</t>
        </is>
      </c>
      <c r="C100" s="9" t="inlineStr">
        <is>
          <t>0h酵母数</t>
        </is>
      </c>
      <c r="D100" s="9" t="n"/>
      <c r="E100" s="8" t="inlineStr">
        <is>
          <t>MM/ml</t>
        </is>
      </c>
      <c r="F100" s="9" t="n"/>
      <c r="H100" s="1" t="n">
        <v>1</v>
      </c>
      <c r="J100" s="2" t="inlineStr">
        <is>
          <t>LIMS</t>
        </is>
      </c>
      <c r="K100" s="1" t="inlineStr">
        <is>
          <t>Y</t>
        </is>
      </c>
      <c r="L100" s="1" t="inlineStr">
        <is>
          <t>Y</t>
        </is>
      </c>
      <c r="M100" s="1" t="inlineStr">
        <is>
          <t>Y</t>
        </is>
      </c>
      <c r="N100" s="1" t="inlineStr">
        <is>
          <t>Y</t>
        </is>
      </c>
      <c r="O100" s="1" t="inlineStr">
        <is>
          <t>Y</t>
        </is>
      </c>
      <c r="P100" s="1" t="inlineStr">
        <is>
          <t>Y</t>
        </is>
      </c>
      <c r="Q100" s="1" t="inlineStr">
        <is>
          <t>Y</t>
        </is>
      </c>
      <c r="R100" s="1" t="inlineStr">
        <is>
          <t>Y</t>
        </is>
      </c>
      <c r="S100" s="1" t="inlineStr">
        <is>
          <t>Y</t>
        </is>
      </c>
      <c r="T100" s="1" t="inlineStr">
        <is>
          <t>Y</t>
        </is>
      </c>
    </row>
    <row r="101">
      <c r="A101" s="4">
        <f>A100+1</f>
        <v/>
      </c>
      <c r="B101" s="8" t="inlineStr">
        <is>
          <t>发酵</t>
        </is>
      </c>
      <c r="C101" s="9" t="inlineStr">
        <is>
          <t>中间点酵母数</t>
        </is>
      </c>
      <c r="D101" s="9" t="n"/>
      <c r="E101" s="8" t="inlineStr">
        <is>
          <t>MM/ml</t>
        </is>
      </c>
      <c r="F101" s="9" t="n"/>
      <c r="H101" s="1" t="n">
        <v>1</v>
      </c>
      <c r="J101" s="2" t="inlineStr">
        <is>
          <t>LIMS</t>
        </is>
      </c>
      <c r="K101" s="1" t="inlineStr">
        <is>
          <t>Y</t>
        </is>
      </c>
      <c r="L101" s="15" t="n"/>
      <c r="M101" s="15" t="n"/>
      <c r="N101" s="15" t="n"/>
      <c r="O101" s="15" t="n"/>
      <c r="P101" s="15" t="n"/>
      <c r="Q101" s="15" t="n"/>
      <c r="R101" s="15" t="n"/>
      <c r="S101" s="15" t="n"/>
      <c r="T101" s="15" t="n"/>
    </row>
    <row r="102">
      <c r="A102" s="4">
        <f>A101+1</f>
        <v/>
      </c>
      <c r="B102" s="8" t="inlineStr">
        <is>
          <t>发酵</t>
        </is>
      </c>
      <c r="C102" s="9" t="inlineStr">
        <is>
          <t>EOC酵母数</t>
        </is>
      </c>
      <c r="D102" s="9" t="n"/>
      <c r="E102" s="8" t="inlineStr">
        <is>
          <t>MM/ml</t>
        </is>
      </c>
      <c r="F102" s="9" t="n"/>
      <c r="H102" s="1" t="n">
        <v>1</v>
      </c>
      <c r="J102" s="2" t="inlineStr">
        <is>
          <t>LIMS</t>
        </is>
      </c>
      <c r="K102" s="1" t="inlineStr">
        <is>
          <t>Y</t>
        </is>
      </c>
      <c r="L102" s="1" t="inlineStr">
        <is>
          <t>Y</t>
        </is>
      </c>
      <c r="M102" s="1" t="inlineStr">
        <is>
          <t>Y</t>
        </is>
      </c>
      <c r="N102" s="1" t="inlineStr">
        <is>
          <t>Y</t>
        </is>
      </c>
      <c r="O102" s="1" t="inlineStr">
        <is>
          <t>Y</t>
        </is>
      </c>
      <c r="P102" s="1" t="inlineStr">
        <is>
          <t>Y</t>
        </is>
      </c>
      <c r="Q102" s="1" t="inlineStr">
        <is>
          <t>Y</t>
        </is>
      </c>
      <c r="R102" s="1" t="inlineStr">
        <is>
          <t>Y</t>
        </is>
      </c>
      <c r="S102" s="1" t="inlineStr">
        <is>
          <t>Y</t>
        </is>
      </c>
      <c r="T102" s="1" t="inlineStr">
        <is>
          <t>Y</t>
        </is>
      </c>
    </row>
    <row r="103">
      <c r="A103" s="4">
        <f>A102+1</f>
        <v/>
      </c>
      <c r="B103" s="8" t="inlineStr">
        <is>
          <t>发酵</t>
        </is>
      </c>
      <c r="C103" s="9" t="inlineStr">
        <is>
          <t>发酵周期</t>
        </is>
      </c>
      <c r="D103" s="9" t="n"/>
      <c r="E103" s="8" t="inlineStr">
        <is>
          <t>Day</t>
        </is>
      </c>
      <c r="F103" s="9" t="n"/>
      <c r="H103" s="1" t="n">
        <v>1</v>
      </c>
      <c r="J103" s="2" t="inlineStr">
        <is>
          <t>DF or excel</t>
        </is>
      </c>
      <c r="K103" s="1" t="inlineStr">
        <is>
          <t>Y</t>
        </is>
      </c>
      <c r="L103" s="1" t="inlineStr">
        <is>
          <t>Y</t>
        </is>
      </c>
      <c r="M103" s="1" t="inlineStr">
        <is>
          <t>Y</t>
        </is>
      </c>
      <c r="N103" s="1" t="inlineStr">
        <is>
          <t>Y</t>
        </is>
      </c>
      <c r="O103" s="1" t="inlineStr">
        <is>
          <t>Y</t>
        </is>
      </c>
      <c r="P103" s="1" t="inlineStr">
        <is>
          <t>Y</t>
        </is>
      </c>
      <c r="Q103" s="1" t="inlineStr">
        <is>
          <t>Y</t>
        </is>
      </c>
      <c r="R103" s="1" t="inlineStr">
        <is>
          <t>Y</t>
        </is>
      </c>
      <c r="S103" s="1" t="inlineStr">
        <is>
          <t>Y</t>
        </is>
      </c>
      <c r="T103" s="1" t="inlineStr">
        <is>
          <t>Y</t>
        </is>
      </c>
    </row>
    <row r="104">
      <c r="A104" s="4">
        <f>A103+1</f>
        <v/>
      </c>
      <c r="B104" s="8" t="inlineStr">
        <is>
          <t>发酵</t>
        </is>
      </c>
      <c r="C104" s="9" t="inlineStr">
        <is>
          <t>发酵周期偏离</t>
        </is>
      </c>
      <c r="D104" s="9" t="n"/>
      <c r="E104" s="8" t="inlineStr">
        <is>
          <t>Day</t>
        </is>
      </c>
      <c r="F104" s="9" t="n"/>
      <c r="H104" s="1" t="n">
        <v>1</v>
      </c>
      <c r="J104" s="2" t="inlineStr">
        <is>
          <t>DF or excel</t>
        </is>
      </c>
      <c r="K104" s="1" t="inlineStr">
        <is>
          <t>Y</t>
        </is>
      </c>
      <c r="L104" s="1" t="inlineStr">
        <is>
          <t>Y</t>
        </is>
      </c>
      <c r="M104" s="1" t="inlineStr">
        <is>
          <t>Y</t>
        </is>
      </c>
      <c r="N104" s="1" t="inlineStr">
        <is>
          <t>Y</t>
        </is>
      </c>
      <c r="O104" s="1" t="inlineStr">
        <is>
          <t>Y</t>
        </is>
      </c>
      <c r="P104" s="1" t="inlineStr">
        <is>
          <t>Y</t>
        </is>
      </c>
      <c r="Q104" s="1" t="inlineStr">
        <is>
          <t>Y</t>
        </is>
      </c>
      <c r="R104" s="1" t="inlineStr">
        <is>
          <t>Y</t>
        </is>
      </c>
      <c r="S104" s="1" t="inlineStr">
        <is>
          <t>Y</t>
        </is>
      </c>
      <c r="T104" s="1" t="inlineStr">
        <is>
          <t>Y</t>
        </is>
      </c>
    </row>
    <row r="105">
      <c r="A105" s="4">
        <f>A104+1</f>
        <v/>
      </c>
      <c r="B105" s="8" t="inlineStr">
        <is>
          <t>发酵</t>
        </is>
      </c>
      <c r="C105" s="9" t="inlineStr">
        <is>
          <t>酒龄</t>
        </is>
      </c>
      <c r="D105" s="9" t="n"/>
      <c r="E105" s="8" t="inlineStr">
        <is>
          <t>Day</t>
        </is>
      </c>
      <c r="F105" s="9" t="inlineStr">
        <is>
          <t>从满罐到开罐离心或过滤时间</t>
        </is>
      </c>
      <c r="H105" s="1" t="n">
        <v>1</v>
      </c>
      <c r="J105" s="2" t="inlineStr">
        <is>
          <t>DF or excel</t>
        </is>
      </c>
      <c r="K105" s="1" t="inlineStr">
        <is>
          <t>Y</t>
        </is>
      </c>
      <c r="L105" s="1" t="inlineStr">
        <is>
          <t>Y</t>
        </is>
      </c>
      <c r="M105" s="1" t="inlineStr">
        <is>
          <t>Y</t>
        </is>
      </c>
      <c r="N105" s="1" t="inlineStr">
        <is>
          <t>Y</t>
        </is>
      </c>
      <c r="O105" s="1" t="inlineStr">
        <is>
          <t>Y</t>
        </is>
      </c>
      <c r="P105" s="1" t="inlineStr">
        <is>
          <t>Y</t>
        </is>
      </c>
      <c r="Q105" s="1" t="inlineStr">
        <is>
          <t>Y</t>
        </is>
      </c>
      <c r="R105" s="1" t="inlineStr">
        <is>
          <t>Y</t>
        </is>
      </c>
      <c r="S105" s="1" t="inlineStr">
        <is>
          <t>Y</t>
        </is>
      </c>
      <c r="T105" s="1" t="inlineStr">
        <is>
          <t>Y</t>
        </is>
      </c>
    </row>
    <row r="106">
      <c r="A106" s="4">
        <f>A105+1</f>
        <v/>
      </c>
      <c r="B106" s="8" t="inlineStr">
        <is>
          <t>发酵</t>
        </is>
      </c>
      <c r="C106" s="9" t="inlineStr">
        <is>
          <t>EOC D -理论周期</t>
        </is>
      </c>
      <c r="D106" s="9" t="n"/>
      <c r="E106" s="8" t="inlineStr">
        <is>
          <t>ppb</t>
        </is>
      </c>
      <c r="F106" s="9" t="n"/>
      <c r="G106" s="3" t="inlineStr">
        <is>
          <t>KPI-BPI</t>
        </is>
      </c>
      <c r="H106" s="1" t="n">
        <v>1</v>
      </c>
      <c r="J106" s="2" t="inlineStr">
        <is>
          <t>LIMS</t>
        </is>
      </c>
      <c r="K106" s="1" t="inlineStr">
        <is>
          <t>Y</t>
        </is>
      </c>
      <c r="L106" s="1" t="inlineStr">
        <is>
          <t>Y</t>
        </is>
      </c>
      <c r="M106" s="1" t="inlineStr">
        <is>
          <t>Y</t>
        </is>
      </c>
      <c r="N106" s="1" t="inlineStr">
        <is>
          <t>Y</t>
        </is>
      </c>
      <c r="O106" s="1" t="inlineStr">
        <is>
          <t>Y</t>
        </is>
      </c>
      <c r="P106" s="1" t="inlineStr">
        <is>
          <t>Y</t>
        </is>
      </c>
      <c r="Q106" s="1" t="inlineStr">
        <is>
          <t>Y</t>
        </is>
      </c>
      <c r="R106" s="1" t="inlineStr">
        <is>
          <t>Y</t>
        </is>
      </c>
      <c r="S106" s="1" t="inlineStr">
        <is>
          <t>Y</t>
        </is>
      </c>
      <c r="T106" s="1" t="inlineStr">
        <is>
          <t>Y</t>
        </is>
      </c>
    </row>
    <row r="107">
      <c r="A107" s="4">
        <f>A106+1</f>
        <v/>
      </c>
      <c r="B107" s="8" t="inlineStr">
        <is>
          <t>发酵</t>
        </is>
      </c>
      <c r="C107" s="9" t="inlineStr">
        <is>
          <t>EOC P -理论周期</t>
        </is>
      </c>
      <c r="D107" s="9" t="n"/>
      <c r="E107" s="8" t="inlineStr">
        <is>
          <t>ppb</t>
        </is>
      </c>
      <c r="F107" s="9" t="n"/>
      <c r="H107" s="1" t="n">
        <v>1</v>
      </c>
      <c r="J107" s="2" t="inlineStr">
        <is>
          <t>LIMS</t>
        </is>
      </c>
      <c r="K107" s="1" t="inlineStr">
        <is>
          <t>Y</t>
        </is>
      </c>
      <c r="L107" s="1" t="inlineStr">
        <is>
          <t>Y</t>
        </is>
      </c>
      <c r="M107" s="1" t="inlineStr">
        <is>
          <t>Y</t>
        </is>
      </c>
      <c r="N107" s="1" t="inlineStr">
        <is>
          <t>Y</t>
        </is>
      </c>
      <c r="O107" s="1" t="inlineStr">
        <is>
          <t>Y</t>
        </is>
      </c>
      <c r="P107" s="1" t="inlineStr">
        <is>
          <t>Y</t>
        </is>
      </c>
      <c r="Q107" s="1" t="inlineStr">
        <is>
          <t>Y</t>
        </is>
      </c>
      <c r="R107" s="1" t="inlineStr">
        <is>
          <t>Y</t>
        </is>
      </c>
      <c r="S107" s="1" t="inlineStr">
        <is>
          <t>Y</t>
        </is>
      </c>
      <c r="T107" s="1" t="inlineStr">
        <is>
          <t>Y</t>
        </is>
      </c>
    </row>
    <row r="108">
      <c r="A108" s="4">
        <f>A107+1</f>
        <v/>
      </c>
      <c r="B108" s="8" t="inlineStr">
        <is>
          <t>发酵</t>
        </is>
      </c>
      <c r="C108" s="9" t="inlineStr">
        <is>
          <t>EOC AA-理论周期</t>
        </is>
      </c>
      <c r="D108" s="9" t="n"/>
      <c r="E108" s="8" t="inlineStr">
        <is>
          <t>ppm</t>
        </is>
      </c>
      <c r="F108" s="9" t="n"/>
      <c r="G108" s="3" t="inlineStr">
        <is>
          <t>KPI-BPI</t>
        </is>
      </c>
      <c r="H108" s="1" t="n">
        <v>1</v>
      </c>
      <c r="J108" s="2" t="inlineStr">
        <is>
          <t>LIMS</t>
        </is>
      </c>
      <c r="K108" s="1" t="inlineStr">
        <is>
          <t>Y</t>
        </is>
      </c>
      <c r="L108" s="1" t="inlineStr">
        <is>
          <t>Y</t>
        </is>
      </c>
      <c r="M108" s="1" t="inlineStr">
        <is>
          <t>Y</t>
        </is>
      </c>
      <c r="N108" s="1" t="inlineStr">
        <is>
          <t>Y</t>
        </is>
      </c>
      <c r="O108" s="1" t="inlineStr">
        <is>
          <t>Y</t>
        </is>
      </c>
      <c r="P108" s="1" t="inlineStr">
        <is>
          <t>Y</t>
        </is>
      </c>
      <c r="Q108" s="1" t="inlineStr">
        <is>
          <t>Y</t>
        </is>
      </c>
      <c r="R108" s="1" t="inlineStr">
        <is>
          <t>Y</t>
        </is>
      </c>
      <c r="S108" s="1" t="inlineStr">
        <is>
          <t>Y</t>
        </is>
      </c>
      <c r="T108" s="1" t="inlineStr">
        <is>
          <t>Y</t>
        </is>
      </c>
    </row>
    <row r="109">
      <c r="A109" s="4">
        <f>A108+1</f>
        <v/>
      </c>
      <c r="B109" s="8" t="inlineStr">
        <is>
          <t>发酵</t>
        </is>
      </c>
      <c r="C109" s="9" t="inlineStr">
        <is>
          <t>EOC D</t>
        </is>
      </c>
      <c r="D109" s="9" t="n"/>
      <c r="E109" s="8" t="inlineStr">
        <is>
          <t>ppb</t>
        </is>
      </c>
      <c r="F109" s="9" t="n"/>
      <c r="H109" s="1" t="n">
        <v>1</v>
      </c>
      <c r="J109" s="2" t="inlineStr">
        <is>
          <t>LIMS</t>
        </is>
      </c>
      <c r="K109" s="1" t="inlineStr">
        <is>
          <t>Y</t>
        </is>
      </c>
      <c r="L109" s="1" t="inlineStr">
        <is>
          <t>Y</t>
        </is>
      </c>
      <c r="M109" s="1" t="inlineStr">
        <is>
          <t>Y</t>
        </is>
      </c>
      <c r="N109" s="1" t="inlineStr">
        <is>
          <t>Y</t>
        </is>
      </c>
      <c r="O109" s="1" t="inlineStr">
        <is>
          <t>Y</t>
        </is>
      </c>
      <c r="P109" s="1" t="inlineStr">
        <is>
          <t>Y</t>
        </is>
      </c>
      <c r="Q109" s="1" t="inlineStr">
        <is>
          <t>Y</t>
        </is>
      </c>
      <c r="R109" s="1" t="inlineStr">
        <is>
          <t>Y</t>
        </is>
      </c>
      <c r="S109" s="1" t="inlineStr">
        <is>
          <t>Y</t>
        </is>
      </c>
      <c r="T109" s="1" t="inlineStr">
        <is>
          <t>Y</t>
        </is>
      </c>
    </row>
    <row r="110">
      <c r="A110" s="4">
        <f>A109+1</f>
        <v/>
      </c>
      <c r="B110" s="8" t="inlineStr">
        <is>
          <t>发酵</t>
        </is>
      </c>
      <c r="C110" s="9" t="inlineStr">
        <is>
          <t>EOC P</t>
        </is>
      </c>
      <c r="D110" s="9" t="n"/>
      <c r="E110" s="8" t="inlineStr">
        <is>
          <t>ppb</t>
        </is>
      </c>
      <c r="F110" s="9" t="n"/>
      <c r="H110" s="1" t="n">
        <v>1</v>
      </c>
      <c r="J110" s="2" t="inlineStr">
        <is>
          <t>LIMS</t>
        </is>
      </c>
      <c r="K110" s="1" t="inlineStr">
        <is>
          <t>Y</t>
        </is>
      </c>
      <c r="L110" s="1" t="inlineStr">
        <is>
          <t>Y</t>
        </is>
      </c>
      <c r="M110" s="1" t="inlineStr">
        <is>
          <t>Y</t>
        </is>
      </c>
      <c r="N110" s="1" t="inlineStr">
        <is>
          <t>Y</t>
        </is>
      </c>
      <c r="O110" s="1" t="inlineStr">
        <is>
          <t>Y</t>
        </is>
      </c>
      <c r="P110" s="1" t="inlineStr">
        <is>
          <t>Y</t>
        </is>
      </c>
      <c r="Q110" s="1" t="inlineStr">
        <is>
          <t>Y</t>
        </is>
      </c>
      <c r="R110" s="1" t="inlineStr">
        <is>
          <t>Y</t>
        </is>
      </c>
      <c r="S110" s="1" t="inlineStr">
        <is>
          <t>Y</t>
        </is>
      </c>
      <c r="T110" s="1" t="inlineStr">
        <is>
          <t>Y</t>
        </is>
      </c>
    </row>
    <row r="111">
      <c r="A111" s="4">
        <f>A110+1</f>
        <v/>
      </c>
      <c r="B111" s="8" t="inlineStr">
        <is>
          <t>发酵</t>
        </is>
      </c>
      <c r="C111" s="9" t="inlineStr">
        <is>
          <t>EOC AA</t>
        </is>
      </c>
      <c r="D111" s="9" t="n"/>
      <c r="E111" s="8" t="inlineStr">
        <is>
          <t>ppm</t>
        </is>
      </c>
      <c r="F111" s="9" t="n"/>
      <c r="H111" s="1" t="n">
        <v>1</v>
      </c>
      <c r="J111" s="2" t="inlineStr">
        <is>
          <t>LIMS</t>
        </is>
      </c>
      <c r="K111" s="1" t="inlineStr">
        <is>
          <t>Y</t>
        </is>
      </c>
      <c r="L111" s="1" t="inlineStr">
        <is>
          <t>Y</t>
        </is>
      </c>
      <c r="M111" s="1" t="inlineStr">
        <is>
          <t>Y</t>
        </is>
      </c>
      <c r="N111" s="1" t="inlineStr">
        <is>
          <t>Y</t>
        </is>
      </c>
      <c r="O111" s="1" t="inlineStr">
        <is>
          <t>Y</t>
        </is>
      </c>
      <c r="P111" s="1" t="inlineStr">
        <is>
          <t>Y</t>
        </is>
      </c>
      <c r="Q111" s="1" t="inlineStr">
        <is>
          <t>Y</t>
        </is>
      </c>
      <c r="R111" s="1" t="inlineStr">
        <is>
          <t>Y</t>
        </is>
      </c>
      <c r="S111" s="1" t="inlineStr">
        <is>
          <t>Y</t>
        </is>
      </c>
      <c r="T111" s="1" t="inlineStr">
        <is>
          <t>Y</t>
        </is>
      </c>
    </row>
    <row r="112">
      <c r="A112" s="4">
        <f>A111+1</f>
        <v/>
      </c>
      <c r="B112" s="8" t="inlineStr">
        <is>
          <t>发酵</t>
        </is>
      </c>
      <c r="C112" s="9" t="inlineStr">
        <is>
          <t>EOC原浓</t>
        </is>
      </c>
      <c r="D112" s="9" t="n"/>
      <c r="E112" s="8" t="inlineStr">
        <is>
          <t>°P</t>
        </is>
      </c>
      <c r="F112" s="9" t="n"/>
      <c r="H112" s="1" t="n">
        <v>1</v>
      </c>
      <c r="J112" s="2" t="inlineStr">
        <is>
          <t>LIMS</t>
        </is>
      </c>
      <c r="K112" s="1" t="inlineStr">
        <is>
          <t>Y</t>
        </is>
      </c>
      <c r="L112" s="1" t="inlineStr">
        <is>
          <t>Y</t>
        </is>
      </c>
      <c r="M112" s="1" t="inlineStr">
        <is>
          <t>Y</t>
        </is>
      </c>
      <c r="N112" s="1" t="inlineStr">
        <is>
          <t>Y</t>
        </is>
      </c>
      <c r="O112" s="1" t="inlineStr">
        <is>
          <t>Y</t>
        </is>
      </c>
      <c r="P112" s="1" t="inlineStr">
        <is>
          <t>Y</t>
        </is>
      </c>
      <c r="Q112" s="1" t="inlineStr">
        <is>
          <t>Y</t>
        </is>
      </c>
      <c r="R112" s="1" t="inlineStr">
        <is>
          <t>Y</t>
        </is>
      </c>
      <c r="S112" s="1" t="inlineStr">
        <is>
          <t>Y</t>
        </is>
      </c>
      <c r="T112" s="1" t="inlineStr">
        <is>
          <t>Y</t>
        </is>
      </c>
    </row>
    <row r="113">
      <c r="A113" s="4">
        <f>A112+1</f>
        <v/>
      </c>
      <c r="B113" s="8" t="inlineStr">
        <is>
          <t>发酵</t>
        </is>
      </c>
      <c r="C113" s="9" t="inlineStr">
        <is>
          <t>EOC AE</t>
        </is>
      </c>
      <c r="D113" s="9" t="n"/>
      <c r="E113" s="8" t="inlineStr">
        <is>
          <t>EBC</t>
        </is>
      </c>
      <c r="F113" s="9" t="n"/>
      <c r="H113" s="1" t="n">
        <v>1</v>
      </c>
      <c r="J113" s="2" t="inlineStr">
        <is>
          <t>LIMS</t>
        </is>
      </c>
      <c r="K113" s="1" t="inlineStr">
        <is>
          <t>Y</t>
        </is>
      </c>
      <c r="L113" s="1" t="inlineStr">
        <is>
          <t>Y</t>
        </is>
      </c>
      <c r="M113" s="1" t="inlineStr">
        <is>
          <t>Y</t>
        </is>
      </c>
      <c r="N113" s="1" t="inlineStr">
        <is>
          <t>Y</t>
        </is>
      </c>
      <c r="O113" s="1" t="inlineStr">
        <is>
          <t>Y</t>
        </is>
      </c>
      <c r="P113" s="1" t="inlineStr">
        <is>
          <t>Y</t>
        </is>
      </c>
      <c r="Q113" s="1" t="inlineStr">
        <is>
          <t>Y</t>
        </is>
      </c>
      <c r="R113" s="1" t="inlineStr">
        <is>
          <t>Y</t>
        </is>
      </c>
      <c r="S113" s="1" t="inlineStr">
        <is>
          <t>Y</t>
        </is>
      </c>
      <c r="T113" s="1" t="inlineStr">
        <is>
          <t>Y</t>
        </is>
      </c>
    </row>
    <row r="114">
      <c r="A114" s="4">
        <f>A113+1</f>
        <v/>
      </c>
      <c r="B114" s="8" t="inlineStr">
        <is>
          <t>发酵</t>
        </is>
      </c>
      <c r="C114" s="9" t="inlineStr">
        <is>
          <t>EOC pH</t>
        </is>
      </c>
      <c r="D114" s="9" t="n"/>
      <c r="E114" s="8" t="n"/>
      <c r="F114" s="9" t="n"/>
      <c r="H114" s="1" t="n">
        <v>1</v>
      </c>
      <c r="J114" s="2" t="inlineStr">
        <is>
          <t>LIMS</t>
        </is>
      </c>
      <c r="K114" s="1" t="inlineStr">
        <is>
          <t>Y</t>
        </is>
      </c>
      <c r="L114" s="1" t="inlineStr">
        <is>
          <t>Y</t>
        </is>
      </c>
      <c r="M114" s="1" t="inlineStr">
        <is>
          <t>Y</t>
        </is>
      </c>
      <c r="N114" s="1" t="inlineStr">
        <is>
          <t>Y</t>
        </is>
      </c>
      <c r="O114" s="1" t="inlineStr">
        <is>
          <t>Y</t>
        </is>
      </c>
      <c r="P114" s="1" t="inlineStr">
        <is>
          <t>Y</t>
        </is>
      </c>
      <c r="Q114" s="1" t="inlineStr">
        <is>
          <t>Y</t>
        </is>
      </c>
      <c r="R114" s="1" t="inlineStr">
        <is>
          <t>Y</t>
        </is>
      </c>
      <c r="S114" s="1" t="inlineStr">
        <is>
          <t>Y</t>
        </is>
      </c>
      <c r="T114" s="1" t="inlineStr">
        <is>
          <t>Y</t>
        </is>
      </c>
    </row>
    <row r="115">
      <c r="A115" s="4">
        <f>A114+1</f>
        <v/>
      </c>
      <c r="B115" s="8" t="inlineStr">
        <is>
          <t>发酵</t>
        </is>
      </c>
      <c r="C115" s="9" t="inlineStr">
        <is>
          <t>麦汁RDF</t>
        </is>
      </c>
      <c r="D115" s="9" t="n"/>
      <c r="E115" s="8" t="inlineStr">
        <is>
          <t>%</t>
        </is>
      </c>
      <c r="F115" s="9" t="inlineStr">
        <is>
          <t>和EOC RDF 一张图</t>
        </is>
      </c>
      <c r="G115" s="3" t="inlineStr">
        <is>
          <t>FCI</t>
        </is>
      </c>
      <c r="H115" s="1" t="n">
        <v>1</v>
      </c>
      <c r="J115" s="2" t="inlineStr">
        <is>
          <t>LIMS</t>
        </is>
      </c>
      <c r="K115" s="1" t="inlineStr">
        <is>
          <t>Y</t>
        </is>
      </c>
      <c r="L115" s="1" t="inlineStr">
        <is>
          <t>Y</t>
        </is>
      </c>
      <c r="M115" s="1" t="inlineStr">
        <is>
          <t>Y</t>
        </is>
      </c>
      <c r="N115" s="1" t="inlineStr">
        <is>
          <t>Y</t>
        </is>
      </c>
      <c r="O115" s="1" t="inlineStr">
        <is>
          <t>Y</t>
        </is>
      </c>
      <c r="P115" s="1" t="inlineStr">
        <is>
          <t>Y</t>
        </is>
      </c>
      <c r="Q115" s="1" t="inlineStr">
        <is>
          <t>Y</t>
        </is>
      </c>
      <c r="R115" s="1" t="inlineStr">
        <is>
          <t>Y</t>
        </is>
      </c>
      <c r="S115" s="1" t="inlineStr">
        <is>
          <t>Y</t>
        </is>
      </c>
      <c r="T115" s="1" t="inlineStr">
        <is>
          <t>Y</t>
        </is>
      </c>
    </row>
    <row r="116">
      <c r="A116" s="4">
        <f>A115+1</f>
        <v/>
      </c>
      <c r="B116" s="8" t="inlineStr">
        <is>
          <t>发酵</t>
        </is>
      </c>
      <c r="C116" s="9" t="inlineStr">
        <is>
          <t>EOC RDF</t>
        </is>
      </c>
      <c r="D116" s="9" t="n"/>
      <c r="E116" s="8" t="inlineStr">
        <is>
          <t>%</t>
        </is>
      </c>
      <c r="F116" s="9" t="n"/>
      <c r="H116" s="1" t="n">
        <v>1</v>
      </c>
      <c r="J116" s="2" t="inlineStr">
        <is>
          <t>LIMS</t>
        </is>
      </c>
      <c r="K116" s="1" t="inlineStr">
        <is>
          <t>Y</t>
        </is>
      </c>
      <c r="L116" s="1" t="inlineStr">
        <is>
          <t>Y</t>
        </is>
      </c>
      <c r="M116" s="1" t="inlineStr">
        <is>
          <t>Y</t>
        </is>
      </c>
      <c r="N116" s="1" t="inlineStr">
        <is>
          <t>Y</t>
        </is>
      </c>
      <c r="O116" s="1" t="inlineStr">
        <is>
          <t>Y</t>
        </is>
      </c>
      <c r="P116" s="1" t="inlineStr">
        <is>
          <t>Y</t>
        </is>
      </c>
      <c r="Q116" s="1" t="inlineStr">
        <is>
          <t>Y</t>
        </is>
      </c>
      <c r="R116" s="1" t="inlineStr">
        <is>
          <t>Y</t>
        </is>
      </c>
      <c r="S116" s="1" t="inlineStr">
        <is>
          <t>Y</t>
        </is>
      </c>
      <c r="T116" s="1" t="inlineStr">
        <is>
          <t>Y</t>
        </is>
      </c>
    </row>
    <row r="117">
      <c r="A117" s="4">
        <f>A116+1</f>
        <v/>
      </c>
      <c r="B117" s="8" t="inlineStr">
        <is>
          <t>发酵</t>
        </is>
      </c>
      <c r="C117" s="9" t="inlineStr">
        <is>
          <t>麦汁RDF-EOC RDF</t>
        </is>
      </c>
      <c r="D117" s="9" t="n"/>
      <c r="E117" s="8" t="inlineStr">
        <is>
          <t>%</t>
        </is>
      </c>
      <c r="F117" s="9" t="inlineStr">
        <is>
          <t>和EOC AE - 极限AE 一张图</t>
        </is>
      </c>
      <c r="H117" s="1" t="n">
        <v>1</v>
      </c>
      <c r="J117" s="2" t="inlineStr">
        <is>
          <t>LIMS</t>
        </is>
      </c>
      <c r="K117" s="1" t="inlineStr">
        <is>
          <t>Y</t>
        </is>
      </c>
      <c r="L117" s="1" t="inlineStr">
        <is>
          <t>Y</t>
        </is>
      </c>
      <c r="M117" s="1" t="inlineStr">
        <is>
          <t>Y</t>
        </is>
      </c>
      <c r="N117" s="1" t="inlineStr">
        <is>
          <t>Y</t>
        </is>
      </c>
      <c r="O117" s="1" t="inlineStr">
        <is>
          <t>Y</t>
        </is>
      </c>
      <c r="P117" s="1" t="inlineStr">
        <is>
          <t>Y</t>
        </is>
      </c>
      <c r="Q117" s="1" t="inlineStr">
        <is>
          <t>Y</t>
        </is>
      </c>
      <c r="R117" s="1" t="inlineStr">
        <is>
          <t>Y</t>
        </is>
      </c>
      <c r="S117" s="1" t="inlineStr">
        <is>
          <t>Y</t>
        </is>
      </c>
      <c r="T117" s="1" t="inlineStr">
        <is>
          <t>Y</t>
        </is>
      </c>
    </row>
    <row r="118">
      <c r="A118" s="4">
        <f>A117+1</f>
        <v/>
      </c>
      <c r="B118" s="8" t="inlineStr">
        <is>
          <t>发酵</t>
        </is>
      </c>
      <c r="C118" s="9" t="inlineStr">
        <is>
          <t>极限AE</t>
        </is>
      </c>
      <c r="D118" s="9" t="n"/>
      <c r="E118" s="8" t="inlineStr">
        <is>
          <t>°P</t>
        </is>
      </c>
      <c r="F118" s="9" t="inlineStr">
        <is>
          <t>和EOC AE 一张图</t>
        </is>
      </c>
      <c r="H118" s="1" t="n">
        <v>1</v>
      </c>
      <c r="J118" s="2" t="inlineStr">
        <is>
          <t>LIMS</t>
        </is>
      </c>
      <c r="K118" s="1" t="inlineStr">
        <is>
          <t>Y</t>
        </is>
      </c>
      <c r="L118" s="1" t="inlineStr">
        <is>
          <t>Y</t>
        </is>
      </c>
      <c r="M118" s="1" t="inlineStr">
        <is>
          <t>Y</t>
        </is>
      </c>
      <c r="N118" s="1" t="inlineStr">
        <is>
          <t>Y</t>
        </is>
      </c>
      <c r="O118" s="1" t="inlineStr">
        <is>
          <t>Y</t>
        </is>
      </c>
      <c r="P118" s="1" t="inlineStr">
        <is>
          <t>Y</t>
        </is>
      </c>
      <c r="Q118" s="1" t="inlineStr">
        <is>
          <t>Y</t>
        </is>
      </c>
      <c r="R118" s="1" t="inlineStr">
        <is>
          <t>Y</t>
        </is>
      </c>
      <c r="S118" s="1" t="inlineStr">
        <is>
          <t>Y</t>
        </is>
      </c>
      <c r="T118" s="1" t="inlineStr">
        <is>
          <t>Y</t>
        </is>
      </c>
    </row>
    <row r="119">
      <c r="A119" s="4">
        <f>A118+1</f>
        <v/>
      </c>
      <c r="B119" s="8" t="inlineStr">
        <is>
          <t>发酵</t>
        </is>
      </c>
      <c r="C119" s="9" t="inlineStr">
        <is>
          <t>EOC AE</t>
        </is>
      </c>
      <c r="D119" s="9" t="n"/>
      <c r="E119" s="8" t="inlineStr">
        <is>
          <t>°P</t>
        </is>
      </c>
      <c r="F119" s="9" t="n"/>
      <c r="H119" s="1" t="n">
        <v>1</v>
      </c>
      <c r="J119" s="2" t="inlineStr">
        <is>
          <t>LIMS</t>
        </is>
      </c>
      <c r="K119" s="1" t="inlineStr">
        <is>
          <t>Y</t>
        </is>
      </c>
      <c r="L119" s="1" t="inlineStr">
        <is>
          <t>Y</t>
        </is>
      </c>
      <c r="M119" s="1" t="inlineStr">
        <is>
          <t>Y</t>
        </is>
      </c>
      <c r="N119" s="1" t="inlineStr">
        <is>
          <t>Y</t>
        </is>
      </c>
      <c r="O119" s="1" t="inlineStr">
        <is>
          <t>Y</t>
        </is>
      </c>
      <c r="P119" s="1" t="inlineStr">
        <is>
          <t>Y</t>
        </is>
      </c>
      <c r="Q119" s="1" t="inlineStr">
        <is>
          <t>Y</t>
        </is>
      </c>
      <c r="R119" s="1" t="inlineStr">
        <is>
          <t>Y</t>
        </is>
      </c>
      <c r="S119" s="1" t="inlineStr">
        <is>
          <t>Y</t>
        </is>
      </c>
      <c r="T119" s="1" t="inlineStr">
        <is>
          <t>Y</t>
        </is>
      </c>
    </row>
    <row r="120">
      <c r="A120" s="4">
        <f>A119+1</f>
        <v/>
      </c>
      <c r="B120" s="8" t="inlineStr">
        <is>
          <t>发酵</t>
        </is>
      </c>
      <c r="C120" s="9" t="inlineStr">
        <is>
          <t>EOC AE -极限AE</t>
        </is>
      </c>
      <c r="D120" s="9" t="n"/>
      <c r="E120" s="8" t="inlineStr">
        <is>
          <t>%</t>
        </is>
      </c>
      <c r="F120" s="9" t="n"/>
      <c r="H120" s="1" t="n">
        <v>1</v>
      </c>
      <c r="J120" s="2" t="inlineStr">
        <is>
          <t>LIMS</t>
        </is>
      </c>
      <c r="K120" s="1" t="inlineStr">
        <is>
          <t>Y</t>
        </is>
      </c>
      <c r="L120" s="1" t="inlineStr">
        <is>
          <t>Y</t>
        </is>
      </c>
      <c r="M120" s="1" t="inlineStr">
        <is>
          <t>Y</t>
        </is>
      </c>
      <c r="N120" s="1" t="inlineStr">
        <is>
          <t>Y</t>
        </is>
      </c>
      <c r="O120" s="1" t="inlineStr">
        <is>
          <t>Y</t>
        </is>
      </c>
      <c r="P120" s="1" t="inlineStr">
        <is>
          <t>Y</t>
        </is>
      </c>
      <c r="Q120" s="1" t="inlineStr">
        <is>
          <t>Y</t>
        </is>
      </c>
      <c r="R120" s="1" t="inlineStr">
        <is>
          <t>Y</t>
        </is>
      </c>
      <c r="S120" s="1" t="inlineStr">
        <is>
          <t>Y</t>
        </is>
      </c>
      <c r="T120" s="1" t="inlineStr">
        <is>
          <t>Y</t>
        </is>
      </c>
    </row>
    <row r="121">
      <c r="A121" s="4">
        <f>A120+1</f>
        <v/>
      </c>
      <c r="B121" s="8" t="inlineStr">
        <is>
          <t>发酵</t>
        </is>
      </c>
      <c r="C121" s="9" t="inlineStr">
        <is>
          <t>满罐IBU</t>
        </is>
      </c>
      <c r="D121" s="9" t="n"/>
      <c r="E121" s="8" t="n"/>
      <c r="F121" s="9" t="n"/>
      <c r="H121" s="1" t="n">
        <v>1</v>
      </c>
      <c r="J121" s="2" t="inlineStr">
        <is>
          <t>LIMS</t>
        </is>
      </c>
      <c r="K121" s="1" t="inlineStr">
        <is>
          <t>Y</t>
        </is>
      </c>
      <c r="L121" s="1" t="inlineStr">
        <is>
          <t>Y</t>
        </is>
      </c>
      <c r="M121" s="1" t="inlineStr">
        <is>
          <t>Y</t>
        </is>
      </c>
      <c r="N121" s="1" t="inlineStr">
        <is>
          <t>Y</t>
        </is>
      </c>
      <c r="O121" s="1" t="inlineStr">
        <is>
          <t>Y</t>
        </is>
      </c>
      <c r="P121" s="1" t="inlineStr">
        <is>
          <t>Y</t>
        </is>
      </c>
      <c r="Q121" s="1" t="inlineStr">
        <is>
          <t>Y</t>
        </is>
      </c>
      <c r="R121" s="1" t="inlineStr">
        <is>
          <t>Y</t>
        </is>
      </c>
      <c r="S121" s="1" t="inlineStr">
        <is>
          <t>Y</t>
        </is>
      </c>
      <c r="T121" s="1" t="inlineStr">
        <is>
          <t>Y</t>
        </is>
      </c>
    </row>
    <row r="122">
      <c r="A122" s="4">
        <f>A121+1</f>
        <v/>
      </c>
      <c r="B122" s="8" t="inlineStr">
        <is>
          <t>发酵</t>
        </is>
      </c>
      <c r="C122" s="9" t="inlineStr">
        <is>
          <t>主酵结束 IBU</t>
        </is>
      </c>
      <c r="D122" s="9" t="n"/>
      <c r="E122" s="8" t="n"/>
      <c r="F122" s="9" t="n"/>
      <c r="H122" s="1" t="n">
        <v>1</v>
      </c>
      <c r="J122" s="2" t="inlineStr">
        <is>
          <t>LIMS</t>
        </is>
      </c>
      <c r="K122" s="1" t="inlineStr">
        <is>
          <t>Y</t>
        </is>
      </c>
      <c r="L122" s="1" t="inlineStr">
        <is>
          <t>Y</t>
        </is>
      </c>
      <c r="M122" s="1" t="inlineStr">
        <is>
          <t>Y</t>
        </is>
      </c>
      <c r="N122" s="1" t="inlineStr">
        <is>
          <t>Y</t>
        </is>
      </c>
      <c r="O122" s="1" t="inlineStr">
        <is>
          <t>Y</t>
        </is>
      </c>
      <c r="P122" s="1" t="inlineStr">
        <is>
          <t>Y</t>
        </is>
      </c>
      <c r="Q122" s="1" t="inlineStr">
        <is>
          <t>Y</t>
        </is>
      </c>
      <c r="R122" s="1" t="inlineStr">
        <is>
          <t>Y</t>
        </is>
      </c>
      <c r="S122" s="1" t="inlineStr">
        <is>
          <t>Y</t>
        </is>
      </c>
      <c r="T122" s="1" t="inlineStr">
        <is>
          <t>Y</t>
        </is>
      </c>
    </row>
    <row r="123">
      <c r="A123" s="4">
        <f>A122+1</f>
        <v/>
      </c>
      <c r="B123" s="8" t="inlineStr">
        <is>
          <t>发酵</t>
        </is>
      </c>
      <c r="C123" s="9" t="inlineStr">
        <is>
          <t>IBU Drop</t>
        </is>
      </c>
      <c r="D123" s="9" t="n"/>
      <c r="E123" s="8" t="n"/>
      <c r="F123" s="9" t="n"/>
      <c r="H123" s="1" t="n">
        <v>1</v>
      </c>
      <c r="J123" s="2" t="inlineStr">
        <is>
          <t>LIMS</t>
        </is>
      </c>
      <c r="K123" s="1" t="inlineStr">
        <is>
          <t>Y</t>
        </is>
      </c>
      <c r="L123" s="1" t="inlineStr">
        <is>
          <t>Y</t>
        </is>
      </c>
      <c r="M123" s="1" t="inlineStr">
        <is>
          <t>Y</t>
        </is>
      </c>
      <c r="N123" s="1" t="inlineStr">
        <is>
          <t>Y</t>
        </is>
      </c>
      <c r="O123" s="1" t="inlineStr">
        <is>
          <t>Y</t>
        </is>
      </c>
      <c r="P123" s="1" t="inlineStr">
        <is>
          <t>Y</t>
        </is>
      </c>
      <c r="Q123" s="1" t="inlineStr">
        <is>
          <t>Y</t>
        </is>
      </c>
      <c r="R123" s="1" t="inlineStr">
        <is>
          <t>Y</t>
        </is>
      </c>
      <c r="S123" s="1" t="inlineStr">
        <is>
          <t>Y</t>
        </is>
      </c>
      <c r="T123" s="1" t="inlineStr">
        <is>
          <t>Y</t>
        </is>
      </c>
    </row>
    <row r="124">
      <c r="A124" s="4">
        <f>A123+1</f>
        <v/>
      </c>
      <c r="B124" s="8" t="inlineStr">
        <is>
          <t>过滤</t>
        </is>
      </c>
      <c r="C124" s="9" t="inlineStr">
        <is>
          <t>稀释水温度</t>
        </is>
      </c>
      <c r="D124" s="9" t="n"/>
      <c r="E124" s="8" t="inlineStr">
        <is>
          <t>ppm</t>
        </is>
      </c>
      <c r="F124" s="9" t="n"/>
      <c r="G124" s="3" t="inlineStr">
        <is>
          <t>New</t>
        </is>
      </c>
      <c r="H124" s="1" t="n">
        <v>1</v>
      </c>
      <c r="J124" s="2" t="inlineStr">
        <is>
          <t>LIMS</t>
        </is>
      </c>
    </row>
    <row r="125">
      <c r="A125" s="4">
        <f>A124+1</f>
        <v/>
      </c>
      <c r="B125" s="8" t="inlineStr">
        <is>
          <t>过滤</t>
        </is>
      </c>
      <c r="C125" s="9" t="inlineStr">
        <is>
          <t>稀释水DO</t>
        </is>
      </c>
      <c r="D125" s="9" t="n"/>
      <c r="E125" s="8" t="inlineStr">
        <is>
          <t>ppm</t>
        </is>
      </c>
      <c r="F125" s="9" t="n"/>
      <c r="G125" s="3" t="inlineStr">
        <is>
          <t>New</t>
        </is>
      </c>
      <c r="H125" s="1" t="n">
        <v>1</v>
      </c>
      <c r="I125" s="263" t="n"/>
      <c r="J125" s="2" t="inlineStr">
        <is>
          <t>LIMS</t>
        </is>
      </c>
    </row>
    <row r="126">
      <c r="A126" s="4">
        <f>A125+1</f>
        <v/>
      </c>
      <c r="B126" s="11" t="inlineStr">
        <is>
          <t>清酒</t>
        </is>
      </c>
      <c r="C126" s="12" t="inlineStr">
        <is>
          <t>清酒罐DO</t>
        </is>
      </c>
      <c r="D126" s="12" t="n"/>
      <c r="E126" s="11" t="inlineStr">
        <is>
          <t>ppb</t>
        </is>
      </c>
      <c r="F126" s="12" t="n"/>
      <c r="G126" s="3" t="inlineStr">
        <is>
          <t>Blending water DO, Temp</t>
        </is>
      </c>
      <c r="H126" s="1" t="n">
        <v>1</v>
      </c>
      <c r="I126" s="2" t="inlineStr">
        <is>
          <t>整体排2页</t>
        </is>
      </c>
      <c r="J126" s="2" t="inlineStr">
        <is>
          <t>LIMS</t>
        </is>
      </c>
      <c r="K126" s="1" t="inlineStr">
        <is>
          <t>Y</t>
        </is>
      </c>
      <c r="L126" s="1" t="inlineStr">
        <is>
          <t>Y</t>
        </is>
      </c>
      <c r="M126" s="1" t="inlineStr">
        <is>
          <t>Y</t>
        </is>
      </c>
      <c r="N126" s="1" t="inlineStr">
        <is>
          <t>Y</t>
        </is>
      </c>
      <c r="O126" s="1" t="inlineStr">
        <is>
          <t>Y</t>
        </is>
      </c>
      <c r="P126" s="1" t="inlineStr">
        <is>
          <t>Y</t>
        </is>
      </c>
      <c r="Q126" s="1" t="inlineStr">
        <is>
          <t>Y</t>
        </is>
      </c>
      <c r="R126" s="1" t="inlineStr">
        <is>
          <t>Y</t>
        </is>
      </c>
      <c r="S126" s="1" t="inlineStr">
        <is>
          <t>Y</t>
        </is>
      </c>
      <c r="T126" s="1" t="inlineStr">
        <is>
          <t>Y</t>
        </is>
      </c>
    </row>
    <row r="127">
      <c r="A127" s="4">
        <f>A126+1</f>
        <v/>
      </c>
      <c r="B127" s="11" t="inlineStr">
        <is>
          <t>清酒</t>
        </is>
      </c>
      <c r="C127" s="12" t="inlineStr">
        <is>
          <t>清酒满罐温度</t>
        </is>
      </c>
      <c r="D127" s="12" t="n"/>
      <c r="E127" s="11" t="inlineStr">
        <is>
          <t>°C</t>
        </is>
      </c>
      <c r="F127" s="12" t="n"/>
      <c r="H127" s="1" t="n">
        <v>1</v>
      </c>
      <c r="J127" s="2" t="inlineStr">
        <is>
          <t>LIMS</t>
        </is>
      </c>
      <c r="K127" s="1" t="inlineStr">
        <is>
          <t>Y</t>
        </is>
      </c>
      <c r="L127" s="1" t="inlineStr">
        <is>
          <t>Y</t>
        </is>
      </c>
      <c r="M127" s="1" t="inlineStr">
        <is>
          <t>Y</t>
        </is>
      </c>
      <c r="N127" s="1" t="inlineStr">
        <is>
          <t>Y</t>
        </is>
      </c>
      <c r="O127" s="1" t="inlineStr">
        <is>
          <t>Y</t>
        </is>
      </c>
      <c r="P127" s="1" t="inlineStr">
        <is>
          <t>Y</t>
        </is>
      </c>
      <c r="Q127" s="1" t="inlineStr">
        <is>
          <t>Y</t>
        </is>
      </c>
      <c r="R127" s="1" t="inlineStr">
        <is>
          <t>Y</t>
        </is>
      </c>
      <c r="S127" s="1" t="inlineStr">
        <is>
          <t>Y</t>
        </is>
      </c>
      <c r="T127" s="1" t="inlineStr">
        <is>
          <t>Y</t>
        </is>
      </c>
    </row>
    <row r="128">
      <c r="A128" s="4">
        <f>A127+1</f>
        <v/>
      </c>
      <c r="B128" s="11" t="inlineStr">
        <is>
          <t>清酒</t>
        </is>
      </c>
      <c r="C128" s="12" t="inlineStr">
        <is>
          <t>清酒CO2</t>
        </is>
      </c>
      <c r="D128" s="12" t="n"/>
      <c r="E128" s="11" t="inlineStr">
        <is>
          <t>g/L</t>
        </is>
      </c>
      <c r="F128" s="12" t="inlineStr">
        <is>
          <t>和成品CO2一张图</t>
        </is>
      </c>
      <c r="G128" s="3" t="inlineStr">
        <is>
          <t>KPI-BPI</t>
        </is>
      </c>
      <c r="H128" s="1" t="n">
        <v>1</v>
      </c>
      <c r="J128" s="2" t="inlineStr">
        <is>
          <t>LIMS</t>
        </is>
      </c>
      <c r="K128" s="1" t="inlineStr">
        <is>
          <t>Y</t>
        </is>
      </c>
      <c r="L128" s="1" t="inlineStr">
        <is>
          <t>Y</t>
        </is>
      </c>
      <c r="M128" s="1" t="inlineStr">
        <is>
          <t>Y</t>
        </is>
      </c>
      <c r="N128" s="1" t="inlineStr">
        <is>
          <t>Y</t>
        </is>
      </c>
      <c r="O128" s="1" t="inlineStr">
        <is>
          <t>Y</t>
        </is>
      </c>
      <c r="P128" s="1" t="inlineStr">
        <is>
          <t>Y</t>
        </is>
      </c>
      <c r="Q128" s="1" t="inlineStr">
        <is>
          <t>Y</t>
        </is>
      </c>
      <c r="R128" s="1" t="inlineStr">
        <is>
          <t>Y</t>
        </is>
      </c>
      <c r="S128" s="1" t="inlineStr">
        <is>
          <t>Y</t>
        </is>
      </c>
      <c r="T128" s="1" t="inlineStr">
        <is>
          <t>Y</t>
        </is>
      </c>
    </row>
    <row r="129">
      <c r="A129" s="4">
        <f>A128+1</f>
        <v/>
      </c>
      <c r="B129" s="11" t="inlineStr">
        <is>
          <t>清酒</t>
        </is>
      </c>
      <c r="C129" s="12" t="inlineStr">
        <is>
          <t>清酒原浓</t>
        </is>
      </c>
      <c r="D129" s="12" t="n"/>
      <c r="E129" s="11" t="inlineStr">
        <is>
          <t>°P</t>
        </is>
      </c>
      <c r="F129" s="12" t="inlineStr">
        <is>
          <t>和成品原浓一张图</t>
        </is>
      </c>
      <c r="H129" s="1" t="n">
        <v>1</v>
      </c>
      <c r="J129" s="2" t="inlineStr">
        <is>
          <t>LIMS</t>
        </is>
      </c>
      <c r="K129" s="1" t="inlineStr">
        <is>
          <t>Y</t>
        </is>
      </c>
      <c r="L129" s="1" t="inlineStr">
        <is>
          <t>Y</t>
        </is>
      </c>
      <c r="M129" s="1" t="inlineStr">
        <is>
          <t>Y</t>
        </is>
      </c>
      <c r="N129" s="1" t="inlineStr">
        <is>
          <t>Y</t>
        </is>
      </c>
      <c r="O129" s="1" t="inlineStr">
        <is>
          <t>Y</t>
        </is>
      </c>
      <c r="P129" s="1" t="inlineStr">
        <is>
          <t>Y</t>
        </is>
      </c>
      <c r="Q129" s="1" t="inlineStr">
        <is>
          <t>Y</t>
        </is>
      </c>
      <c r="R129" s="1" t="inlineStr">
        <is>
          <t>Y</t>
        </is>
      </c>
      <c r="S129" s="1" t="inlineStr">
        <is>
          <t>Y</t>
        </is>
      </c>
      <c r="T129" s="1" t="inlineStr">
        <is>
          <t>Y</t>
        </is>
      </c>
    </row>
    <row r="130">
      <c r="A130" s="4">
        <f>A129+1</f>
        <v/>
      </c>
      <c r="B130" s="11" t="inlineStr">
        <is>
          <t>清酒</t>
        </is>
      </c>
      <c r="C130" s="12" t="inlineStr">
        <is>
          <t>清酒外观浓度</t>
        </is>
      </c>
      <c r="D130" s="12" t="n"/>
      <c r="E130" s="11" t="inlineStr">
        <is>
          <t>°P</t>
        </is>
      </c>
      <c r="F130" s="12" t="n"/>
      <c r="G130" s="3" t="inlineStr">
        <is>
          <t>KPI-BPI</t>
        </is>
      </c>
      <c r="H130" s="1" t="n">
        <v>1</v>
      </c>
      <c r="J130" s="2" t="inlineStr">
        <is>
          <t>LIMS</t>
        </is>
      </c>
      <c r="K130" s="1" t="inlineStr">
        <is>
          <t>Y</t>
        </is>
      </c>
      <c r="L130" s="1" t="inlineStr">
        <is>
          <t>Y</t>
        </is>
      </c>
      <c r="M130" s="1" t="inlineStr">
        <is>
          <t>Y</t>
        </is>
      </c>
      <c r="N130" s="1" t="inlineStr">
        <is>
          <t>Y</t>
        </is>
      </c>
      <c r="O130" s="1" t="inlineStr">
        <is>
          <t>Y</t>
        </is>
      </c>
      <c r="P130" s="1" t="inlineStr">
        <is>
          <t>Y</t>
        </is>
      </c>
      <c r="Q130" s="1" t="inlineStr">
        <is>
          <t>Y</t>
        </is>
      </c>
      <c r="R130" s="1" t="inlineStr">
        <is>
          <t>Y</t>
        </is>
      </c>
      <c r="S130" s="1" t="inlineStr">
        <is>
          <t>Y</t>
        </is>
      </c>
      <c r="T130" s="1" t="inlineStr">
        <is>
          <t>Y</t>
        </is>
      </c>
    </row>
    <row r="131">
      <c r="A131" s="4">
        <f>A130+1</f>
        <v/>
      </c>
      <c r="B131" s="11" t="inlineStr">
        <is>
          <t>清酒</t>
        </is>
      </c>
      <c r="C131" s="12" t="inlineStr">
        <is>
          <t>清酒RDF</t>
        </is>
      </c>
      <c r="D131" s="12" t="n"/>
      <c r="E131" s="11" t="inlineStr">
        <is>
          <t>%</t>
        </is>
      </c>
      <c r="F131" s="12" t="n"/>
      <c r="H131" s="1" t="n">
        <v>1</v>
      </c>
      <c r="J131" s="2" t="inlineStr">
        <is>
          <t>LIMS</t>
        </is>
      </c>
      <c r="K131" s="1" t="inlineStr">
        <is>
          <t>Y</t>
        </is>
      </c>
      <c r="L131" s="1" t="inlineStr">
        <is>
          <t>Y</t>
        </is>
      </c>
      <c r="M131" s="1" t="inlineStr">
        <is>
          <t>Y</t>
        </is>
      </c>
      <c r="N131" s="1" t="inlineStr">
        <is>
          <t>Y</t>
        </is>
      </c>
      <c r="O131" s="1" t="inlineStr">
        <is>
          <t>Y</t>
        </is>
      </c>
      <c r="P131" s="1" t="inlineStr">
        <is>
          <t>Y</t>
        </is>
      </c>
      <c r="Q131" s="1" t="inlineStr">
        <is>
          <t>Y</t>
        </is>
      </c>
      <c r="R131" s="1" t="inlineStr">
        <is>
          <t>Y</t>
        </is>
      </c>
      <c r="S131" s="1" t="inlineStr">
        <is>
          <t>Y</t>
        </is>
      </c>
      <c r="T131" s="1" t="inlineStr">
        <is>
          <t>Y</t>
        </is>
      </c>
    </row>
    <row r="132">
      <c r="A132" s="4">
        <f>A131+1</f>
        <v/>
      </c>
      <c r="B132" s="11" t="inlineStr">
        <is>
          <t>清酒</t>
        </is>
      </c>
      <c r="C132" s="12" t="inlineStr">
        <is>
          <t>清酒ABV</t>
        </is>
      </c>
      <c r="D132" s="12" t="n"/>
      <c r="E132" s="11" t="inlineStr">
        <is>
          <t>%</t>
        </is>
      </c>
      <c r="F132" s="12" t="n"/>
      <c r="G132" s="3" t="inlineStr">
        <is>
          <t>KPI-BPI</t>
        </is>
      </c>
      <c r="H132" s="1" t="n">
        <v>1</v>
      </c>
      <c r="J132" s="2" t="inlineStr">
        <is>
          <t>LIMS</t>
        </is>
      </c>
      <c r="K132" s="1" t="inlineStr">
        <is>
          <t>Y</t>
        </is>
      </c>
      <c r="L132" s="1" t="inlineStr">
        <is>
          <t>Y</t>
        </is>
      </c>
      <c r="M132" s="1" t="inlineStr">
        <is>
          <t>Y</t>
        </is>
      </c>
      <c r="N132" s="1" t="inlineStr">
        <is>
          <t>Y</t>
        </is>
      </c>
      <c r="O132" s="1" t="inlineStr">
        <is>
          <t>Y</t>
        </is>
      </c>
      <c r="P132" s="1" t="inlineStr">
        <is>
          <t>Y</t>
        </is>
      </c>
      <c r="Q132" s="1" t="inlineStr">
        <is>
          <t>Y</t>
        </is>
      </c>
      <c r="R132" s="1" t="inlineStr">
        <is>
          <t>Y</t>
        </is>
      </c>
      <c r="S132" s="1" t="inlineStr">
        <is>
          <t>Y</t>
        </is>
      </c>
      <c r="T132" s="1" t="inlineStr">
        <is>
          <t>Y</t>
        </is>
      </c>
    </row>
    <row r="133">
      <c r="A133" s="4">
        <f>A132+1</f>
        <v/>
      </c>
      <c r="B133" s="11" t="inlineStr">
        <is>
          <t>清酒</t>
        </is>
      </c>
      <c r="C133" s="12" t="inlineStr">
        <is>
          <t>清酒浊度-90°</t>
        </is>
      </c>
      <c r="D133" s="12" t="n"/>
      <c r="E133" s="11" t="inlineStr">
        <is>
          <t>EBC</t>
        </is>
      </c>
      <c r="F133" s="12" t="inlineStr">
        <is>
          <t>清酒浊度和强化浊度放一起</t>
        </is>
      </c>
      <c r="G133" s="3" t="inlineStr">
        <is>
          <t>KPI-BPI</t>
        </is>
      </c>
      <c r="H133" s="1" t="n">
        <v>1</v>
      </c>
      <c r="J133" s="2" t="inlineStr">
        <is>
          <t>LIMS</t>
        </is>
      </c>
      <c r="K133" s="1" t="inlineStr">
        <is>
          <t>Y</t>
        </is>
      </c>
      <c r="L133" s="1" t="inlineStr">
        <is>
          <t>Y</t>
        </is>
      </c>
      <c r="M133" s="1" t="inlineStr">
        <is>
          <t>Y</t>
        </is>
      </c>
      <c r="N133" s="1" t="inlineStr">
        <is>
          <t>Y</t>
        </is>
      </c>
      <c r="O133" s="1" t="inlineStr">
        <is>
          <t>Y</t>
        </is>
      </c>
      <c r="P133" s="1" t="inlineStr">
        <is>
          <t>Y</t>
        </is>
      </c>
      <c r="Q133" s="1" t="inlineStr">
        <is>
          <t>Y</t>
        </is>
      </c>
      <c r="R133" s="1" t="inlineStr">
        <is>
          <t>Y</t>
        </is>
      </c>
      <c r="S133" s="1" t="inlineStr">
        <is>
          <t>Y</t>
        </is>
      </c>
      <c r="T133" s="1" t="inlineStr">
        <is>
          <t>Y</t>
        </is>
      </c>
    </row>
    <row r="134">
      <c r="A134" s="4">
        <f>A133+1</f>
        <v/>
      </c>
      <c r="B134" s="11" t="inlineStr">
        <is>
          <t>清酒</t>
        </is>
      </c>
      <c r="C134" s="12" t="inlineStr">
        <is>
          <t>清酒pH</t>
        </is>
      </c>
      <c r="D134" s="12" t="n"/>
      <c r="E134" s="11" t="n"/>
      <c r="F134" s="12" t="n"/>
      <c r="G134" s="3" t="inlineStr">
        <is>
          <t>KPI-BPI</t>
        </is>
      </c>
      <c r="H134" s="1" t="n">
        <v>1</v>
      </c>
      <c r="J134" s="2" t="inlineStr">
        <is>
          <t>LIMS</t>
        </is>
      </c>
      <c r="K134" s="1" t="inlineStr">
        <is>
          <t>Y</t>
        </is>
      </c>
      <c r="L134" s="1" t="inlineStr">
        <is>
          <t>Y</t>
        </is>
      </c>
      <c r="M134" s="1" t="inlineStr">
        <is>
          <t>Y</t>
        </is>
      </c>
      <c r="N134" s="1" t="inlineStr">
        <is>
          <t>Y</t>
        </is>
      </c>
      <c r="O134" s="1" t="inlineStr">
        <is>
          <t>Y</t>
        </is>
      </c>
      <c r="P134" s="1" t="inlineStr">
        <is>
          <t>Y</t>
        </is>
      </c>
      <c r="Q134" s="1" t="inlineStr">
        <is>
          <t>Y</t>
        </is>
      </c>
      <c r="R134" s="1" t="inlineStr">
        <is>
          <t>Y</t>
        </is>
      </c>
      <c r="S134" s="1" t="inlineStr">
        <is>
          <t>Y</t>
        </is>
      </c>
      <c r="T134" s="1" t="inlineStr">
        <is>
          <t>Y</t>
        </is>
      </c>
    </row>
    <row r="135">
      <c r="A135" s="4">
        <f>A134+1</f>
        <v/>
      </c>
      <c r="B135" s="11" t="inlineStr">
        <is>
          <t>清酒</t>
        </is>
      </c>
      <c r="C135" s="12" t="inlineStr">
        <is>
          <t>清酒色度</t>
        </is>
      </c>
      <c r="D135" s="12" t="n"/>
      <c r="E135" s="11" t="inlineStr">
        <is>
          <t>EBC</t>
        </is>
      </c>
      <c r="F135" s="12" t="n"/>
      <c r="G135" s="3" t="inlineStr">
        <is>
          <t>KPI-BPI</t>
        </is>
      </c>
      <c r="H135" s="1" t="n">
        <v>1</v>
      </c>
      <c r="J135" s="2" t="inlineStr">
        <is>
          <t>LIMS</t>
        </is>
      </c>
      <c r="K135" s="1" t="inlineStr">
        <is>
          <t>Y</t>
        </is>
      </c>
      <c r="L135" s="1" t="inlineStr">
        <is>
          <t>Y</t>
        </is>
      </c>
      <c r="M135" s="1" t="inlineStr">
        <is>
          <t>Y</t>
        </is>
      </c>
      <c r="N135" s="1" t="inlineStr">
        <is>
          <t>Y</t>
        </is>
      </c>
      <c r="O135" s="1" t="inlineStr">
        <is>
          <t>Y</t>
        </is>
      </c>
      <c r="P135" s="1" t="inlineStr">
        <is>
          <t>Y</t>
        </is>
      </c>
      <c r="Q135" s="15" t="n"/>
      <c r="R135" s="1" t="inlineStr">
        <is>
          <t>Y</t>
        </is>
      </c>
      <c r="S135" s="1" t="inlineStr">
        <is>
          <t>Y</t>
        </is>
      </c>
      <c r="T135" s="1" t="inlineStr">
        <is>
          <t>Y</t>
        </is>
      </c>
    </row>
    <row r="136">
      <c r="A136" s="4">
        <f>A135+1</f>
        <v/>
      </c>
      <c r="B136" s="11" t="inlineStr">
        <is>
          <t>清酒</t>
        </is>
      </c>
      <c r="C136" s="12" t="inlineStr">
        <is>
          <t>清酒苦味值</t>
        </is>
      </c>
      <c r="D136" s="12" t="n"/>
      <c r="E136" s="11" t="n"/>
      <c r="F136" s="12" t="n"/>
      <c r="G136" s="3" t="inlineStr">
        <is>
          <t>KPI-BPI</t>
        </is>
      </c>
      <c r="H136" s="1" t="n">
        <v>1</v>
      </c>
      <c r="J136" s="2" t="inlineStr">
        <is>
          <t>LIMS</t>
        </is>
      </c>
      <c r="K136" s="1" t="inlineStr">
        <is>
          <t>Y</t>
        </is>
      </c>
      <c r="L136" s="1" t="inlineStr">
        <is>
          <t>Y</t>
        </is>
      </c>
      <c r="M136" s="1" t="inlineStr">
        <is>
          <t>Y</t>
        </is>
      </c>
      <c r="N136" s="1" t="inlineStr">
        <is>
          <t>Y</t>
        </is>
      </c>
      <c r="O136" s="1" t="inlineStr">
        <is>
          <t>Y</t>
        </is>
      </c>
      <c r="P136" s="1" t="inlineStr">
        <is>
          <t>Y</t>
        </is>
      </c>
      <c r="Q136" s="1" t="inlineStr">
        <is>
          <t>Y</t>
        </is>
      </c>
      <c r="R136" s="1" t="inlineStr">
        <is>
          <t>Y</t>
        </is>
      </c>
      <c r="S136" s="1" t="inlineStr">
        <is>
          <t>Y</t>
        </is>
      </c>
      <c r="T136" s="1" t="inlineStr">
        <is>
          <t>Y</t>
        </is>
      </c>
    </row>
    <row r="137">
      <c r="A137" s="4">
        <f>A136+1</f>
        <v/>
      </c>
      <c r="B137" s="11" t="inlineStr">
        <is>
          <t>清酒</t>
        </is>
      </c>
      <c r="C137" s="12" t="inlineStr">
        <is>
          <t>清酒铁离子</t>
        </is>
      </c>
      <c r="D137" s="12" t="n"/>
      <c r="E137" s="11" t="inlineStr">
        <is>
          <t>ppm</t>
        </is>
      </c>
      <c r="F137" s="12" t="n"/>
      <c r="G137" s="3" t="inlineStr">
        <is>
          <t>KPI-FSI</t>
        </is>
      </c>
      <c r="H137" s="1" t="n">
        <v>1</v>
      </c>
      <c r="J137" s="2" t="inlineStr">
        <is>
          <t>LIMS</t>
        </is>
      </c>
      <c r="K137" s="1" t="inlineStr">
        <is>
          <t>Y</t>
        </is>
      </c>
      <c r="L137" s="1" t="inlineStr">
        <is>
          <t>Y</t>
        </is>
      </c>
      <c r="M137" s="1" t="inlineStr">
        <is>
          <t>Y</t>
        </is>
      </c>
      <c r="N137" s="1" t="inlineStr">
        <is>
          <t>Y</t>
        </is>
      </c>
      <c r="O137" s="1" t="inlineStr">
        <is>
          <t>Y</t>
        </is>
      </c>
      <c r="P137" s="1" t="inlineStr">
        <is>
          <t>Y</t>
        </is>
      </c>
      <c r="Q137" s="1" t="inlineStr">
        <is>
          <t>Y</t>
        </is>
      </c>
      <c r="R137" s="1" t="inlineStr">
        <is>
          <t>Y</t>
        </is>
      </c>
      <c r="S137" s="1" t="inlineStr">
        <is>
          <t>Y</t>
        </is>
      </c>
      <c r="T137" s="1" t="inlineStr">
        <is>
          <t>Y</t>
        </is>
      </c>
    </row>
    <row r="138">
      <c r="A138" s="4">
        <f>A137+1</f>
        <v/>
      </c>
      <c r="B138" s="8" t="inlineStr">
        <is>
          <t>成品</t>
        </is>
      </c>
      <c r="C138" s="9" t="inlineStr">
        <is>
          <t>成品原浓</t>
        </is>
      </c>
      <c r="D138" s="9" t="n"/>
      <c r="E138" s="8" t="inlineStr">
        <is>
          <t>°P</t>
        </is>
      </c>
      <c r="F138" s="9" t="n"/>
      <c r="H138" s="1" t="n">
        <v>1</v>
      </c>
      <c r="I138" s="263" t="inlineStr">
        <is>
          <t>一页</t>
        </is>
      </c>
      <c r="J138" s="2" t="inlineStr">
        <is>
          <t>LIMS</t>
        </is>
      </c>
      <c r="K138" s="1" t="inlineStr">
        <is>
          <t>Y</t>
        </is>
      </c>
      <c r="L138" s="1" t="inlineStr">
        <is>
          <t>Y</t>
        </is>
      </c>
      <c r="M138" s="1" t="inlineStr">
        <is>
          <t>Y</t>
        </is>
      </c>
      <c r="N138" s="1" t="inlineStr">
        <is>
          <t>Y</t>
        </is>
      </c>
      <c r="O138" s="1" t="inlineStr">
        <is>
          <t>Y</t>
        </is>
      </c>
      <c r="P138" s="1" t="inlineStr">
        <is>
          <t>Y</t>
        </is>
      </c>
      <c r="Q138" s="1" t="inlineStr">
        <is>
          <t>Y</t>
        </is>
      </c>
      <c r="R138" s="1" t="inlineStr">
        <is>
          <t>Y</t>
        </is>
      </c>
      <c r="S138" s="1" t="inlineStr">
        <is>
          <t>Y</t>
        </is>
      </c>
      <c r="T138" s="1" t="inlineStr">
        <is>
          <t>Y</t>
        </is>
      </c>
    </row>
    <row r="139">
      <c r="A139" s="4">
        <f>A138+1</f>
        <v/>
      </c>
      <c r="B139" s="8" t="inlineStr">
        <is>
          <t>成品</t>
        </is>
      </c>
      <c r="C139" s="9" t="inlineStr">
        <is>
          <t>强化浊度</t>
        </is>
      </c>
      <c r="D139" s="9" t="n"/>
      <c r="E139" s="8" t="inlineStr">
        <is>
          <t>EBC</t>
        </is>
      </c>
      <c r="F139" s="9" t="n"/>
      <c r="G139" s="3" t="inlineStr">
        <is>
          <t>KPI-BPI</t>
        </is>
      </c>
      <c r="H139" s="1" t="n">
        <v>1</v>
      </c>
      <c r="I139" s="264" t="n"/>
      <c r="J139" s="2" t="inlineStr">
        <is>
          <t>LIMS</t>
        </is>
      </c>
      <c r="K139" s="1" t="inlineStr">
        <is>
          <t>Y</t>
        </is>
      </c>
      <c r="L139" s="1" t="inlineStr">
        <is>
          <t>Y</t>
        </is>
      </c>
      <c r="M139" s="1" t="inlineStr">
        <is>
          <t>Y</t>
        </is>
      </c>
      <c r="N139" s="1" t="inlineStr">
        <is>
          <t>Y</t>
        </is>
      </c>
      <c r="O139" s="1" t="inlineStr">
        <is>
          <t>Y</t>
        </is>
      </c>
      <c r="P139" s="1" t="inlineStr">
        <is>
          <t>Y</t>
        </is>
      </c>
      <c r="Q139" s="1" t="inlineStr">
        <is>
          <t>Y</t>
        </is>
      </c>
      <c r="R139" s="1" t="inlineStr">
        <is>
          <t>Y</t>
        </is>
      </c>
      <c r="S139" s="1" t="inlineStr">
        <is>
          <t>Y</t>
        </is>
      </c>
      <c r="T139" s="1" t="inlineStr">
        <is>
          <t>Y</t>
        </is>
      </c>
    </row>
    <row r="140">
      <c r="A140" s="4">
        <f>A139+1</f>
        <v/>
      </c>
      <c r="B140" s="8" t="inlineStr">
        <is>
          <t>成品</t>
        </is>
      </c>
      <c r="C140" s="9" t="inlineStr">
        <is>
          <t>成品SO2</t>
        </is>
      </c>
      <c r="D140" s="9" t="n"/>
      <c r="E140" s="8" t="inlineStr">
        <is>
          <t>ppm</t>
        </is>
      </c>
      <c r="F140" s="9" t="inlineStr">
        <is>
          <t>和主酵时间一张图</t>
        </is>
      </c>
      <c r="G140" s="3" t="inlineStr">
        <is>
          <t>成品国标要求测色度和浊度</t>
        </is>
      </c>
      <c r="H140" s="1" t="n">
        <v>1</v>
      </c>
      <c r="I140" s="264" t="n"/>
      <c r="J140" s="2" t="inlineStr">
        <is>
          <t>LIMS</t>
        </is>
      </c>
      <c r="K140" s="1" t="inlineStr">
        <is>
          <t>Y</t>
        </is>
      </c>
      <c r="L140" s="1" t="inlineStr">
        <is>
          <t>Y</t>
        </is>
      </c>
      <c r="M140" s="1" t="inlineStr">
        <is>
          <t>Y</t>
        </is>
      </c>
      <c r="N140" s="1" t="inlineStr">
        <is>
          <t>Y</t>
        </is>
      </c>
      <c r="O140" s="1" t="inlineStr">
        <is>
          <t>Y</t>
        </is>
      </c>
      <c r="P140" s="1" t="inlineStr">
        <is>
          <t>Y</t>
        </is>
      </c>
      <c r="Q140" s="1" t="inlineStr">
        <is>
          <t>Y</t>
        </is>
      </c>
      <c r="R140" s="1" t="inlineStr">
        <is>
          <t>Y</t>
        </is>
      </c>
      <c r="S140" s="1" t="inlineStr">
        <is>
          <t>Y</t>
        </is>
      </c>
      <c r="T140" s="1" t="inlineStr">
        <is>
          <t>Y</t>
        </is>
      </c>
    </row>
    <row r="141">
      <c r="A141" s="4">
        <f>A140+1</f>
        <v/>
      </c>
      <c r="B141" s="8" t="inlineStr">
        <is>
          <t>成品</t>
        </is>
      </c>
      <c r="C141" s="9" t="inlineStr">
        <is>
          <t>SO2 loss</t>
        </is>
      </c>
      <c r="D141" s="9" t="n"/>
      <c r="E141" s="8" t="inlineStr">
        <is>
          <t>ppm</t>
        </is>
      </c>
      <c r="F141" s="9" t="n"/>
      <c r="G141" s="3" t="inlineStr">
        <is>
          <t>KPI-FSI</t>
        </is>
      </c>
      <c r="H141" s="1" t="n">
        <v>1</v>
      </c>
      <c r="I141" s="264" t="n"/>
      <c r="J141" s="2" t="inlineStr">
        <is>
          <t>LIMS</t>
        </is>
      </c>
      <c r="K141" s="1" t="inlineStr">
        <is>
          <t>Y</t>
        </is>
      </c>
      <c r="L141" s="1" t="inlineStr">
        <is>
          <t>Y</t>
        </is>
      </c>
      <c r="M141" s="1" t="inlineStr">
        <is>
          <t>Y</t>
        </is>
      </c>
      <c r="N141" s="1" t="inlineStr">
        <is>
          <t>Y</t>
        </is>
      </c>
      <c r="O141" s="1" t="inlineStr">
        <is>
          <t>Y</t>
        </is>
      </c>
      <c r="P141" s="1" t="inlineStr">
        <is>
          <t>Y</t>
        </is>
      </c>
      <c r="Q141" s="1" t="inlineStr">
        <is>
          <t>Y</t>
        </is>
      </c>
      <c r="R141" s="1" t="inlineStr">
        <is>
          <t>Y</t>
        </is>
      </c>
      <c r="S141" s="1" t="inlineStr">
        <is>
          <t>Y</t>
        </is>
      </c>
      <c r="T141" s="1" t="inlineStr">
        <is>
          <t>Y</t>
        </is>
      </c>
    </row>
    <row r="142">
      <c r="A142" s="4">
        <f>A141+1</f>
        <v/>
      </c>
      <c r="B142" s="8" t="inlineStr">
        <is>
          <t>成品</t>
        </is>
      </c>
      <c r="C142" s="9" t="inlineStr">
        <is>
          <t>成品D</t>
        </is>
      </c>
      <c r="D142" s="9" t="n"/>
      <c r="E142" s="8" t="inlineStr">
        <is>
          <t>ppb</t>
        </is>
      </c>
      <c r="F142" s="9" t="n"/>
      <c r="H142" s="1" t="n">
        <v>1</v>
      </c>
      <c r="I142" s="264" t="n"/>
      <c r="J142" s="2" t="inlineStr">
        <is>
          <t>LIMS</t>
        </is>
      </c>
      <c r="K142" s="1" t="inlineStr">
        <is>
          <t>Y</t>
        </is>
      </c>
      <c r="L142" s="1" t="inlineStr">
        <is>
          <t>Y</t>
        </is>
      </c>
      <c r="M142" s="1" t="inlineStr">
        <is>
          <t>Y</t>
        </is>
      </c>
      <c r="N142" s="1" t="inlineStr">
        <is>
          <t>Y</t>
        </is>
      </c>
      <c r="O142" s="1" t="inlineStr">
        <is>
          <t>Y</t>
        </is>
      </c>
      <c r="P142" s="1" t="inlineStr">
        <is>
          <t>Y</t>
        </is>
      </c>
      <c r="Q142" s="1" t="inlineStr">
        <is>
          <t>Y</t>
        </is>
      </c>
      <c r="R142" s="1" t="inlineStr">
        <is>
          <t>Y</t>
        </is>
      </c>
      <c r="S142" s="1" t="inlineStr">
        <is>
          <t>Y</t>
        </is>
      </c>
      <c r="T142" s="1" t="inlineStr">
        <is>
          <t>Y</t>
        </is>
      </c>
    </row>
    <row r="143">
      <c r="A143" s="4">
        <f>A142+1</f>
        <v/>
      </c>
      <c r="B143" s="8" t="inlineStr">
        <is>
          <t>成品</t>
        </is>
      </c>
      <c r="C143" s="9" t="inlineStr">
        <is>
          <t>成品P</t>
        </is>
      </c>
      <c r="D143" s="9" t="n"/>
      <c r="E143" s="8" t="inlineStr">
        <is>
          <t>ppb</t>
        </is>
      </c>
      <c r="F143" s="9" t="n"/>
      <c r="H143" s="1" t="n">
        <v>1</v>
      </c>
      <c r="I143" s="264" t="n"/>
      <c r="J143" s="2" t="inlineStr">
        <is>
          <t>LIMS</t>
        </is>
      </c>
      <c r="K143" s="1" t="inlineStr">
        <is>
          <t>Y</t>
        </is>
      </c>
      <c r="L143" s="1" t="inlineStr">
        <is>
          <t>Y</t>
        </is>
      </c>
      <c r="M143" s="1" t="inlineStr">
        <is>
          <t>Y</t>
        </is>
      </c>
      <c r="N143" s="1" t="inlineStr">
        <is>
          <t>Y</t>
        </is>
      </c>
      <c r="O143" s="1" t="inlineStr">
        <is>
          <t>Y</t>
        </is>
      </c>
      <c r="P143" s="1" t="inlineStr">
        <is>
          <t>Y</t>
        </is>
      </c>
      <c r="Q143" s="1" t="inlineStr">
        <is>
          <t>Y</t>
        </is>
      </c>
      <c r="R143" s="1" t="inlineStr">
        <is>
          <t>Y</t>
        </is>
      </c>
      <c r="S143" s="1" t="inlineStr">
        <is>
          <t>Y</t>
        </is>
      </c>
      <c r="T143" s="1" t="inlineStr">
        <is>
          <t>Y</t>
        </is>
      </c>
    </row>
    <row r="144">
      <c r="A144" s="4">
        <f>A143+1</f>
        <v/>
      </c>
      <c r="B144" s="8" t="inlineStr">
        <is>
          <t>成品</t>
        </is>
      </c>
      <c r="C144" s="9" t="inlineStr">
        <is>
          <t>成品AA</t>
        </is>
      </c>
      <c r="D144" s="9" t="n"/>
      <c r="E144" s="8" t="inlineStr">
        <is>
          <t>ppm</t>
        </is>
      </c>
      <c r="F144" s="9" t="n"/>
      <c r="H144" s="1" t="n">
        <v>1</v>
      </c>
      <c r="I144" s="264" t="n"/>
      <c r="J144" s="2" t="inlineStr">
        <is>
          <t>LIMS</t>
        </is>
      </c>
      <c r="K144" s="1" t="inlineStr">
        <is>
          <t>Y</t>
        </is>
      </c>
      <c r="L144" s="1" t="inlineStr">
        <is>
          <t>Y</t>
        </is>
      </c>
      <c r="M144" s="1" t="inlineStr">
        <is>
          <t>Y</t>
        </is>
      </c>
      <c r="N144" s="1" t="inlineStr">
        <is>
          <t>Y</t>
        </is>
      </c>
      <c r="O144" s="1" t="inlineStr">
        <is>
          <t>Y</t>
        </is>
      </c>
      <c r="P144" s="1" t="inlineStr">
        <is>
          <t>Y</t>
        </is>
      </c>
      <c r="Q144" s="1" t="inlineStr">
        <is>
          <t>Y</t>
        </is>
      </c>
      <c r="R144" s="1" t="inlineStr">
        <is>
          <t>Y</t>
        </is>
      </c>
      <c r="S144" s="1" t="inlineStr">
        <is>
          <t>Y</t>
        </is>
      </c>
      <c r="T144" s="1" t="inlineStr">
        <is>
          <t>Y</t>
        </is>
      </c>
    </row>
    <row r="145">
      <c r="A145" s="4">
        <f>A144+1</f>
        <v/>
      </c>
      <c r="B145" s="8" t="inlineStr">
        <is>
          <t>成品</t>
        </is>
      </c>
      <c r="C145" s="9" t="inlineStr">
        <is>
          <t>成品泡沫</t>
        </is>
      </c>
      <c r="D145" s="9" t="n"/>
      <c r="E145" s="8" t="inlineStr">
        <is>
          <t>second</t>
        </is>
      </c>
      <c r="F145" s="9" t="n"/>
      <c r="G145" s="3" t="inlineStr">
        <is>
          <t>KPI-PQI</t>
        </is>
      </c>
      <c r="H145" s="1" t="n">
        <v>1</v>
      </c>
      <c r="I145" s="264" t="n"/>
      <c r="J145" s="2" t="inlineStr">
        <is>
          <t>LIMS</t>
        </is>
      </c>
      <c r="K145" s="1" t="inlineStr">
        <is>
          <t>Y</t>
        </is>
      </c>
      <c r="L145" s="1" t="inlineStr">
        <is>
          <t>Y</t>
        </is>
      </c>
      <c r="M145" s="1" t="inlineStr">
        <is>
          <t>Y</t>
        </is>
      </c>
      <c r="N145" s="1" t="inlineStr">
        <is>
          <t>Y</t>
        </is>
      </c>
      <c r="O145" s="1" t="inlineStr">
        <is>
          <t>Y</t>
        </is>
      </c>
      <c r="P145" s="1" t="inlineStr">
        <is>
          <t>Y</t>
        </is>
      </c>
      <c r="Q145" s="1" t="inlineStr">
        <is>
          <t>Y</t>
        </is>
      </c>
      <c r="R145" s="1" t="inlineStr">
        <is>
          <t>Y</t>
        </is>
      </c>
      <c r="S145" s="1" t="inlineStr">
        <is>
          <t>Y</t>
        </is>
      </c>
      <c r="T145" s="1" t="inlineStr">
        <is>
          <t>Y</t>
        </is>
      </c>
    </row>
    <row r="146">
      <c r="A146" s="4">
        <f>A145+1</f>
        <v/>
      </c>
      <c r="B146" s="8" t="inlineStr">
        <is>
          <t>PQI</t>
        </is>
      </c>
      <c r="C146" s="9" t="inlineStr">
        <is>
          <t>CO2</t>
        </is>
      </c>
      <c r="D146" s="9" t="n"/>
      <c r="E146" s="8" t="inlineStr">
        <is>
          <t>g/L</t>
        </is>
      </c>
      <c r="F146" s="9" t="n"/>
      <c r="G146" s="3" t="inlineStr">
        <is>
          <t>KPI-PQI</t>
        </is>
      </c>
      <c r="H146" s="1" t="n">
        <v>1</v>
      </c>
      <c r="I146" s="264" t="n"/>
      <c r="J146" s="2" t="inlineStr">
        <is>
          <t>LIMS</t>
        </is>
      </c>
      <c r="K146" s="1" t="inlineStr">
        <is>
          <t>Y</t>
        </is>
      </c>
      <c r="L146" s="1" t="inlineStr">
        <is>
          <t>Y</t>
        </is>
      </c>
      <c r="M146" s="1" t="inlineStr">
        <is>
          <t>Y</t>
        </is>
      </c>
      <c r="N146" s="1" t="inlineStr">
        <is>
          <t>Y</t>
        </is>
      </c>
      <c r="O146" s="1" t="inlineStr">
        <is>
          <t>Y</t>
        </is>
      </c>
      <c r="P146" s="1" t="inlineStr">
        <is>
          <t>Y</t>
        </is>
      </c>
      <c r="Q146" s="1" t="inlineStr">
        <is>
          <t>Y</t>
        </is>
      </c>
      <c r="R146" s="1" t="inlineStr">
        <is>
          <t>Y</t>
        </is>
      </c>
      <c r="S146" s="1" t="inlineStr">
        <is>
          <t>Y</t>
        </is>
      </c>
      <c r="T146" s="1" t="inlineStr">
        <is>
          <t>Y</t>
        </is>
      </c>
    </row>
    <row r="147">
      <c r="A147" s="4">
        <f>A146+1</f>
        <v/>
      </c>
      <c r="B147" s="8" t="inlineStr">
        <is>
          <t>PQI</t>
        </is>
      </c>
      <c r="C147" s="9" t="inlineStr">
        <is>
          <t>TPO</t>
        </is>
      </c>
      <c r="D147" s="9" t="n"/>
      <c r="E147" s="8" t="inlineStr">
        <is>
          <t>ppb</t>
        </is>
      </c>
      <c r="F147" s="9" t="n"/>
      <c r="G147" s="3" t="inlineStr">
        <is>
          <t>KPI-PQI</t>
        </is>
      </c>
      <c r="H147" s="1" t="n">
        <v>1</v>
      </c>
      <c r="I147" s="263" t="inlineStr">
        <is>
          <t>一页</t>
        </is>
      </c>
      <c r="J147" s="2" t="inlineStr">
        <is>
          <t>LIMS</t>
        </is>
      </c>
      <c r="K147" s="1" t="inlineStr">
        <is>
          <t>Y</t>
        </is>
      </c>
      <c r="L147" s="1" t="inlineStr">
        <is>
          <t>Y</t>
        </is>
      </c>
      <c r="M147" s="1" t="inlineStr">
        <is>
          <t>Y</t>
        </is>
      </c>
      <c r="N147" s="1" t="inlineStr">
        <is>
          <t>Y</t>
        </is>
      </c>
      <c r="O147" s="1" t="inlineStr">
        <is>
          <t>Y</t>
        </is>
      </c>
      <c r="P147" s="1" t="inlineStr">
        <is>
          <t>Y</t>
        </is>
      </c>
      <c r="Q147" s="1" t="inlineStr">
        <is>
          <t>Y</t>
        </is>
      </c>
      <c r="R147" s="1" t="inlineStr">
        <is>
          <t>Y</t>
        </is>
      </c>
      <c r="S147" s="1" t="inlineStr">
        <is>
          <t>Y</t>
        </is>
      </c>
      <c r="T147" s="1" t="inlineStr">
        <is>
          <t>Y</t>
        </is>
      </c>
    </row>
    <row r="148">
      <c r="A148" s="4">
        <f>A147+1</f>
        <v/>
      </c>
      <c r="B148" s="8" t="inlineStr">
        <is>
          <t>PQI</t>
        </is>
      </c>
      <c r="C148" s="9" t="inlineStr">
        <is>
          <t>DO</t>
        </is>
      </c>
      <c r="D148" s="9" t="n"/>
      <c r="E148" s="8" t="inlineStr">
        <is>
          <t>ppb</t>
        </is>
      </c>
      <c r="F148" s="9" t="inlineStr">
        <is>
          <t>桶</t>
        </is>
      </c>
      <c r="G148" s="3" t="inlineStr">
        <is>
          <t>KPI-PQI</t>
        </is>
      </c>
      <c r="H148" s="1" t="n">
        <v>1</v>
      </c>
      <c r="I148" s="264" t="n"/>
      <c r="J148" s="2" t="inlineStr">
        <is>
          <t>LIMS</t>
        </is>
      </c>
      <c r="K148" s="1" t="inlineStr">
        <is>
          <t>Y</t>
        </is>
      </c>
      <c r="L148" s="1" t="inlineStr">
        <is>
          <t>Y</t>
        </is>
      </c>
      <c r="M148" s="1" t="inlineStr">
        <is>
          <t>Y</t>
        </is>
      </c>
      <c r="N148" s="1" t="inlineStr">
        <is>
          <t>Y</t>
        </is>
      </c>
      <c r="O148" s="1" t="inlineStr">
        <is>
          <t>Y</t>
        </is>
      </c>
      <c r="P148" s="1" t="inlineStr">
        <is>
          <t>Y</t>
        </is>
      </c>
      <c r="Q148" s="1" t="inlineStr">
        <is>
          <t>Y</t>
        </is>
      </c>
      <c r="R148" s="1" t="inlineStr">
        <is>
          <t>Y</t>
        </is>
      </c>
      <c r="S148" s="1" t="inlineStr">
        <is>
          <t>Y</t>
        </is>
      </c>
      <c r="T148" s="1" t="inlineStr">
        <is>
          <t>Y</t>
        </is>
      </c>
    </row>
    <row r="149">
      <c r="A149" s="4">
        <f>A148+1</f>
        <v/>
      </c>
      <c r="B149" s="8" t="inlineStr">
        <is>
          <t>PQI</t>
        </is>
      </c>
      <c r="C149" s="9" t="inlineStr">
        <is>
          <t>PU</t>
        </is>
      </c>
      <c r="D149" s="9" t="n"/>
      <c r="E149" s="8" t="n"/>
      <c r="F149" s="9" t="n"/>
      <c r="G149" s="3" t="inlineStr">
        <is>
          <t>KPI-PQI</t>
        </is>
      </c>
      <c r="H149" s="1" t="n">
        <v>1</v>
      </c>
      <c r="J149" s="2" t="inlineStr">
        <is>
          <t>LIMS</t>
        </is>
      </c>
      <c r="K149" s="1" t="inlineStr">
        <is>
          <t>Y</t>
        </is>
      </c>
      <c r="L149" s="1" t="inlineStr">
        <is>
          <t>Y</t>
        </is>
      </c>
      <c r="M149" s="1" t="inlineStr">
        <is>
          <t>Y</t>
        </is>
      </c>
      <c r="N149" s="1" t="inlineStr">
        <is>
          <t>Y</t>
        </is>
      </c>
      <c r="O149" s="1" t="inlineStr">
        <is>
          <t>Y</t>
        </is>
      </c>
      <c r="P149" s="1" t="inlineStr">
        <is>
          <t>Y</t>
        </is>
      </c>
      <c r="Q149" s="1" t="inlineStr">
        <is>
          <t>Y</t>
        </is>
      </c>
      <c r="R149" s="1" t="inlineStr">
        <is>
          <t>Y</t>
        </is>
      </c>
      <c r="S149" s="1" t="inlineStr">
        <is>
          <t>Y</t>
        </is>
      </c>
      <c r="T149" s="1" t="inlineStr">
        <is>
          <t>Y</t>
        </is>
      </c>
    </row>
    <row r="150">
      <c r="A150" s="4">
        <f>A149+1</f>
        <v/>
      </c>
      <c r="B150" s="8" t="inlineStr">
        <is>
          <t>PQI</t>
        </is>
      </c>
      <c r="C150" s="9" t="inlineStr">
        <is>
          <t>灌装液位</t>
        </is>
      </c>
      <c r="D150" s="9" t="n"/>
      <c r="E150" s="8" t="inlineStr">
        <is>
          <t>ml</t>
        </is>
      </c>
      <c r="F150" s="9" t="n"/>
      <c r="G150" s="3" t="inlineStr">
        <is>
          <t>KPI-PQI</t>
        </is>
      </c>
      <c r="H150" s="1" t="n">
        <v>1</v>
      </c>
      <c r="I150" s="2" t="inlineStr">
        <is>
          <t>一页</t>
        </is>
      </c>
      <c r="J150" s="2" t="inlineStr">
        <is>
          <t>LIMS</t>
        </is>
      </c>
      <c r="K150" s="1" t="inlineStr">
        <is>
          <t>Y</t>
        </is>
      </c>
      <c r="L150" s="1" t="inlineStr">
        <is>
          <t>Y</t>
        </is>
      </c>
      <c r="M150" s="1" t="inlineStr">
        <is>
          <t>Y</t>
        </is>
      </c>
      <c r="N150" s="1" t="inlineStr">
        <is>
          <t>Y</t>
        </is>
      </c>
      <c r="O150" s="1" t="inlineStr">
        <is>
          <t>Y</t>
        </is>
      </c>
      <c r="P150" s="1" t="inlineStr">
        <is>
          <t>Y</t>
        </is>
      </c>
      <c r="Q150" s="1" t="inlineStr">
        <is>
          <t>Y</t>
        </is>
      </c>
      <c r="R150" s="1" t="inlineStr">
        <is>
          <t>Y</t>
        </is>
      </c>
      <c r="S150" s="1" t="inlineStr">
        <is>
          <t>Y</t>
        </is>
      </c>
      <c r="T150" s="1" t="inlineStr">
        <is>
          <t>Y</t>
        </is>
      </c>
    </row>
    <row r="151">
      <c r="A151" s="4">
        <f>A150+1</f>
        <v/>
      </c>
      <c r="B151" s="8" t="inlineStr">
        <is>
          <t>PQI</t>
        </is>
      </c>
      <c r="C151" s="9" t="inlineStr">
        <is>
          <t>扭矩</t>
        </is>
      </c>
      <c r="D151" s="9" t="n"/>
      <c r="E151" s="8" t="n"/>
      <c r="F151" s="9" t="n"/>
      <c r="G151" s="3" t="inlineStr">
        <is>
          <t>KPI-PQI</t>
        </is>
      </c>
      <c r="H151" s="1" t="n">
        <v>1</v>
      </c>
      <c r="J151" s="2" t="inlineStr">
        <is>
          <t>LIMS</t>
        </is>
      </c>
      <c r="K151" s="1" t="inlineStr">
        <is>
          <t>Y</t>
        </is>
      </c>
      <c r="L151" s="1" t="inlineStr">
        <is>
          <t>Y</t>
        </is>
      </c>
      <c r="M151" s="1" t="inlineStr">
        <is>
          <t>Y</t>
        </is>
      </c>
      <c r="N151" s="1" t="inlineStr">
        <is>
          <t>Y</t>
        </is>
      </c>
      <c r="O151" s="1" t="inlineStr">
        <is>
          <t>Y</t>
        </is>
      </c>
      <c r="P151" s="1" t="inlineStr">
        <is>
          <t>Y</t>
        </is>
      </c>
      <c r="Q151" s="1" t="inlineStr">
        <is>
          <t>Y</t>
        </is>
      </c>
      <c r="R151" s="1" t="inlineStr">
        <is>
          <t>Y</t>
        </is>
      </c>
      <c r="S151" s="1" t="inlineStr">
        <is>
          <t>Y</t>
        </is>
      </c>
      <c r="T151" s="1" t="inlineStr">
        <is>
          <t>Y</t>
        </is>
      </c>
    </row>
    <row r="152">
      <c r="A152" s="4">
        <f>A151+1</f>
        <v/>
      </c>
      <c r="B152" s="8" t="inlineStr">
        <is>
          <t>PQI</t>
        </is>
      </c>
      <c r="C152" s="9" t="inlineStr">
        <is>
          <t>洗瓶机喷淋压力</t>
        </is>
      </c>
      <c r="D152" s="9" t="n"/>
      <c r="E152" s="8" t="inlineStr">
        <is>
          <t>Bar</t>
        </is>
      </c>
      <c r="F152" s="9" t="n"/>
      <c r="H152" s="1" t="n">
        <v>1</v>
      </c>
      <c r="J152" s="2" t="inlineStr">
        <is>
          <t>LIMS</t>
        </is>
      </c>
      <c r="K152" s="1" t="inlineStr">
        <is>
          <t>Y</t>
        </is>
      </c>
      <c r="L152" s="1" t="inlineStr">
        <is>
          <t>Y</t>
        </is>
      </c>
      <c r="M152" s="1" t="inlineStr">
        <is>
          <t>Y</t>
        </is>
      </c>
      <c r="N152" s="1" t="inlineStr">
        <is>
          <t>Y</t>
        </is>
      </c>
      <c r="O152" s="1" t="inlineStr">
        <is>
          <t>Y</t>
        </is>
      </c>
      <c r="P152" s="1" t="inlineStr">
        <is>
          <t>Y</t>
        </is>
      </c>
      <c r="Q152" s="1" t="inlineStr">
        <is>
          <t>Y</t>
        </is>
      </c>
      <c r="R152" s="1" t="inlineStr">
        <is>
          <t>Y</t>
        </is>
      </c>
      <c r="S152" s="1" t="inlineStr">
        <is>
          <t>Y</t>
        </is>
      </c>
      <c r="T152" s="1" t="inlineStr">
        <is>
          <t>Y</t>
        </is>
      </c>
    </row>
    <row r="153">
      <c r="A153" s="4">
        <f>A152+1</f>
        <v/>
      </c>
      <c r="B153" s="8" t="inlineStr">
        <is>
          <t>PQI</t>
        </is>
      </c>
      <c r="C153" s="9" t="inlineStr">
        <is>
          <t>洗瓶机碱浓</t>
        </is>
      </c>
      <c r="D153" s="9" t="n"/>
      <c r="E153" s="8" t="inlineStr">
        <is>
          <t>%</t>
        </is>
      </c>
      <c r="F153" s="9" t="n"/>
      <c r="H153" s="1" t="n">
        <v>1</v>
      </c>
      <c r="J153" s="2" t="inlineStr">
        <is>
          <t>LIMS</t>
        </is>
      </c>
      <c r="K153" s="1" t="inlineStr">
        <is>
          <t>Y</t>
        </is>
      </c>
      <c r="L153" s="1" t="inlineStr">
        <is>
          <t>Y</t>
        </is>
      </c>
      <c r="M153" s="1" t="inlineStr">
        <is>
          <t>Y</t>
        </is>
      </c>
      <c r="N153" s="1" t="inlineStr">
        <is>
          <t>Y</t>
        </is>
      </c>
      <c r="O153" s="1" t="inlineStr">
        <is>
          <t>Y</t>
        </is>
      </c>
      <c r="P153" s="1" t="inlineStr">
        <is>
          <t>Y</t>
        </is>
      </c>
      <c r="Q153" s="1" t="inlineStr">
        <is>
          <t>Y</t>
        </is>
      </c>
      <c r="R153" s="1" t="inlineStr">
        <is>
          <t>Y</t>
        </is>
      </c>
      <c r="S153" s="1" t="inlineStr">
        <is>
          <t>Y</t>
        </is>
      </c>
      <c r="T153" s="1" t="inlineStr">
        <is>
          <t>Y</t>
        </is>
      </c>
    </row>
    <row r="155">
      <c r="A155" s="2" t="inlineStr">
        <is>
          <t>两个参数一起的首先每个参数也要各自展示，再展示两个参数一起的</t>
        </is>
      </c>
    </row>
    <row r="156">
      <c r="A156" s="2" t="inlineStr">
        <is>
          <t>多条糖化线的，每条线先单独展示，再展示同类型糖化线的，如过滤一起，压滤机一起</t>
        </is>
      </c>
    </row>
    <row r="157">
      <c r="A157" s="2" t="inlineStr">
        <is>
          <t>多个参数和多条线一起展示时，只需要展示点图（含标准），不需要符合率，均值USL/LSL等</t>
        </is>
      </c>
    </row>
    <row r="161">
      <c r="A161" s="16" t="inlineStr">
        <is>
          <t>Wheat beer新增</t>
        </is>
      </c>
    </row>
    <row r="162" ht="37.5" customHeight="1" s="241">
      <c r="A162" s="17" t="inlineStr">
        <is>
          <t>序号</t>
        </is>
      </c>
      <c r="B162" s="17" t="inlineStr">
        <is>
          <t>工序</t>
        </is>
      </c>
      <c r="C162" s="17" t="inlineStr">
        <is>
          <t>点位</t>
        </is>
      </c>
      <c r="D162" s="17" t="n"/>
      <c r="E162" s="17" t="inlineStr">
        <is>
          <t>单位</t>
        </is>
      </c>
      <c r="F162" s="17" t="inlineStr">
        <is>
          <t>Remark</t>
        </is>
      </c>
      <c r="I162" s="17" t="n"/>
      <c r="J162" s="17" t="n"/>
      <c r="K162" s="17" t="inlineStr">
        <is>
          <t>Bud/Michelob</t>
        </is>
      </c>
      <c r="L162" s="17" t="inlineStr">
        <is>
          <t>Corona</t>
        </is>
      </c>
      <c r="M162" s="17" t="inlineStr">
        <is>
          <t>Harbin</t>
        </is>
      </c>
      <c r="N162" s="17" t="inlineStr">
        <is>
          <t>CASS</t>
        </is>
      </c>
      <c r="O162" s="17" t="inlineStr">
        <is>
          <t>Local</t>
        </is>
      </c>
      <c r="P162" s="17" t="inlineStr">
        <is>
          <t>Beck's/Stella</t>
        </is>
      </c>
      <c r="Q162" s="17" t="inlineStr">
        <is>
          <t>Hoegaarden</t>
        </is>
      </c>
      <c r="R162" s="17" t="inlineStr">
        <is>
          <t>FRZ</t>
        </is>
      </c>
      <c r="S162" s="17" t="inlineStr">
        <is>
          <t>压滤机</t>
        </is>
      </c>
      <c r="T162" s="17" t="inlineStr">
        <is>
          <t>满锅后煮沸</t>
        </is>
      </c>
    </row>
    <row r="163">
      <c r="A163" s="18">
        <f>A153+1</f>
        <v/>
      </c>
      <c r="B163" s="18" t="inlineStr">
        <is>
          <t>发酵</t>
        </is>
      </c>
      <c r="C163" s="18" t="inlineStr">
        <is>
          <t>离心后酵母数</t>
        </is>
      </c>
      <c r="D163" s="18" t="n"/>
      <c r="E163" s="18" t="inlineStr">
        <is>
          <t>MM/ml</t>
        </is>
      </c>
      <c r="F163" s="18" t="n"/>
      <c r="I163" s="17" t="n"/>
      <c r="J163" s="17" t="n"/>
      <c r="K163" s="17" t="n"/>
      <c r="L163" s="17" t="n"/>
      <c r="M163" s="17" t="n"/>
      <c r="N163" s="17" t="n"/>
      <c r="O163" s="17" t="n"/>
      <c r="P163" s="17" t="n"/>
      <c r="Q163" s="17" t="inlineStr">
        <is>
          <t>Y</t>
        </is>
      </c>
      <c r="R163" s="19" t="n"/>
      <c r="S163" s="17" t="inlineStr">
        <is>
          <t>Y</t>
        </is>
      </c>
      <c r="T163" s="17" t="inlineStr">
        <is>
          <t>Y</t>
        </is>
      </c>
    </row>
    <row r="164">
      <c r="A164" s="18">
        <f>A163+1</f>
        <v/>
      </c>
      <c r="B164" s="18" t="inlineStr">
        <is>
          <t>清酒</t>
        </is>
      </c>
      <c r="C164" s="18" t="inlineStr">
        <is>
          <t>色度-L</t>
        </is>
      </c>
      <c r="D164" s="18" t="n"/>
      <c r="E164" s="18" t="n"/>
      <c r="F164" s="18" t="n"/>
      <c r="I164" s="17" t="n"/>
      <c r="J164" s="17" t="n"/>
      <c r="K164" s="17" t="n"/>
      <c r="L164" s="17" t="n"/>
      <c r="M164" s="17" t="n"/>
      <c r="N164" s="17" t="n"/>
      <c r="O164" s="17" t="n"/>
      <c r="P164" s="17" t="n"/>
      <c r="Q164" s="17" t="inlineStr">
        <is>
          <t>Y</t>
        </is>
      </c>
      <c r="R164" s="19" t="n"/>
      <c r="S164" s="17" t="inlineStr">
        <is>
          <t>Y</t>
        </is>
      </c>
      <c r="T164" s="17" t="inlineStr">
        <is>
          <t>Y</t>
        </is>
      </c>
    </row>
    <row r="165">
      <c r="A165" s="18">
        <f>A164+1</f>
        <v/>
      </c>
      <c r="B165" s="18" t="inlineStr">
        <is>
          <t>清酒</t>
        </is>
      </c>
      <c r="C165" s="18" t="inlineStr">
        <is>
          <t>色度-A</t>
        </is>
      </c>
      <c r="D165" s="18" t="n"/>
      <c r="E165" s="18" t="inlineStr">
        <is>
          <t>ppm</t>
        </is>
      </c>
      <c r="F165" s="18" t="n"/>
      <c r="I165" s="17" t="n"/>
      <c r="J165" s="17" t="n"/>
      <c r="K165" s="17" t="n"/>
      <c r="L165" s="17" t="n"/>
      <c r="M165" s="17" t="n"/>
      <c r="N165" s="17" t="n"/>
      <c r="O165" s="17" t="n"/>
      <c r="P165" s="17" t="n"/>
      <c r="Q165" s="17" t="inlineStr">
        <is>
          <t>Y</t>
        </is>
      </c>
      <c r="R165" s="19" t="n"/>
      <c r="S165" s="17" t="inlineStr">
        <is>
          <t>Y</t>
        </is>
      </c>
      <c r="T165" s="17" t="inlineStr">
        <is>
          <t>Y</t>
        </is>
      </c>
    </row>
    <row r="166">
      <c r="A166" s="18">
        <f>A165+1</f>
        <v/>
      </c>
      <c r="B166" s="18" t="inlineStr">
        <is>
          <t>清酒</t>
        </is>
      </c>
      <c r="C166" s="18" t="inlineStr">
        <is>
          <t>色度-B</t>
        </is>
      </c>
      <c r="D166" s="18" t="n"/>
      <c r="E166" s="18" t="inlineStr">
        <is>
          <t>°P</t>
        </is>
      </c>
      <c r="F166" s="18" t="n"/>
      <c r="I166" s="17" t="n"/>
      <c r="J166" s="17" t="n"/>
      <c r="K166" s="17" t="n"/>
      <c r="L166" s="17" t="n"/>
      <c r="M166" s="17" t="n"/>
      <c r="N166" s="17" t="n"/>
      <c r="O166" s="17" t="n"/>
      <c r="P166" s="17" t="n"/>
      <c r="Q166" s="17" t="inlineStr">
        <is>
          <t>Y</t>
        </is>
      </c>
      <c r="R166" s="19" t="n"/>
      <c r="S166" s="17" t="inlineStr">
        <is>
          <t>Y</t>
        </is>
      </c>
      <c r="T166" s="17" t="inlineStr">
        <is>
          <t>Y</t>
        </is>
      </c>
    </row>
    <row r="167">
      <c r="A167" s="18">
        <f>A166+1</f>
        <v/>
      </c>
      <c r="B167" s="18" t="inlineStr">
        <is>
          <t>成品</t>
        </is>
      </c>
      <c r="C167" s="18" t="inlineStr">
        <is>
          <t>色度-L</t>
        </is>
      </c>
      <c r="D167" s="18" t="n"/>
      <c r="E167" s="18" t="n"/>
      <c r="F167" s="18" t="n"/>
      <c r="I167" s="17" t="n"/>
      <c r="J167" s="17" t="n"/>
      <c r="K167" s="17" t="n"/>
      <c r="L167" s="17" t="n"/>
      <c r="M167" s="17" t="n"/>
      <c r="N167" s="17" t="n"/>
      <c r="O167" s="17" t="n"/>
      <c r="P167" s="17" t="n"/>
      <c r="Q167" s="17" t="inlineStr">
        <is>
          <t>Y</t>
        </is>
      </c>
      <c r="R167" s="19" t="n"/>
      <c r="S167" s="17" t="inlineStr">
        <is>
          <t>Y</t>
        </is>
      </c>
      <c r="T167" s="17" t="inlineStr">
        <is>
          <t>Y</t>
        </is>
      </c>
    </row>
    <row r="168">
      <c r="A168" s="18">
        <f>A167+1</f>
        <v/>
      </c>
      <c r="B168" s="18" t="inlineStr">
        <is>
          <t>成品</t>
        </is>
      </c>
      <c r="C168" s="18" t="inlineStr">
        <is>
          <t>色度-A</t>
        </is>
      </c>
      <c r="D168" s="18" t="n"/>
      <c r="E168" s="18" t="inlineStr">
        <is>
          <t>ppm</t>
        </is>
      </c>
      <c r="F168" s="18" t="n"/>
      <c r="I168" s="17" t="n"/>
      <c r="J168" s="17" t="n"/>
      <c r="K168" s="17" t="n"/>
      <c r="L168" s="17" t="n"/>
      <c r="M168" s="17" t="n"/>
      <c r="N168" s="17" t="n"/>
      <c r="O168" s="17" t="n"/>
      <c r="P168" s="17" t="n"/>
      <c r="Q168" s="17" t="inlineStr">
        <is>
          <t>Y</t>
        </is>
      </c>
      <c r="R168" s="19" t="n"/>
      <c r="S168" s="17" t="inlineStr">
        <is>
          <t>Y</t>
        </is>
      </c>
      <c r="T168" s="17" t="inlineStr">
        <is>
          <t>Y</t>
        </is>
      </c>
    </row>
    <row r="169">
      <c r="A169" s="18">
        <f>A168+1</f>
        <v/>
      </c>
      <c r="B169" s="18" t="inlineStr">
        <is>
          <t>成品</t>
        </is>
      </c>
      <c r="C169" s="18" t="inlineStr">
        <is>
          <t>色度-B</t>
        </is>
      </c>
      <c r="D169" s="18" t="n"/>
      <c r="E169" s="18" t="inlineStr">
        <is>
          <t>°P</t>
        </is>
      </c>
      <c r="F169" s="18" t="n"/>
      <c r="I169" s="17" t="n"/>
      <c r="J169" s="17" t="n"/>
      <c r="K169" s="17" t="n"/>
      <c r="L169" s="17" t="n"/>
      <c r="M169" s="17" t="n"/>
      <c r="N169" s="17" t="n"/>
      <c r="O169" s="17" t="n"/>
      <c r="P169" s="17" t="n"/>
      <c r="Q169" s="17" t="inlineStr">
        <is>
          <t>Y</t>
        </is>
      </c>
      <c r="R169" s="19" t="n"/>
      <c r="S169" s="17" t="inlineStr">
        <is>
          <t>Y</t>
        </is>
      </c>
      <c r="T169" s="17" t="inlineStr">
        <is>
          <t>Y</t>
        </is>
      </c>
    </row>
    <row r="170">
      <c r="A170" s="18">
        <f>A169+1</f>
        <v/>
      </c>
      <c r="B170" s="18" t="inlineStr">
        <is>
          <t>糖化</t>
        </is>
      </c>
      <c r="C170" s="18" t="inlineStr">
        <is>
          <t>陈皮添加量</t>
        </is>
      </c>
      <c r="D170" s="18" t="n"/>
      <c r="E170" s="18" t="inlineStr">
        <is>
          <t>kg</t>
        </is>
      </c>
      <c r="F170" s="18" t="n"/>
      <c r="I170" s="17" t="n"/>
      <c r="J170" s="17" t="n"/>
      <c r="K170" s="17" t="n"/>
      <c r="L170" s="17" t="n"/>
      <c r="M170" s="17" t="n"/>
      <c r="N170" s="17" t="n"/>
      <c r="O170" s="17" t="n"/>
      <c r="P170" s="17" t="n"/>
      <c r="Q170" s="17" t="inlineStr">
        <is>
          <t>Y</t>
        </is>
      </c>
      <c r="R170" s="19" t="n"/>
      <c r="S170" s="17" t="inlineStr">
        <is>
          <t>Y</t>
        </is>
      </c>
      <c r="T170" s="17" t="inlineStr">
        <is>
          <t>Y</t>
        </is>
      </c>
    </row>
    <row r="171">
      <c r="A171" s="18">
        <f>A170+1</f>
        <v/>
      </c>
      <c r="B171" s="18" t="inlineStr">
        <is>
          <t>糖化</t>
        </is>
      </c>
      <c r="C171" s="18" t="inlineStr">
        <is>
          <t>香菜籽加量</t>
        </is>
      </c>
      <c r="D171" s="18" t="n"/>
      <c r="E171" s="18" t="inlineStr">
        <is>
          <t>kg</t>
        </is>
      </c>
      <c r="F171" s="18" t="n"/>
      <c r="I171" s="17" t="n"/>
      <c r="J171" s="17" t="n"/>
      <c r="K171" s="17" t="n"/>
      <c r="L171" s="17" t="n"/>
      <c r="M171" s="17" t="n"/>
      <c r="N171" s="17" t="n"/>
      <c r="O171" s="17" t="n"/>
      <c r="P171" s="17" t="n"/>
      <c r="Q171" s="17" t="inlineStr">
        <is>
          <t>Y</t>
        </is>
      </c>
      <c r="R171" s="19" t="n"/>
      <c r="S171" s="17" t="inlineStr">
        <is>
          <t>Y</t>
        </is>
      </c>
      <c r="T171" s="17" t="inlineStr">
        <is>
          <t>Y</t>
        </is>
      </c>
    </row>
    <row r="172">
      <c r="A172" s="18">
        <f>A171+1</f>
        <v/>
      </c>
      <c r="B172" s="18" t="inlineStr">
        <is>
          <t>糖化</t>
        </is>
      </c>
      <c r="C172" s="18" t="inlineStr">
        <is>
          <t>果胶加量</t>
        </is>
      </c>
      <c r="D172" s="18" t="n"/>
      <c r="E172" s="18" t="inlineStr">
        <is>
          <t>kg</t>
        </is>
      </c>
      <c r="F172" s="18" t="n"/>
      <c r="I172" s="17" t="n"/>
      <c r="J172" s="17" t="n"/>
      <c r="K172" s="17" t="n"/>
      <c r="L172" s="17" t="n"/>
      <c r="M172" s="17" t="n"/>
      <c r="N172" s="17" t="n"/>
      <c r="O172" s="17" t="n"/>
      <c r="P172" s="17" t="n"/>
      <c r="Q172" s="17" t="inlineStr">
        <is>
          <t>Y</t>
        </is>
      </c>
      <c r="R172" s="19" t="n"/>
      <c r="S172" s="17" t="inlineStr">
        <is>
          <t>Y</t>
        </is>
      </c>
      <c r="T172" s="17" t="inlineStr">
        <is>
          <t>Y</t>
        </is>
      </c>
    </row>
    <row r="173">
      <c r="A173" s="18">
        <f>A172+1</f>
        <v/>
      </c>
      <c r="B173" s="18" t="inlineStr">
        <is>
          <t>扩培</t>
        </is>
      </c>
      <c r="C173" s="18" t="inlineStr">
        <is>
          <t>T1 培养时间</t>
        </is>
      </c>
      <c r="D173" s="18" t="n"/>
      <c r="E173" s="18" t="inlineStr">
        <is>
          <t>h</t>
        </is>
      </c>
      <c r="F173" s="18" t="n"/>
      <c r="I173" s="17" t="n"/>
      <c r="J173" s="17" t="n"/>
      <c r="K173" s="17" t="n"/>
      <c r="L173" s="17" t="n"/>
      <c r="M173" s="17" t="n"/>
      <c r="N173" s="17" t="n"/>
      <c r="O173" s="17" t="n"/>
      <c r="P173" s="17" t="n"/>
      <c r="Q173" s="17" t="inlineStr">
        <is>
          <t>Y</t>
        </is>
      </c>
      <c r="R173" s="17" t="inlineStr">
        <is>
          <t>Y</t>
        </is>
      </c>
      <c r="S173" s="17" t="inlineStr">
        <is>
          <t>Y</t>
        </is>
      </c>
      <c r="T173" s="17" t="inlineStr">
        <is>
          <t>Y</t>
        </is>
      </c>
    </row>
    <row r="174">
      <c r="A174" s="18">
        <f>A173+1</f>
        <v/>
      </c>
      <c r="B174" s="18" t="inlineStr">
        <is>
          <t>扩培</t>
        </is>
      </c>
      <c r="C174" s="18" t="inlineStr">
        <is>
          <t>T2 培养时间</t>
        </is>
      </c>
      <c r="D174" s="18" t="n"/>
      <c r="E174" s="18" t="inlineStr">
        <is>
          <t>h</t>
        </is>
      </c>
      <c r="F174" s="18" t="n"/>
      <c r="I174" s="17" t="n"/>
      <c r="J174" s="17" t="n"/>
      <c r="K174" s="17" t="n"/>
      <c r="L174" s="17" t="n"/>
      <c r="M174" s="17" t="n"/>
      <c r="N174" s="17" t="n"/>
      <c r="O174" s="17" t="n"/>
      <c r="P174" s="17" t="n"/>
      <c r="Q174" s="17" t="inlineStr">
        <is>
          <t>Y</t>
        </is>
      </c>
      <c r="R174" s="17" t="inlineStr">
        <is>
          <t>Y</t>
        </is>
      </c>
      <c r="S174" s="17" t="inlineStr">
        <is>
          <t>Y</t>
        </is>
      </c>
      <c r="T174" s="17" t="inlineStr">
        <is>
          <t>Y</t>
        </is>
      </c>
    </row>
    <row r="175">
      <c r="A175" s="18">
        <f>A174+1</f>
        <v/>
      </c>
      <c r="B175" s="18" t="inlineStr">
        <is>
          <t>扩培</t>
        </is>
      </c>
      <c r="C175" s="18" t="inlineStr">
        <is>
          <t>T3 培养时间</t>
        </is>
      </c>
      <c r="D175" s="18" t="n"/>
      <c r="E175" s="18" t="inlineStr">
        <is>
          <t>h</t>
        </is>
      </c>
      <c r="F175" s="18" t="n"/>
      <c r="I175" s="17" t="n"/>
      <c r="J175" s="17" t="n"/>
      <c r="K175" s="17" t="n"/>
      <c r="L175" s="17" t="n"/>
      <c r="M175" s="17" t="n"/>
      <c r="N175" s="17" t="n"/>
      <c r="O175" s="17" t="n"/>
      <c r="P175" s="17" t="n"/>
      <c r="Q175" s="17" t="inlineStr">
        <is>
          <t>Y</t>
        </is>
      </c>
      <c r="R175" s="17" t="inlineStr">
        <is>
          <t>Y</t>
        </is>
      </c>
      <c r="S175" s="17" t="inlineStr">
        <is>
          <t>Y</t>
        </is>
      </c>
      <c r="T175" s="17" t="inlineStr">
        <is>
          <t>Y</t>
        </is>
      </c>
    </row>
    <row r="176">
      <c r="A176" s="18">
        <f>A175+1</f>
        <v/>
      </c>
      <c r="B176" s="18" t="inlineStr">
        <is>
          <t>扩培</t>
        </is>
      </c>
      <c r="C176" s="18" t="inlineStr">
        <is>
          <t>总培养时间</t>
        </is>
      </c>
      <c r="D176" s="18" t="n"/>
      <c r="E176" s="18" t="inlineStr">
        <is>
          <t>h</t>
        </is>
      </c>
      <c r="F176" s="18" t="n"/>
      <c r="I176" s="17" t="n"/>
      <c r="J176" s="17" t="n"/>
      <c r="K176" s="17" t="n"/>
      <c r="L176" s="17" t="n"/>
      <c r="M176" s="17" t="n"/>
      <c r="N176" s="17" t="n"/>
      <c r="O176" s="17" t="n"/>
      <c r="P176" s="17" t="n"/>
      <c r="Q176" s="17" t="inlineStr">
        <is>
          <t>Y</t>
        </is>
      </c>
      <c r="R176" s="17" t="inlineStr">
        <is>
          <t>Y</t>
        </is>
      </c>
      <c r="S176" s="17" t="inlineStr">
        <is>
          <t>Y</t>
        </is>
      </c>
      <c r="T176" s="17" t="inlineStr">
        <is>
          <t>Y</t>
        </is>
      </c>
    </row>
    <row r="177">
      <c r="A177" s="18">
        <f>A176+1</f>
        <v/>
      </c>
      <c r="B177" s="18" t="inlineStr">
        <is>
          <t>扩培</t>
        </is>
      </c>
      <c r="C177" s="18" t="inlineStr">
        <is>
          <t>扩培液RDF</t>
        </is>
      </c>
      <c r="D177" s="18" t="n"/>
      <c r="E177" s="18" t="inlineStr">
        <is>
          <t>%</t>
        </is>
      </c>
      <c r="F177" s="18" t="n"/>
      <c r="I177" s="17" t="n"/>
      <c r="J177" s="17" t="n"/>
      <c r="K177" s="17" t="n"/>
      <c r="L177" s="17" t="n"/>
      <c r="M177" s="17" t="n"/>
      <c r="N177" s="17" t="n"/>
      <c r="O177" s="17" t="n"/>
      <c r="P177" s="17" t="n"/>
      <c r="Q177" s="17" t="inlineStr">
        <is>
          <t>Y</t>
        </is>
      </c>
      <c r="R177" s="17" t="inlineStr">
        <is>
          <t>Y</t>
        </is>
      </c>
      <c r="S177" s="17" t="inlineStr">
        <is>
          <t>Y</t>
        </is>
      </c>
      <c r="T177" s="17" t="inlineStr">
        <is>
          <t>Y</t>
        </is>
      </c>
    </row>
    <row r="178">
      <c r="A178" s="18">
        <f>A177+1</f>
        <v/>
      </c>
      <c r="B178" s="18" t="inlineStr">
        <is>
          <t>扩培</t>
        </is>
      </c>
      <c r="C178" s="18" t="inlineStr">
        <is>
          <t>扩培液OG</t>
        </is>
      </c>
      <c r="D178" s="18" t="n"/>
      <c r="E178" s="18" t="inlineStr">
        <is>
          <t>P</t>
        </is>
      </c>
      <c r="F178" s="18" t="n"/>
      <c r="I178" s="17" t="n"/>
      <c r="J178" s="17" t="n"/>
      <c r="K178" s="17" t="n"/>
      <c r="L178" s="17" t="n"/>
      <c r="M178" s="17" t="n"/>
      <c r="N178" s="17" t="n"/>
      <c r="O178" s="17" t="n"/>
      <c r="P178" s="17" t="n"/>
      <c r="Q178" s="17" t="inlineStr">
        <is>
          <t>Y</t>
        </is>
      </c>
      <c r="R178" s="17" t="inlineStr">
        <is>
          <t>Y</t>
        </is>
      </c>
      <c r="S178" s="17" t="inlineStr">
        <is>
          <t>Y</t>
        </is>
      </c>
      <c r="T178" s="17" t="inlineStr">
        <is>
          <t>Y</t>
        </is>
      </c>
    </row>
    <row r="179">
      <c r="A179" s="18">
        <f>A178+1</f>
        <v/>
      </c>
      <c r="B179" s="18" t="inlineStr">
        <is>
          <t>扩培</t>
        </is>
      </c>
      <c r="C179" s="18" t="inlineStr">
        <is>
          <t>扩培液AE</t>
        </is>
      </c>
      <c r="D179" s="18" t="n"/>
      <c r="E179" s="18" t="inlineStr">
        <is>
          <t>P</t>
        </is>
      </c>
      <c r="F179" s="18" t="n"/>
      <c r="I179" s="17" t="n"/>
      <c r="J179" s="17" t="n"/>
      <c r="K179" s="17" t="n"/>
      <c r="L179" s="17" t="n"/>
      <c r="M179" s="17" t="n"/>
      <c r="N179" s="17" t="n"/>
      <c r="O179" s="17" t="n"/>
      <c r="P179" s="17" t="n"/>
      <c r="Q179" s="17" t="inlineStr">
        <is>
          <t>Y</t>
        </is>
      </c>
      <c r="R179" s="17" t="inlineStr">
        <is>
          <t>Y</t>
        </is>
      </c>
      <c r="S179" s="17" t="inlineStr">
        <is>
          <t>Y</t>
        </is>
      </c>
      <c r="T179" s="17" t="inlineStr">
        <is>
          <t>Y</t>
        </is>
      </c>
    </row>
    <row r="180">
      <c r="A180" s="18">
        <f>A179+1</f>
        <v/>
      </c>
      <c r="B180" s="18" t="inlineStr">
        <is>
          <t>扩培</t>
        </is>
      </c>
      <c r="C180" s="18" t="inlineStr">
        <is>
          <t>扩培液YCC</t>
        </is>
      </c>
      <c r="D180" s="18" t="n"/>
      <c r="E180" s="18" t="inlineStr">
        <is>
          <t>MM/ml</t>
        </is>
      </c>
      <c r="F180" s="18" t="n"/>
      <c r="I180" s="17" t="n"/>
      <c r="J180" s="17" t="n"/>
      <c r="K180" s="17" t="n"/>
      <c r="L180" s="17" t="n"/>
      <c r="M180" s="17" t="n"/>
      <c r="N180" s="17" t="n"/>
      <c r="O180" s="17" t="n"/>
      <c r="P180" s="17" t="n"/>
      <c r="Q180" s="17" t="inlineStr">
        <is>
          <t>Y</t>
        </is>
      </c>
      <c r="R180" s="17" t="inlineStr">
        <is>
          <t>Y</t>
        </is>
      </c>
      <c r="S180" s="17" t="inlineStr">
        <is>
          <t>Y</t>
        </is>
      </c>
      <c r="T180" s="17" t="inlineStr">
        <is>
          <t>Y</t>
        </is>
      </c>
    </row>
    <row r="181">
      <c r="A181" s="18">
        <f>A180+1</f>
        <v/>
      </c>
      <c r="B181" s="18" t="inlineStr">
        <is>
          <t>扩培</t>
        </is>
      </c>
      <c r="C181" s="18" t="inlineStr">
        <is>
          <t>扩培液死亡率</t>
        </is>
      </c>
      <c r="D181" s="18" t="n"/>
      <c r="E181" s="18" t="inlineStr">
        <is>
          <t>%</t>
        </is>
      </c>
      <c r="F181" s="18" t="n"/>
      <c r="I181" s="17" t="n"/>
      <c r="J181" s="17" t="n"/>
      <c r="K181" s="17" t="n"/>
      <c r="L181" s="17" t="n"/>
      <c r="M181" s="17" t="n"/>
      <c r="N181" s="17" t="n"/>
      <c r="O181" s="17" t="n"/>
      <c r="P181" s="17" t="n"/>
      <c r="Q181" s="17" t="inlineStr">
        <is>
          <t>Y</t>
        </is>
      </c>
      <c r="R181" s="17" t="inlineStr">
        <is>
          <t>Y</t>
        </is>
      </c>
      <c r="S181" s="17" t="inlineStr">
        <is>
          <t>Y</t>
        </is>
      </c>
      <c r="T181" s="17" t="inlineStr">
        <is>
          <t>Y</t>
        </is>
      </c>
    </row>
    <row r="182">
      <c r="A182" s="18">
        <f>A181+1</f>
        <v/>
      </c>
      <c r="B182" s="18" t="inlineStr">
        <is>
          <t>发酵</t>
        </is>
      </c>
      <c r="C182" s="18" t="inlineStr">
        <is>
          <t>Temp to 18*C time</t>
        </is>
      </c>
      <c r="D182" s="18" t="n"/>
      <c r="E182" s="18" t="inlineStr">
        <is>
          <t>h</t>
        </is>
      </c>
      <c r="F182" s="18" t="inlineStr">
        <is>
          <t>从满罐到温度降到18度</t>
        </is>
      </c>
      <c r="I182" s="17" t="n"/>
      <c r="J182" s="17" t="n"/>
      <c r="K182" s="17" t="n"/>
      <c r="L182" s="17" t="n"/>
      <c r="M182" s="17" t="n"/>
      <c r="N182" s="17" t="n"/>
      <c r="O182" s="17" t="n"/>
      <c r="P182" s="17" t="n"/>
      <c r="Q182" s="17" t="inlineStr">
        <is>
          <t>Y</t>
        </is>
      </c>
      <c r="R182" s="17" t="inlineStr">
        <is>
          <t>Y</t>
        </is>
      </c>
      <c r="S182" s="17" t="inlineStr">
        <is>
          <t>Y</t>
        </is>
      </c>
      <c r="T182" s="17" t="inlineStr">
        <is>
          <t>Y</t>
        </is>
      </c>
    </row>
    <row r="183">
      <c r="A183" s="18">
        <f>A182+1</f>
        <v/>
      </c>
      <c r="B183" s="18" t="inlineStr">
        <is>
          <t>发酵</t>
        </is>
      </c>
      <c r="C183" s="18" t="inlineStr">
        <is>
          <t>Centrifuge time</t>
        </is>
      </c>
      <c r="D183" s="18" t="n"/>
      <c r="E183" s="18" t="inlineStr">
        <is>
          <t>h</t>
        </is>
      </c>
      <c r="F183" s="18" t="inlineStr">
        <is>
          <t>从满罐到开始离心</t>
        </is>
      </c>
      <c r="I183" s="17" t="n"/>
      <c r="J183" s="17" t="n"/>
      <c r="K183" s="17" t="n"/>
      <c r="L183" s="17" t="n"/>
      <c r="M183" s="17" t="n"/>
      <c r="N183" s="17" t="n"/>
      <c r="O183" s="17" t="n"/>
      <c r="P183" s="17" t="n"/>
      <c r="Q183" s="17" t="inlineStr">
        <is>
          <t>Y</t>
        </is>
      </c>
      <c r="R183" s="17" t="inlineStr">
        <is>
          <t>Y</t>
        </is>
      </c>
      <c r="S183" s="17" t="inlineStr">
        <is>
          <t>Y</t>
        </is>
      </c>
      <c r="T183" s="17" t="inlineStr">
        <is>
          <t>Y</t>
        </is>
      </c>
    </row>
    <row r="184">
      <c r="A184" s="18">
        <f>A183+1</f>
        <v/>
      </c>
      <c r="B184" s="18" t="inlineStr">
        <is>
          <t>发酵</t>
        </is>
      </c>
      <c r="C184" s="18" t="inlineStr">
        <is>
          <t>CPT Storage time</t>
        </is>
      </c>
      <c r="D184" s="18" t="n"/>
      <c r="E184" s="18" t="inlineStr">
        <is>
          <t>h</t>
        </is>
      </c>
      <c r="F184" s="18" t="n"/>
      <c r="I184" s="17" t="n"/>
      <c r="J184" s="17" t="n"/>
      <c r="K184" s="17" t="n"/>
      <c r="L184" s="17" t="n"/>
      <c r="M184" s="17" t="n"/>
      <c r="N184" s="17" t="n"/>
      <c r="O184" s="17" t="n"/>
      <c r="P184" s="17" t="n"/>
      <c r="Q184" s="17" t="inlineStr">
        <is>
          <t>Y</t>
        </is>
      </c>
      <c r="R184" s="17" t="inlineStr">
        <is>
          <t>Y</t>
        </is>
      </c>
      <c r="S184" s="17" t="inlineStr">
        <is>
          <t>Y</t>
        </is>
      </c>
      <c r="T184" s="17" t="inlineStr">
        <is>
          <t>Y</t>
        </is>
      </c>
    </row>
    <row r="185">
      <c r="A185" s="18">
        <f>A184+1</f>
        <v/>
      </c>
      <c r="B185" s="18" t="inlineStr">
        <is>
          <t>发酵</t>
        </is>
      </c>
      <c r="C185" s="18" t="inlineStr">
        <is>
          <t>BBT Storage time</t>
        </is>
      </c>
      <c r="D185" s="18" t="n"/>
      <c r="E185" s="18" t="inlineStr">
        <is>
          <t>h</t>
        </is>
      </c>
      <c r="F185" s="18" t="n"/>
      <c r="I185" s="17" t="n"/>
      <c r="J185" s="17" t="n"/>
      <c r="K185" s="17" t="n"/>
      <c r="L185" s="17" t="n"/>
      <c r="M185" s="17" t="n"/>
      <c r="N185" s="17" t="n"/>
      <c r="O185" s="17" t="n"/>
      <c r="P185" s="17" t="n"/>
      <c r="Q185" s="17" t="inlineStr">
        <is>
          <t>Y</t>
        </is>
      </c>
      <c r="R185" s="17" t="inlineStr">
        <is>
          <t>Y</t>
        </is>
      </c>
      <c r="S185" s="17" t="inlineStr">
        <is>
          <t>Y</t>
        </is>
      </c>
      <c r="T185" s="17" t="inlineStr">
        <is>
          <t>Y</t>
        </is>
      </c>
    </row>
    <row r="186">
      <c r="A186" s="18">
        <f>A185+1</f>
        <v/>
      </c>
      <c r="B186" s="18" t="inlineStr">
        <is>
          <t>EOC</t>
        </is>
      </c>
      <c r="C186" s="18" t="inlineStr">
        <is>
          <t>EOC总酸</t>
        </is>
      </c>
      <c r="D186" s="18" t="n"/>
      <c r="E186" s="18" t="n"/>
      <c r="F186" s="18" t="n"/>
      <c r="I186" s="17" t="n"/>
      <c r="J186" s="17" t="n"/>
      <c r="K186" s="17" t="n"/>
      <c r="L186" s="17" t="n"/>
      <c r="M186" s="17" t="n"/>
      <c r="N186" s="17" t="n"/>
      <c r="O186" s="17" t="n"/>
      <c r="P186" s="17" t="n"/>
      <c r="Q186" s="17" t="inlineStr">
        <is>
          <t>Y</t>
        </is>
      </c>
      <c r="R186" s="17" t="inlineStr">
        <is>
          <t>Y</t>
        </is>
      </c>
      <c r="S186" s="17" t="inlineStr">
        <is>
          <t>Y</t>
        </is>
      </c>
      <c r="T186" s="17" t="inlineStr">
        <is>
          <t>Y</t>
        </is>
      </c>
    </row>
    <row r="187">
      <c r="A187" s="18">
        <f>A186+1</f>
        <v/>
      </c>
      <c r="B187" s="18" t="inlineStr">
        <is>
          <t>BBT</t>
        </is>
      </c>
      <c r="C187" s="18" t="inlineStr">
        <is>
          <t>BBT总酸</t>
        </is>
      </c>
      <c r="D187" s="18" t="n"/>
      <c r="E187" s="18" t="n"/>
      <c r="F187" s="18" t="n"/>
      <c r="I187" s="17" t="n"/>
      <c r="J187" s="17" t="n"/>
      <c r="K187" s="17" t="n"/>
      <c r="L187" s="17" t="n"/>
      <c r="M187" s="17" t="n"/>
      <c r="N187" s="17" t="n"/>
      <c r="O187" s="17" t="n"/>
      <c r="P187" s="17" t="n"/>
      <c r="Q187" s="17" t="inlineStr">
        <is>
          <t>Y</t>
        </is>
      </c>
      <c r="R187" s="17" t="inlineStr">
        <is>
          <t>Y</t>
        </is>
      </c>
      <c r="S187" s="17" t="inlineStr">
        <is>
          <t>Y</t>
        </is>
      </c>
      <c r="T187" s="17" t="inlineStr">
        <is>
          <t>Y</t>
        </is>
      </c>
    </row>
    <row r="188">
      <c r="A188" s="18">
        <f>A187+1</f>
        <v/>
      </c>
      <c r="B188" s="18" t="inlineStr">
        <is>
          <t>成品</t>
        </is>
      </c>
      <c r="C188" s="18" t="inlineStr">
        <is>
          <t>4VG</t>
        </is>
      </c>
      <c r="D188" s="18" t="n"/>
      <c r="E188" s="18" t="n"/>
      <c r="F188" s="18" t="n"/>
      <c r="I188" s="17" t="n"/>
      <c r="J188" s="17" t="n"/>
      <c r="K188" s="17" t="n"/>
      <c r="L188" s="17" t="n"/>
      <c r="M188" s="17" t="n"/>
      <c r="N188" s="17" t="n"/>
      <c r="O188" s="17" t="n"/>
      <c r="P188" s="17" t="n"/>
      <c r="Q188" s="17" t="inlineStr">
        <is>
          <t>Y</t>
        </is>
      </c>
      <c r="R188" s="17" t="inlineStr">
        <is>
          <t>Y</t>
        </is>
      </c>
      <c r="S188" s="17" t="inlineStr">
        <is>
          <t>Y</t>
        </is>
      </c>
      <c r="T188" s="17" t="inlineStr">
        <is>
          <t>Y</t>
        </is>
      </c>
    </row>
    <row r="189">
      <c r="A189" s="18">
        <f>A188+1</f>
        <v/>
      </c>
      <c r="B189" s="18" t="inlineStr">
        <is>
          <t>成品</t>
        </is>
      </c>
      <c r="C189" s="18" t="inlineStr">
        <is>
          <t>Linaloop</t>
        </is>
      </c>
      <c r="D189" s="18" t="n"/>
      <c r="E189" s="18" t="n"/>
      <c r="F189" s="18" t="n"/>
      <c r="I189" s="17" t="n"/>
      <c r="J189" s="17" t="n"/>
      <c r="K189" s="17" t="n"/>
      <c r="L189" s="17" t="n"/>
      <c r="M189" s="17" t="n"/>
      <c r="N189" s="17" t="n"/>
      <c r="O189" s="17" t="n"/>
      <c r="P189" s="17" t="n"/>
      <c r="Q189" s="17" t="inlineStr">
        <is>
          <t>Y</t>
        </is>
      </c>
      <c r="R189" s="17" t="inlineStr">
        <is>
          <t>Y</t>
        </is>
      </c>
      <c r="S189" s="17" t="inlineStr">
        <is>
          <t>Y</t>
        </is>
      </c>
      <c r="T189" s="17" t="inlineStr">
        <is>
          <t>Y</t>
        </is>
      </c>
    </row>
  </sheetData>
  <mergeCells count="12">
    <mergeCell ref="I71:I75"/>
    <mergeCell ref="I18:I27"/>
    <mergeCell ref="I28:I36"/>
    <mergeCell ref="I54:I63"/>
    <mergeCell ref="I12:I17"/>
    <mergeCell ref="I3:I11"/>
    <mergeCell ref="I76:I80"/>
    <mergeCell ref="I37:I45"/>
    <mergeCell ref="I46:I53"/>
    <mergeCell ref="I147:I148"/>
    <mergeCell ref="I64:I70"/>
    <mergeCell ref="I138:I146"/>
  </mergeCells>
  <conditionalFormatting sqref="H2:H153">
    <cfRule type="cellIs" priority="1" operator="equal" dxfId="2">
      <formula>3</formula>
    </cfRule>
    <cfRule type="cellIs" priority="2" operator="equal" dxfId="1">
      <formula>2</formula>
    </cfRule>
    <cfRule type="cellIs" priority="3" operator="equal" dxfId="0">
      <formula>1</formula>
    </cfRule>
  </conditionalFormatting>
  <pageMargins left="0.7" right="0.7" top="0.75" bottom="0.75" header="0.3" footer="0.3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lu, xiangqing</dc:creator>
  <dcterms:created xsi:type="dcterms:W3CDTF">2015-06-06T10:17:00Z</dcterms:created>
  <dcterms:modified xsi:type="dcterms:W3CDTF">2026-06-11T06:05:04Z</dcterms:modified>
  <cp:lastModifiedBy>Chương Lê Quang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0x010100EE13CDA2905D3B4FA2ED7377B80FA1C3</vt:lpwstr>
  </property>
  <property name="MediaServiceImageTags" fmtid="{D5CDD505-2E9C-101B-9397-08002B2CF9AE}" pid="3">
    <vt:lpwstr/>
  </property>
  <property name="ICV" fmtid="{D5CDD505-2E9C-101B-9397-08002B2CF9AE}" pid="4">
    <vt:lpwstr>6999B35384C54C5A00B785677C81E509_43</vt:lpwstr>
  </property>
  <property name="KSOProductBuildVer" fmtid="{D5CDD505-2E9C-101B-9397-08002B2CF9AE}" pid="5">
    <vt:lpwstr>2052-12.1.0.25222</vt:lpwstr>
  </property>
  <property name="CalculationRule" fmtid="{D5CDD505-2E9C-101B-9397-08002B2CF9AE}" pid="6">
    <vt:i4>0</vt:i4>
  </property>
</Properties>
</file>